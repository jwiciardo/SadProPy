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defaultThemeVersion="202300"/>
  <mc:AlternateContent xmlns:mc="http://schemas.openxmlformats.org/markup-compatibility/2006">
    <mc:Choice Requires="x15">
      <x15ac:absPath xmlns:x15ac="http://schemas.microsoft.com/office/spreadsheetml/2010/11/ac" url="/Users/jwiciardo/Projects/SadProPy/src/sadpropy/"/>
    </mc:Choice>
  </mc:AlternateContent>
  <xr:revisionPtr revIDLastSave="0" documentId="8_{59442656-2923-5E48-81A0-5BBBA3927DE7}" xr6:coauthVersionLast="47" xr6:coauthVersionMax="47" xr10:uidLastSave="{00000000-0000-0000-0000-000000000000}"/>
  <bookViews>
    <workbookView xWindow="0" yWindow="0" windowWidth="33600" windowHeight="21000" firstSheet="1" activeTab="7" xr2:uid="{59A5497E-26E6-41F2-97A3-F930024339A4}"/>
  </bookViews>
  <sheets>
    <sheet name="Design Preferences" sheetId="25" r:id="rId1"/>
    <sheet name="ListDB" sheetId="1" r:id="rId2"/>
    <sheet name="Instructions" sheetId="30" r:id="rId3"/>
    <sheet name="Project Information" sheetId="20" r:id="rId4"/>
    <sheet name="User Defined Units" sheetId="27" r:id="rId5"/>
    <sheet name="Analysis Preferences" sheetId="24" r:id="rId6"/>
    <sheet name="Materials" sheetId="5" r:id="rId7"/>
    <sheet name="Frame Sections" sheetId="10" r:id="rId8"/>
    <sheet name="Slab Sections" sheetId="13" r:id="rId9"/>
    <sheet name="Node Objects" sheetId="26" r:id="rId10"/>
    <sheet name="Element Objects" sheetId="28" r:id="rId11"/>
    <sheet name="Shell Objects" sheetId="29" r:id="rId12"/>
    <sheet name="Restraints" sheetId="18" r:id="rId13"/>
    <sheet name="Nodal Loads" sheetId="32" r:id="rId14"/>
    <sheet name="Concentrated Elemental Loads" sheetId="33" r:id="rId15"/>
    <sheet name="Distributed Elemental Loads" sheetId="34" r:id="rId16"/>
    <sheet name="Shell to Elemental Loads" sheetId="36" r:id="rId17"/>
  </sheets>
  <definedNames>
    <definedName name="Base_Sec">'Frame Sections'!$A$20:$A$1019</definedName>
    <definedName name="Blank">ListDB!$FB$2:$FB$1001</definedName>
    <definedName name="Elastic_Mat_Name">ListDB!$K$2:$K$1001</definedName>
    <definedName name="Ele_Type">ListDB!$P$2:$P$1001</definedName>
    <definedName name="Element_ID">'Element Objects'!$A$16:$A$1048576</definedName>
    <definedName name="Int_Type">ListDB!$M$2:$M$1001</definedName>
    <definedName name="Int_Type_Con">ListDB!$O$2:$O$1001</definedName>
    <definedName name="Int_Type_Dist">ListDB!$N$2:$N$1001</definedName>
    <definedName name="LC_Type">ListDB!$U$2:$U$1001</definedName>
    <definedName name="Mat_Concrete">ListDB!$I$2:$I$1001</definedName>
    <definedName name="Mat_Model_Agg">ListDB!$F$2:$F$1001</definedName>
    <definedName name="Mat_Model_Concrete">ListDB!$C$2:$C$1001</definedName>
    <definedName name="Mat_Model_Hysteretic">ListDB!$E$2:$E$1001</definedName>
    <definedName name="Mat_Model_Steel">ListDB!$D$2:$D$1001</definedName>
    <definedName name="Mat_Name">ListDB!$H$2:$H$1001</definedName>
    <definedName name="Mat_Steel">ListDB!$J$2:$J$1001</definedName>
    <definedName name="Mat_Type">ListDB!$B$2:$B$1001</definedName>
    <definedName name="NL_Mat_Name">ListDB!$L$2:$L$1001</definedName>
    <definedName name="Node_ID">'Node Objects'!$A$8:$A$1048576</definedName>
    <definedName name="Sec_Model">ListDB!$R$2:$R$1001</definedName>
    <definedName name="Sec_Name">ListDB!$T$2:$T$1001</definedName>
    <definedName name="Sec_name_wo_agg">ListDB!$S$2:$S$1001</definedName>
    <definedName name="Sec_Shape">ListDB!$Q$2:$Q$1001</definedName>
    <definedName name="SecDB">'Frame Sections'!$A$20:$V$1019</definedName>
    <definedName name="SecFiberDB">#REF!</definedName>
    <definedName name="Shell_ID">'Shell Objects'!$A$11:$A$1048576</definedName>
    <definedName name="Slab_Sec">'Slab Sections'!$A$7:$A$1006</definedName>
    <definedName name="Spring_Mat_Name">ListDB!$G$2:$G$1048576</definedName>
    <definedName name="Unit_Angle">ListDB!$AA$2:$AA$3</definedName>
    <definedName name="Unit_Force">ListDB!$V$2:$V$8</definedName>
    <definedName name="Unit_Length">ListDB!$W$2:$W$6</definedName>
    <definedName name="Unit_Mass">ListDB!$X$2:$X$6</definedName>
    <definedName name="Unit_Stress">ListDB!$Y$2:$Y$9</definedName>
    <definedName name="Unit_Time">ListDB!$Z$2:$Z$3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 i="1" l="1" a="1"/>
  <c r="M2" i="1" s="1"/>
  <c r="H2" i="1" a="1"/>
  <c r="H2" i="1" s="1"/>
  <c r="K40" i="5"/>
  <c r="I39" i="5"/>
  <c r="AA3" i="5"/>
  <c r="AA2" i="5"/>
  <c r="AA4" i="5"/>
  <c r="AA5" i="5"/>
  <c r="AA6" i="5"/>
  <c r="AA7" i="5"/>
  <c r="E36" i="5"/>
  <c r="A5" i="36"/>
  <c r="A13" i="34"/>
  <c r="A12" i="34"/>
  <c r="A11" i="34"/>
  <c r="A10" i="34"/>
  <c r="A9" i="34"/>
  <c r="A8" i="34"/>
  <c r="A7" i="34"/>
  <c r="A6" i="34"/>
  <c r="A5" i="34"/>
  <c r="A12" i="33"/>
  <c r="A11" i="33"/>
  <c r="A10" i="33"/>
  <c r="A9" i="33"/>
  <c r="A8" i="33"/>
  <c r="A7" i="33"/>
  <c r="A6" i="33"/>
  <c r="A5" i="33"/>
  <c r="A9" i="28"/>
  <c r="A8" i="28"/>
  <c r="A5" i="26"/>
  <c r="A4" i="26"/>
  <c r="A3" i="26"/>
  <c r="N14" i="10"/>
  <c r="N13" i="10"/>
  <c r="N12" i="10"/>
  <c r="N11" i="10"/>
  <c r="N10" i="10"/>
  <c r="N9" i="10"/>
  <c r="N8" i="10"/>
  <c r="K2" i="1" a="1"/>
  <c r="K2" i="1" s="1"/>
  <c r="AA22" i="10"/>
  <c r="Z22" i="10"/>
  <c r="Y22" i="10"/>
  <c r="X22" i="10"/>
  <c r="W22" i="10"/>
  <c r="G2" i="1" a="1"/>
  <c r="G2" i="1" s="1"/>
  <c r="L2" i="1" a="1"/>
  <c r="L2" i="1" s="1"/>
  <c r="K8" i="5"/>
  <c r="K7" i="5"/>
  <c r="K6" i="5"/>
  <c r="K5" i="5"/>
  <c r="K2" i="5"/>
  <c r="D37" i="5"/>
  <c r="G36" i="5"/>
  <c r="J36" i="5" s="1"/>
  <c r="E35" i="5"/>
  <c r="J35" i="5"/>
  <c r="A25" i="5"/>
  <c r="A15" i="5"/>
  <c r="A14" i="5"/>
  <c r="A8" i="5"/>
  <c r="A11" i="5"/>
  <c r="A8" i="32"/>
  <c r="A9" i="32"/>
  <c r="A7" i="32"/>
  <c r="A6" i="32"/>
  <c r="A5" i="32"/>
  <c r="A4" i="32"/>
  <c r="A4" i="13" l="1"/>
  <c r="A5" i="5"/>
  <c r="A6" i="5"/>
  <c r="E34" i="5" l="1"/>
  <c r="D34" i="5"/>
  <c r="G33" i="5"/>
  <c r="E33" i="5" s="1"/>
  <c r="J2" i="1" l="1" a="1"/>
  <c r="J2" i="1" s="1"/>
  <c r="I2" i="1" a="1"/>
  <c r="I2" i="1" s="1"/>
  <c r="C24" i="10" l="1"/>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T2" i="1" l="1" a="1"/>
  <c r="T2" i="1" s="1"/>
  <c r="S2" i="1" a="1"/>
  <c r="S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<sst xmlns="http://schemas.openxmlformats.org/spreadsheetml/2006/main" count="2024" uniqueCount="367">
  <si>
    <t>SI (N-m)</t>
  </si>
  <si>
    <t>Unitweight</t>
  </si>
  <si>
    <t>Concrete</t>
  </si>
  <si>
    <t>Rebar</t>
  </si>
  <si>
    <t>Default Units</t>
  </si>
  <si>
    <t>Value</t>
  </si>
  <si>
    <t>Nonlinear Analysis</t>
  </si>
  <si>
    <t>P-Delta</t>
  </si>
  <si>
    <t>Material Type</t>
  </si>
  <si>
    <t>Steel</t>
  </si>
  <si>
    <t>Material Name</t>
  </si>
  <si>
    <t>E</t>
  </si>
  <si>
    <t>nu</t>
  </si>
  <si>
    <t>RC30</t>
  </si>
  <si>
    <t>Rebar420</t>
  </si>
  <si>
    <t>Material Model</t>
  </si>
  <si>
    <t>RC Unconfined</t>
  </si>
  <si>
    <t>RC Confined</t>
  </si>
  <si>
    <t>Rebar420NL</t>
  </si>
  <si>
    <t>NL Material Name</t>
  </si>
  <si>
    <t>Integration Type for Distributed Plasticity</t>
  </si>
  <si>
    <t>Integration Type for Concentrated Plasticity</t>
  </si>
  <si>
    <t>Lobatto</t>
  </si>
  <si>
    <t>Section Shape</t>
  </si>
  <si>
    <t>Section Name</t>
  </si>
  <si>
    <t>Load Case Type</t>
  </si>
  <si>
    <t>Rectangular</t>
  </si>
  <si>
    <t>Section Model</t>
  </si>
  <si>
    <t>C1</t>
  </si>
  <si>
    <t>B1</t>
  </si>
  <si>
    <t>Integration Type</t>
  </si>
  <si>
    <t>Aggregated Section</t>
  </si>
  <si>
    <t>t</t>
  </si>
  <si>
    <t>S1</t>
  </si>
  <si>
    <t>X</t>
  </si>
  <si>
    <t>Y</t>
  </si>
  <si>
    <t>Z</t>
  </si>
  <si>
    <t>Element Type</t>
  </si>
  <si>
    <t>Column</t>
  </si>
  <si>
    <t>Beam</t>
  </si>
  <si>
    <t>UX</t>
  </si>
  <si>
    <t>UY</t>
  </si>
  <si>
    <t>UZ</t>
  </si>
  <si>
    <t>RX</t>
  </si>
  <si>
    <t>RY</t>
  </si>
  <si>
    <t>RZ</t>
  </si>
  <si>
    <t>Live Roof</t>
  </si>
  <si>
    <t>Parameter</t>
  </si>
  <si>
    <t>Project Name</t>
  </si>
  <si>
    <t>Project Description</t>
  </si>
  <si>
    <t>4-Storeys Building</t>
  </si>
  <si>
    <t>Structural analysis of 4-Storeys building</t>
  </si>
  <si>
    <t>LL Mass Factor</t>
  </si>
  <si>
    <t>Material Concrete</t>
  </si>
  <si>
    <t>Material Steel/Rebar</t>
  </si>
  <si>
    <t>Item</t>
  </si>
  <si>
    <t>Force</t>
  </si>
  <si>
    <t>Length</t>
  </si>
  <si>
    <t>Mass</t>
  </si>
  <si>
    <t>Stress</t>
  </si>
  <si>
    <t>Time</t>
  </si>
  <si>
    <t>Angle</t>
  </si>
  <si>
    <t>Unit of Force</t>
  </si>
  <si>
    <t>Unit of Length</t>
  </si>
  <si>
    <t>Unit of Mass</t>
  </si>
  <si>
    <t>Unit of Stress</t>
  </si>
  <si>
    <t>Unit of Time</t>
  </si>
  <si>
    <t>Unit of Angle</t>
  </si>
  <si>
    <t>N</t>
  </si>
  <si>
    <t>kN</t>
  </si>
  <si>
    <t>MN</t>
  </si>
  <si>
    <t>kgf</t>
  </si>
  <si>
    <t>tonf</t>
  </si>
  <si>
    <t>lbf</t>
  </si>
  <si>
    <t>kipf</t>
  </si>
  <si>
    <t>m</t>
  </si>
  <si>
    <t>mm</t>
  </si>
  <si>
    <t>cm</t>
  </si>
  <si>
    <t>ft</t>
  </si>
  <si>
    <t>in</t>
  </si>
  <si>
    <t>kg</t>
  </si>
  <si>
    <t>gr</t>
  </si>
  <si>
    <t>ton</t>
  </si>
  <si>
    <t>lbs</t>
  </si>
  <si>
    <t>kip</t>
  </si>
  <si>
    <t>Pa</t>
  </si>
  <si>
    <t>kPa</t>
  </si>
  <si>
    <t>MPa</t>
  </si>
  <si>
    <t>GPa</t>
  </si>
  <si>
    <t>psi</t>
  </si>
  <si>
    <t>psf</t>
  </si>
  <si>
    <t>ksi</t>
  </si>
  <si>
    <t>ksf</t>
  </si>
  <si>
    <t>s</t>
  </si>
  <si>
    <t>rad</t>
  </si>
  <si>
    <t>deg</t>
  </si>
  <si>
    <t>Edge 1</t>
  </si>
  <si>
    <t>Edge 2</t>
  </si>
  <si>
    <t>Edge 3</t>
  </si>
  <si>
    <t>Edge 4</t>
  </si>
  <si>
    <t>Instructions:</t>
  </si>
  <si>
    <t>Descriptions:</t>
  </si>
  <si>
    <t>Do not rename the file</t>
  </si>
  <si>
    <t>Do not delete unused sheet</t>
  </si>
  <si>
    <t>Cells with a white background are user-inputted</t>
  </si>
  <si>
    <t>ms</t>
  </si>
  <si>
    <t>I-End</t>
  </si>
  <si>
    <t>J-End</t>
  </si>
  <si>
    <t>- Force: Unit for force (Choose from the list)</t>
  </si>
  <si>
    <t>- Length: Unit for length and its derivation (Choose from the list)</t>
  </si>
  <si>
    <t>- Mass: Unit for mass (Choose from the list)</t>
  </si>
  <si>
    <t>- Stress: Unit for stress (Choose from the list)</t>
  </si>
  <si>
    <t>- Time: Unit for time (Choose from the list)</t>
  </si>
  <si>
    <t>- Angle: Unit for angle (Choose from the list)</t>
  </si>
  <si>
    <t xml:space="preserve">- Nonlinear Analysis: Preference to perform nonlinear analysis (Choose from the list) </t>
  </si>
  <si>
    <t>- P-Delta: Preference to include P-Delta in analysis (Choose from the list)</t>
  </si>
  <si>
    <t>- Project Description: Description of the project (Input as String)</t>
  </si>
  <si>
    <t>- LL Mass Factor: Factor for liveload used in computing structural mass (Input as Float)</t>
  </si>
  <si>
    <t>- nu: Poisson's ratio of material (Input as Float)</t>
  </si>
  <si>
    <t>Note:</t>
  </si>
  <si>
    <t>I-End Offset Length</t>
  </si>
  <si>
    <t>J-End Offset Length</t>
  </si>
  <si>
    <t>End Offset</t>
  </si>
  <si>
    <t>Auto from Connectivity</t>
  </si>
  <si>
    <t>- End Offset: End Offset length preference (Choose from the list)</t>
  </si>
  <si>
    <t>- Material Name: Name of material (Input as String)</t>
  </si>
  <si>
    <t>- Material Type: Type of material (Choose from the list)</t>
  </si>
  <si>
    <t>- epsc: Strain at maximum compressive strength of concrete (Input as Float)</t>
  </si>
  <si>
    <t>- epscu: Strain at crushing strength of concrete (Input as Float)</t>
  </si>
  <si>
    <t>- beta: Exponential curve parameter to define the residual stress (as a factor of fct) at etu</t>
  </si>
  <si>
    <t>To change unitsystem, choose units for each measurement at "User Specified Unitsystem" sheet</t>
  </si>
  <si>
    <t>All units for user-inputted values should follow user specified unitsystem</t>
  </si>
  <si>
    <t>- Keep red-colored cells with a value of 0.0</t>
  </si>
  <si>
    <t>- et: Strain at maximum tensile strength of concrete, set value = 0.0 to use default value which is calculated using equation: et = fct / Esec, Esec = fc / epsc (Input as Float)</t>
  </si>
  <si>
    <t>- eu: Strain at ultimate tensile strength of rebar/steel (Input as Float)</t>
  </si>
  <si>
    <t>- b: Strain-hardening ratio, set value = 0.0 to use default value which is calculated using equation: b = Epy / E, Epy = (fu - fy) / (eu - eoffset), eoffset = (fy / E) + 0.2% (Input as Float)</t>
  </si>
  <si>
    <t>- R0: Parameters to control the transition from elastic to plastic branches, recommended value = 10-20 (Input as Integer)</t>
  </si>
  <si>
    <t>- cR1: Parameters to control the transition from elastic to plastic branches, recommended value = 0.925 (Input as Float)</t>
  </si>
  <si>
    <t>- cR2: Parameters to control the transition from elastic to plastic branches, recommended value = 0.15 (Input as Float)</t>
  </si>
  <si>
    <t>- a1: Isotropic hardening parameter, increase of compression yield envelope as proportion of yield strength after a plastic strain of a2*(fy / E), default value = 0.0 (Input as Float)</t>
  </si>
  <si>
    <t>- a2: Isotropic hardening parameter, default value = 1.0 (Input as Float)</t>
  </si>
  <si>
    <t>- a4: Isotropic hardening parameter, default value = 1.0 (Input as Float)</t>
  </si>
  <si>
    <t>- a3: Isotropic hardening parameter, increase of tension yield envelope as proportion of yield strength after a plastic strain of a4*(fy / E), default value = 0.0 (Input as Float)</t>
  </si>
  <si>
    <t>- ecmax: Maximum compression strain (Input as Float)</t>
  </si>
  <si>
    <t>- etmax: Maximum tension strain (Input as Float)</t>
  </si>
  <si>
    <t>- Material Model: Opensees material model (Choose from the list)</t>
  </si>
  <si>
    <t>- as_Pos: Strain hardening ratio for positive loading direction, set value = 0.0 to use default value which is calculated using equation: as_Pos = Kpy_Pos / K0, Kpy_Pos = (Mu_Pos - My_Pos) / (theta_p_Pos - theta_e_Pos), theta_e_Pos = My_Pos / K0 (Input as Float)</t>
  </si>
  <si>
    <t>- as_Neg: Strain hardening ratio for negative loading direction, set value = 0.0 to use default value which is calculated using equation: as_Neg = Kpy_Neg / K0, Kpy_Neg = (Mu_Neg - My_Neg) / (theta_p_Neg - theta_e_Neg), theta_e_Neg = My_Neg / K0 (Input as Float)</t>
  </si>
  <si>
    <t>- Lamda_S: Cyclic deterioration parameter for strength deterioration [E_t=Lamda_S*M_y, see Lignos and Krawinkler (2011)], keep 0.0 value to disable this mode of deterioration (Input as Float)</t>
  </si>
  <si>
    <t>- Lamda_C: Cyclic deterioration parameter for post-capping strength deterioration [E_t=Lamda_C*M_y, see Lignos and Krawinkler (2011)], keep 0.0 value to disable this mode of deterioration (Input as Float)</t>
  </si>
  <si>
    <t>- Lamda_A: Cyclic deterioration parameter for accelerated reloading stiffness deterioration [E_t=Lamda_A*M_y, see Lignos and Krawinkler (2011)], keep 0.0 value to disable this mode of deterioration (Input as Float)</t>
  </si>
  <si>
    <t>- Lamda_K: Cyclic deterioration parameter for unloading stiffness deterioration [E_t=Lamda_K*M_y, see Lignos and Krawinkler (2011)], keep 0.0 value to disable this mode of deterioration (Input as Float)</t>
  </si>
  <si>
    <t>- c_S: Rate of strength deterioration,  default value is 1.0 (Input as Float)</t>
  </si>
  <si>
    <t>- c_C: Rate of post-capping strength deterioration, default value is 1.0 (Input as Float)</t>
  </si>
  <si>
    <t xml:space="preserve">- c_A: Rate of accelerated reloading deterioration, default value is 1.0 (Input as Float) </t>
  </si>
  <si>
    <t>- c_K: Rate of unloading stiffness deterioration, default value is 1.0 (Input as Float)</t>
  </si>
  <si>
    <t>- Fpr_Pos: Ratio of the force at which reloading begins to force corresponding to the maximum historic deformation demand (positive loading direction), keep 0.0 if it is not related, use this when using IMKPinching model (Input as Float)</t>
  </si>
  <si>
    <t>- Fpr_Neg: Ratio of the force at which reloading begins to force corresponding to the maximum historic deformation demand (negative loading direction), keep 0.0 if it is not related, use this when using IMKPinching model (Input as Float)</t>
  </si>
  <si>
    <t>- A_pinch: Ratio of reloading stiffness, keep 0.0 if it is not related, use this when using IMKPinching model (Input as Float)</t>
  </si>
  <si>
    <t>- nFactor: Elastic stiffness amplification factor, use this when using IMKBilinear (Input as Float)</t>
  </si>
  <si>
    <t>- theta_p_Neg: Pre-capping rotation for negative loading direction, often noted as plastic rotation capacity (Input as Float)</t>
  </si>
  <si>
    <t>- theta_p_Pos: Pre-capping rotation for positive loading direction, often noted as plastic rotation capacity (Input as Float)</t>
  </si>
  <si>
    <t>- theta_pc_Pos: Post-capping rotation for positive loading direction (Input as Float)</t>
  </si>
  <si>
    <t>- theta_pc_Neg: Post-capping rotation for negative loading direction (Input as Float)</t>
  </si>
  <si>
    <t>- Res_Pos: Residual strength ratio for positive loading direction (Input as Float)</t>
  </si>
  <si>
    <t>- Res_Neg: Residual strength ratio for negative loading direction (Input as Float)</t>
  </si>
  <si>
    <t>- theta_u_Pos: Ultimate rotation capacity for positive loading direction (Input as Float)</t>
  </si>
  <si>
    <t>- theta_u_Neg: Ultimate rotation capacity for negative loading direction (Input as Float)</t>
  </si>
  <si>
    <t>- D_Pos: Rate of cyclic deterioration in the positive loading direction, for symmetric hysteretic response use 1.0 (Input as Float)</t>
  </si>
  <si>
    <t>- D_Neg: Rate of cyclic deterioration in the negative loading direction, for symmetric hysteretic response use 1.0 (Input as Float)</t>
  </si>
  <si>
    <t>- Section Name: Name of section (Input as String)</t>
  </si>
  <si>
    <t>- Section Shape: Shape of section (Choose from the list)</t>
  </si>
  <si>
    <t>- Element Type: Type of element (Choose from the list)</t>
  </si>
  <si>
    <t>- nBarsTop: Number of top reinforcements (Input as Integer)</t>
  </si>
  <si>
    <t>- nBarsBot: Number of bottom reinforcements (Input as Integer)</t>
  </si>
  <si>
    <t>- nBarsInt: Number of intermediate reinforcements (Input as Integer)</t>
  </si>
  <si>
    <t>Plasticity Model</t>
  </si>
  <si>
    <t>Model Dimensional Space</t>
  </si>
  <si>
    <t>Concentrated Plasticity (with Zero length element)</t>
  </si>
  <si>
    <t>Concentrated Plasticity (Element with hinge)</t>
  </si>
  <si>
    <t>Fibre Model</t>
  </si>
  <si>
    <t>No</t>
  </si>
  <si>
    <t>- Project Name: Name of the project (Input as String)</t>
  </si>
  <si>
    <t>- Model Dimensional Space: Dimensional space to be used (Choose from the list)</t>
  </si>
  <si>
    <t>Unique Name</t>
  </si>
  <si>
    <t>- Section Name: Name of slab section (Input as String, Max. 15 characters)</t>
  </si>
  <si>
    <t>Section</t>
  </si>
  <si>
    <t>IMKPeakOriented</t>
  </si>
  <si>
    <t>Rotational Spring</t>
  </si>
  <si>
    <t>Zero Length Element</t>
  </si>
  <si>
    <t>- Zero Length Element: Option to generate point as zero length element (Choose from the list)</t>
  </si>
  <si>
    <t>- UX: Restraint condition of translational DOF along global X-axis (Boolean, 0: Unrestrained, 1: Restrained)</t>
  </si>
  <si>
    <t>- UY: Restraint condition of translational DOF along global Y-axis (Boolean, 0: Unrestrained, 1: Restrained)</t>
  </si>
  <si>
    <t>- UZ: Restraint condition of translational DOF along global Z-axis (Boolean, 0: Unrestrained, 1: Restrained)</t>
  </si>
  <si>
    <t>- RX: Restraint condition of rotational DOF about global X-axis (Boolean, 0: Unrestrained, 1: Restrained)</t>
  </si>
  <si>
    <t>- RY: Restraint condition of rotational DOF about global Y-axis (Boolean, 0: Unrestrained, 1: Restrained)</t>
  </si>
  <si>
    <t>- RZ: Restraint condition of rotational DOF about global Z-axis (Boolean, 0: Unrestrained, 1: Restrained)</t>
  </si>
  <si>
    <t>AMod</t>
  </si>
  <si>
    <t>AvyMod</t>
  </si>
  <si>
    <t>AvzMod</t>
  </si>
  <si>
    <t>IzMod</t>
  </si>
  <si>
    <t>IyMod</t>
  </si>
  <si>
    <t>JxxMod</t>
  </si>
  <si>
    <t>- AMod: Modifier for area (Input as Float)</t>
  </si>
  <si>
    <t>- AvyMod: Modifier for shear area along local y-axis (Input as Float)</t>
  </si>
  <si>
    <t>- AvzMod: Modifier for shear area along local z-axis (Input as Float)</t>
  </si>
  <si>
    <t>- IzMod: Modifier for second moment of area about local z-axis (Input as Float)</t>
  </si>
  <si>
    <t>- IyMod: Modifier for second moment of area about local y-axis (Input as Float)</t>
  </si>
  <si>
    <t>- JxxMod: Modifier for torsional constant (Input as Float)</t>
  </si>
  <si>
    <t>Section Name without Section Aggregator</t>
  </si>
  <si>
    <t>Slab</t>
  </si>
  <si>
    <t>Material</t>
  </si>
  <si>
    <t>- Material: Material of slab section (Choose from the list)</t>
  </si>
  <si>
    <t>Rigid Zone Factor</t>
  </si>
  <si>
    <t>- Rigid Zone Factor: The fraction of zone specified by end offsets to be taken as fully rigid, 0 means no rigid zone 1 means fully rigid zone (Input as Float)</t>
  </si>
  <si>
    <t>FX</t>
  </si>
  <si>
    <t>FY</t>
  </si>
  <si>
    <t>FZ</t>
  </si>
  <si>
    <t>MX</t>
  </si>
  <si>
    <t>MY</t>
  </si>
  <si>
    <t>MZ</t>
  </si>
  <si>
    <t>Load Case</t>
  </si>
  <si>
    <t>Gravity</t>
  </si>
  <si>
    <t>Direction</t>
  </si>
  <si>
    <t>Load</t>
  </si>
  <si>
    <t>Load 1</t>
  </si>
  <si>
    <t>Load 2</t>
  </si>
  <si>
    <t>Load 3</t>
  </si>
  <si>
    <t>Load 4</t>
  </si>
  <si>
    <t>Location 1</t>
  </si>
  <si>
    <t>Location 2</t>
  </si>
  <si>
    <t>Location 3</t>
  </si>
  <si>
    <t>Location 4</t>
  </si>
  <si>
    <t>Uniform Load</t>
  </si>
  <si>
    <t>3D-Space</t>
  </si>
  <si>
    <t>Elastic</t>
  </si>
  <si>
    <t>Concrete04</t>
  </si>
  <si>
    <t>Steel02</t>
  </si>
  <si>
    <t>Material Model Concrete</t>
  </si>
  <si>
    <t>Material Model Steel</t>
  </si>
  <si>
    <t>Material Model Hysteretic</t>
  </si>
  <si>
    <t>IMKBilinear</t>
  </si>
  <si>
    <t>IMKPinching</t>
  </si>
  <si>
    <t>Spring</t>
  </si>
  <si>
    <t>Prop1</t>
  </si>
  <si>
    <t>Prop2</t>
  </si>
  <si>
    <t>Prop3</t>
  </si>
  <si>
    <t>Prop4</t>
  </si>
  <si>
    <t>Prop5</t>
  </si>
  <si>
    <t>Prop6</t>
  </si>
  <si>
    <t>Prop7</t>
  </si>
  <si>
    <t>Prop8</t>
  </si>
  <si>
    <t>Prop9</t>
  </si>
  <si>
    <t>Prop10</t>
  </si>
  <si>
    <t>Prop11</t>
  </si>
  <si>
    <t>Prop12</t>
  </si>
  <si>
    <t>Prop13</t>
  </si>
  <si>
    <t>Prop14</t>
  </si>
  <si>
    <t>Prop15</t>
  </si>
  <si>
    <t>Prop16</t>
  </si>
  <si>
    <t>Prop17</t>
  </si>
  <si>
    <t>Prop18</t>
  </si>
  <si>
    <t>Prop19</t>
  </si>
  <si>
    <t>Prop20</t>
  </si>
  <si>
    <t>Prop21</t>
  </si>
  <si>
    <t>Prop22</t>
  </si>
  <si>
    <t>Prop23</t>
  </si>
  <si>
    <t>Prop24</t>
  </si>
  <si>
    <t>Prop25</t>
  </si>
  <si>
    <t>Prop26</t>
  </si>
  <si>
    <t>Prop27</t>
  </si>
  <si>
    <t>Prop28</t>
  </si>
  <si>
    <t>Concrete04+MinMax</t>
  </si>
  <si>
    <t>Steel02+MinMax</t>
  </si>
  <si>
    <t>- Properties of Rebar/Steel + Steel02+MinMax: 1=fy, 2=fu, 3=eu, 4=b, 5=R0, 6=cR1, 7=cR2, 8=a1, 9=a2, 10=a3, 11=a4, 12=f_init, 13=ecmax, 14=etmax</t>
  </si>
  <si>
    <t>- Properties of Rebar/Steel + Steel02: 1=fy, 2=fu, 3=eu, 4=b, 5=R0, 6=cR1, 7=cR2, 8=a1, 9=a2, 10=a3, 11=a4, 12=f_init</t>
  </si>
  <si>
    <t>- Properties of Rebar/Steel + Elastic: 1=fy, 2=fu</t>
  </si>
  <si>
    <t>- Properties of Concrete + Concrete04+MinMax: 1=fc, 2=epsc, 3=epscu, 4=fct, 5=et, 6=beta, 7=ecmax, 8=etmax</t>
  </si>
  <si>
    <t>- Properties of Concrete + Concrete04: 1=fc, 2=epsc, 3=epscu, 4=fct, 5=et, 6=beta</t>
  </si>
  <si>
    <t>- Properties of Concrete + Elastic: 1=fc</t>
  </si>
  <si>
    <t>- Properties of Spring + IMKBilinear: 1=K0, 2=as_Pos, 3=as_Neg, 4=My_Pos, 5=My_Neg, 6=Mu_Pos, 7=Mu_Neg, 8=Lamda_S, 9=Lamda_C, 10=Lamda_A, 11=Lamda_K, 12=c_S, 13=c_C, 14=c_A, 15=c_K, 16=theta_p_Pos, 17=theta_p_Neg, 18=theta_pc_Pos, 19=theta_pc_Neg, 20=theta_u_Pos, 21=theta_u_Neg, 22=Res_Pos, 23=Res_Neg, 24=D_Pos, 25=D_Neg, 26=nFactor</t>
  </si>
  <si>
    <t>- Properties of Spring + IMKPeakOriented: 1=K0, 2=as_Pos, 3=as_Neg, 4=My_Pos, 5=My_Neg, 6=Mu_Pos, 7=Mu_Neg, 8=Lamda_S, 9=Lamda_C, 10=Lamda_A, 11=Lamda_K, 12=c_S, 13=c_C, 14=c_A, 15=c_K, 16=theta_p_Pos, 17=theta_p_Neg, 18=theta_pc_Pos, 19=theta_pc_Neg, 20=theta_u_Pos, 21=theta_u_Neg, 22=Res_Pos, 23=Res_Neg, 24=D_Pos, 25=D_Neg</t>
  </si>
  <si>
    <t>- Properties of Spring + IMKPinching: 1=K0, 2=as_Pos, 3=as_Neg, 4=My_Pos, 5=My_Neg, 6=Mu_Pos, 7=Mu_Neg, 8=Lamda_S, 9=Lamda_C, 10=Lamda_A, 11=Lamda_K, 12=c_S, 13=c_C, 14=c_A, 15=c_K, 16=theta_p_Pos, 17=theta_p_Neg, 18=theta_pc_Pos, 19=theta_pc_Neg, 20=theta_u_Pos, 21=theta_u_Neg, 22=Res_Pos, 23=Res_Neg, 24=D_Pos, 25=D_Neg, 26=Fpr_Pos, 27=Fpr_Neg, 28=A_pinch</t>
  </si>
  <si>
    <t>Elastic Material Name</t>
  </si>
  <si>
    <t>Fiber</t>
  </si>
  <si>
    <t>- Section Model: Opensees section model (Choose from the list)</t>
  </si>
  <si>
    <t>Spring Material Name</t>
  </si>
  <si>
    <t>Dim1</t>
  </si>
  <si>
    <t>Dim2</t>
  </si>
  <si>
    <t>Material2</t>
  </si>
  <si>
    <t>Material3</t>
  </si>
  <si>
    <t>C1Fiber</t>
  </si>
  <si>
    <t>FiberProp1</t>
  </si>
  <si>
    <t>FiberProp2</t>
  </si>
  <si>
    <t>FiberProp3</t>
  </si>
  <si>
    <t>FiberProp4</t>
  </si>
  <si>
    <t>FiberProp5</t>
  </si>
  <si>
    <t>FiberProp6</t>
  </si>
  <si>
    <t>FiberProp7</t>
  </si>
  <si>
    <t>FiberProp8</t>
  </si>
  <si>
    <t>- Keep red-colored cells with either blank or a value of 0.0</t>
  </si>
  <si>
    <t>Hinge Radau</t>
  </si>
  <si>
    <t>- Fiber properties of Rectangular concrete section: 1=c, 2=barDiaHoop, 3=barDiaTop, 4=barDiaBot, 5=barDiaInt, 6=nBarsTop, 7=nBarsBot, 8=nBarsInt</t>
  </si>
  <si>
    <t>- Dimension of rectangular section: 1=h, 2=b</t>
  </si>
  <si>
    <t>Material4</t>
  </si>
  <si>
    <t>Material5</t>
  </si>
  <si>
    <t>Material6</t>
  </si>
  <si>
    <t>Aggregator</t>
  </si>
  <si>
    <t>- Aggregated Section: Name of section which the Materials are aggregated as additional force-deformation relationship (Choose from the list)</t>
  </si>
  <si>
    <t>Brace</t>
  </si>
  <si>
    <t>Zero Length</t>
  </si>
  <si>
    <t>Selfweight</t>
  </si>
  <si>
    <t>Dead</t>
  </si>
  <si>
    <t>Live</t>
  </si>
  <si>
    <t>Earthquake-X</t>
  </si>
  <si>
    <t>Earthquake-Y</t>
  </si>
  <si>
    <t>Wind-X</t>
  </si>
  <si>
    <t>Wind-Y</t>
  </si>
  <si>
    <t>- Unique Name: Name used as unique identification for each node (Input as String, Max. 15 characters)</t>
  </si>
  <si>
    <t>Node</t>
  </si>
  <si>
    <t>- Node: Node name where it will be restrained (Choose from the list)</t>
  </si>
  <si>
    <t>- Unique Name: Name used as unique identification for each element (Input as String, Max. 15 characters)</t>
  </si>
  <si>
    <t>- J-End: Node object at the end (J) of the element object (Choose from the list)</t>
  </si>
  <si>
    <t>- I-End: Node object at the start (I) of the element object (Choose from the list)</t>
  </si>
  <si>
    <t>- Section: Cross section used by each element (Choose from the list)</t>
  </si>
  <si>
    <t>- Unique Name: Name used as unique identification for each shell (Input as String, Max. 15 characters)</t>
  </si>
  <si>
    <t>- Section: Slab section used by each shell (Choose from the list)</t>
  </si>
  <si>
    <t>- Node: Node name to be subjected nodal load (Choose from the list)</t>
  </si>
  <si>
    <t>- Load Case: Load case of subjected nodal load (Choose from the list)</t>
  </si>
  <si>
    <t>Element</t>
  </si>
  <si>
    <t>- Element: Element name to be subjected elemental point load (Choose from the list)</t>
  </si>
  <si>
    <t>- Load Case: Load case of subjected elemental point load (Choose from the list)</t>
  </si>
  <si>
    <t>- Direction: Direction of all subjected elemental point load (Load 1 - Load 4) (Choose from the list)</t>
  </si>
  <si>
    <t>- Element: Element name to be subjected distributed elemental load (Choose from the list)</t>
  </si>
  <si>
    <t>- Load Case: Load case of subjected distributed elemental load (Choose from the list)</t>
  </si>
  <si>
    <t>- Direction: Direction of all subjected distributed elemental load (Uniform, Load 1 - Load 4) (Choose from the list)</t>
  </si>
  <si>
    <t>Shell</t>
  </si>
  <si>
    <t>- Shell: Shell name to be subjected shell to elemental load (Choose from the list)</t>
  </si>
  <si>
    <t>- Load Case: Load case of subjected shell to elemental load (Choose from the list)</t>
  </si>
  <si>
    <t>- Direction: Direction of subjected shell to elemental load (Choose from the list)</t>
  </si>
  <si>
    <t>Integration Points</t>
  </si>
  <si>
    <t>- Integration Type: Type of beam integartion (Choose from the list)</t>
  </si>
  <si>
    <t>- Integration points: Number of integration points (Input as Integer)</t>
  </si>
  <si>
    <t>- Edge 1: Element object 1 (at the start) of the shell object (Choose from the list)</t>
  </si>
  <si>
    <t>- Edge 2: Element object 2 of the shell object, determined by CW/CCW ordering (Choose from the list)</t>
  </si>
  <si>
    <t>- Edge 3: Element object 3 of the shell object, determined by CW/CCW ordering (Choose from the list)</t>
  </si>
  <si>
    <t>- Edge 4: Element object 4 of the shell object, determined by CW/CCW ordering (Choose from the list)</t>
  </si>
  <si>
    <t>Material Model Aggregator</t>
  </si>
  <si>
    <t>C1FiberShear</t>
  </si>
  <si>
    <t>ShearY</t>
  </si>
  <si>
    <t>ElasticShearY</t>
  </si>
  <si>
    <t>ElasticShearZ</t>
  </si>
  <si>
    <t>- Properties of Aggregator + Elastic: 1=EA, 2=EIz, 3=GAvy, 4=EIy, 5=GAvz, 6=GJxx</t>
  </si>
  <si>
    <t>Axial</t>
  </si>
  <si>
    <t>FlexuralZ</t>
  </si>
  <si>
    <t>FlexuralY</t>
  </si>
  <si>
    <t>ShearZ</t>
  </si>
  <si>
    <t>Torsional</t>
  </si>
  <si>
    <t>Location</t>
  </si>
  <si>
    <t>Elastic Section</t>
  </si>
  <si>
    <t>Uniaxial</t>
  </si>
  <si>
    <t>- Material: Material 1 of section (main material). If it is fiber section which is concrete, set this as material of concrete core. If it is section aggregator which refers to "P" Axial force-deformation, it will use E and G from material. Multiple or all force-deformation relationship can be used together but there is no interaction between responses (Choose from the list)</t>
  </si>
  <si>
    <t>- Material2: Material 2 of section. If it is fiber section which is concrete, set this as material of concrete cover. If it is section aggregator which refers to "Mz" Moment-curvature about section local z-axis, it will use E and G from material (Choose from the list)</t>
  </si>
  <si>
    <t>- Material3: Material 3 of section. If it is fiber section which is concrete, set this as material of reinforcement. If it is section aggregator which refers to "Vy" Shear force-deformation along section local y-axis, it will use E and G from material (Choose from the list)</t>
  </si>
  <si>
    <t>- Material4 : Material 4 of section. If it is section aggregator which refers to "My" Moment-curvature about section local y-axis, it will use E and G from material (Choose from the list)</t>
  </si>
  <si>
    <t>- Material5 : Material 5 of section. If its is section aggregator which refers to "Vz" Shear force-deformation along section local z-axis, it will use E and G from material (Choose from the list)</t>
  </si>
  <si>
    <t>- Material6 : Material 6 of section. If it is section aggregator which refers to "T" Torsion Force-Deformation, it will use E and G from material (Choose from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</si>
</sst>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
    <numFmt numFmtId="167" formatCode="0.####"/>
  </numFmts>
  <fonts count="18"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2"/>
      <color rgb="FF000000"/>
      <name val="Aptos Narrow"/>
      <family val="2"/>
      <scheme val="minor"/>
    </font>
    <font>
      <b/>
      <sz val="12"/>
      <color theme="1"/>
      <name val="Aptos Narrow"/>
      <scheme val="minor"/>
    </font>
    <font>
      <sz val="12"/>
      <color theme="1"/>
      <name val="Aptos Narrow"/>
      <scheme val="minor"/>
    </font>
  </fonts>
  <fills count="4">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44">
    <xf numFmtId="0" fontId="0" fillId="0" borderId="0" xfId="0"/>
    <xf numFmtId="0" fontId="10" fillId="0" borderId="0" xfId="0" applyFont="1" applyAlignment="1">
      <alignment horizontal="center"/>
    </xf>
    <xf numFmtId="0" fontId="10" fillId="0" borderId="0" xfId="0" applyFont="1"/>
    <xf numFmtId="2" fontId="10" fillId="0" borderId="0" xfId="0" applyNumberFormat="1"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top"/>
    </xf>
    <xf numFmtId="0" fontId="9" fillId="0" borderId="0" xfId="0" applyFont="1" applyAlignment="1">
      <alignment vertical="top"/>
    </xf>
    <xf numFmtId="0" fontId="9" fillId="0" borderId="0" xfId="0" applyFont="1" applyAlignment="1">
      <alignment vertical="top" wrapText="1"/>
    </xf>
    <xf numFmtId="49" fontId="9" fillId="0" borderId="0" xfId="0" applyNumberFormat="1" applyFont="1" applyAlignment="1">
      <alignment vertical="top"/>
    </xf>
    <xf numFmtId="0" fontId="12" fillId="2" borderId="1" xfId="0" applyFont="1" applyFill="1" applyBorder="1" applyAlignment="1">
      <alignment horizontal="center" vertical="top"/>
    </xf>
    <xf numFmtId="0" fontId="9" fillId="2" borderId="1" xfId="0" applyFont="1" applyFill="1" applyBorder="1" applyAlignment="1">
      <alignment vertical="top"/>
    </xf>
    <xf numFmtId="0" fontId="11" fillId="2" borderId="2" xfId="0" applyFont="1" applyFill="1" applyBorder="1" applyAlignment="1">
      <alignment vertical="top"/>
    </xf>
    <xf numFmtId="0" fontId="9" fillId="2" borderId="3" xfId="0" applyFont="1" applyFill="1" applyBorder="1" applyAlignment="1">
      <alignment vertical="top"/>
    </xf>
    <xf numFmtId="0" fontId="9" fillId="2" borderId="5" xfId="0" applyFont="1" applyFill="1" applyBorder="1" applyAlignment="1">
      <alignment vertical="top"/>
    </xf>
    <xf numFmtId="0" fontId="8" fillId="2" borderId="6" xfId="0" quotePrefix="1" applyFont="1" applyFill="1" applyBorder="1" applyAlignment="1">
      <alignment vertical="top"/>
    </xf>
    <xf numFmtId="0" fontId="9" fillId="2" borderId="7" xfId="0" applyFont="1" applyFill="1" applyBorder="1" applyAlignment="1">
      <alignment vertical="top"/>
    </xf>
    <xf numFmtId="0" fontId="8"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8" fillId="2" borderId="1" xfId="0" applyFont="1" applyFill="1" applyBorder="1" applyAlignment="1">
      <alignment vertical="top"/>
    </xf>
    <xf numFmtId="0" fontId="8" fillId="2" borderId="1" xfId="0" applyFont="1" applyFill="1" applyBorder="1"/>
    <xf numFmtId="49" fontId="9" fillId="0" borderId="1" xfId="0" applyNumberFormat="1" applyFont="1" applyBorder="1" applyAlignment="1" applyProtection="1">
      <alignment horizontal="center" vertical="top"/>
      <protection locked="0"/>
    </xf>
    <xf numFmtId="49" fontId="10" fillId="0" borderId="1" xfId="0" applyNumberFormat="1" applyFont="1" applyBorder="1" applyAlignment="1" applyProtection="1">
      <alignment horizontal="center"/>
      <protection locked="0"/>
    </xf>
    <xf numFmtId="0" fontId="8" fillId="2" borderId="4" xfId="0" quotePrefix="1" applyFont="1" applyFill="1" applyBorder="1" applyAlignment="1">
      <alignment vertical="top"/>
    </xf>
    <xf numFmtId="0" fontId="11" fillId="2" borderId="1" xfId="0" applyFont="1" applyFill="1" applyBorder="1" applyAlignment="1">
      <alignment horizontal="center"/>
    </xf>
    <xf numFmtId="0" fontId="12" fillId="2" borderId="1" xfId="0" applyFont="1" applyFill="1" applyBorder="1" applyAlignment="1">
      <alignment horizontal="center"/>
    </xf>
    <xf numFmtId="0" fontId="11" fillId="2" borderId="2" xfId="0" applyFont="1" applyFill="1" applyBorder="1" applyAlignment="1">
      <alignment horizontal="left"/>
    </xf>
    <xf numFmtId="0" fontId="10" fillId="0" borderId="0" xfId="0" applyFont="1" applyAlignment="1">
      <alignment horizontal="left"/>
    </xf>
    <xf numFmtId="49" fontId="9" fillId="2" borderId="8" xfId="0" applyNumberFormat="1" applyFont="1" applyFill="1" applyBorder="1" applyAlignment="1">
      <alignment vertical="top"/>
    </xf>
    <xf numFmtId="0" fontId="9" fillId="2" borderId="8" xfId="0" applyFont="1" applyFill="1" applyBorder="1" applyAlignment="1">
      <alignment vertical="top"/>
    </xf>
    <xf numFmtId="49" fontId="9" fillId="2" borderId="9" xfId="0" applyNumberFormat="1" applyFont="1" applyFill="1" applyBorder="1" applyAlignment="1">
      <alignment vertical="top"/>
    </xf>
    <xf numFmtId="0" fontId="9" fillId="2" borderId="9" xfId="0" applyFont="1" applyFill="1" applyBorder="1" applyAlignment="1">
      <alignment vertical="top"/>
    </xf>
    <xf numFmtId="0" fontId="10" fillId="2" borderId="8" xfId="0" applyFont="1" applyFill="1" applyBorder="1" applyAlignment="1">
      <alignment horizontal="center"/>
    </xf>
    <xf numFmtId="0" fontId="10" fillId="2" borderId="3" xfId="0" applyFont="1" applyFill="1" applyBorder="1"/>
    <xf numFmtId="0" fontId="10" fillId="2" borderId="0" xfId="0" applyFont="1" applyFill="1" applyAlignment="1">
      <alignment horizontal="center"/>
    </xf>
    <xf numFmtId="0" fontId="10" fillId="2" borderId="5" xfId="0" applyFont="1" applyFill="1" applyBorder="1"/>
    <xf numFmtId="0" fontId="10" fillId="2" borderId="9" xfId="0" applyFont="1" applyFill="1" applyBorder="1" applyAlignment="1">
      <alignment horizontal="center"/>
    </xf>
    <xf numFmtId="0" fontId="10" fillId="2" borderId="7" xfId="0" applyFont="1" applyFill="1" applyBorder="1"/>
    <xf numFmtId="0" fontId="10" fillId="0" borderId="0" xfId="0" applyFont="1" applyAlignment="1" applyProtection="1">
      <alignment horizontal="center"/>
      <protection locked="0"/>
    </xf>
    <xf numFmtId="2" fontId="10" fillId="2" borderId="8" xfId="0" applyNumberFormat="1" applyFont="1" applyFill="1" applyBorder="1"/>
    <xf numFmtId="0" fontId="7" fillId="2" borderId="4" xfId="0" quotePrefix="1" applyFont="1" applyFill="1" applyBorder="1" applyAlignment="1">
      <alignment horizontal="left"/>
    </xf>
    <xf numFmtId="2" fontId="10" fillId="2" borderId="9" xfId="0" applyNumberFormat="1" applyFont="1" applyFill="1" applyBorder="1"/>
    <xf numFmtId="2" fontId="10" fillId="0" borderId="0" xfId="0" applyNumberFormat="1" applyFont="1" applyProtection="1">
      <protection locked="0"/>
    </xf>
    <xf numFmtId="0" fontId="7" fillId="2" borderId="6" xfId="0" quotePrefix="1" applyFont="1" applyFill="1" applyBorder="1" applyAlignment="1">
      <alignment horizontal="left"/>
    </xf>
    <xf numFmtId="0" fontId="7" fillId="2" borderId="4" xfId="0" quotePrefix="1" applyFont="1" applyFill="1" applyBorder="1" applyAlignment="1">
      <alignment vertical="top"/>
    </xf>
    <xf numFmtId="49" fontId="9" fillId="2" borderId="0" xfId="0" applyNumberFormat="1" applyFont="1" applyFill="1" applyAlignment="1">
      <alignment vertical="top"/>
    </xf>
    <xf numFmtId="0" fontId="9" fillId="2" borderId="0" xfId="0" applyFont="1" applyFill="1" applyAlignment="1">
      <alignment vertical="top"/>
    </xf>
    <xf numFmtId="2" fontId="10" fillId="2" borderId="0" xfId="0" applyNumberFormat="1" applyFont="1" applyFill="1"/>
    <xf numFmtId="0" fontId="11" fillId="0" borderId="0" xfId="0" applyFont="1" applyAlignment="1">
      <alignment horizontal="center" vertical="top"/>
    </xf>
    <xf numFmtId="0" fontId="10" fillId="0" borderId="0" xfId="0" applyFont="1" applyAlignment="1">
      <alignment horizontal="center" vertical="top"/>
    </xf>
    <xf numFmtId="0" fontId="8" fillId="0" borderId="0" xfId="0" applyFont="1" applyAlignment="1">
      <alignment horizontal="center" vertical="top"/>
    </xf>
    <xf numFmtId="0" fontId="11" fillId="0" borderId="0" xfId="0" applyFont="1" applyAlignment="1">
      <alignment horizontal="left" vertical="top"/>
    </xf>
    <xf numFmtId="0" fontId="8" fillId="0" borderId="0" xfId="0" applyFont="1" applyAlignment="1">
      <alignment vertical="top"/>
    </xf>
    <xf numFmtId="0" fontId="7" fillId="0" borderId="0" xfId="0" applyFont="1" applyAlignment="1">
      <alignment vertical="top"/>
    </xf>
    <xf numFmtId="0" fontId="7" fillId="0" borderId="0" xfId="0" quotePrefix="1" applyFont="1" applyAlignment="1">
      <alignment vertical="top"/>
    </xf>
    <xf numFmtId="0" fontId="8" fillId="0" borderId="0" xfId="0" quotePrefix="1" applyFont="1" applyAlignment="1">
      <alignment vertical="top"/>
    </xf>
    <xf numFmtId="0" fontId="7" fillId="2" borderId="1" xfId="0" applyFont="1" applyFill="1" applyBorder="1" applyAlignment="1">
      <alignment vertical="top"/>
    </xf>
    <xf numFmtId="0" fontId="10" fillId="0" borderId="1" xfId="0" applyFont="1" applyBorder="1" applyAlignment="1" applyProtection="1">
      <alignment horizontal="center" vertical="top"/>
      <protection locked="0"/>
    </xf>
    <xf numFmtId="2" fontId="10" fillId="0" borderId="1" xfId="0" applyNumberFormat="1" applyFont="1" applyBorder="1" applyAlignment="1" applyProtection="1">
      <alignment vertical="top"/>
      <protection locked="0"/>
    </xf>
    <xf numFmtId="0" fontId="11" fillId="2" borderId="2" xfId="0" applyFont="1" applyFill="1" applyBorder="1" applyAlignment="1">
      <alignment horizontal="left" vertical="top"/>
    </xf>
    <xf numFmtId="165" fontId="13" fillId="2" borderId="8" xfId="0" applyNumberFormat="1" applyFont="1" applyFill="1" applyBorder="1" applyAlignment="1">
      <alignment vertical="top"/>
    </xf>
    <xf numFmtId="0" fontId="13" fillId="2" borderId="8" xfId="0" applyFont="1" applyFill="1" applyBorder="1" applyAlignment="1">
      <alignment vertical="top"/>
    </xf>
    <xf numFmtId="0" fontId="13" fillId="2" borderId="3" xfId="0" applyFont="1" applyFill="1" applyBorder="1" applyAlignment="1">
      <alignment vertical="top"/>
    </xf>
    <xf numFmtId="0" fontId="13" fillId="0" borderId="0" xfId="0" applyFont="1" applyAlignment="1">
      <alignment vertical="top"/>
    </xf>
    <xf numFmtId="0" fontId="13" fillId="2" borderId="5" xfId="0" applyFont="1" applyFill="1" applyBorder="1" applyAlignment="1">
      <alignment vertical="top"/>
    </xf>
    <xf numFmtId="0" fontId="8" fillId="2" borderId="4" xfId="0" quotePrefix="1" applyFont="1" applyFill="1" applyBorder="1" applyAlignment="1">
      <alignment horizontal="left" vertical="top"/>
    </xf>
    <xf numFmtId="0" fontId="8" fillId="2" borderId="6" xfId="0" quotePrefix="1" applyFont="1" applyFill="1" applyBorder="1" applyAlignment="1">
      <alignment horizontal="left" vertical="top"/>
    </xf>
    <xf numFmtId="165" fontId="13" fillId="2" borderId="9" xfId="0" applyNumberFormat="1" applyFont="1" applyFill="1" applyBorder="1" applyAlignment="1">
      <alignment vertical="top"/>
    </xf>
    <xf numFmtId="0" fontId="13" fillId="2" borderId="9" xfId="0" applyFont="1" applyFill="1" applyBorder="1" applyAlignment="1">
      <alignment vertical="top"/>
    </xf>
    <xf numFmtId="0" fontId="13" fillId="2" borderId="7" xfId="0" applyFont="1" applyFill="1" applyBorder="1" applyAlignment="1">
      <alignment vertical="top"/>
    </xf>
    <xf numFmtId="0" fontId="13" fillId="0" borderId="0" xfId="0" applyFont="1" applyAlignment="1">
      <alignment horizontal="left" vertical="top"/>
    </xf>
    <xf numFmtId="165" fontId="13" fillId="0" borderId="0" xfId="0" applyNumberFormat="1" applyFont="1" applyAlignment="1">
      <alignment vertical="top"/>
    </xf>
    <xf numFmtId="0" fontId="11" fillId="2" borderId="1" xfId="0" applyFont="1" applyFill="1" applyBorder="1" applyAlignment="1">
      <alignment horizontal="center" vertical="top"/>
    </xf>
    <xf numFmtId="0" fontId="13" fillId="0" borderId="0" xfId="0" applyFont="1" applyAlignment="1">
      <alignment horizontal="center" vertical="top"/>
    </xf>
    <xf numFmtId="165" fontId="13" fillId="0" borderId="0" xfId="0" applyNumberFormat="1" applyFont="1" applyAlignment="1" applyProtection="1">
      <alignment vertical="top"/>
      <protection locked="0"/>
    </xf>
    <xf numFmtId="0" fontId="10" fillId="2" borderId="8" xfId="0" applyFont="1" applyFill="1" applyBorder="1" applyAlignment="1">
      <alignment horizontal="center" vertical="top"/>
    </xf>
    <xf numFmtId="0" fontId="10" fillId="2" borderId="8" xfId="0" applyFont="1" applyFill="1" applyBorder="1" applyAlignment="1">
      <alignment vertical="top"/>
    </xf>
    <xf numFmtId="0" fontId="10" fillId="2" borderId="3" xfId="0" applyFont="1" applyFill="1" applyBorder="1" applyAlignment="1">
      <alignment vertical="top"/>
    </xf>
    <xf numFmtId="0" fontId="10" fillId="0" borderId="0" xfId="0" applyFont="1" applyAlignment="1">
      <alignment vertical="top"/>
    </xf>
    <xf numFmtId="0" fontId="10" fillId="2" borderId="0" xfId="0" applyFont="1" applyFill="1" applyAlignment="1">
      <alignment horizontal="center" vertical="top"/>
    </xf>
    <xf numFmtId="0" fontId="10" fillId="2" borderId="0" xfId="0" applyFont="1" applyFill="1" applyAlignment="1">
      <alignment vertical="top"/>
    </xf>
    <xf numFmtId="0" fontId="10" fillId="2" borderId="5" xfId="0" applyFont="1" applyFill="1" applyBorder="1" applyAlignment="1">
      <alignment vertical="top"/>
    </xf>
    <xf numFmtId="0" fontId="7" fillId="2" borderId="4" xfId="0" quotePrefix="1" applyFont="1" applyFill="1" applyBorder="1" applyAlignment="1">
      <alignment horizontal="left" vertical="top"/>
    </xf>
    <xf numFmtId="0" fontId="12" fillId="2" borderId="4" xfId="0" applyFont="1" applyFill="1" applyBorder="1" applyAlignment="1">
      <alignment horizontal="left" vertical="top"/>
    </xf>
    <xf numFmtId="0" fontId="11" fillId="2" borderId="6" xfId="0" quotePrefix="1" applyFont="1" applyFill="1" applyBorder="1" applyAlignment="1">
      <alignment horizontal="left" vertical="top"/>
    </xf>
    <xf numFmtId="0" fontId="10" fillId="2" borderId="9" xfId="0" applyFont="1" applyFill="1" applyBorder="1" applyAlignment="1">
      <alignment horizontal="center" vertical="top"/>
    </xf>
    <xf numFmtId="2" fontId="10" fillId="2" borderId="9" xfId="0" applyNumberFormat="1" applyFont="1" applyFill="1" applyBorder="1" applyAlignment="1">
      <alignment vertical="top"/>
    </xf>
    <xf numFmtId="2" fontId="10" fillId="0" borderId="0" xfId="0" applyNumberFormat="1" applyFont="1" applyAlignment="1">
      <alignment vertical="top"/>
    </xf>
    <xf numFmtId="0" fontId="10" fillId="0" borderId="0" xfId="0" applyFont="1" applyAlignment="1">
      <alignment horizontal="left" vertical="top"/>
    </xf>
    <xf numFmtId="2" fontId="11" fillId="2" borderId="1" xfId="0" applyNumberFormat="1" applyFont="1" applyFill="1" applyBorder="1" applyAlignment="1">
      <alignment horizontal="center" vertical="top"/>
    </xf>
    <xf numFmtId="0" fontId="10" fillId="0" borderId="0" xfId="0" applyFont="1" applyAlignment="1" applyProtection="1">
      <alignment horizontal="center" vertical="top"/>
      <protection locked="0"/>
    </xf>
    <xf numFmtId="0" fontId="12" fillId="2" borderId="2" xfId="0" applyFont="1" applyFill="1" applyBorder="1" applyAlignment="1">
      <alignment horizontal="left" vertical="top"/>
    </xf>
    <xf numFmtId="0" fontId="10" fillId="2" borderId="9" xfId="0" applyFont="1" applyFill="1" applyBorder="1" applyAlignment="1">
      <alignment vertical="top"/>
    </xf>
    <xf numFmtId="0" fontId="10" fillId="2" borderId="7" xfId="0" applyFont="1" applyFill="1" applyBorder="1" applyAlignment="1">
      <alignment vertical="top"/>
    </xf>
    <xf numFmtId="2" fontId="10" fillId="2" borderId="8" xfId="0" applyNumberFormat="1" applyFont="1" applyFill="1" applyBorder="1" applyAlignment="1">
      <alignment vertical="top"/>
    </xf>
    <xf numFmtId="2" fontId="10" fillId="2" borderId="0" xfId="0" applyNumberFormat="1" applyFont="1" applyFill="1" applyAlignment="1">
      <alignment vertical="top"/>
    </xf>
    <xf numFmtId="2" fontId="7" fillId="2" borderId="4" xfId="0" quotePrefix="1" applyNumberFormat="1" applyFont="1" applyFill="1" applyBorder="1" applyAlignment="1">
      <alignment vertical="top"/>
    </xf>
    <xf numFmtId="2" fontId="7" fillId="2" borderId="6" xfId="0" quotePrefix="1" applyNumberFormat="1" applyFont="1" applyFill="1" applyBorder="1" applyAlignment="1">
      <alignment vertical="top"/>
    </xf>
    <xf numFmtId="0" fontId="7" fillId="2" borderId="5" xfId="0" quotePrefix="1" applyFont="1" applyFill="1" applyBorder="1" applyAlignment="1">
      <alignment vertical="top"/>
    </xf>
    <xf numFmtId="0" fontId="10" fillId="0" borderId="0" xfId="0" applyFont="1" applyAlignment="1">
      <alignment horizontal="center" vertical="top" wrapText="1"/>
    </xf>
    <xf numFmtId="0" fontId="7" fillId="0" borderId="0" xfId="0" applyFont="1" applyAlignment="1">
      <alignment horizontal="center" vertical="center" wrapText="1"/>
    </xf>
    <xf numFmtId="0" fontId="10"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wrapText="1"/>
    </xf>
    <xf numFmtId="0" fontId="7" fillId="0" borderId="0" xfId="0" applyFont="1" applyAlignment="1" applyProtection="1">
      <alignment horizontal="center" vertical="top"/>
      <protection locked="0"/>
    </xf>
    <xf numFmtId="0" fontId="7" fillId="2" borderId="6" xfId="0" quotePrefix="1" applyFont="1" applyFill="1" applyBorder="1" applyAlignment="1">
      <alignment vertical="top"/>
    </xf>
    <xf numFmtId="0" fontId="13" fillId="0" borderId="0" xfId="0" applyFont="1" applyAlignment="1" applyProtection="1">
      <alignment horizontal="center" vertical="top"/>
      <protection locked="0"/>
    </xf>
    <xf numFmtId="0" fontId="10" fillId="2" borderId="0" xfId="0" applyFont="1" applyFill="1"/>
    <xf numFmtId="0" fontId="10" fillId="2" borderId="8" xfId="0" applyFont="1" applyFill="1" applyBorder="1"/>
    <xf numFmtId="0" fontId="10" fillId="2" borderId="9" xfId="0" applyFont="1" applyFill="1" applyBorder="1"/>
    <xf numFmtId="0" fontId="7" fillId="2" borderId="5" xfId="0" quotePrefix="1" applyFont="1" applyFill="1" applyBorder="1" applyAlignment="1">
      <alignment vertical="top" wrapText="1"/>
    </xf>
    <xf numFmtId="165" fontId="13" fillId="2" borderId="0" xfId="0" applyNumberFormat="1" applyFont="1" applyFill="1" applyAlignment="1">
      <alignment vertical="top"/>
    </xf>
    <xf numFmtId="0" fontId="13" fillId="2" borderId="0" xfId="0" applyFont="1" applyFill="1" applyAlignment="1">
      <alignment vertical="top"/>
    </xf>
    <xf numFmtId="0" fontId="6" fillId="2" borderId="4" xfId="0" quotePrefix="1" applyFont="1" applyFill="1" applyBorder="1" applyAlignment="1">
      <alignment horizontal="left" vertical="top"/>
    </xf>
    <xf numFmtId="0" fontId="10" fillId="2" borderId="3" xfId="0" applyFont="1" applyFill="1" applyBorder="1" applyAlignment="1">
      <alignment horizontal="center" vertical="top"/>
    </xf>
    <xf numFmtId="0" fontId="10" fillId="2" borderId="5" xfId="0" applyFont="1" applyFill="1" applyBorder="1" applyAlignment="1">
      <alignment horizontal="center" vertical="top"/>
    </xf>
    <xf numFmtId="2" fontId="10" fillId="2" borderId="7" xfId="0" applyNumberFormat="1" applyFont="1" applyFill="1" applyBorder="1" applyAlignment="1">
      <alignment horizontal="center" vertical="top"/>
    </xf>
    <xf numFmtId="0" fontId="6" fillId="2" borderId="4" xfId="0" quotePrefix="1" applyFont="1" applyFill="1" applyBorder="1" applyAlignment="1">
      <alignment horizontal="left"/>
    </xf>
    <xf numFmtId="0" fontId="6" fillId="2" borderId="6" xfId="0" quotePrefix="1" applyFont="1" applyFill="1" applyBorder="1" applyAlignment="1">
      <alignment horizontal="left"/>
    </xf>
    <xf numFmtId="2" fontId="10" fillId="2" borderId="9" xfId="0" applyNumberFormat="1" applyFont="1" applyFill="1" applyBorder="1" applyAlignment="1">
      <alignment horizontal="center" vertical="top"/>
    </xf>
    <xf numFmtId="0" fontId="11" fillId="0" borderId="4" xfId="0" applyFont="1" applyBorder="1" applyAlignment="1">
      <alignment horizontal="center" vertical="top" wrapText="1"/>
    </xf>
    <xf numFmtId="0" fontId="6" fillId="0" borderId="0" xfId="0" applyFont="1" applyAlignment="1">
      <alignment horizontal="center" vertical="center"/>
    </xf>
    <xf numFmtId="0" fontId="10" fillId="2" borderId="0" xfId="0" applyFont="1" applyFill="1" applyAlignment="1">
      <alignment horizontal="center" vertical="center"/>
    </xf>
    <xf numFmtId="0" fontId="11" fillId="2" borderId="1" xfId="0" applyFont="1" applyFill="1" applyBorder="1" applyAlignment="1">
      <alignment horizontal="center" vertical="center" wrapText="1"/>
    </xf>
    <xf numFmtId="0" fontId="6" fillId="0" borderId="0" xfId="0" applyFont="1" applyAlignment="1">
      <alignment horizontal="center" vertical="top"/>
    </xf>
    <xf numFmtId="0" fontId="6" fillId="0" borderId="0" xfId="0" applyFont="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vertical="center"/>
    </xf>
    <xf numFmtId="0" fontId="6" fillId="2" borderId="8" xfId="0" applyFont="1" applyFill="1" applyBorder="1" applyAlignment="1">
      <alignment vertical="center"/>
    </xf>
    <xf numFmtId="0" fontId="6" fillId="2" borderId="3" xfId="0" applyFont="1" applyFill="1" applyBorder="1" applyAlignment="1">
      <alignment vertical="center"/>
    </xf>
    <xf numFmtId="0" fontId="6" fillId="2" borderId="4" xfId="0" quotePrefix="1" applyFont="1" applyFill="1" applyBorder="1" applyAlignment="1">
      <alignment vertical="center"/>
    </xf>
    <xf numFmtId="0" fontId="6" fillId="2" borderId="0" xfId="0" applyFont="1" applyFill="1" applyAlignment="1">
      <alignment vertical="center"/>
    </xf>
    <xf numFmtId="0" fontId="6" fillId="2" borderId="5" xfId="0" applyFont="1" applyFill="1" applyBorder="1" applyAlignment="1">
      <alignment vertical="center"/>
    </xf>
    <xf numFmtId="0" fontId="6" fillId="2" borderId="6" xfId="0" quotePrefix="1" applyFont="1" applyFill="1" applyBorder="1" applyAlignment="1">
      <alignment vertical="center"/>
    </xf>
    <xf numFmtId="0" fontId="6" fillId="2" borderId="9" xfId="0" applyFont="1" applyFill="1" applyBorder="1" applyAlignment="1">
      <alignment vertical="center"/>
    </xf>
    <xf numFmtId="0" fontId="6" fillId="2" borderId="7" xfId="0" applyFont="1" applyFill="1" applyBorder="1" applyAlignment="1">
      <alignment vertical="center"/>
    </xf>
    <xf numFmtId="49" fontId="6" fillId="0" borderId="0" xfId="0" applyNumberFormat="1" applyFont="1" applyAlignment="1">
      <alignment horizontal="center" vertical="center"/>
    </xf>
    <xf numFmtId="2" fontId="6" fillId="0" borderId="0" xfId="0" applyNumberFormat="1" applyFont="1" applyAlignment="1">
      <alignment horizontal="center" vertical="center"/>
    </xf>
    <xf numFmtId="0" fontId="6" fillId="0" borderId="1" xfId="0" applyFont="1" applyBorder="1" applyAlignment="1" applyProtection="1">
      <alignment horizontal="left" vertical="top"/>
      <protection locked="0"/>
    </xf>
    <xf numFmtId="0" fontId="15" fillId="3" borderId="4" xfId="0" applyFont="1" applyFill="1" applyBorder="1" applyAlignment="1">
      <alignment horizontal="left" vertical="top"/>
    </xf>
    <xf numFmtId="0" fontId="5" fillId="0" borderId="0" xfId="0" applyFont="1" applyAlignment="1">
      <alignment horizontal="center" vertical="center"/>
    </xf>
    <xf numFmtId="164" fontId="10" fillId="2" borderId="8" xfId="0" applyNumberFormat="1" applyFont="1" applyFill="1" applyBorder="1" applyAlignment="1">
      <alignment vertical="top"/>
    </xf>
    <xf numFmtId="164" fontId="10" fillId="2" borderId="3" xfId="0" applyNumberFormat="1" applyFont="1" applyFill="1" applyBorder="1" applyAlignment="1">
      <alignment vertical="top"/>
    </xf>
    <xf numFmtId="164" fontId="10" fillId="2" borderId="0" xfId="0" applyNumberFormat="1" applyFont="1" applyFill="1" applyAlignment="1">
      <alignment vertical="top"/>
    </xf>
    <xf numFmtId="164" fontId="10" fillId="2" borderId="5" xfId="0" applyNumberFormat="1" applyFont="1" applyFill="1" applyBorder="1" applyAlignment="1">
      <alignment vertical="top"/>
    </xf>
    <xf numFmtId="164" fontId="10" fillId="2" borderId="9" xfId="0" applyNumberFormat="1" applyFont="1" applyFill="1" applyBorder="1" applyAlignment="1">
      <alignment vertical="top"/>
    </xf>
    <xf numFmtId="164" fontId="10" fillId="2" borderId="7" xfId="0" applyNumberFormat="1" applyFont="1" applyFill="1" applyBorder="1" applyAlignment="1">
      <alignment vertical="top"/>
    </xf>
    <xf numFmtId="164" fontId="10" fillId="0" borderId="0" xfId="0" applyNumberFormat="1" applyFont="1" applyAlignment="1">
      <alignment vertical="top"/>
    </xf>
    <xf numFmtId="164" fontId="11" fillId="2" borderId="1" xfId="0" applyNumberFormat="1" applyFont="1" applyFill="1" applyBorder="1" applyAlignment="1">
      <alignment horizontal="center" vertical="top"/>
    </xf>
    <xf numFmtId="166" fontId="10" fillId="0" borderId="0" xfId="0" applyNumberFormat="1" applyFont="1" applyAlignment="1" applyProtection="1">
      <alignment vertical="top"/>
      <protection locked="0"/>
    </xf>
    <xf numFmtId="2" fontId="5" fillId="2" borderId="4" xfId="0" quotePrefix="1" applyNumberFormat="1" applyFont="1" applyFill="1" applyBorder="1" applyAlignment="1">
      <alignment vertical="top"/>
    </xf>
    <xf numFmtId="0" fontId="16" fillId="2" borderId="4" xfId="0" quotePrefix="1" applyFont="1" applyFill="1" applyBorder="1" applyAlignment="1">
      <alignment horizontal="left" vertical="top"/>
    </xf>
    <xf numFmtId="0" fontId="10" fillId="2" borderId="0" xfId="0" applyFont="1" applyFill="1" applyAlignment="1" applyProtection="1">
      <alignment horizontal="center" vertical="top"/>
      <protection locked="0"/>
    </xf>
    <xf numFmtId="0" fontId="16" fillId="2" borderId="6" xfId="0" quotePrefix="1" applyFont="1" applyFill="1" applyBorder="1" applyAlignment="1">
      <alignment horizontal="left" vertical="top"/>
    </xf>
    <xf numFmtId="166" fontId="10" fillId="2" borderId="9" xfId="0" applyNumberFormat="1" applyFont="1" applyFill="1" applyBorder="1" applyAlignment="1" applyProtection="1">
      <alignment vertical="top"/>
      <protection locked="0"/>
    </xf>
    <xf numFmtId="164" fontId="10" fillId="2" borderId="2" xfId="0" applyNumberFormat="1" applyFont="1" applyFill="1" applyBorder="1" applyAlignment="1">
      <alignment vertical="top"/>
    </xf>
    <xf numFmtId="164" fontId="10" fillId="2" borderId="4" xfId="0" applyNumberFormat="1" applyFont="1" applyFill="1" applyBorder="1" applyAlignment="1">
      <alignment vertical="top"/>
    </xf>
    <xf numFmtId="164" fontId="5" fillId="2" borderId="4" xfId="0" quotePrefix="1" applyNumberFormat="1" applyFont="1" applyFill="1" applyBorder="1" applyAlignment="1">
      <alignment vertical="top"/>
    </xf>
    <xf numFmtId="164" fontId="17" fillId="2" borderId="4" xfId="0" quotePrefix="1" applyNumberFormat="1" applyFont="1" applyFill="1" applyBorder="1" applyAlignment="1">
      <alignment vertical="top"/>
    </xf>
    <xf numFmtId="0" fontId="5" fillId="0" borderId="0" xfId="0" applyFont="1" applyAlignment="1" applyProtection="1">
      <alignment horizontal="center" vertical="top"/>
      <protection locked="0"/>
    </xf>
    <xf numFmtId="164" fontId="10" fillId="2" borderId="6" xfId="0" applyNumberFormat="1" applyFont="1" applyFill="1" applyBorder="1" applyAlignment="1">
      <alignment vertical="top"/>
    </xf>
    <xf numFmtId="164" fontId="11" fillId="0" borderId="4" xfId="0" applyNumberFormat="1" applyFont="1" applyBorder="1" applyAlignment="1">
      <alignment horizontal="center" vertical="top"/>
    </xf>
    <xf numFmtId="164" fontId="5" fillId="2" borderId="0" xfId="0" quotePrefix="1" applyNumberFormat="1" applyFont="1" applyFill="1" applyAlignment="1">
      <alignment vertical="top"/>
    </xf>
    <xf numFmtId="0" fontId="7" fillId="2" borderId="0" xfId="0" quotePrefix="1" applyFont="1" applyFill="1" applyAlignment="1">
      <alignment vertical="top" wrapText="1"/>
    </xf>
    <xf numFmtId="0" fontId="7" fillId="2" borderId="0" xfId="0" quotePrefix="1" applyFont="1" applyFill="1" applyAlignment="1">
      <alignment vertical="top"/>
    </xf>
    <xf numFmtId="0" fontId="4" fillId="0" borderId="0" xfId="0" applyFont="1" applyAlignment="1">
      <alignment horizontal="center" vertical="center"/>
    </xf>
    <xf numFmtId="0" fontId="4" fillId="2" borderId="0" xfId="0" quotePrefix="1" applyFont="1" applyFill="1" applyAlignment="1" applyProtection="1">
      <alignment horizontal="left" vertical="top"/>
      <protection locked="0"/>
    </xf>
    <xf numFmtId="167" fontId="10" fillId="0" borderId="8" xfId="0" applyNumberFormat="1" applyFont="1" applyBorder="1" applyAlignment="1" applyProtection="1">
      <alignment vertical="top"/>
      <protection locked="0"/>
    </xf>
    <xf numFmtId="167" fontId="10" fillId="0" borderId="0" xfId="0" applyNumberFormat="1" applyFont="1" applyAlignment="1" applyProtection="1">
      <alignment vertical="top"/>
      <protection locked="0"/>
    </xf>
    <xf numFmtId="166" fontId="10" fillId="2" borderId="0" xfId="0" applyNumberFormat="1" applyFont="1" applyFill="1" applyAlignment="1" applyProtection="1">
      <alignment vertical="top"/>
      <protection locked="0"/>
    </xf>
    <xf numFmtId="0" fontId="5" fillId="0" borderId="0" xfId="0" quotePrefix="1" applyFont="1" applyAlignment="1">
      <alignment vertical="top" wrapText="1"/>
    </xf>
    <xf numFmtId="164" fontId="5" fillId="0" borderId="0" xfId="0" quotePrefix="1" applyNumberFormat="1" applyFont="1" applyAlignment="1">
      <alignment vertical="top" wrapText="1"/>
    </xf>
    <xf numFmtId="164" fontId="4" fillId="0" borderId="0" xfId="0" quotePrefix="1" applyNumberFormat="1" applyFont="1" applyAlignment="1">
      <alignment vertical="top" wrapText="1"/>
    </xf>
    <xf numFmtId="164" fontId="5" fillId="0" borderId="0" xfId="0" quotePrefix="1" applyNumberFormat="1" applyFont="1" applyAlignment="1">
      <alignment vertical="top"/>
    </xf>
    <xf numFmtId="0" fontId="4" fillId="2" borderId="4" xfId="0" quotePrefix="1" applyFont="1" applyFill="1" applyBorder="1" applyAlignment="1">
      <alignment horizontal="left" vertical="center"/>
    </xf>
    <xf numFmtId="0" fontId="11" fillId="2" borderId="2" xfId="0" applyFont="1" applyFill="1" applyBorder="1" applyAlignment="1">
      <alignment horizontal="left" vertical="center"/>
    </xf>
    <xf numFmtId="0" fontId="10" fillId="2" borderId="8" xfId="0" applyFont="1" applyFill="1" applyBorder="1" applyAlignment="1">
      <alignment horizontal="center" vertical="center"/>
    </xf>
    <xf numFmtId="0" fontId="10" fillId="2" borderId="2" xfId="0" applyFont="1" applyFill="1" applyBorder="1" applyAlignment="1">
      <alignment horizontal="center" vertical="center"/>
    </xf>
    <xf numFmtId="2" fontId="10" fillId="2" borderId="8" xfId="0" applyNumberFormat="1" applyFont="1" applyFill="1" applyBorder="1" applyAlignment="1">
      <alignment vertical="center"/>
    </xf>
    <xf numFmtId="2" fontId="10" fillId="2" borderId="3" xfId="0" applyNumberFormat="1" applyFont="1" applyFill="1" applyBorder="1" applyAlignment="1">
      <alignment vertical="center"/>
    </xf>
    <xf numFmtId="0" fontId="10" fillId="0" borderId="0" xfId="0" applyFont="1" applyAlignment="1">
      <alignment vertical="center"/>
    </xf>
    <xf numFmtId="0" fontId="7" fillId="2" borderId="4" xfId="0" quotePrefix="1" applyFont="1" applyFill="1" applyBorder="1" applyAlignment="1">
      <alignment horizontal="left" vertical="center"/>
    </xf>
    <xf numFmtId="2" fontId="10" fillId="2" borderId="5" xfId="0" applyNumberFormat="1" applyFont="1" applyFill="1" applyBorder="1" applyAlignment="1">
      <alignment vertical="center"/>
    </xf>
    <xf numFmtId="0" fontId="6" fillId="2" borderId="4" xfId="0" quotePrefix="1" applyFont="1" applyFill="1" applyBorder="1" applyAlignment="1">
      <alignment horizontal="left" vertical="center"/>
    </xf>
    <xf numFmtId="0" fontId="12" fillId="2" borderId="4" xfId="0" applyFont="1" applyFill="1" applyBorder="1" applyAlignment="1">
      <alignment horizontal="left" vertical="center"/>
    </xf>
    <xf numFmtId="0" fontId="11" fillId="2" borderId="6" xfId="0" quotePrefix="1" applyFont="1" applyFill="1" applyBorder="1" applyAlignment="1">
      <alignment horizontal="left" vertical="center"/>
    </xf>
    <xf numFmtId="0" fontId="10" fillId="2" borderId="9" xfId="0" applyFont="1" applyFill="1" applyBorder="1" applyAlignment="1">
      <alignment horizontal="center" vertical="center"/>
    </xf>
    <xf numFmtId="2" fontId="10" fillId="2" borderId="9" xfId="0" applyNumberFormat="1" applyFont="1" applyFill="1" applyBorder="1" applyAlignment="1">
      <alignment vertical="center"/>
    </xf>
    <xf numFmtId="2" fontId="10" fillId="2" borderId="7" xfId="0" applyNumberFormat="1" applyFont="1" applyFill="1" applyBorder="1" applyAlignment="1">
      <alignment vertical="center"/>
    </xf>
    <xf numFmtId="0" fontId="10" fillId="0" borderId="0" xfId="0" applyFont="1" applyAlignment="1">
      <alignment horizontal="left" vertical="center"/>
    </xf>
    <xf numFmtId="2" fontId="10" fillId="0" borderId="0" xfId="0" applyNumberFormat="1" applyFont="1" applyAlignment="1">
      <alignment vertical="center"/>
    </xf>
    <xf numFmtId="0" fontId="11" fillId="0" borderId="0" xfId="0" applyFont="1" applyAlignment="1">
      <alignment horizontal="center" vertical="center"/>
    </xf>
    <xf numFmtId="0" fontId="10" fillId="0" borderId="0" xfId="0" applyFont="1" applyAlignment="1" applyProtection="1">
      <alignment horizontal="center" vertical="center"/>
      <protection locked="0"/>
    </xf>
    <xf numFmtId="167" fontId="10" fillId="0" borderId="0" xfId="0" applyNumberFormat="1" applyFont="1" applyAlignment="1" applyProtection="1">
      <alignment vertical="center"/>
      <protection locked="0"/>
    </xf>
    <xf numFmtId="167" fontId="10" fillId="0" borderId="0" xfId="0" applyNumberFormat="1" applyFont="1" applyAlignment="1">
      <alignment vertical="center"/>
    </xf>
    <xf numFmtId="1" fontId="10" fillId="0" borderId="0" xfId="0" applyNumberFormat="1" applyFont="1" applyAlignment="1">
      <alignment vertical="center"/>
    </xf>
    <xf numFmtId="0" fontId="4" fillId="0" borderId="0" xfId="0" applyFont="1" applyAlignment="1" applyProtection="1">
      <alignment horizontal="center" vertical="center"/>
      <protection locked="0"/>
    </xf>
    <xf numFmtId="0" fontId="10" fillId="2" borderId="8" xfId="0" applyFont="1" applyFill="1" applyBorder="1" applyAlignment="1">
      <alignment vertical="center"/>
    </xf>
    <xf numFmtId="0" fontId="10" fillId="2" borderId="3" xfId="0" applyFont="1" applyFill="1" applyBorder="1" applyAlignment="1">
      <alignment vertical="center"/>
    </xf>
    <xf numFmtId="0" fontId="10" fillId="2" borderId="5" xfId="0" applyFont="1" applyFill="1" applyBorder="1" applyAlignment="1">
      <alignment vertical="center"/>
    </xf>
    <xf numFmtId="0" fontId="10" fillId="2" borderId="9" xfId="0" applyFont="1" applyFill="1" applyBorder="1" applyAlignment="1">
      <alignment vertical="center"/>
    </xf>
    <xf numFmtId="0" fontId="10" fillId="2" borderId="7" xfId="0" applyFont="1" applyFill="1" applyBorder="1" applyAlignment="1">
      <alignment vertical="center"/>
    </xf>
    <xf numFmtId="0" fontId="3" fillId="2" borderId="4" xfId="0" quotePrefix="1" applyFont="1" applyFill="1" applyBorder="1" applyAlignment="1">
      <alignment horizontal="left" vertical="center"/>
    </xf>
    <xf numFmtId="0" fontId="3" fillId="2" borderId="0" xfId="0" quotePrefix="1" applyFont="1" applyFill="1" applyAlignment="1">
      <alignment vertical="center" wrapText="1"/>
    </xf>
    <xf numFmtId="0" fontId="3" fillId="2" borderId="4" xfId="0" quotePrefix="1" applyFont="1" applyFill="1" applyBorder="1" applyAlignment="1">
      <alignment vertical="center"/>
    </xf>
    <xf numFmtId="0" fontId="3" fillId="2" borderId="0" xfId="0" quotePrefix="1" applyFont="1" applyFill="1" applyAlignment="1">
      <alignment vertical="center"/>
    </xf>
    <xf numFmtId="0" fontId="6" fillId="2" borderId="0" xfId="0" quotePrefix="1" applyFont="1" applyFill="1" applyAlignment="1">
      <alignment horizontal="left" vertical="center"/>
    </xf>
    <xf numFmtId="0" fontId="7" fillId="2" borderId="0" xfId="0" quotePrefix="1" applyFont="1" applyFill="1" applyAlignment="1">
      <alignment horizontal="left" vertical="center"/>
    </xf>
    <xf numFmtId="0" fontId="4" fillId="2" borderId="0" xfId="0" quotePrefix="1" applyFont="1" applyFill="1" applyAlignment="1">
      <alignment horizontal="left" vertical="center"/>
    </xf>
    <xf numFmtId="2" fontId="10" fillId="2" borderId="0" xfId="0" applyNumberFormat="1" applyFont="1" applyFill="1" applyAlignment="1">
      <alignment vertical="center"/>
    </xf>
    <xf numFmtId="0" fontId="3" fillId="2" borderId="0" xfId="0" quotePrefix="1" applyFont="1" applyFill="1" applyAlignment="1">
      <alignment horizontal="left" vertical="center"/>
    </xf>
    <xf numFmtId="0" fontId="10" fillId="2" borderId="0" xfId="0" applyFont="1" applyFill="1" applyAlignment="1">
      <alignment vertical="center"/>
    </xf>
    <xf numFmtId="0" fontId="7" fillId="2" borderId="9" xfId="0" quotePrefix="1" applyFont="1" applyFill="1" applyBorder="1" applyAlignment="1">
      <alignment horizontal="left" vertical="center"/>
    </xf>
    <xf numFmtId="0" fontId="3" fillId="0" borderId="0" xfId="0" applyFont="1" applyAlignment="1">
      <alignment horizontal="center" vertical="center"/>
    </xf>
    <xf numFmtId="0" fontId="7" fillId="2" borderId="6" xfId="0" quotePrefix="1" applyFont="1" applyFill="1" applyBorder="1" applyAlignment="1">
      <alignment horizontal="left" vertical="center"/>
    </xf>
    <xf numFmtId="0" fontId="3" fillId="2" borderId="5" xfId="0" quotePrefix="1" applyFont="1" applyFill="1" applyBorder="1" applyAlignment="1">
      <alignment horizontal="left" vertical="center"/>
    </xf>
    <xf numFmtId="0" fontId="3" fillId="2" borderId="4" xfId="0" quotePrefix="1" applyFont="1" applyFill="1" applyBorder="1" applyAlignment="1">
      <alignment horizontal="left" vertical="top"/>
    </xf>
    <xf numFmtId="0" fontId="3" fillId="2" borderId="4" xfId="0" quotePrefix="1" applyFont="1" applyFill="1" applyBorder="1" applyAlignment="1">
      <alignment horizontal="left"/>
    </xf>
    <xf numFmtId="0" fontId="3" fillId="2" borderId="6" xfId="0" quotePrefix="1" applyFont="1" applyFill="1" applyBorder="1" applyAlignment="1">
      <alignment horizontal="left" vertical="top"/>
    </xf>
    <xf numFmtId="0" fontId="3" fillId="2" borderId="0" xfId="0" quotePrefix="1" applyFont="1" applyFill="1" applyAlignment="1">
      <alignment horizontal="left" vertical="center" wrapText="1"/>
    </xf>
    <xf numFmtId="0" fontId="2" fillId="0" borderId="0" xfId="0" applyFont="1" applyAlignment="1" applyProtection="1">
      <alignment horizontal="center" vertical="top"/>
      <protection locked="0"/>
    </xf>
    <xf numFmtId="0" fontId="2" fillId="2" borderId="4" xfId="0" quotePrefix="1" applyFont="1" applyFill="1" applyBorder="1" applyAlignment="1">
      <alignment horizontal="left" vertical="center"/>
    </xf>
    <xf numFmtId="0" fontId="2" fillId="2" borderId="4" xfId="0" quotePrefix="1" applyFont="1" applyFill="1" applyBorder="1" applyAlignment="1">
      <alignment horizontal="left" vertical="top"/>
    </xf>
    <xf numFmtId="0" fontId="2" fillId="0" borderId="0" xfId="0" applyFont="1" applyAlignment="1">
      <alignment horizontal="center" vertical="center"/>
    </xf>
    <xf numFmtId="0" fontId="2" fillId="0" borderId="0" xfId="0" applyFont="1" applyAlignment="1" applyProtection="1">
      <alignment horizontal="center" vertical="center"/>
      <protection locked="0"/>
    </xf>
    <xf numFmtId="164" fontId="4" fillId="2" borderId="0" xfId="0" quotePrefix="1" applyNumberFormat="1" applyFont="1" applyFill="1" applyAlignment="1">
      <alignment vertical="top"/>
    </xf>
    <xf numFmtId="164" fontId="4" fillId="2" borderId="5" xfId="0" quotePrefix="1" applyNumberFormat="1" applyFont="1" applyFill="1" applyBorder="1" applyAlignment="1">
      <alignment vertical="top"/>
    </xf>
    <xf numFmtId="164" fontId="2" fillId="2" borderId="4" xfId="0" quotePrefix="1" applyNumberFormat="1" applyFont="1" applyFill="1" applyBorder="1" applyAlignment="1">
      <alignment vertical="top"/>
    </xf>
    <xf numFmtId="164" fontId="3" fillId="2" borderId="0" xfId="0" quotePrefix="1" applyNumberFormat="1" applyFont="1" applyFill="1" applyAlignment="1">
      <alignment vertical="top"/>
    </xf>
    <xf numFmtId="164" fontId="3" fillId="2" borderId="5" xfId="0" quotePrefix="1" applyNumberFormat="1" applyFont="1" applyFill="1" applyBorder="1" applyAlignment="1">
      <alignment vertical="top"/>
    </xf>
    <xf numFmtId="0" fontId="3" fillId="2" borderId="4" xfId="0" quotePrefix="1" applyFont="1" applyFill="1" applyBorder="1" applyAlignment="1">
      <alignment horizontal="left" vertical="center" wrapText="1"/>
    </xf>
    <xf numFmtId="0" fontId="3" fillId="2" borderId="0" xfId="0" quotePrefix="1" applyFont="1" applyFill="1" applyAlignment="1">
      <alignment horizontal="left" vertical="center" wrapText="1"/>
    </xf>
    <xf numFmtId="164" fontId="2" fillId="2" borderId="4" xfId="0" quotePrefix="1" applyNumberFormat="1" applyFont="1" applyFill="1" applyBorder="1" applyAlignment="1">
      <alignment horizontal="left" vertical="top" wrapText="1"/>
    </xf>
    <xf numFmtId="164" fontId="2" fillId="2" borderId="0" xfId="0" quotePrefix="1" applyNumberFormat="1" applyFont="1" applyFill="1" applyAlignment="1">
      <alignment horizontal="left" vertical="top" wrapText="1"/>
    </xf>
    <xf numFmtId="164" fontId="2" fillId="2" borderId="5" xfId="0" quotePrefix="1" applyNumberFormat="1" applyFont="1" applyFill="1" applyBorder="1" applyAlignment="1">
      <alignment horizontal="left" vertical="top" wrapText="1"/>
    </xf>
    <xf numFmtId="164" fontId="4" fillId="2" borderId="4" xfId="0" quotePrefix="1" applyNumberFormat="1" applyFont="1" applyFill="1" applyBorder="1" applyAlignment="1">
      <alignment horizontal="left" vertical="top" wrapText="1"/>
    </xf>
    <xf numFmtId="164" fontId="4" fillId="2" borderId="0" xfId="0" quotePrefix="1" applyNumberFormat="1" applyFont="1" applyFill="1" applyAlignment="1">
      <alignment horizontal="left" vertical="top" wrapText="1"/>
    </xf>
    <xf numFmtId="164" fontId="4" fillId="2" borderId="5" xfId="0" quotePrefix="1" applyNumberFormat="1" applyFont="1" applyFill="1" applyBorder="1" applyAlignment="1">
      <alignment horizontal="left" vertical="top" wrapText="1"/>
    </xf>
    <xf numFmtId="164" fontId="3" fillId="2" borderId="4" xfId="0" quotePrefix="1" applyNumberFormat="1" applyFont="1" applyFill="1" applyBorder="1" applyAlignment="1">
      <alignment horizontal="left" vertical="top" wrapText="1"/>
    </xf>
    <xf numFmtId="164" fontId="3" fillId="2" borderId="0" xfId="0" quotePrefix="1" applyNumberFormat="1" applyFont="1" applyFill="1" applyAlignment="1">
      <alignment horizontal="left" vertical="top" wrapText="1"/>
    </xf>
    <xf numFmtId="164" fontId="3" fillId="2" borderId="5" xfId="0" quotePrefix="1" applyNumberFormat="1" applyFont="1" applyFill="1" applyBorder="1" applyAlignment="1">
      <alignment horizontal="left" vertical="top" wrapText="1"/>
    </xf>
    <xf numFmtId="0" fontId="1" fillId="0" borderId="0" xfId="0" applyFont="1" applyAlignment="1" applyProtection="1">
      <alignment horizontal="center" vertical="center"/>
      <protection locked="0"/>
    </xf>
    <xf numFmtId="0" fontId="1" fillId="0" borderId="0" xfId="0" applyFont="1" applyAlignment="1">
      <alignment horizontal="center" vertical="center"/>
    </xf>
    <xf numFmtId="0" fontId="1" fillId="2" borderId="4" xfId="0" quotePrefix="1" applyFont="1" applyFill="1" applyBorder="1" applyAlignment="1">
      <alignment horizontal="left" vertical="center" wrapText="1"/>
    </xf>
  </cellXfs>
  <cellStyles count="1">
    <cellStyle name="Normal" xfId="0" builtinId="0"/>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C0006"/>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CCE7-B410-FF47-BADF-81BBEEEAE8A4}">
  <sheetPr codeName="Sheet21"/>
  <dimension ref="A1:B4"/>
  <sheetViews>
    <sheetView zoomScale="130" zoomScaleNormal="130" workbookViewId="0">
      <selection activeCell="B18" sqref="B18"/>
    </sheetView>
  </sheetViews>
  <sheetFormatPr baseColWidth="10" defaultColWidth="10.83203125" defaultRowHeight="16" x14ac:dyDescent="0.2"/>
  <cols>
    <col min="1" max="1" width="20.83203125" style="7" customWidth="1"/>
    <col min="2" max="2" width="50.83203125" style="7" customWidth="1"/>
    <col min="3" max="16384" width="10.83203125" style="7"/>
  </cols>
  <sheetData>
    <row r="1" spans="1:2" s="6" customFormat="1" x14ac:dyDescent="0.2">
      <c r="A1" s="6" t="s">
        <v>47</v>
      </c>
      <c r="B1" s="6" t="s">
        <v>5</v>
      </c>
    </row>
    <row r="2" spans="1:2" x14ac:dyDescent="0.2">
      <c r="A2" s="7" t="s">
        <v>48</v>
      </c>
      <c r="B2" s="7" t="s">
        <v>50</v>
      </c>
    </row>
    <row r="3" spans="1:2" ht="50" customHeight="1" x14ac:dyDescent="0.2">
      <c r="A3" s="7" t="s">
        <v>49</v>
      </c>
      <c r="B3" s="8" t="s">
        <v>51</v>
      </c>
    </row>
    <row r="4" spans="1:2" x14ac:dyDescent="0.2">
      <c r="A4" s="7" t="s">
        <v>4</v>
      </c>
      <c r="B4" s="7" t="s">
        <v>0</v>
      </c>
    </row>
  </sheetData>
  <dataValidations count="3">
    <dataValidation type="list" allowBlank="1" showInputMessage="1" showErrorMessage="1" error="Choose from the list" prompt="Choose default units" sqref="B4" xr:uid="{8AEB9A2A-DC46-724F-9AFC-18D3B6A7A496}">
      <formula1>Unit_Force</formula1>
    </dataValidation>
    <dataValidation allowBlank="1" showInputMessage="1" showErrorMessage="1" prompt="Project name. User input" sqref="B2" xr:uid="{EC4E717C-7E79-1643-ABDA-E7C63D2C6928}"/>
    <dataValidation allowBlank="1" showInputMessage="1" showErrorMessage="1" prompt="Project description. User input" sqref="B3" xr:uid="{28244F7C-9F5E-CB47-868D-874AB001AE5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A73-50DB-4818-AD57-9D1D23C8BA8A}">
  <sheetPr codeName="Sheet1"/>
  <dimension ref="A1:AA9"/>
  <sheetViews>
    <sheetView topLeftCell="M1" zoomScale="130" zoomScaleNormal="130" workbookViewId="0">
      <selection activeCell="R6" sqref="R6"/>
    </sheetView>
  </sheetViews>
  <sheetFormatPr baseColWidth="10" defaultColWidth="9.1640625" defaultRowHeight="16" x14ac:dyDescent="0.2"/>
  <cols>
    <col min="1" max="1" width="30.6640625" style="99" customWidth="1"/>
    <col min="2" max="6" width="20.6640625" style="49" customWidth="1"/>
    <col min="7" max="12" width="20.6640625" style="79" customWidth="1"/>
    <col min="13" max="18" width="20.6640625" style="49" customWidth="1"/>
    <col min="19" max="20" width="20.6640625" style="79" customWidth="1"/>
    <col min="21" max="21" width="15.6640625" style="49" customWidth="1"/>
    <col min="22" max="27" width="10.6640625" style="49" customWidth="1"/>
    <col min="28" max="16384" width="9.1640625" style="49"/>
  </cols>
  <sheetData>
    <row r="1" spans="1:27" s="99" customFormat="1" ht="51" x14ac:dyDescent="0.2">
      <c r="A1" s="123" t="s">
        <v>176</v>
      </c>
      <c r="B1" s="123" t="s">
        <v>8</v>
      </c>
      <c r="C1" s="123" t="s">
        <v>238</v>
      </c>
      <c r="D1" s="123" t="s">
        <v>239</v>
      </c>
      <c r="E1" s="123" t="s">
        <v>240</v>
      </c>
      <c r="F1" s="123" t="s">
        <v>347</v>
      </c>
      <c r="G1" s="123" t="s">
        <v>286</v>
      </c>
      <c r="H1" s="123" t="s">
        <v>10</v>
      </c>
      <c r="I1" s="123" t="s">
        <v>53</v>
      </c>
      <c r="J1" s="123" t="s">
        <v>54</v>
      </c>
      <c r="K1" s="123" t="s">
        <v>283</v>
      </c>
      <c r="L1" s="123" t="s">
        <v>19</v>
      </c>
      <c r="M1" s="123" t="s">
        <v>30</v>
      </c>
      <c r="N1" s="123" t="s">
        <v>20</v>
      </c>
      <c r="O1" s="123" t="s">
        <v>21</v>
      </c>
      <c r="P1" s="123" t="s">
        <v>37</v>
      </c>
      <c r="Q1" s="123" t="s">
        <v>23</v>
      </c>
      <c r="R1" s="123" t="s">
        <v>27</v>
      </c>
      <c r="S1" s="123" t="s">
        <v>209</v>
      </c>
      <c r="T1" s="123" t="s">
        <v>24</v>
      </c>
      <c r="U1" s="123" t="s">
        <v>25</v>
      </c>
      <c r="V1" s="123" t="s">
        <v>62</v>
      </c>
      <c r="W1" s="123" t="s">
        <v>63</v>
      </c>
      <c r="X1" s="123" t="s">
        <v>64</v>
      </c>
      <c r="Y1" s="123" t="s">
        <v>65</v>
      </c>
      <c r="Z1" s="123" t="s">
        <v>66</v>
      </c>
      <c r="AA1" s="123" t="s">
        <v>67</v>
      </c>
    </row>
    <row r="2" spans="1:27" ht="34" x14ac:dyDescent="0.2">
      <c r="A2" s="100" t="s">
        <v>178</v>
      </c>
      <c r="B2" s="101" t="s">
        <v>2</v>
      </c>
      <c r="C2" s="140" t="s">
        <v>235</v>
      </c>
      <c r="D2" s="140" t="s">
        <v>235</v>
      </c>
      <c r="E2" s="140" t="s">
        <v>241</v>
      </c>
      <c r="F2" s="223" t="s">
        <v>353</v>
      </c>
      <c r="G2" s="122" t="str" cm="1">
        <f t="array" ref="G2">_xlfn._xlws.FILTER(Materials!A33:A1032,(Materials!B33:B1032="Spring")*(Materials!A33:A1032&lt;&gt;""))</f>
        <v>Rotational Spring</v>
      </c>
      <c r="H2" s="122" t="str" cm="1">
        <f t="array" ref="H2:H8">_xlfn._xlws.FILTER(Materials!A33:A1032,((Materials!C33:C1032="Elastic")+(Materials!C33:C1032="Concrete04")+(Materials!C33:C1032="Concrete04+MinMax")+(Materials!C33:C1032="Steel02")+(Materials!C33:C1032="Steel02+MinMax")+(Materials!C33:C1032="Axial")+(Materials!C33:C1032="FlexuralZ")+(Materials!C33:C1032="ShearY")+(Materials!C33:C1032="FlexuralY")+(Materials!C33:C1032="ShearZ")+(Materials!C33:C1032="Torsional"))*(Materials!A33:A1032&lt;&gt;""))</f>
        <v>RC30</v>
      </c>
      <c r="I2" s="122" t="str" cm="1">
        <f t="array" ref="I2:I4">_xlfn._xlws.FILTER(Materials!A33:A1032,(Materials!B33:B1032="Concrete")*(Materials!A33:A1032&lt;&gt;""))</f>
        <v>RC30</v>
      </c>
      <c r="J2" s="122" t="str" cm="1">
        <f t="array" ref="J2:J3">_xlfn._xlws.FILTER(Materials!A33:A1032,((Materials!B33:B1032="Rebar")+(Materials!B33:B1032="Steel"))*(Materials!A33:A1032&lt;&gt;""))</f>
        <v>Rebar420</v>
      </c>
      <c r="K2" s="122" t="str" cm="1">
        <f t="array" ref="K2:K3">_xlfn._xlws.FILTER(Materials!A33:A1032,(Materials!C33:C1032="Elastic")*(Materials!A33:A1032&lt;&gt;""))</f>
        <v>RC30</v>
      </c>
      <c r="L2" s="122" t="str" cm="1">
        <f t="array" ref="L2:L4">_xlfn._xlws.FILTER(Materials!A33:A1032,((Materials!C33:C1032="Concrete04")+(Materials!C33:C1032="Concrete04+MinMax")+(Materials!C33:C1032="Steel02")+(Materials!C33:C1032="Steel02+MinMax"))*(Materials!A33:A1032&lt;&gt;""))</f>
        <v>RC Unconfined</v>
      </c>
      <c r="M2" s="101" t="str" cm="1">
        <f t="array" ref="M2:M3">_xlfn.VSTACK(
_xlfn._xlws.FILTER(N2:N1001,N2:N1001&lt;&gt;""),
_xlfn._xlws.FILTER(O2:O1001,N2:N1001&lt;&gt;""))</f>
        <v>Lobatto</v>
      </c>
      <c r="N2" s="101" t="s">
        <v>22</v>
      </c>
      <c r="O2" s="165" t="s">
        <v>301</v>
      </c>
      <c r="P2" s="121" t="s">
        <v>39</v>
      </c>
      <c r="Q2" s="101" t="s">
        <v>26</v>
      </c>
      <c r="R2" s="165" t="s">
        <v>235</v>
      </c>
      <c r="S2" s="122" t="str" cm="1">
        <f t="array" ref="S2:S4">_xlfn._xlws.FILTER('Frame Sections'!A20:A1019,(('Frame Sections'!C20:C1019="Elastic")+('Frame Sections'!C20:C1019="Fiber"))*('Frame Sections'!A20:A1019&lt;&gt;""))</f>
        <v>C1</v>
      </c>
      <c r="T2" s="122" t="str" cm="1">
        <f t="array" ref="T2:T5">_xlfn._xlws.FILTER('Frame Sections'!A20:A1019,(('Frame Sections'!C20:C1019="Elastic")+('Frame Sections'!C20:C1019="Fiber")+('Frame Sections'!C20:C1019="Aggregator"))*('Frame Sections'!A20:A1019&lt;&gt;""))</f>
        <v>C1</v>
      </c>
      <c r="U2" s="213" t="s">
        <v>311</v>
      </c>
      <c r="V2" s="102" t="s">
        <v>68</v>
      </c>
      <c r="W2" s="102" t="s">
        <v>75</v>
      </c>
      <c r="X2" s="102" t="s">
        <v>80</v>
      </c>
      <c r="Y2" s="102" t="s">
        <v>85</v>
      </c>
      <c r="Z2" s="102" t="s">
        <v>93</v>
      </c>
      <c r="AA2" s="102" t="s">
        <v>94</v>
      </c>
    </row>
    <row r="3" spans="1:27" ht="34" x14ac:dyDescent="0.2">
      <c r="A3" s="100" t="s">
        <v>179</v>
      </c>
      <c r="B3" s="101" t="s">
        <v>3</v>
      </c>
      <c r="C3" s="140" t="s">
        <v>236</v>
      </c>
      <c r="D3" s="140" t="s">
        <v>237</v>
      </c>
      <c r="E3" s="140" t="s">
        <v>187</v>
      </c>
      <c r="F3" s="223" t="s">
        <v>354</v>
      </c>
      <c r="G3" s="122"/>
      <c r="H3" s="122" t="str">
        <v>Rebar420</v>
      </c>
      <c r="I3" s="122" t="str">
        <v>RC Unconfined</v>
      </c>
      <c r="J3" s="122" t="str">
        <v>Rebar420NL</v>
      </c>
      <c r="K3" s="122" t="str">
        <v>Rebar420</v>
      </c>
      <c r="L3" s="122" t="str">
        <v>RC Confined</v>
      </c>
      <c r="M3" s="101" t="str">
        <v>Hinge Radau</v>
      </c>
      <c r="N3" s="101"/>
      <c r="O3" s="101"/>
      <c r="P3" s="121" t="s">
        <v>38</v>
      </c>
      <c r="Q3" s="101"/>
      <c r="R3" s="165" t="s">
        <v>284</v>
      </c>
      <c r="S3" s="122" t="str">
        <v>B1</v>
      </c>
      <c r="T3" s="122" t="str">
        <v>B1</v>
      </c>
      <c r="U3" s="213" t="s">
        <v>312</v>
      </c>
      <c r="V3" s="102" t="s">
        <v>69</v>
      </c>
      <c r="W3" s="102" t="s">
        <v>76</v>
      </c>
      <c r="X3" s="102" t="s">
        <v>81</v>
      </c>
      <c r="Y3" s="102" t="s">
        <v>86</v>
      </c>
      <c r="Z3" s="102" t="s">
        <v>105</v>
      </c>
      <c r="AA3" s="102" t="s">
        <v>95</v>
      </c>
    </row>
    <row r="4" spans="1:27" ht="17" x14ac:dyDescent="0.2">
      <c r="A4" s="100" t="s">
        <v>180</v>
      </c>
      <c r="B4" s="101" t="s">
        <v>9</v>
      </c>
      <c r="C4" s="140" t="s">
        <v>272</v>
      </c>
      <c r="D4" s="140" t="s">
        <v>273</v>
      </c>
      <c r="E4" s="140" t="s">
        <v>242</v>
      </c>
      <c r="F4" s="223" t="s">
        <v>349</v>
      </c>
      <c r="G4" s="122"/>
      <c r="H4" s="122" t="str">
        <v>RC Unconfined</v>
      </c>
      <c r="I4" s="122" t="str">
        <v>RC Confined</v>
      </c>
      <c r="J4" s="122"/>
      <c r="K4" s="122"/>
      <c r="L4" s="122" t="str">
        <v>Rebar420NL</v>
      </c>
      <c r="M4" s="101"/>
      <c r="N4" s="101"/>
      <c r="O4" s="101"/>
      <c r="P4" s="121" t="s">
        <v>210</v>
      </c>
      <c r="Q4" s="101"/>
      <c r="R4" s="213" t="s">
        <v>307</v>
      </c>
      <c r="S4" s="122" t="str">
        <v>C1Fiber</v>
      </c>
      <c r="T4" s="122" t="str">
        <v>C1Fiber</v>
      </c>
      <c r="U4" s="213" t="s">
        <v>313</v>
      </c>
      <c r="V4" s="102" t="s">
        <v>70</v>
      </c>
      <c r="W4" s="102" t="s">
        <v>77</v>
      </c>
      <c r="X4" s="102" t="s">
        <v>82</v>
      </c>
      <c r="Y4" s="102" t="s">
        <v>87</v>
      </c>
      <c r="Z4" s="101"/>
      <c r="AA4" s="101"/>
    </row>
    <row r="5" spans="1:27" x14ac:dyDescent="0.2">
      <c r="A5" s="103"/>
      <c r="B5" s="140" t="s">
        <v>243</v>
      </c>
      <c r="C5" s="140"/>
      <c r="D5" s="140"/>
      <c r="E5" s="140"/>
      <c r="F5" s="223" t="s">
        <v>355</v>
      </c>
      <c r="G5" s="122"/>
      <c r="H5" s="122" t="str">
        <v>RC Confined</v>
      </c>
      <c r="I5" s="122"/>
      <c r="J5" s="122"/>
      <c r="K5" s="122"/>
      <c r="L5" s="122"/>
      <c r="M5" s="101"/>
      <c r="N5" s="101"/>
      <c r="O5" s="101"/>
      <c r="P5" s="213" t="s">
        <v>309</v>
      </c>
      <c r="Q5" s="101"/>
      <c r="R5" s="242" t="s">
        <v>360</v>
      </c>
      <c r="S5" s="122"/>
      <c r="T5" s="122" t="str">
        <v>C1FiberShear</v>
      </c>
      <c r="U5" s="213" t="s">
        <v>46</v>
      </c>
      <c r="V5" s="102" t="s">
        <v>71</v>
      </c>
      <c r="W5" s="102" t="s">
        <v>78</v>
      </c>
      <c r="X5" s="102" t="s">
        <v>83</v>
      </c>
      <c r="Y5" s="102" t="s">
        <v>88</v>
      </c>
      <c r="Z5" s="101"/>
      <c r="AA5" s="101"/>
    </row>
    <row r="6" spans="1:27" x14ac:dyDescent="0.2">
      <c r="A6" s="103"/>
      <c r="B6" s="223" t="s">
        <v>307</v>
      </c>
      <c r="C6" s="101"/>
      <c r="D6" s="101"/>
      <c r="E6" s="101"/>
      <c r="F6" s="223" t="s">
        <v>356</v>
      </c>
      <c r="G6" s="122"/>
      <c r="H6" s="122" t="str">
        <v>Rebar420NL</v>
      </c>
      <c r="I6" s="122"/>
      <c r="J6" s="122"/>
      <c r="K6" s="122"/>
      <c r="L6" s="122"/>
      <c r="M6" s="101"/>
      <c r="N6" s="101"/>
      <c r="O6" s="101"/>
      <c r="P6" s="213" t="s">
        <v>310</v>
      </c>
      <c r="Q6" s="101"/>
      <c r="R6" s="101"/>
      <c r="S6" s="122"/>
      <c r="T6" s="122"/>
      <c r="U6" s="213" t="s">
        <v>314</v>
      </c>
      <c r="V6" s="102" t="s">
        <v>72</v>
      </c>
      <c r="W6" s="102" t="s">
        <v>79</v>
      </c>
      <c r="X6" s="102" t="s">
        <v>84</v>
      </c>
      <c r="Y6" s="102" t="s">
        <v>89</v>
      </c>
      <c r="Z6" s="101"/>
      <c r="AA6" s="101"/>
    </row>
    <row r="7" spans="1:27" x14ac:dyDescent="0.2">
      <c r="A7" s="103"/>
      <c r="B7" s="101"/>
      <c r="C7" s="101"/>
      <c r="D7" s="101"/>
      <c r="E7" s="101"/>
      <c r="F7" s="223" t="s">
        <v>357</v>
      </c>
      <c r="G7" s="122"/>
      <c r="H7" s="122" t="str">
        <v>ElasticShearY</v>
      </c>
      <c r="I7" s="122"/>
      <c r="J7" s="122"/>
      <c r="K7" s="122"/>
      <c r="L7" s="122"/>
      <c r="M7" s="101"/>
      <c r="N7" s="101"/>
      <c r="O7" s="101"/>
      <c r="P7" s="101"/>
      <c r="Q7" s="101"/>
      <c r="R7" s="101"/>
      <c r="S7" s="122"/>
      <c r="T7" s="122"/>
      <c r="U7" s="213" t="s">
        <v>315</v>
      </c>
      <c r="V7" s="102" t="s">
        <v>73</v>
      </c>
      <c r="W7" s="101"/>
      <c r="X7" s="101"/>
      <c r="Y7" s="102" t="s">
        <v>90</v>
      </c>
      <c r="Z7" s="101"/>
      <c r="AA7" s="101"/>
    </row>
    <row r="8" spans="1:27" x14ac:dyDescent="0.2">
      <c r="A8" s="103"/>
      <c r="B8" s="101"/>
      <c r="C8" s="101"/>
      <c r="D8" s="101"/>
      <c r="E8" s="101"/>
      <c r="F8" s="101"/>
      <c r="G8" s="122"/>
      <c r="H8" s="122" t="str">
        <v>ElasticShearZ</v>
      </c>
      <c r="I8" s="122"/>
      <c r="J8" s="122"/>
      <c r="K8" s="122"/>
      <c r="L8" s="122"/>
      <c r="M8" s="101"/>
      <c r="N8" s="101"/>
      <c r="O8" s="101"/>
      <c r="P8" s="101"/>
      <c r="Q8" s="101"/>
      <c r="R8" s="101"/>
      <c r="S8" s="122"/>
      <c r="T8" s="122"/>
      <c r="U8" s="213" t="s">
        <v>316</v>
      </c>
      <c r="V8" s="102" t="s">
        <v>74</v>
      </c>
      <c r="W8" s="101"/>
      <c r="X8" s="101"/>
      <c r="Y8" s="102" t="s">
        <v>91</v>
      </c>
      <c r="Z8" s="101"/>
      <c r="AA8" s="101"/>
    </row>
    <row r="9" spans="1:27" x14ac:dyDescent="0.2">
      <c r="A9" s="103"/>
      <c r="B9" s="101"/>
      <c r="C9" s="101"/>
      <c r="D9" s="101"/>
      <c r="E9" s="101"/>
      <c r="F9" s="101"/>
      <c r="G9" s="122"/>
      <c r="H9" s="122"/>
      <c r="I9" s="122"/>
      <c r="J9" s="122"/>
      <c r="K9" s="122"/>
      <c r="L9" s="122"/>
      <c r="M9" s="101"/>
      <c r="N9" s="101"/>
      <c r="O9" s="101"/>
      <c r="P9" s="101"/>
      <c r="Q9" s="101"/>
      <c r="R9" s="101"/>
      <c r="S9" s="122"/>
      <c r="T9" s="122"/>
      <c r="U9" s="213" t="s">
        <v>317</v>
      </c>
      <c r="V9" s="101"/>
      <c r="W9" s="101"/>
      <c r="X9" s="101"/>
      <c r="Y9" s="102" t="s">
        <v>92</v>
      </c>
      <c r="Z9" s="101"/>
      <c r="AA9" s="101"/>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8C0-32DF-4CB7-98B5-97665BDFC2C3}">
  <dimension ref="A1:B7"/>
  <sheetViews>
    <sheetView zoomScale="130" zoomScaleNormal="130" workbookViewId="0">
      <selection activeCell="F21" sqref="F21"/>
    </sheetView>
  </sheetViews>
  <sheetFormatPr baseColWidth="10" defaultColWidth="9.1640625" defaultRowHeight="16" x14ac:dyDescent="0.2"/>
  <cols>
    <col min="1" max="1" width="4.6640625" style="50" customWidth="1"/>
    <col min="2" max="16384" width="9.1640625" style="52"/>
  </cols>
  <sheetData>
    <row r="1" spans="1:2" x14ac:dyDescent="0.2">
      <c r="A1" s="51" t="s">
        <v>100</v>
      </c>
    </row>
    <row r="2" spans="1:2" x14ac:dyDescent="0.2">
      <c r="A2" s="50">
        <v>1</v>
      </c>
      <c r="B2" s="52" t="s">
        <v>102</v>
      </c>
    </row>
    <row r="3" spans="1:2" x14ac:dyDescent="0.2">
      <c r="A3" s="50">
        <v>2</v>
      </c>
      <c r="B3" s="52" t="s">
        <v>103</v>
      </c>
    </row>
    <row r="4" spans="1:2" x14ac:dyDescent="0.2">
      <c r="A4" s="50">
        <v>3</v>
      </c>
      <c r="B4" s="52" t="s">
        <v>104</v>
      </c>
    </row>
    <row r="5" spans="1:2" x14ac:dyDescent="0.2">
      <c r="A5" s="50">
        <v>4</v>
      </c>
      <c r="B5" s="53" t="s">
        <v>130</v>
      </c>
    </row>
    <row r="6" spans="1:2" x14ac:dyDescent="0.2">
      <c r="A6" s="50">
        <v>5</v>
      </c>
      <c r="B6" s="54" t="s">
        <v>131</v>
      </c>
    </row>
    <row r="7" spans="1:2" x14ac:dyDescent="0.2">
      <c r="B7"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08E5-353E-3840-A3D7-0B4987A25445}">
  <sheetPr codeName="Sheet3"/>
  <dimension ref="A1:B9"/>
  <sheetViews>
    <sheetView zoomScale="130" zoomScaleNormal="130" workbookViewId="0">
      <selection activeCell="B9" sqref="B9"/>
    </sheetView>
  </sheetViews>
  <sheetFormatPr baseColWidth="10" defaultColWidth="10.83203125" defaultRowHeight="16" x14ac:dyDescent="0.2"/>
  <cols>
    <col min="1" max="1" width="25.6640625" style="7" customWidth="1"/>
    <col min="2" max="2" width="75.6640625" style="7" customWidth="1"/>
    <col min="3" max="16384" width="10.83203125" style="7"/>
  </cols>
  <sheetData>
    <row r="1" spans="1:2" x14ac:dyDescent="0.2">
      <c r="A1" s="12" t="s">
        <v>101</v>
      </c>
      <c r="B1" s="13"/>
    </row>
    <row r="2" spans="1:2" x14ac:dyDescent="0.2">
      <c r="A2" s="44" t="s">
        <v>182</v>
      </c>
      <c r="B2" s="14"/>
    </row>
    <row r="3" spans="1:2" x14ac:dyDescent="0.2">
      <c r="A3" s="23" t="s">
        <v>116</v>
      </c>
      <c r="B3" s="14"/>
    </row>
    <row r="4" spans="1:2" x14ac:dyDescent="0.2">
      <c r="A4" s="105" t="s">
        <v>183</v>
      </c>
      <c r="B4" s="16"/>
    </row>
    <row r="6" spans="1:2" s="6" customFormat="1" x14ac:dyDescent="0.2">
      <c r="A6" s="10" t="s">
        <v>55</v>
      </c>
      <c r="B6" s="10" t="s">
        <v>5</v>
      </c>
    </row>
    <row r="7" spans="1:2" x14ac:dyDescent="0.2">
      <c r="A7" s="11" t="s">
        <v>48</v>
      </c>
      <c r="B7" s="17" t="s">
        <v>50</v>
      </c>
    </row>
    <row r="8" spans="1:2" ht="50" customHeight="1" x14ac:dyDescent="0.2">
      <c r="A8" s="19" t="s">
        <v>49</v>
      </c>
      <c r="B8" s="18" t="s">
        <v>51</v>
      </c>
    </row>
    <row r="9" spans="1:2" x14ac:dyDescent="0.2">
      <c r="A9" s="56" t="s">
        <v>177</v>
      </c>
      <c r="B9" s="138" t="s">
        <v>234</v>
      </c>
    </row>
  </sheetData>
  <dataValidations count="3">
    <dataValidation type="custom" allowBlank="1" showInputMessage="1" showErrorMessage="1" errorTitle="Invalid Input" error="Please enter a text/string value only." sqref="B8" xr:uid="{877D4219-1272-47FE-A182-1545318B28E1}">
      <formula1>ISTEXT(B8)</formula1>
    </dataValidation>
    <dataValidation type="custom" allowBlank="1" showInputMessage="1" showErrorMessage="1" errorTitle="Invalid Input" error="Please enter an text/string value only." sqref="B7" xr:uid="{A6037CF8-4CFF-42BF-A078-F7F649462D5B}">
      <formula1>ISTEXT(B7)</formula1>
    </dataValidation>
    <dataValidation type="list" allowBlank="1" showInputMessage="1" showErrorMessage="1" errorTitle="Invalid Input" error="Choose from the list" sqref="B9" xr:uid="{7E34BC08-465C-4E58-8492-D834BCDAE1D9}">
      <formula1>"2D-Plane, 3D-Space"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9AF-010D-D44C-9DCE-C8C233A9CF26}">
  <sheetPr codeName="Sheet23"/>
  <dimension ref="A1:E15"/>
  <sheetViews>
    <sheetView zoomScale="130" zoomScaleNormal="130" workbookViewId="0">
      <selection activeCell="B11" sqref="B11"/>
    </sheetView>
  </sheetViews>
  <sheetFormatPr baseColWidth="10" defaultColWidth="10.83203125" defaultRowHeight="16" x14ac:dyDescent="0.2"/>
  <cols>
    <col min="1" max="1" width="20.6640625" style="7" customWidth="1"/>
    <col min="2" max="2" width="10.6640625" style="9" customWidth="1"/>
    <col min="3" max="16384" width="10.83203125" style="7"/>
  </cols>
  <sheetData>
    <row r="1" spans="1:5" x14ac:dyDescent="0.2">
      <c r="A1" s="12" t="s">
        <v>101</v>
      </c>
      <c r="B1" s="28"/>
      <c r="C1" s="29"/>
      <c r="D1" s="29"/>
      <c r="E1" s="13"/>
    </row>
    <row r="2" spans="1:5" x14ac:dyDescent="0.2">
      <c r="A2" s="23" t="s">
        <v>108</v>
      </c>
      <c r="B2" s="45"/>
      <c r="C2" s="46"/>
      <c r="D2" s="46"/>
      <c r="E2" s="14"/>
    </row>
    <row r="3" spans="1:5" x14ac:dyDescent="0.2">
      <c r="A3" s="23" t="s">
        <v>109</v>
      </c>
      <c r="B3" s="45"/>
      <c r="C3" s="46"/>
      <c r="D3" s="46"/>
      <c r="E3" s="14"/>
    </row>
    <row r="4" spans="1:5" x14ac:dyDescent="0.2">
      <c r="A4" s="23" t="s">
        <v>110</v>
      </c>
      <c r="B4" s="45"/>
      <c r="C4" s="46"/>
      <c r="D4" s="46"/>
      <c r="E4" s="14"/>
    </row>
    <row r="5" spans="1:5" x14ac:dyDescent="0.2">
      <c r="A5" s="23" t="s">
        <v>111</v>
      </c>
      <c r="B5" s="45"/>
      <c r="C5" s="46"/>
      <c r="D5" s="46"/>
      <c r="E5" s="14"/>
    </row>
    <row r="6" spans="1:5" x14ac:dyDescent="0.2">
      <c r="A6" s="23" t="s">
        <v>112</v>
      </c>
      <c r="B6" s="45"/>
      <c r="C6" s="46"/>
      <c r="D6" s="46"/>
      <c r="E6" s="14"/>
    </row>
    <row r="7" spans="1:5" x14ac:dyDescent="0.2">
      <c r="A7" s="15" t="s">
        <v>113</v>
      </c>
      <c r="B7" s="30"/>
      <c r="C7" s="31"/>
      <c r="D7" s="31"/>
      <c r="E7" s="16"/>
    </row>
    <row r="9" spans="1:5" s="6" customFormat="1" x14ac:dyDescent="0.2">
      <c r="A9" s="10" t="s">
        <v>55</v>
      </c>
      <c r="B9" s="10" t="s">
        <v>5</v>
      </c>
    </row>
    <row r="10" spans="1:5" x14ac:dyDescent="0.2">
      <c r="A10" s="19" t="s">
        <v>56</v>
      </c>
      <c r="B10" s="21" t="s">
        <v>69</v>
      </c>
    </row>
    <row r="11" spans="1:5" x14ac:dyDescent="0.2">
      <c r="A11" s="20" t="s">
        <v>57</v>
      </c>
      <c r="B11" s="22" t="s">
        <v>75</v>
      </c>
    </row>
    <row r="12" spans="1:5" x14ac:dyDescent="0.2">
      <c r="A12" s="19" t="s">
        <v>58</v>
      </c>
      <c r="B12" s="21" t="s">
        <v>80</v>
      </c>
    </row>
    <row r="13" spans="1:5" x14ac:dyDescent="0.2">
      <c r="A13" s="19" t="s">
        <v>59</v>
      </c>
      <c r="B13" s="21" t="s">
        <v>87</v>
      </c>
    </row>
    <row r="14" spans="1:5" x14ac:dyDescent="0.2">
      <c r="A14" s="19" t="s">
        <v>60</v>
      </c>
      <c r="B14" s="21" t="s">
        <v>93</v>
      </c>
    </row>
    <row r="15" spans="1:5" x14ac:dyDescent="0.2">
      <c r="A15" s="19" t="s">
        <v>61</v>
      </c>
      <c r="B15" s="21" t="s">
        <v>94</v>
      </c>
    </row>
  </sheetData>
  <dataValidations count="6">
    <dataValidation type="list" allowBlank="1" showInputMessage="1" showErrorMessage="1" errorTitle="Invalid Input" error="Choose from the list" sqref="B11" xr:uid="{3BF2FAD2-37CF-DC4C-B720-2E3955E2CAE3}">
      <formula1>Unit_Length</formula1>
    </dataValidation>
    <dataValidation type="list" allowBlank="1" showInputMessage="1" showErrorMessage="1" errorTitle="Invalid Input" error="Choose from the list" sqref="B10" xr:uid="{259C4A1C-5B1C-A44C-86F3-031113FC5BE1}">
      <formula1>Unit_Force</formula1>
    </dataValidation>
    <dataValidation type="list" allowBlank="1" showInputMessage="1" showErrorMessage="1" errorTitle="Invalid Input" error="Choose from the list" sqref="B12" xr:uid="{B21DDB7C-EA9F-F14B-974F-DE7FE91D51EA}">
      <formula1>Unit_Mass</formula1>
    </dataValidation>
    <dataValidation type="list" allowBlank="1" showInputMessage="1" showErrorMessage="1" errorTitle="Invalid Input" error="Choose from the list" sqref="B13" xr:uid="{6AC22124-E482-8744-B0B8-B06BA60EBE34}">
      <formula1>Unit_Stress</formula1>
    </dataValidation>
    <dataValidation type="list" allowBlank="1" showInputMessage="1" showErrorMessage="1" errorTitle="Invalid Input" error="Choose from the list" sqref="B14" xr:uid="{4411A7DB-7B40-5C4D-80C0-3149645923B6}">
      <formula1>Unit_Time</formula1>
    </dataValidation>
    <dataValidation type="list" allowBlank="1" showInputMessage="1" showErrorMessage="1" errorTitle="Invalid Input" error="Choose from the list" sqref="B15" xr:uid="{C7CC3A2F-657E-D845-8B77-A640D2FE6859}">
      <formula1>Unit_Angle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5957-00F1-3546-A381-9F722DD3C0F8}">
  <sheetPr codeName="Sheet20"/>
  <dimension ref="A1:E9"/>
  <sheetViews>
    <sheetView zoomScale="130" zoomScaleNormal="130" workbookViewId="0">
      <selection activeCell="C12" sqref="C12"/>
    </sheetView>
  </sheetViews>
  <sheetFormatPr baseColWidth="10" defaultColWidth="10.83203125" defaultRowHeight="16" x14ac:dyDescent="0.2"/>
  <cols>
    <col min="1" max="1" width="60.6640625" style="7" customWidth="1"/>
    <col min="2" max="2" width="10.6640625" style="7" customWidth="1"/>
    <col min="3" max="16384" width="10.83203125" style="7"/>
  </cols>
  <sheetData>
    <row r="1" spans="1:5" x14ac:dyDescent="0.2">
      <c r="A1" s="12" t="s">
        <v>101</v>
      </c>
      <c r="B1" s="29"/>
      <c r="C1" s="29"/>
      <c r="D1" s="29"/>
      <c r="E1" s="13"/>
    </row>
    <row r="2" spans="1:5" x14ac:dyDescent="0.2">
      <c r="A2" s="23" t="s">
        <v>114</v>
      </c>
      <c r="B2" s="46"/>
      <c r="C2" s="46"/>
      <c r="D2" s="46"/>
      <c r="E2" s="14"/>
    </row>
    <row r="3" spans="1:5" x14ac:dyDescent="0.2">
      <c r="A3" s="23" t="s">
        <v>115</v>
      </c>
      <c r="B3" s="46"/>
      <c r="C3" s="46"/>
      <c r="D3" s="46"/>
      <c r="E3" s="14"/>
    </row>
    <row r="4" spans="1:5" x14ac:dyDescent="0.2">
      <c r="A4" s="15" t="s">
        <v>117</v>
      </c>
      <c r="B4" s="31"/>
      <c r="C4" s="31"/>
      <c r="D4" s="31"/>
      <c r="E4" s="16"/>
    </row>
    <row r="6" spans="1:5" s="6" customFormat="1" x14ac:dyDescent="0.2">
      <c r="A6" s="10" t="s">
        <v>55</v>
      </c>
      <c r="B6" s="10" t="s">
        <v>5</v>
      </c>
    </row>
    <row r="7" spans="1:5" x14ac:dyDescent="0.2">
      <c r="A7" s="56" t="s">
        <v>6</v>
      </c>
      <c r="B7" s="57" t="s">
        <v>181</v>
      </c>
    </row>
    <row r="8" spans="1:5" x14ac:dyDescent="0.2">
      <c r="A8" s="56" t="s">
        <v>7</v>
      </c>
      <c r="B8" s="57" t="s">
        <v>181</v>
      </c>
    </row>
    <row r="9" spans="1:5" x14ac:dyDescent="0.2">
      <c r="A9" s="19" t="s">
        <v>52</v>
      </c>
      <c r="B9" s="58">
        <v>0.25</v>
      </c>
    </row>
  </sheetData>
  <dataValidations count="2">
    <dataValidation type="decimal" allowBlank="1" showInputMessage="1" showErrorMessage="1" errorTitle="Invalid Input" error="Please enter a float value only. (Range 0.0 - 1.0)" sqref="B9" xr:uid="{CB3462E3-41F9-46DE-BF41-E93FB5F95F7C}">
      <formula1>0</formula1>
      <formula2>1</formula2>
    </dataValidation>
    <dataValidation type="list" allowBlank="1" showInputMessage="1" showErrorMessage="1" errorTitle="Invalid Input" error="Choose from the list" sqref="B7:B8" xr:uid="{2B19B424-6C03-4D75-BFAB-3D626D17F5B7}">
      <formula1>"Yes,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482F-985E-464E-B5B5-11017A7C8165}">
  <sheetPr codeName="Sheet5"/>
  <dimension ref="A1:AO40"/>
  <sheetViews>
    <sheetView topLeftCell="A14" zoomScale="130" zoomScaleNormal="130" workbookViewId="0">
      <selection activeCell="C41" sqref="C41"/>
    </sheetView>
  </sheetViews>
  <sheetFormatPr baseColWidth="10" defaultColWidth="8.83203125" defaultRowHeight="16" x14ac:dyDescent="0.2"/>
  <cols>
    <col min="1" max="3" width="20.6640625" style="90" customWidth="1"/>
    <col min="4" max="34" width="15.6640625" style="168" customWidth="1"/>
    <col min="35" max="35" width="10.6640625" style="149" customWidth="1"/>
    <col min="36" max="16384" width="8.83203125" style="78"/>
  </cols>
  <sheetData>
    <row r="1" spans="1:41" x14ac:dyDescent="0.2">
      <c r="A1" s="91" t="s">
        <v>101</v>
      </c>
      <c r="B1" s="75"/>
      <c r="C1" s="75"/>
      <c r="D1" s="94"/>
      <c r="E1" s="94"/>
      <c r="F1" s="94"/>
      <c r="G1" s="141"/>
      <c r="H1" s="141"/>
      <c r="I1" s="141"/>
      <c r="J1" s="142"/>
      <c r="K1" s="155"/>
      <c r="L1" s="141"/>
      <c r="M1" s="141"/>
      <c r="N1" s="141"/>
      <c r="O1" s="141"/>
      <c r="P1" s="141"/>
      <c r="Q1" s="141"/>
      <c r="R1" s="141"/>
      <c r="S1" s="141"/>
      <c r="T1" s="141"/>
      <c r="U1" s="141"/>
      <c r="V1" s="141"/>
      <c r="W1" s="141"/>
      <c r="X1" s="141"/>
      <c r="Y1" s="141"/>
      <c r="Z1" s="141"/>
      <c r="AA1" s="155"/>
      <c r="AB1" s="141"/>
      <c r="AC1" s="141"/>
      <c r="AD1" s="141"/>
      <c r="AE1" s="141"/>
      <c r="AF1" s="141"/>
      <c r="AG1" s="141"/>
      <c r="AH1" s="142"/>
      <c r="AI1" s="147"/>
    </row>
    <row r="2" spans="1:41" ht="15.75" customHeight="1" x14ac:dyDescent="0.2">
      <c r="A2" s="82" t="s">
        <v>125</v>
      </c>
      <c r="B2" s="79"/>
      <c r="C2" s="79"/>
      <c r="D2" s="95"/>
      <c r="E2" s="95"/>
      <c r="F2" s="95"/>
      <c r="G2" s="143"/>
      <c r="H2" s="143"/>
      <c r="I2" s="143"/>
      <c r="J2" s="144"/>
      <c r="K2" s="156" t="str">
        <f>"- K0: Elastic stiffness (Input as Float) ("&amp;'User Defined Units'!$B$10&amp;"-"&amp;'User Defined Units'!$B$11&amp;"/"&amp;'User Defined Units'!$B$15&amp;")"</f>
        <v>- K0: Elastic stiffness (Input as Float) (kN-m/rad)</v>
      </c>
      <c r="L2" s="169"/>
      <c r="M2" s="143"/>
      <c r="N2" s="143"/>
      <c r="O2" s="143"/>
      <c r="P2" s="143"/>
      <c r="Q2" s="143"/>
      <c r="R2" s="143"/>
      <c r="S2" s="143"/>
      <c r="T2" s="143"/>
      <c r="U2" s="143"/>
      <c r="V2" s="143"/>
      <c r="W2" s="143"/>
      <c r="X2" s="143"/>
      <c r="Y2" s="143"/>
      <c r="Z2" s="143"/>
      <c r="AA2" s="227" t="str">
        <f>"- EA: Axial rigidity of material aggregator (Input as Float) ("&amp;'User Defined Units'!$B$10&amp;")"</f>
        <v>- EA: Axial rigidity of material aggregator (Input as Float) (kN)</v>
      </c>
      <c r="AB2" s="225"/>
      <c r="AC2" s="225"/>
      <c r="AD2" s="225"/>
      <c r="AE2" s="225"/>
      <c r="AF2" s="225"/>
      <c r="AG2" s="225"/>
      <c r="AH2" s="226"/>
      <c r="AI2" s="170"/>
      <c r="AJ2" s="170"/>
      <c r="AK2" s="170"/>
      <c r="AL2" s="170"/>
      <c r="AM2" s="170"/>
      <c r="AN2" s="170"/>
      <c r="AO2" s="170"/>
    </row>
    <row r="3" spans="1:41" ht="15.75" customHeight="1" x14ac:dyDescent="0.2">
      <c r="A3" s="82" t="s">
        <v>126</v>
      </c>
      <c r="B3" s="79"/>
      <c r="C3" s="79"/>
      <c r="D3" s="95"/>
      <c r="E3" s="95"/>
      <c r="F3" s="95"/>
      <c r="G3" s="143"/>
      <c r="H3" s="143"/>
      <c r="I3" s="143"/>
      <c r="J3" s="144"/>
      <c r="K3" s="157" t="s">
        <v>146</v>
      </c>
      <c r="L3" s="162"/>
      <c r="M3" s="162"/>
      <c r="N3" s="162"/>
      <c r="O3" s="162"/>
      <c r="P3" s="162"/>
      <c r="Q3" s="162"/>
      <c r="R3" s="162"/>
      <c r="S3" s="162"/>
      <c r="T3" s="162"/>
      <c r="U3" s="162"/>
      <c r="V3" s="162"/>
      <c r="W3" s="162"/>
      <c r="X3" s="162"/>
      <c r="Y3" s="162"/>
      <c r="Z3" s="162"/>
      <c r="AA3" s="227" t="str">
        <f>"- EIz: Flexural rigidity of material aggregator about local z-axis (Input as Float) ("&amp;'User Defined Units'!$B$10&amp;"-"&amp;'User Defined Units'!$B$11&amp;"2)"</f>
        <v>- EIz: Flexural rigidity of material aggregator about local z-axis (Input as Float) (kN-m2)</v>
      </c>
      <c r="AB3" s="225"/>
      <c r="AC3" s="225"/>
      <c r="AD3" s="225"/>
      <c r="AE3" s="225"/>
      <c r="AF3" s="225"/>
      <c r="AG3" s="225"/>
      <c r="AH3" s="226"/>
      <c r="AI3" s="170"/>
      <c r="AJ3" s="170"/>
      <c r="AK3" s="170"/>
      <c r="AL3" s="170"/>
      <c r="AM3" s="170"/>
      <c r="AN3" s="170"/>
      <c r="AO3" s="170"/>
    </row>
    <row r="4" spans="1:41" ht="15.75" customHeight="1" x14ac:dyDescent="0.2">
      <c r="A4" s="166" t="s">
        <v>145</v>
      </c>
      <c r="B4" s="79"/>
      <c r="C4" s="79"/>
      <c r="D4" s="95"/>
      <c r="E4" s="95"/>
      <c r="F4" s="95"/>
      <c r="G4" s="143"/>
      <c r="H4" s="143"/>
      <c r="I4" s="143"/>
      <c r="J4" s="144"/>
      <c r="K4" s="157" t="s">
        <v>147</v>
      </c>
      <c r="L4" s="162"/>
      <c r="M4" s="162"/>
      <c r="N4" s="162"/>
      <c r="O4" s="162"/>
      <c r="P4" s="162"/>
      <c r="Q4" s="162"/>
      <c r="R4" s="162"/>
      <c r="S4" s="162"/>
      <c r="T4" s="162"/>
      <c r="U4" s="162"/>
      <c r="V4" s="162"/>
      <c r="W4" s="162"/>
      <c r="X4" s="162"/>
      <c r="Y4" s="162"/>
      <c r="Z4" s="162"/>
      <c r="AA4" s="227" t="str">
        <f>"- GAvy: Shear rigidity of material aggregator along local y-axis (Input as Float) ("&amp;'User Defined Units'!$B$10&amp;")"</f>
        <v>- GAvy: Shear rigidity of material aggregator along local y-axis (Input as Float) (kN)</v>
      </c>
      <c r="AB4" s="225"/>
      <c r="AC4" s="225"/>
      <c r="AD4" s="225"/>
      <c r="AE4" s="225"/>
      <c r="AF4" s="225"/>
      <c r="AG4" s="225"/>
      <c r="AH4" s="226"/>
      <c r="AI4" s="170"/>
      <c r="AJ4" s="170"/>
      <c r="AK4" s="170"/>
      <c r="AL4" s="170"/>
      <c r="AM4" s="170"/>
      <c r="AN4" s="170"/>
      <c r="AO4" s="170"/>
    </row>
    <row r="5" spans="1:41" ht="15.75" customHeight="1" x14ac:dyDescent="0.2">
      <c r="A5" s="82" t="str">
        <f>"- Unitweight: Unitweight of material (Input as Float) ("&amp;'User Defined Units'!$B$10&amp;"/"&amp;'User Defined Units'!$B$11&amp;"3)"</f>
        <v>- Unitweight: Unitweight of material (Input as Float) (kN/m3)</v>
      </c>
      <c r="B5" s="79"/>
      <c r="C5" s="79"/>
      <c r="D5" s="95"/>
      <c r="E5" s="95"/>
      <c r="F5" s="95"/>
      <c r="G5" s="143"/>
      <c r="H5" s="143"/>
      <c r="I5" s="143"/>
      <c r="J5" s="144"/>
      <c r="K5" s="156" t="str">
        <f>"- My_Pos: Effective yield strength for positive loading direction (Input as Float) ("&amp;'User Defined Units'!$B$10&amp;"-"&amp;'User Defined Units'!$B$11&amp;")"</f>
        <v>- My_Pos: Effective yield strength for positive loading direction (Input as Float) (kN-m)</v>
      </c>
      <c r="L5" s="169"/>
      <c r="M5" s="143"/>
      <c r="N5" s="143"/>
      <c r="O5" s="143"/>
      <c r="P5" s="143"/>
      <c r="Q5" s="143"/>
      <c r="R5" s="143"/>
      <c r="S5" s="143"/>
      <c r="T5" s="143"/>
      <c r="U5" s="143"/>
      <c r="V5" s="143"/>
      <c r="W5" s="143"/>
      <c r="X5" s="143"/>
      <c r="Y5" s="143"/>
      <c r="Z5" s="143"/>
      <c r="AA5" s="227" t="str">
        <f>"- EIy: Flexural rigidity of material aggregator about local y-axis (Input as Float) ("&amp;'User Defined Units'!$B$10&amp;"-"&amp;'User Defined Units'!$B$11&amp;"2)"</f>
        <v>- EIy: Flexural rigidity of material aggregator about local y-axis (Input as Float) (kN-m2)</v>
      </c>
      <c r="AB5" s="225"/>
      <c r="AC5" s="225"/>
      <c r="AD5" s="225"/>
      <c r="AE5" s="225"/>
      <c r="AF5" s="225"/>
      <c r="AG5" s="225"/>
      <c r="AH5" s="226"/>
      <c r="AI5" s="171"/>
      <c r="AJ5" s="171"/>
      <c r="AK5" s="171"/>
      <c r="AL5" s="171"/>
      <c r="AM5" s="171"/>
      <c r="AN5" s="171"/>
      <c r="AO5" s="171"/>
    </row>
    <row r="6" spans="1:41" ht="16" customHeight="1" x14ac:dyDescent="0.2">
      <c r="A6" s="82" t="str">
        <f>"- E: Modulus of elasticity of material (Input as Float) ("&amp;'User Defined Units'!$B$13&amp;")"</f>
        <v>- E: Modulus of elasticity of material (Input as Float) (MPa)</v>
      </c>
      <c r="B6" s="79"/>
      <c r="C6" s="79"/>
      <c r="D6" s="95"/>
      <c r="E6" s="95"/>
      <c r="F6" s="95"/>
      <c r="G6" s="143"/>
      <c r="H6" s="143"/>
      <c r="I6" s="143"/>
      <c r="J6" s="144"/>
      <c r="K6" s="156" t="str">
        <f>"- My_Neg: Effective yield strength for negative loading direction (Input as Float) ("&amp;'User Defined Units'!$B$10&amp;"-"&amp;'User Defined Units'!$B$11&amp;")"</f>
        <v>- My_Neg: Effective yield strength for negative loading direction (Input as Float) (kN-m)</v>
      </c>
      <c r="L6" s="169"/>
      <c r="M6" s="143"/>
      <c r="N6" s="143"/>
      <c r="O6" s="143"/>
      <c r="P6" s="143"/>
      <c r="Q6" s="143"/>
      <c r="R6" s="143"/>
      <c r="S6" s="143"/>
      <c r="T6" s="143"/>
      <c r="U6" s="143"/>
      <c r="V6" s="143"/>
      <c r="W6" s="143"/>
      <c r="X6" s="143"/>
      <c r="Y6" s="143"/>
      <c r="Z6" s="143"/>
      <c r="AA6" s="227" t="str">
        <f>"- GAvz: Shear rigidity of material aggregator along local z-axis (Input as Float) ("&amp;'User Defined Units'!$B$10&amp;")"</f>
        <v>- GAvz: Shear rigidity of material aggregator along local z-axis (Input as Float) (kN)</v>
      </c>
      <c r="AB6" s="225"/>
      <c r="AC6" s="225"/>
      <c r="AD6" s="225"/>
      <c r="AE6" s="225"/>
      <c r="AF6" s="225"/>
      <c r="AG6" s="225"/>
      <c r="AH6" s="226"/>
      <c r="AI6" s="171"/>
      <c r="AJ6" s="171"/>
      <c r="AK6" s="171"/>
      <c r="AL6" s="171"/>
      <c r="AM6" s="171"/>
      <c r="AN6" s="171"/>
      <c r="AO6" s="171"/>
    </row>
    <row r="7" spans="1:41" ht="15.75" customHeight="1" x14ac:dyDescent="0.2">
      <c r="A7" s="82" t="s">
        <v>118</v>
      </c>
      <c r="B7" s="79"/>
      <c r="C7" s="79"/>
      <c r="D7" s="95"/>
      <c r="E7" s="95"/>
      <c r="F7" s="95"/>
      <c r="G7" s="143"/>
      <c r="H7" s="143"/>
      <c r="I7" s="143"/>
      <c r="J7" s="144"/>
      <c r="K7" s="156" t="str">
        <f>"- Mu_Pos: Effective ultimate strength for positive loading direction (Input as Float) ("&amp;'User Defined Units'!$B$10&amp;"-"&amp;'User Defined Units'!$B$11&amp;")"</f>
        <v>- Mu_Pos: Effective ultimate strength for positive loading direction (Input as Float) (kN-m)</v>
      </c>
      <c r="L7" s="169"/>
      <c r="M7" s="143"/>
      <c r="N7" s="143"/>
      <c r="O7" s="143"/>
      <c r="P7" s="143"/>
      <c r="Q7" s="143"/>
      <c r="R7" s="143"/>
      <c r="S7" s="143"/>
      <c r="T7" s="143"/>
      <c r="U7" s="143"/>
      <c r="V7" s="143"/>
      <c r="W7" s="143"/>
      <c r="X7" s="143"/>
      <c r="Y7" s="143"/>
      <c r="Z7" s="143"/>
      <c r="AA7" s="227" t="str">
        <f>"- GJxx: Torsional rigidity of material aggregator (Input as Float) ("&amp;'User Defined Units'!$B$10&amp;"-"&amp;'User Defined Units'!$B$11&amp;"2)"</f>
        <v>- GJxx: Torsional rigidity of material aggregator (Input as Float) (kN-m2)</v>
      </c>
      <c r="AB7" s="228"/>
      <c r="AC7" s="228"/>
      <c r="AD7" s="228"/>
      <c r="AE7" s="228"/>
      <c r="AF7" s="228"/>
      <c r="AG7" s="228"/>
      <c r="AH7" s="229"/>
      <c r="AI7" s="171"/>
      <c r="AJ7" s="171"/>
      <c r="AK7" s="171"/>
      <c r="AL7" s="171"/>
      <c r="AM7" s="171"/>
      <c r="AN7" s="171"/>
      <c r="AO7" s="171"/>
    </row>
    <row r="8" spans="1:41" ht="16" customHeight="1" x14ac:dyDescent="0.2">
      <c r="A8" s="82" t="str">
        <f>"- fc: Maximum compressive strength of concrete (Input as Float) ("&amp;'User Defined Units'!$B$13&amp;")"</f>
        <v>- fc: Maximum compressive strength of concrete (Input as Float) (MPa)</v>
      </c>
      <c r="B8" s="79"/>
      <c r="C8" s="79"/>
      <c r="D8" s="95"/>
      <c r="E8" s="95"/>
      <c r="F8" s="95"/>
      <c r="G8" s="143"/>
      <c r="H8" s="143"/>
      <c r="I8" s="143"/>
      <c r="J8" s="144"/>
      <c r="K8" s="156" t="str">
        <f>"- Mu_Neg: Effective ultimate strength for negative loading direction (Input as Float) ("&amp;'User Defined Units'!$B$10&amp;"-"&amp;'User Defined Units'!$B$11&amp;")"</f>
        <v>- Mu_Neg: Effective ultimate strength for negative loading direction (Input as Float) (kN-m)</v>
      </c>
      <c r="L8" s="169"/>
      <c r="M8" s="143"/>
      <c r="N8" s="143"/>
      <c r="O8" s="143"/>
      <c r="P8" s="143"/>
      <c r="Q8" s="143"/>
      <c r="R8" s="143"/>
      <c r="S8" s="143"/>
      <c r="T8" s="143"/>
      <c r="U8" s="143"/>
      <c r="V8" s="143"/>
      <c r="W8" s="143"/>
      <c r="X8" s="143"/>
      <c r="Y8" s="143"/>
      <c r="Z8" s="143"/>
      <c r="AA8" s="227"/>
      <c r="AB8" s="225"/>
      <c r="AC8" s="225"/>
      <c r="AD8" s="225"/>
      <c r="AE8" s="225"/>
      <c r="AF8" s="225"/>
      <c r="AG8" s="225"/>
      <c r="AH8" s="226"/>
      <c r="AI8" s="171"/>
      <c r="AJ8" s="171"/>
      <c r="AK8" s="171"/>
      <c r="AL8" s="171"/>
      <c r="AM8" s="171"/>
      <c r="AN8" s="171"/>
      <c r="AO8" s="171"/>
    </row>
    <row r="9" spans="1:41" ht="15.75" customHeight="1" x14ac:dyDescent="0.2">
      <c r="A9" s="139" t="s">
        <v>127</v>
      </c>
      <c r="B9" s="79"/>
      <c r="C9" s="79"/>
      <c r="D9" s="95"/>
      <c r="E9" s="95"/>
      <c r="F9" s="95"/>
      <c r="G9" s="143"/>
      <c r="H9" s="143"/>
      <c r="I9" s="143"/>
      <c r="J9" s="144"/>
      <c r="K9" s="157" t="s">
        <v>156</v>
      </c>
      <c r="L9" s="169"/>
      <c r="M9" s="143"/>
      <c r="N9" s="143"/>
      <c r="O9" s="143"/>
      <c r="P9" s="143"/>
      <c r="Q9" s="143"/>
      <c r="R9" s="143"/>
      <c r="S9" s="143"/>
      <c r="T9" s="143"/>
      <c r="U9" s="143"/>
      <c r="V9" s="143"/>
      <c r="W9" s="143"/>
      <c r="X9" s="143"/>
      <c r="Y9" s="143"/>
      <c r="Z9" s="143"/>
      <c r="AA9" s="238" t="s">
        <v>279</v>
      </c>
      <c r="AB9" s="239"/>
      <c r="AC9" s="239"/>
      <c r="AD9" s="239"/>
      <c r="AE9" s="239"/>
      <c r="AF9" s="239"/>
      <c r="AG9" s="239"/>
      <c r="AH9" s="240"/>
      <c r="AI9" s="172"/>
      <c r="AJ9" s="172"/>
      <c r="AK9" s="172"/>
      <c r="AL9" s="172"/>
      <c r="AM9" s="172"/>
      <c r="AN9" s="172"/>
      <c r="AO9" s="172"/>
    </row>
    <row r="10" spans="1:41" ht="16" customHeight="1" x14ac:dyDescent="0.2">
      <c r="A10" s="139" t="s">
        <v>128</v>
      </c>
      <c r="B10" s="79"/>
      <c r="C10" s="79"/>
      <c r="D10" s="95"/>
      <c r="E10" s="95"/>
      <c r="F10" s="95"/>
      <c r="G10" s="143"/>
      <c r="H10" s="143"/>
      <c r="I10" s="143"/>
      <c r="J10" s="144"/>
      <c r="K10" s="157" t="s">
        <v>157</v>
      </c>
      <c r="L10" s="169"/>
      <c r="M10" s="143"/>
      <c r="N10" s="143"/>
      <c r="O10" s="143"/>
      <c r="P10" s="143"/>
      <c r="Q10" s="143"/>
      <c r="R10" s="143"/>
      <c r="S10" s="143"/>
      <c r="T10" s="143"/>
      <c r="U10" s="143"/>
      <c r="V10" s="143"/>
      <c r="W10" s="143"/>
      <c r="X10" s="143"/>
      <c r="Y10" s="143"/>
      <c r="Z10" s="143"/>
      <c r="AA10" s="235" t="s">
        <v>278</v>
      </c>
      <c r="AB10" s="236"/>
      <c r="AC10" s="236"/>
      <c r="AD10" s="236"/>
      <c r="AE10" s="236"/>
      <c r="AF10" s="236"/>
      <c r="AG10" s="236"/>
      <c r="AH10" s="237"/>
      <c r="AI10" s="172"/>
      <c r="AJ10" s="172"/>
      <c r="AK10" s="172"/>
      <c r="AL10" s="172"/>
      <c r="AM10" s="172"/>
      <c r="AN10" s="172"/>
      <c r="AO10" s="172"/>
    </row>
    <row r="11" spans="1:41" ht="15.75" customHeight="1" x14ac:dyDescent="0.2">
      <c r="A11" s="82" t="str">
        <f>"- fct: Maximum tensile strength of concrete (Input as Float) ("&amp;'User Defined Units'!$B$13&amp;")"</f>
        <v>- fct: Maximum tensile strength of concrete (Input as Float) (MPa)</v>
      </c>
      <c r="B11" s="164"/>
      <c r="C11" s="164"/>
      <c r="D11" s="164"/>
      <c r="E11" s="164"/>
      <c r="F11" s="164"/>
      <c r="G11" s="164"/>
      <c r="H11" s="164"/>
      <c r="I11" s="164"/>
      <c r="J11" s="98"/>
      <c r="K11" s="158" t="s">
        <v>158</v>
      </c>
      <c r="L11" s="169"/>
      <c r="M11" s="143"/>
      <c r="N11" s="143"/>
      <c r="O11" s="143"/>
      <c r="P11" s="143"/>
      <c r="Q11" s="143"/>
      <c r="R11" s="143"/>
      <c r="S11" s="143"/>
      <c r="T11" s="143"/>
      <c r="U11" s="143"/>
      <c r="V11" s="143"/>
      <c r="W11" s="143"/>
      <c r="X11" s="143"/>
      <c r="Y11" s="143"/>
      <c r="Z11" s="143"/>
      <c r="AA11" s="235" t="s">
        <v>277</v>
      </c>
      <c r="AB11" s="236"/>
      <c r="AC11" s="236"/>
      <c r="AD11" s="236"/>
      <c r="AE11" s="236"/>
      <c r="AF11" s="236"/>
      <c r="AG11" s="236"/>
      <c r="AH11" s="237"/>
      <c r="AI11" s="172"/>
      <c r="AJ11" s="172"/>
      <c r="AK11" s="172"/>
      <c r="AL11" s="172"/>
      <c r="AM11" s="172"/>
      <c r="AN11" s="172"/>
      <c r="AO11" s="172"/>
    </row>
    <row r="12" spans="1:41" ht="15.75" customHeight="1" x14ac:dyDescent="0.2">
      <c r="A12" s="44" t="s">
        <v>133</v>
      </c>
      <c r="B12" s="79"/>
      <c r="C12" s="79"/>
      <c r="D12" s="95"/>
      <c r="E12" s="95"/>
      <c r="F12" s="95"/>
      <c r="G12" s="143"/>
      <c r="H12" s="143"/>
      <c r="I12" s="143"/>
      <c r="J12" s="144"/>
      <c r="K12" s="157" t="s">
        <v>159</v>
      </c>
      <c r="L12" s="169"/>
      <c r="M12" s="143"/>
      <c r="N12" s="143"/>
      <c r="O12" s="143"/>
      <c r="P12" s="143"/>
      <c r="Q12" s="143"/>
      <c r="R12" s="143"/>
      <c r="S12" s="143"/>
      <c r="T12" s="143"/>
      <c r="U12" s="143"/>
      <c r="V12" s="143"/>
      <c r="W12" s="143"/>
      <c r="X12" s="143"/>
      <c r="Y12" s="143"/>
      <c r="Z12" s="143"/>
      <c r="AA12" s="235" t="s">
        <v>276</v>
      </c>
      <c r="AB12" s="236"/>
      <c r="AC12" s="236"/>
      <c r="AD12" s="236"/>
      <c r="AE12" s="236"/>
      <c r="AF12" s="236"/>
      <c r="AG12" s="236"/>
      <c r="AH12" s="237"/>
      <c r="AI12" s="172"/>
      <c r="AJ12" s="172"/>
      <c r="AK12" s="172"/>
      <c r="AL12" s="172"/>
      <c r="AM12" s="172"/>
      <c r="AN12" s="172"/>
      <c r="AO12" s="172"/>
    </row>
    <row r="13" spans="1:41" ht="16" customHeight="1" x14ac:dyDescent="0.2">
      <c r="A13" s="82" t="s">
        <v>129</v>
      </c>
      <c r="B13" s="79"/>
      <c r="C13" s="79"/>
      <c r="D13" s="95"/>
      <c r="E13" s="95"/>
      <c r="F13" s="95"/>
      <c r="G13" s="143"/>
      <c r="H13" s="143"/>
      <c r="I13" s="143"/>
      <c r="J13" s="144"/>
      <c r="K13" s="157" t="s">
        <v>148</v>
      </c>
      <c r="L13" s="169"/>
      <c r="M13" s="143"/>
      <c r="N13" s="143"/>
      <c r="O13" s="143"/>
      <c r="P13" s="143"/>
      <c r="Q13" s="143"/>
      <c r="R13" s="143"/>
      <c r="S13" s="143"/>
      <c r="T13" s="143"/>
      <c r="U13" s="143"/>
      <c r="V13" s="143"/>
      <c r="W13" s="143"/>
      <c r="X13" s="143"/>
      <c r="Y13" s="143"/>
      <c r="Z13" s="143"/>
      <c r="AA13" s="235" t="s">
        <v>275</v>
      </c>
      <c r="AB13" s="236"/>
      <c r="AC13" s="236"/>
      <c r="AD13" s="236"/>
      <c r="AE13" s="236"/>
      <c r="AF13" s="236"/>
      <c r="AG13" s="236"/>
      <c r="AH13" s="237"/>
      <c r="AI13" s="171"/>
      <c r="AJ13" s="171"/>
      <c r="AK13" s="171"/>
      <c r="AL13" s="171"/>
      <c r="AM13" s="171"/>
      <c r="AN13" s="171"/>
      <c r="AO13" s="171"/>
    </row>
    <row r="14" spans="1:41" ht="16" customHeight="1" x14ac:dyDescent="0.2">
      <c r="A14" s="82" t="str">
        <f>"- fy: Yield strength of rebar/steel (Input as float) ("&amp;'User Defined Units'!$B$13&amp;")"</f>
        <v>- fy: Yield strength of rebar/steel (Input as float) (MPa)</v>
      </c>
      <c r="B14" s="79"/>
      <c r="C14" s="79"/>
      <c r="D14" s="95"/>
      <c r="E14" s="95"/>
      <c r="F14" s="95"/>
      <c r="G14" s="143"/>
      <c r="H14" s="143"/>
      <c r="I14" s="143"/>
      <c r="J14" s="144"/>
      <c r="K14" s="157" t="s">
        <v>149</v>
      </c>
      <c r="L14" s="169"/>
      <c r="M14" s="143"/>
      <c r="N14" s="143"/>
      <c r="O14" s="143"/>
      <c r="P14" s="143"/>
      <c r="Q14" s="143"/>
      <c r="R14" s="143"/>
      <c r="S14" s="143"/>
      <c r="T14" s="143"/>
      <c r="U14" s="143"/>
      <c r="V14" s="143"/>
      <c r="W14" s="143"/>
      <c r="X14" s="143"/>
      <c r="Y14" s="143"/>
      <c r="Z14" s="143"/>
      <c r="AA14" s="235" t="s">
        <v>274</v>
      </c>
      <c r="AB14" s="236"/>
      <c r="AC14" s="236"/>
      <c r="AD14" s="236"/>
      <c r="AE14" s="236"/>
      <c r="AF14" s="236"/>
      <c r="AG14" s="236"/>
      <c r="AH14" s="237"/>
      <c r="AI14" s="171"/>
      <c r="AJ14" s="171"/>
      <c r="AK14" s="171"/>
      <c r="AL14" s="171"/>
      <c r="AM14" s="171"/>
      <c r="AN14" s="171"/>
      <c r="AO14" s="171"/>
    </row>
    <row r="15" spans="1:41" ht="15.75" customHeight="1" x14ac:dyDescent="0.2">
      <c r="A15" s="82" t="str">
        <f>"- fu: Ultimate tensile strength of rebar/steel (Input as float) ("&amp;'User Defined Units'!$B$13&amp;")"</f>
        <v>- fu: Ultimate tensile strength of rebar/steel (Input as float) (MPa)</v>
      </c>
      <c r="B15" s="79"/>
      <c r="C15" s="79"/>
      <c r="D15" s="95"/>
      <c r="E15" s="95"/>
      <c r="F15" s="95"/>
      <c r="G15" s="143"/>
      <c r="H15" s="143"/>
      <c r="I15" s="143"/>
      <c r="J15" s="144"/>
      <c r="K15" s="157" t="s">
        <v>150</v>
      </c>
      <c r="L15" s="169"/>
      <c r="M15" s="143"/>
      <c r="N15" s="143"/>
      <c r="O15" s="143"/>
      <c r="P15" s="143"/>
      <c r="Q15" s="143"/>
      <c r="R15" s="143"/>
      <c r="S15" s="143"/>
      <c r="T15" s="143"/>
      <c r="U15" s="143"/>
      <c r="V15" s="143"/>
      <c r="W15" s="143"/>
      <c r="X15" s="143"/>
      <c r="Y15" s="143"/>
      <c r="Z15" s="143"/>
      <c r="AA15" s="235"/>
      <c r="AB15" s="236"/>
      <c r="AC15" s="236"/>
      <c r="AD15" s="236"/>
      <c r="AE15" s="236"/>
      <c r="AF15" s="236"/>
      <c r="AG15" s="236"/>
      <c r="AH15" s="237"/>
      <c r="AI15" s="171"/>
      <c r="AJ15" s="171"/>
      <c r="AK15" s="171"/>
      <c r="AL15" s="171"/>
      <c r="AM15" s="171"/>
      <c r="AN15" s="171"/>
      <c r="AO15" s="171"/>
    </row>
    <row r="16" spans="1:41" ht="15.75" customHeight="1" x14ac:dyDescent="0.2">
      <c r="A16" s="82" t="s">
        <v>134</v>
      </c>
      <c r="B16" s="164"/>
      <c r="C16" s="164"/>
      <c r="D16" s="164"/>
      <c r="E16" s="164"/>
      <c r="F16" s="164"/>
      <c r="G16" s="164"/>
      <c r="H16" s="164"/>
      <c r="I16" s="164"/>
      <c r="J16" s="98"/>
      <c r="K16" s="157" t="s">
        <v>151</v>
      </c>
      <c r="L16" s="169"/>
      <c r="M16" s="143"/>
      <c r="N16" s="143"/>
      <c r="O16" s="143"/>
      <c r="P16" s="143"/>
      <c r="Q16" s="143"/>
      <c r="R16" s="143"/>
      <c r="S16" s="143"/>
      <c r="T16" s="143"/>
      <c r="U16" s="143"/>
      <c r="V16" s="143"/>
      <c r="W16" s="143"/>
      <c r="X16" s="143"/>
      <c r="Y16" s="143"/>
      <c r="Z16" s="143"/>
      <c r="AA16" s="235" t="s">
        <v>280</v>
      </c>
      <c r="AB16" s="236"/>
      <c r="AC16" s="236"/>
      <c r="AD16" s="236"/>
      <c r="AE16" s="236"/>
      <c r="AF16" s="236"/>
      <c r="AG16" s="236"/>
      <c r="AH16" s="237"/>
      <c r="AI16" s="171"/>
      <c r="AJ16" s="171"/>
      <c r="AK16" s="171"/>
      <c r="AL16" s="171"/>
      <c r="AM16" s="171"/>
      <c r="AN16" s="171"/>
      <c r="AO16" s="171"/>
    </row>
    <row r="17" spans="1:41" ht="15.75" customHeight="1" x14ac:dyDescent="0.2">
      <c r="A17" s="44" t="s">
        <v>135</v>
      </c>
      <c r="B17" s="79"/>
      <c r="C17" s="79"/>
      <c r="D17" s="95"/>
      <c r="E17" s="95"/>
      <c r="F17" s="95"/>
      <c r="G17" s="143"/>
      <c r="H17" s="143"/>
      <c r="I17" s="143"/>
      <c r="J17" s="144"/>
      <c r="K17" s="157" t="s">
        <v>152</v>
      </c>
      <c r="L17" s="169"/>
      <c r="M17" s="143"/>
      <c r="N17" s="143"/>
      <c r="O17" s="143"/>
      <c r="P17" s="143"/>
      <c r="Q17" s="143"/>
      <c r="R17" s="143"/>
      <c r="S17" s="143"/>
      <c r="T17" s="143"/>
      <c r="U17" s="143"/>
      <c r="V17" s="143"/>
      <c r="W17" s="143"/>
      <c r="X17" s="143"/>
      <c r="Y17" s="143"/>
      <c r="Z17" s="143"/>
      <c r="AA17" s="235"/>
      <c r="AB17" s="236"/>
      <c r="AC17" s="236"/>
      <c r="AD17" s="236"/>
      <c r="AE17" s="236"/>
      <c r="AF17" s="236"/>
      <c r="AG17" s="236"/>
      <c r="AH17" s="237"/>
      <c r="AI17" s="172"/>
      <c r="AJ17" s="172"/>
      <c r="AK17" s="172"/>
      <c r="AL17" s="172"/>
      <c r="AM17" s="172"/>
      <c r="AN17" s="172"/>
      <c r="AO17" s="172"/>
    </row>
    <row r="18" spans="1:41" ht="16" customHeight="1" x14ac:dyDescent="0.2">
      <c r="A18" s="82" t="s">
        <v>136</v>
      </c>
      <c r="B18" s="79"/>
      <c r="C18" s="79"/>
      <c r="D18" s="95"/>
      <c r="E18" s="95"/>
      <c r="F18" s="95"/>
      <c r="G18" s="143"/>
      <c r="H18" s="143"/>
      <c r="I18" s="143"/>
      <c r="J18" s="144"/>
      <c r="K18" s="150" t="s">
        <v>153</v>
      </c>
      <c r="L18" s="169"/>
      <c r="M18" s="143"/>
      <c r="N18" s="143"/>
      <c r="O18" s="143"/>
      <c r="P18" s="143"/>
      <c r="Q18" s="143"/>
      <c r="R18" s="143"/>
      <c r="S18" s="143"/>
      <c r="T18" s="143"/>
      <c r="U18" s="143"/>
      <c r="V18" s="143"/>
      <c r="W18" s="143"/>
      <c r="X18" s="143"/>
      <c r="Y18" s="143"/>
      <c r="Z18" s="143"/>
      <c r="AA18" s="235"/>
      <c r="AB18" s="236"/>
      <c r="AC18" s="236"/>
      <c r="AD18" s="236"/>
      <c r="AE18" s="236"/>
      <c r="AF18" s="236"/>
      <c r="AG18" s="236"/>
      <c r="AH18" s="237"/>
      <c r="AI18" s="172"/>
      <c r="AJ18" s="172"/>
      <c r="AK18" s="172"/>
      <c r="AL18" s="172"/>
      <c r="AM18" s="172"/>
      <c r="AN18" s="172"/>
      <c r="AO18" s="172"/>
    </row>
    <row r="19" spans="1:41" x14ac:dyDescent="0.2">
      <c r="A19" s="82" t="s">
        <v>137</v>
      </c>
      <c r="B19" s="79"/>
      <c r="C19" s="79"/>
      <c r="D19" s="95"/>
      <c r="E19" s="95"/>
      <c r="F19" s="95"/>
      <c r="G19" s="143"/>
      <c r="H19" s="143"/>
      <c r="I19" s="143"/>
      <c r="J19" s="144"/>
      <c r="K19" s="96" t="s">
        <v>154</v>
      </c>
      <c r="L19" s="169"/>
      <c r="M19" s="143"/>
      <c r="N19" s="143"/>
      <c r="O19" s="143"/>
      <c r="P19" s="143"/>
      <c r="Q19" s="143"/>
      <c r="R19" s="143"/>
      <c r="S19" s="143"/>
      <c r="T19" s="143"/>
      <c r="U19" s="143"/>
      <c r="V19" s="143"/>
      <c r="W19" s="143"/>
      <c r="X19" s="143"/>
      <c r="Y19" s="143"/>
      <c r="Z19" s="143"/>
      <c r="AA19" s="238" t="s">
        <v>281</v>
      </c>
      <c r="AB19" s="239"/>
      <c r="AC19" s="239"/>
      <c r="AD19" s="239"/>
      <c r="AE19" s="239"/>
      <c r="AF19" s="239"/>
      <c r="AG19" s="239"/>
      <c r="AH19" s="240"/>
      <c r="AI19" s="172"/>
      <c r="AJ19" s="172"/>
      <c r="AK19" s="172"/>
      <c r="AL19" s="172"/>
      <c r="AM19" s="172"/>
      <c r="AN19" s="172"/>
      <c r="AO19" s="172"/>
    </row>
    <row r="20" spans="1:41" ht="15.75" customHeight="1" x14ac:dyDescent="0.2">
      <c r="A20" s="82" t="s">
        <v>138</v>
      </c>
      <c r="B20" s="163"/>
      <c r="C20" s="163"/>
      <c r="D20" s="163"/>
      <c r="E20" s="163"/>
      <c r="F20" s="163"/>
      <c r="G20" s="163"/>
      <c r="H20" s="163"/>
      <c r="I20" s="163"/>
      <c r="J20" s="110"/>
      <c r="K20" s="96" t="s">
        <v>155</v>
      </c>
      <c r="L20" s="169"/>
      <c r="M20" s="143"/>
      <c r="N20" s="143"/>
      <c r="O20" s="143"/>
      <c r="P20" s="143"/>
      <c r="Q20" s="143"/>
      <c r="R20" s="143"/>
      <c r="S20" s="143"/>
      <c r="T20" s="143"/>
      <c r="U20" s="143"/>
      <c r="V20" s="143"/>
      <c r="W20" s="143"/>
      <c r="X20" s="143"/>
      <c r="Y20" s="143"/>
      <c r="Z20" s="143"/>
      <c r="AA20" s="238"/>
      <c r="AB20" s="239"/>
      <c r="AC20" s="239"/>
      <c r="AD20" s="239"/>
      <c r="AE20" s="239"/>
      <c r="AF20" s="239"/>
      <c r="AG20" s="239"/>
      <c r="AH20" s="240"/>
      <c r="AI20" s="172"/>
      <c r="AJ20" s="172"/>
      <c r="AK20" s="172"/>
      <c r="AL20" s="172"/>
      <c r="AM20" s="172"/>
      <c r="AN20" s="172"/>
      <c r="AO20" s="172"/>
    </row>
    <row r="21" spans="1:41" x14ac:dyDescent="0.2">
      <c r="A21" s="44" t="s">
        <v>139</v>
      </c>
      <c r="B21" s="79"/>
      <c r="C21" s="79"/>
      <c r="D21" s="95"/>
      <c r="E21" s="95"/>
      <c r="F21" s="95"/>
      <c r="G21" s="143"/>
      <c r="H21" s="143"/>
      <c r="I21" s="143"/>
      <c r="J21" s="144"/>
      <c r="K21" s="96" t="s">
        <v>161</v>
      </c>
      <c r="L21" s="169"/>
      <c r="M21" s="143"/>
      <c r="N21" s="143"/>
      <c r="O21" s="143"/>
      <c r="P21" s="143"/>
      <c r="Q21" s="143"/>
      <c r="R21" s="143"/>
      <c r="S21" s="143"/>
      <c r="T21" s="143"/>
      <c r="U21" s="143"/>
      <c r="V21" s="143"/>
      <c r="W21" s="143"/>
      <c r="X21" s="143"/>
      <c r="Y21" s="143"/>
      <c r="Z21" s="143"/>
      <c r="AA21" s="238"/>
      <c r="AB21" s="239"/>
      <c r="AC21" s="239"/>
      <c r="AD21" s="239"/>
      <c r="AE21" s="239"/>
      <c r="AF21" s="239"/>
      <c r="AG21" s="239"/>
      <c r="AH21" s="240"/>
      <c r="AI21" s="173"/>
      <c r="AJ21" s="173"/>
      <c r="AK21" s="173"/>
      <c r="AL21" s="173"/>
      <c r="AM21" s="173"/>
      <c r="AN21" s="173"/>
      <c r="AO21" s="173"/>
    </row>
    <row r="22" spans="1:41" ht="15.75" customHeight="1" x14ac:dyDescent="0.2">
      <c r="A22" s="82" t="s">
        <v>140</v>
      </c>
      <c r="B22" s="164"/>
      <c r="C22" s="164"/>
      <c r="D22" s="164"/>
      <c r="E22" s="164"/>
      <c r="F22" s="164"/>
      <c r="G22" s="164"/>
      <c r="H22" s="164"/>
      <c r="I22" s="164"/>
      <c r="J22" s="98"/>
      <c r="K22" s="96" t="s">
        <v>160</v>
      </c>
      <c r="L22" s="169"/>
      <c r="M22" s="143"/>
      <c r="N22" s="143"/>
      <c r="O22" s="143"/>
      <c r="P22" s="143"/>
      <c r="Q22" s="143"/>
      <c r="R22" s="143"/>
      <c r="S22" s="143"/>
      <c r="T22" s="143"/>
      <c r="U22" s="143"/>
      <c r="V22" s="143"/>
      <c r="W22" s="143"/>
      <c r="X22" s="143"/>
      <c r="Y22" s="143"/>
      <c r="Z22" s="143"/>
      <c r="AA22" s="235" t="s">
        <v>282</v>
      </c>
      <c r="AB22" s="236"/>
      <c r="AC22" s="236"/>
      <c r="AD22" s="236"/>
      <c r="AE22" s="236"/>
      <c r="AF22" s="236"/>
      <c r="AG22" s="236"/>
      <c r="AH22" s="237"/>
      <c r="AI22" s="147"/>
    </row>
    <row r="23" spans="1:41" x14ac:dyDescent="0.2">
      <c r="A23" s="44" t="s">
        <v>142</v>
      </c>
      <c r="B23" s="79"/>
      <c r="C23" s="79"/>
      <c r="D23" s="95"/>
      <c r="E23" s="95"/>
      <c r="F23" s="95"/>
      <c r="G23" s="143"/>
      <c r="H23" s="143"/>
      <c r="I23" s="143"/>
      <c r="J23" s="144"/>
      <c r="K23" s="96" t="s">
        <v>162</v>
      </c>
      <c r="L23" s="169"/>
      <c r="M23" s="143"/>
      <c r="N23" s="143"/>
      <c r="O23" s="143"/>
      <c r="P23" s="143"/>
      <c r="Q23" s="143"/>
      <c r="R23" s="143"/>
      <c r="S23" s="143"/>
      <c r="T23" s="143"/>
      <c r="U23" s="143"/>
      <c r="V23" s="143"/>
      <c r="W23" s="143"/>
      <c r="X23" s="143"/>
      <c r="Y23" s="143"/>
      <c r="Z23" s="143"/>
      <c r="AA23" s="235"/>
      <c r="AB23" s="236"/>
      <c r="AC23" s="236"/>
      <c r="AD23" s="236"/>
      <c r="AE23" s="236"/>
      <c r="AF23" s="236"/>
      <c r="AG23" s="236"/>
      <c r="AH23" s="237"/>
      <c r="AI23" s="147"/>
    </row>
    <row r="24" spans="1:41" ht="15.75" customHeight="1" x14ac:dyDescent="0.2">
      <c r="A24" s="82" t="s">
        <v>141</v>
      </c>
      <c r="B24" s="79"/>
      <c r="C24" s="79"/>
      <c r="D24" s="95"/>
      <c r="E24" s="95"/>
      <c r="F24" s="95"/>
      <c r="G24" s="143"/>
      <c r="H24" s="143"/>
      <c r="I24" s="143"/>
      <c r="J24" s="144"/>
      <c r="K24" s="96" t="s">
        <v>163</v>
      </c>
      <c r="L24" s="169"/>
      <c r="M24" s="143"/>
      <c r="N24" s="143"/>
      <c r="O24" s="143"/>
      <c r="P24" s="143"/>
      <c r="Q24" s="143"/>
      <c r="R24" s="143"/>
      <c r="S24" s="143"/>
      <c r="T24" s="143"/>
      <c r="U24" s="143"/>
      <c r="V24" s="143"/>
      <c r="W24" s="143"/>
      <c r="X24" s="143"/>
      <c r="Y24" s="143"/>
      <c r="Z24" s="143"/>
      <c r="AA24" s="235"/>
      <c r="AB24" s="236"/>
      <c r="AC24" s="236"/>
      <c r="AD24" s="236"/>
      <c r="AE24" s="236"/>
      <c r="AF24" s="236"/>
      <c r="AG24" s="236"/>
      <c r="AH24" s="237"/>
      <c r="AI24" s="147"/>
    </row>
    <row r="25" spans="1:41" x14ac:dyDescent="0.2">
      <c r="A25" s="82" t="str">
        <f>"- f_init: Initial stress value, default value = 0.0 (Input as Float) ("&amp;'User Defined Units'!$B$13&amp;")"</f>
        <v>- f_init: Initial stress value, default value = 0.0 (Input as Float) (MPa)</v>
      </c>
      <c r="B25" s="79"/>
      <c r="C25" s="79"/>
      <c r="D25" s="95"/>
      <c r="E25" s="95"/>
      <c r="F25" s="95"/>
      <c r="G25" s="143"/>
      <c r="H25" s="143"/>
      <c r="I25" s="143"/>
      <c r="J25" s="144"/>
      <c r="K25" s="96" t="s">
        <v>164</v>
      </c>
      <c r="L25" s="169"/>
      <c r="M25" s="143"/>
      <c r="N25" s="143"/>
      <c r="O25" s="143"/>
      <c r="P25" s="143"/>
      <c r="Q25" s="143"/>
      <c r="R25" s="143"/>
      <c r="S25" s="143"/>
      <c r="T25" s="143"/>
      <c r="U25" s="143"/>
      <c r="V25" s="143"/>
      <c r="W25" s="143"/>
      <c r="X25" s="143"/>
      <c r="Y25" s="143"/>
      <c r="Z25" s="143"/>
      <c r="AA25" s="235"/>
      <c r="AB25" s="236"/>
      <c r="AC25" s="236"/>
      <c r="AD25" s="236"/>
      <c r="AE25" s="236"/>
      <c r="AF25" s="236"/>
      <c r="AG25" s="236"/>
      <c r="AH25" s="237"/>
      <c r="AI25" s="147"/>
    </row>
    <row r="26" spans="1:41" x14ac:dyDescent="0.2">
      <c r="A26" s="82" t="s">
        <v>143</v>
      </c>
      <c r="B26" s="79"/>
      <c r="C26" s="79"/>
      <c r="D26" s="95"/>
      <c r="E26" s="95"/>
      <c r="F26" s="95"/>
      <c r="G26" s="143"/>
      <c r="H26" s="143"/>
      <c r="I26" s="143"/>
      <c r="J26" s="144"/>
      <c r="K26" s="96" t="s">
        <v>165</v>
      </c>
      <c r="L26" s="169"/>
      <c r="M26" s="143"/>
      <c r="N26" s="143"/>
      <c r="O26" s="143"/>
      <c r="P26" s="143"/>
      <c r="Q26" s="143"/>
      <c r="R26" s="143"/>
      <c r="S26" s="143"/>
      <c r="T26" s="143"/>
      <c r="U26" s="143"/>
      <c r="V26" s="143"/>
      <c r="W26" s="143"/>
      <c r="X26" s="143"/>
      <c r="Y26" s="143"/>
      <c r="Z26" s="143"/>
      <c r="AA26" s="232" t="s">
        <v>352</v>
      </c>
      <c r="AB26" s="233"/>
      <c r="AC26" s="233"/>
      <c r="AD26" s="233"/>
      <c r="AE26" s="233"/>
      <c r="AF26" s="233"/>
      <c r="AG26" s="233"/>
      <c r="AH26" s="234"/>
      <c r="AI26" s="147"/>
    </row>
    <row r="27" spans="1:41" x14ac:dyDescent="0.2">
      <c r="A27" s="82" t="s">
        <v>144</v>
      </c>
      <c r="B27" s="152"/>
      <c r="C27" s="79"/>
      <c r="D27" s="95"/>
      <c r="E27" s="95"/>
      <c r="F27" s="95"/>
      <c r="G27" s="143"/>
      <c r="H27" s="143"/>
      <c r="I27" s="143"/>
      <c r="J27" s="144"/>
      <c r="K27" s="96" t="s">
        <v>166</v>
      </c>
      <c r="L27" s="169"/>
      <c r="M27" s="143"/>
      <c r="N27" s="143"/>
      <c r="O27" s="143"/>
      <c r="P27" s="143"/>
      <c r="Q27" s="143"/>
      <c r="R27" s="143"/>
      <c r="S27" s="143"/>
      <c r="T27" s="143"/>
      <c r="U27" s="143"/>
      <c r="V27" s="143"/>
      <c r="W27" s="143"/>
      <c r="X27" s="143"/>
      <c r="Y27" s="143"/>
      <c r="Z27" s="143"/>
      <c r="AA27" s="156"/>
      <c r="AB27" s="143"/>
      <c r="AC27" s="143"/>
      <c r="AD27" s="143"/>
      <c r="AE27" s="143"/>
      <c r="AF27" s="143"/>
      <c r="AG27" s="143"/>
      <c r="AH27" s="144"/>
      <c r="AI27" s="147"/>
    </row>
    <row r="28" spans="1:41" x14ac:dyDescent="0.2">
      <c r="A28" s="151"/>
      <c r="B28" s="79"/>
      <c r="C28" s="79"/>
      <c r="D28" s="95"/>
      <c r="E28" s="95"/>
      <c r="F28" s="95"/>
      <c r="G28" s="143"/>
      <c r="H28" s="143"/>
      <c r="I28" s="143"/>
      <c r="J28" s="144"/>
      <c r="K28" s="96" t="s">
        <v>167</v>
      </c>
      <c r="L28" s="169"/>
      <c r="M28" s="143"/>
      <c r="N28" s="143"/>
      <c r="O28" s="143"/>
      <c r="P28" s="143"/>
      <c r="Q28" s="143"/>
      <c r="R28" s="143"/>
      <c r="S28" s="143"/>
      <c r="T28" s="143"/>
      <c r="U28" s="143"/>
      <c r="V28" s="143"/>
      <c r="W28" s="143"/>
      <c r="X28" s="143"/>
      <c r="Y28" s="143"/>
      <c r="Z28" s="143"/>
      <c r="AA28" s="156"/>
      <c r="AB28" s="143"/>
      <c r="AC28" s="143"/>
      <c r="AD28" s="143"/>
      <c r="AE28" s="143"/>
      <c r="AF28" s="143"/>
      <c r="AG28" s="143"/>
      <c r="AH28" s="144"/>
      <c r="AI28" s="147"/>
    </row>
    <row r="29" spans="1:41" x14ac:dyDescent="0.2">
      <c r="A29" s="83" t="s">
        <v>119</v>
      </c>
      <c r="B29" s="79"/>
      <c r="C29" s="79"/>
      <c r="D29" s="95"/>
      <c r="E29" s="95"/>
      <c r="F29" s="95"/>
      <c r="G29" s="143"/>
      <c r="H29" s="143"/>
      <c r="I29" s="143"/>
      <c r="J29" s="144"/>
      <c r="K29" s="96" t="s">
        <v>168</v>
      </c>
      <c r="L29" s="169"/>
      <c r="M29" s="143"/>
      <c r="N29" s="143"/>
      <c r="O29" s="143"/>
      <c r="P29" s="143"/>
      <c r="Q29" s="143"/>
      <c r="R29" s="143"/>
      <c r="S29" s="143"/>
      <c r="T29" s="143"/>
      <c r="U29" s="143"/>
      <c r="V29" s="143"/>
      <c r="W29" s="143"/>
      <c r="X29" s="143"/>
      <c r="Y29" s="143"/>
      <c r="Z29" s="143"/>
      <c r="AA29" s="156"/>
      <c r="AB29" s="143"/>
      <c r="AC29" s="143"/>
      <c r="AD29" s="143"/>
      <c r="AE29" s="143"/>
      <c r="AF29" s="143"/>
      <c r="AG29" s="143"/>
      <c r="AH29" s="144"/>
      <c r="AI29" s="147"/>
    </row>
    <row r="30" spans="1:41" x14ac:dyDescent="0.2">
      <c r="A30" s="153" t="s">
        <v>132</v>
      </c>
      <c r="B30" s="85"/>
      <c r="C30" s="85"/>
      <c r="D30" s="86"/>
      <c r="E30" s="86"/>
      <c r="F30" s="86"/>
      <c r="G30" s="145"/>
      <c r="H30" s="145"/>
      <c r="I30" s="145"/>
      <c r="J30" s="146"/>
      <c r="K30" s="97" t="s">
        <v>169</v>
      </c>
      <c r="L30" s="154"/>
      <c r="M30" s="145"/>
      <c r="N30" s="145"/>
      <c r="O30" s="145"/>
      <c r="P30" s="145"/>
      <c r="Q30" s="145"/>
      <c r="R30" s="145"/>
      <c r="S30" s="145"/>
      <c r="T30" s="145"/>
      <c r="U30" s="145"/>
      <c r="V30" s="145"/>
      <c r="W30" s="145"/>
      <c r="X30" s="145"/>
      <c r="Y30" s="145"/>
      <c r="Z30" s="145"/>
      <c r="AA30" s="160"/>
      <c r="AB30" s="145"/>
      <c r="AC30" s="145"/>
      <c r="AD30" s="145"/>
      <c r="AE30" s="145"/>
      <c r="AF30" s="145"/>
      <c r="AG30" s="145"/>
      <c r="AH30" s="146"/>
      <c r="AI30" s="147"/>
    </row>
    <row r="31" spans="1:41" x14ac:dyDescent="0.2">
      <c r="A31" s="88"/>
      <c r="B31" s="49"/>
      <c r="C31" s="49"/>
      <c r="D31" s="87"/>
      <c r="E31" s="87"/>
      <c r="F31" s="8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row>
    <row r="32" spans="1:41" s="48" customFormat="1" x14ac:dyDescent="0.2">
      <c r="A32" s="72" t="s">
        <v>10</v>
      </c>
      <c r="B32" s="72" t="s">
        <v>8</v>
      </c>
      <c r="C32" s="72" t="s">
        <v>15</v>
      </c>
      <c r="D32" s="72" t="s">
        <v>1</v>
      </c>
      <c r="E32" s="72" t="s">
        <v>11</v>
      </c>
      <c r="F32" s="72" t="s">
        <v>12</v>
      </c>
      <c r="G32" s="148" t="s">
        <v>244</v>
      </c>
      <c r="H32" s="148" t="s">
        <v>245</v>
      </c>
      <c r="I32" s="148" t="s">
        <v>246</v>
      </c>
      <c r="J32" s="148" t="s">
        <v>247</v>
      </c>
      <c r="K32" s="148" t="s">
        <v>248</v>
      </c>
      <c r="L32" s="148" t="s">
        <v>249</v>
      </c>
      <c r="M32" s="148" t="s">
        <v>250</v>
      </c>
      <c r="N32" s="148" t="s">
        <v>251</v>
      </c>
      <c r="O32" s="148" t="s">
        <v>252</v>
      </c>
      <c r="P32" s="148" t="s">
        <v>253</v>
      </c>
      <c r="Q32" s="148" t="s">
        <v>254</v>
      </c>
      <c r="R32" s="148" t="s">
        <v>255</v>
      </c>
      <c r="S32" s="148" t="s">
        <v>256</v>
      </c>
      <c r="T32" s="148" t="s">
        <v>257</v>
      </c>
      <c r="U32" s="148" t="s">
        <v>258</v>
      </c>
      <c r="V32" s="148" t="s">
        <v>259</v>
      </c>
      <c r="W32" s="148" t="s">
        <v>260</v>
      </c>
      <c r="X32" s="148" t="s">
        <v>261</v>
      </c>
      <c r="Y32" s="148" t="s">
        <v>262</v>
      </c>
      <c r="Z32" s="148" t="s">
        <v>263</v>
      </c>
      <c r="AA32" s="148" t="s">
        <v>264</v>
      </c>
      <c r="AB32" s="148" t="s">
        <v>265</v>
      </c>
      <c r="AC32" s="148" t="s">
        <v>266</v>
      </c>
      <c r="AD32" s="148" t="s">
        <v>267</v>
      </c>
      <c r="AE32" s="148" t="s">
        <v>268</v>
      </c>
      <c r="AF32" s="148" t="s">
        <v>269</v>
      </c>
      <c r="AG32" s="148" t="s">
        <v>270</v>
      </c>
      <c r="AH32" s="148" t="s">
        <v>271</v>
      </c>
      <c r="AI32" s="161"/>
    </row>
    <row r="33" spans="1:34" x14ac:dyDescent="0.2">
      <c r="A33" s="90" t="s">
        <v>13</v>
      </c>
      <c r="B33" s="90" t="s">
        <v>2</v>
      </c>
      <c r="C33" s="90" t="s">
        <v>235</v>
      </c>
      <c r="D33" s="167">
        <v>23.6</v>
      </c>
      <c r="E33" s="168">
        <f>4700*SQRT(G33)</f>
        <v>25742.960202742808</v>
      </c>
      <c r="F33" s="168">
        <v>0.2</v>
      </c>
      <c r="G33" s="168">
        <f>30</f>
        <v>30</v>
      </c>
      <c r="H33" s="168">
        <v>0</v>
      </c>
      <c r="I33" s="168">
        <v>0</v>
      </c>
      <c r="J33" s="168">
        <v>0</v>
      </c>
      <c r="K33" s="168">
        <v>0</v>
      </c>
      <c r="L33" s="168">
        <v>0</v>
      </c>
      <c r="M33" s="168">
        <v>0</v>
      </c>
      <c r="N33" s="168">
        <v>0</v>
      </c>
      <c r="O33" s="168">
        <v>0</v>
      </c>
      <c r="P33" s="168">
        <v>0</v>
      </c>
      <c r="Q33" s="168">
        <v>0</v>
      </c>
      <c r="R33" s="168">
        <v>0</v>
      </c>
      <c r="S33" s="168">
        <v>0</v>
      </c>
      <c r="T33" s="168">
        <v>0</v>
      </c>
      <c r="U33" s="168">
        <v>0</v>
      </c>
      <c r="V33" s="168">
        <v>0</v>
      </c>
      <c r="W33" s="168">
        <v>0</v>
      </c>
      <c r="X33" s="168">
        <v>0</v>
      </c>
      <c r="Y33" s="168">
        <v>0</v>
      </c>
      <c r="Z33" s="168">
        <v>0</v>
      </c>
      <c r="AA33" s="168">
        <v>0</v>
      </c>
      <c r="AB33" s="168">
        <v>0</v>
      </c>
      <c r="AC33" s="168">
        <v>0</v>
      </c>
      <c r="AD33" s="168">
        <v>0</v>
      </c>
      <c r="AE33" s="168">
        <v>0</v>
      </c>
      <c r="AF33" s="168">
        <v>0</v>
      </c>
      <c r="AG33" s="168">
        <v>0</v>
      </c>
      <c r="AH33" s="168">
        <v>0</v>
      </c>
    </row>
    <row r="34" spans="1:34" x14ac:dyDescent="0.2">
      <c r="A34" s="90" t="s">
        <v>14</v>
      </c>
      <c r="B34" s="90" t="s">
        <v>3</v>
      </c>
      <c r="C34" s="90" t="s">
        <v>235</v>
      </c>
      <c r="D34" s="168">
        <f>7850*9.80665/1000</f>
        <v>76.9822025</v>
      </c>
      <c r="E34" s="168">
        <f>200000</f>
        <v>200000</v>
      </c>
      <c r="F34" s="168">
        <v>0.3</v>
      </c>
      <c r="G34" s="168">
        <v>420</v>
      </c>
      <c r="H34" s="168">
        <v>525</v>
      </c>
      <c r="I34" s="168">
        <v>0</v>
      </c>
      <c r="J34" s="168">
        <v>0</v>
      </c>
      <c r="K34" s="168">
        <v>0</v>
      </c>
      <c r="L34" s="168">
        <v>0</v>
      </c>
      <c r="M34" s="168">
        <v>0</v>
      </c>
      <c r="N34" s="168">
        <v>0</v>
      </c>
      <c r="O34" s="168">
        <v>0</v>
      </c>
      <c r="P34" s="168">
        <v>0</v>
      </c>
      <c r="Q34" s="168">
        <v>0</v>
      </c>
      <c r="R34" s="168">
        <v>0</v>
      </c>
      <c r="S34" s="168">
        <v>0</v>
      </c>
      <c r="T34" s="168">
        <v>0</v>
      </c>
      <c r="U34" s="168">
        <v>0</v>
      </c>
      <c r="V34" s="168">
        <v>0</v>
      </c>
      <c r="W34" s="168">
        <v>0</v>
      </c>
      <c r="X34" s="168">
        <v>0</v>
      </c>
      <c r="Y34" s="168">
        <v>0</v>
      </c>
      <c r="Z34" s="168">
        <v>0</v>
      </c>
      <c r="AA34" s="168">
        <v>0</v>
      </c>
      <c r="AB34" s="168">
        <v>0</v>
      </c>
      <c r="AC34" s="168">
        <v>0</v>
      </c>
      <c r="AD34" s="168">
        <v>0</v>
      </c>
      <c r="AE34" s="168">
        <v>0</v>
      </c>
      <c r="AF34" s="168">
        <v>0</v>
      </c>
      <c r="AG34" s="168">
        <v>0</v>
      </c>
      <c r="AH34" s="168">
        <v>0</v>
      </c>
    </row>
    <row r="35" spans="1:34" x14ac:dyDescent="0.2">
      <c r="A35" s="90" t="s">
        <v>16</v>
      </c>
      <c r="B35" s="90" t="s">
        <v>2</v>
      </c>
      <c r="C35" s="90" t="s">
        <v>236</v>
      </c>
      <c r="D35" s="168">
        <v>23.6</v>
      </c>
      <c r="E35" s="168">
        <f>4700*SQRT(G35)</f>
        <v>25742.960202742808</v>
      </c>
      <c r="F35" s="168">
        <v>0.2</v>
      </c>
      <c r="G35" s="168">
        <v>30</v>
      </c>
      <c r="H35" s="168">
        <v>2E-3</v>
      </c>
      <c r="I35" s="168">
        <v>5.0000000000000001E-3</v>
      </c>
      <c r="J35" s="168">
        <f>0.62*SQRT(G35)</f>
        <v>3.3958798565320301</v>
      </c>
      <c r="K35" s="168">
        <v>0</v>
      </c>
      <c r="L35" s="168">
        <v>0.2</v>
      </c>
      <c r="M35" s="168">
        <v>0</v>
      </c>
      <c r="N35" s="168">
        <v>0</v>
      </c>
      <c r="O35" s="168">
        <v>0</v>
      </c>
      <c r="P35" s="168">
        <v>0</v>
      </c>
      <c r="Q35" s="168">
        <v>0</v>
      </c>
      <c r="R35" s="168">
        <v>0</v>
      </c>
      <c r="S35" s="168">
        <v>0</v>
      </c>
      <c r="T35" s="168">
        <v>0</v>
      </c>
      <c r="U35" s="168">
        <v>0</v>
      </c>
      <c r="V35" s="168">
        <v>0</v>
      </c>
      <c r="W35" s="168">
        <v>0</v>
      </c>
      <c r="X35" s="168">
        <v>0</v>
      </c>
      <c r="Y35" s="168">
        <v>0</v>
      </c>
      <c r="Z35" s="168">
        <v>0</v>
      </c>
      <c r="AA35" s="168">
        <v>0</v>
      </c>
      <c r="AB35" s="168">
        <v>0</v>
      </c>
      <c r="AC35" s="168">
        <v>0</v>
      </c>
      <c r="AD35" s="168">
        <v>0</v>
      </c>
      <c r="AE35" s="168">
        <v>0</v>
      </c>
      <c r="AF35" s="168">
        <v>0</v>
      </c>
      <c r="AG35" s="168">
        <v>0</v>
      </c>
      <c r="AH35" s="168">
        <v>0</v>
      </c>
    </row>
    <row r="36" spans="1:34" x14ac:dyDescent="0.2">
      <c r="A36" s="90" t="s">
        <v>17</v>
      </c>
      <c r="B36" s="90" t="s">
        <v>2</v>
      </c>
      <c r="C36" s="90" t="s">
        <v>236</v>
      </c>
      <c r="D36" s="168">
        <v>23.6</v>
      </c>
      <c r="E36" s="168">
        <f>E35</f>
        <v>25742.960202742808</v>
      </c>
      <c r="F36" s="168">
        <v>0.2</v>
      </c>
      <c r="G36" s="168">
        <f>47.2156312521873</f>
        <v>47.215631252187301</v>
      </c>
      <c r="H36" s="168">
        <v>7.7385437507291001E-3</v>
      </c>
      <c r="I36" s="168">
        <v>2.2428475272193799E-2</v>
      </c>
      <c r="J36" s="168">
        <f>0.62*SQRT(G36)</f>
        <v>4.2602451400524828</v>
      </c>
      <c r="K36" s="168">
        <v>0</v>
      </c>
      <c r="L36" s="168">
        <v>0.2</v>
      </c>
      <c r="M36" s="168">
        <v>0</v>
      </c>
      <c r="N36" s="168">
        <v>0</v>
      </c>
      <c r="O36" s="168">
        <v>0</v>
      </c>
      <c r="P36" s="168">
        <v>0</v>
      </c>
      <c r="Q36" s="168">
        <v>0</v>
      </c>
      <c r="R36" s="168">
        <v>0</v>
      </c>
      <c r="S36" s="168">
        <v>0</v>
      </c>
      <c r="T36" s="168">
        <v>0</v>
      </c>
      <c r="U36" s="168">
        <v>0</v>
      </c>
      <c r="V36" s="168">
        <v>0</v>
      </c>
      <c r="W36" s="168">
        <v>0</v>
      </c>
      <c r="X36" s="168">
        <v>0</v>
      </c>
      <c r="Y36" s="168">
        <v>0</v>
      </c>
      <c r="Z36" s="168">
        <v>0</v>
      </c>
      <c r="AA36" s="168">
        <v>0</v>
      </c>
      <c r="AB36" s="168">
        <v>0</v>
      </c>
      <c r="AC36" s="168">
        <v>0</v>
      </c>
      <c r="AD36" s="168">
        <v>0</v>
      </c>
      <c r="AE36" s="168">
        <v>0</v>
      </c>
      <c r="AF36" s="168">
        <v>0</v>
      </c>
      <c r="AG36" s="168">
        <v>0</v>
      </c>
      <c r="AH36" s="168">
        <v>0</v>
      </c>
    </row>
    <row r="37" spans="1:34" x14ac:dyDescent="0.2">
      <c r="A37" s="90" t="s">
        <v>18</v>
      </c>
      <c r="B37" s="90" t="s">
        <v>3</v>
      </c>
      <c r="C37" s="90" t="s">
        <v>273</v>
      </c>
      <c r="D37" s="168">
        <f>7850*9.80665/1000</f>
        <v>76.9822025</v>
      </c>
      <c r="E37" s="168">
        <v>200000</v>
      </c>
      <c r="F37" s="168">
        <v>0.3</v>
      </c>
      <c r="G37" s="168">
        <v>420</v>
      </c>
      <c r="H37" s="168">
        <v>525</v>
      </c>
      <c r="I37" s="168">
        <v>0.08</v>
      </c>
      <c r="J37" s="168">
        <v>0</v>
      </c>
      <c r="K37" s="168">
        <v>20</v>
      </c>
      <c r="L37" s="168">
        <v>0.92500000000000004</v>
      </c>
      <c r="M37" s="168">
        <v>0.15</v>
      </c>
      <c r="N37" s="168">
        <v>0</v>
      </c>
      <c r="O37" s="168">
        <v>1</v>
      </c>
      <c r="P37" s="168">
        <v>0</v>
      </c>
      <c r="Q37" s="168">
        <v>1</v>
      </c>
      <c r="R37" s="168">
        <v>0</v>
      </c>
      <c r="S37" s="168">
        <v>0.08</v>
      </c>
      <c r="T37" s="168">
        <v>0.08</v>
      </c>
      <c r="U37" s="168">
        <v>0</v>
      </c>
      <c r="V37" s="168">
        <v>0</v>
      </c>
      <c r="W37" s="168">
        <v>0</v>
      </c>
      <c r="X37" s="168">
        <v>0</v>
      </c>
      <c r="Y37" s="168">
        <v>0</v>
      </c>
      <c r="Z37" s="168">
        <v>0</v>
      </c>
      <c r="AA37" s="168">
        <v>0</v>
      </c>
      <c r="AB37" s="168">
        <v>0</v>
      </c>
      <c r="AC37" s="168">
        <v>0</v>
      </c>
      <c r="AD37" s="168">
        <v>0</v>
      </c>
      <c r="AE37" s="168">
        <v>0</v>
      </c>
      <c r="AF37" s="168">
        <v>0</v>
      </c>
      <c r="AG37" s="168">
        <v>0</v>
      </c>
      <c r="AH37" s="168">
        <v>0</v>
      </c>
    </row>
    <row r="38" spans="1:34" x14ac:dyDescent="0.2">
      <c r="A38" s="159" t="s">
        <v>188</v>
      </c>
      <c r="B38" s="90" t="s">
        <v>243</v>
      </c>
      <c r="C38" s="90" t="s">
        <v>187</v>
      </c>
      <c r="D38" s="168">
        <v>0</v>
      </c>
      <c r="E38" s="168">
        <v>0</v>
      </c>
      <c r="F38" s="168">
        <v>0</v>
      </c>
      <c r="G38" s="168">
        <v>114958.97490209967</v>
      </c>
      <c r="H38" s="168">
        <v>0</v>
      </c>
      <c r="I38" s="168">
        <v>0</v>
      </c>
      <c r="J38" s="168">
        <v>243.16919999999999</v>
      </c>
      <c r="K38" s="168">
        <v>388.62200000000001</v>
      </c>
      <c r="L38" s="168">
        <v>267.48612000000003</v>
      </c>
      <c r="M38" s="168">
        <v>427.48420000000004</v>
      </c>
      <c r="N38" s="168">
        <v>0</v>
      </c>
      <c r="O38" s="168">
        <v>0</v>
      </c>
      <c r="P38" s="168">
        <v>0</v>
      </c>
      <c r="Q38" s="168">
        <v>0</v>
      </c>
      <c r="R38" s="168">
        <v>1</v>
      </c>
      <c r="S38" s="168">
        <v>1</v>
      </c>
      <c r="T38" s="168">
        <v>1</v>
      </c>
      <c r="U38" s="168">
        <v>1</v>
      </c>
      <c r="V38" s="168">
        <v>2.2268112818223454E-2</v>
      </c>
      <c r="W38" s="168">
        <v>2.2268112818223454E-2</v>
      </c>
      <c r="X38" s="168">
        <v>2.2268112818223454E-2</v>
      </c>
      <c r="Y38" s="168">
        <v>2.2268112818223454E-2</v>
      </c>
      <c r="Z38" s="168">
        <v>4.1385682576436635E-2</v>
      </c>
      <c r="AA38" s="168">
        <v>4.1385682576436635E-2</v>
      </c>
      <c r="AB38" s="168">
        <v>0.2</v>
      </c>
      <c r="AC38" s="168">
        <v>0.2</v>
      </c>
      <c r="AD38" s="168">
        <v>1</v>
      </c>
      <c r="AE38" s="168">
        <v>1</v>
      </c>
      <c r="AF38" s="168">
        <v>0</v>
      </c>
      <c r="AG38" s="168">
        <v>0</v>
      </c>
      <c r="AH38" s="168">
        <v>0</v>
      </c>
    </row>
    <row r="39" spans="1:34" x14ac:dyDescent="0.2">
      <c r="A39" s="220" t="s">
        <v>350</v>
      </c>
      <c r="B39" s="90" t="s">
        <v>307</v>
      </c>
      <c r="C39" s="90" t="s">
        <v>349</v>
      </c>
      <c r="D39" s="168">
        <v>0</v>
      </c>
      <c r="E39" s="168">
        <v>0</v>
      </c>
      <c r="F39" s="168">
        <v>0</v>
      </c>
      <c r="G39" s="168">
        <v>0</v>
      </c>
      <c r="H39" s="168">
        <v>0</v>
      </c>
      <c r="I39" s="168">
        <f>(E33/(2*(1+F33))) * 1000 * ((5/6)*0.7*0.7)</f>
        <v>4379878.6456055474</v>
      </c>
      <c r="J39" s="168">
        <v>0</v>
      </c>
      <c r="K39" s="168">
        <v>0</v>
      </c>
      <c r="L39" s="168">
        <v>0</v>
      </c>
      <c r="M39" s="168">
        <v>0</v>
      </c>
      <c r="N39" s="168">
        <v>0</v>
      </c>
      <c r="O39" s="168">
        <v>0</v>
      </c>
      <c r="P39" s="168">
        <v>0</v>
      </c>
      <c r="Q39" s="168">
        <v>0</v>
      </c>
      <c r="R39" s="168">
        <v>0</v>
      </c>
      <c r="S39" s="168">
        <v>0</v>
      </c>
      <c r="T39" s="168">
        <v>0</v>
      </c>
      <c r="U39" s="168">
        <v>0</v>
      </c>
      <c r="V39" s="168">
        <v>0</v>
      </c>
      <c r="W39" s="168">
        <v>0</v>
      </c>
      <c r="X39" s="168">
        <v>0</v>
      </c>
      <c r="Y39" s="168">
        <v>0</v>
      </c>
      <c r="Z39" s="168">
        <v>0</v>
      </c>
      <c r="AA39" s="168">
        <v>0</v>
      </c>
      <c r="AB39" s="168">
        <v>0</v>
      </c>
      <c r="AC39" s="168">
        <v>0</v>
      </c>
      <c r="AD39" s="168">
        <v>0</v>
      </c>
      <c r="AE39" s="168">
        <v>0</v>
      </c>
      <c r="AF39" s="168">
        <v>0</v>
      </c>
      <c r="AG39" s="168">
        <v>0</v>
      </c>
      <c r="AH39" s="168">
        <v>0</v>
      </c>
    </row>
    <row r="40" spans="1:34" x14ac:dyDescent="0.2">
      <c r="A40" s="220" t="s">
        <v>351</v>
      </c>
      <c r="B40" s="90" t="s">
        <v>307</v>
      </c>
      <c r="C40" s="90" t="s">
        <v>356</v>
      </c>
      <c r="D40" s="168">
        <v>0</v>
      </c>
      <c r="E40" s="168">
        <v>0</v>
      </c>
      <c r="F40" s="168">
        <v>0</v>
      </c>
      <c r="G40" s="168">
        <v>0</v>
      </c>
      <c r="H40" s="168">
        <v>0</v>
      </c>
      <c r="I40" s="168">
        <v>0</v>
      </c>
      <c r="J40" s="168">
        <v>0</v>
      </c>
      <c r="K40" s="168">
        <f>(E33/(2*(1+F33))) * 1000 * ((5/6)*0.7*0.7)</f>
        <v>4379878.6456055474</v>
      </c>
      <c r="L40" s="168">
        <v>0</v>
      </c>
      <c r="M40" s="168">
        <v>0</v>
      </c>
      <c r="N40" s="168">
        <v>0</v>
      </c>
      <c r="O40" s="168">
        <v>0</v>
      </c>
      <c r="P40" s="168">
        <v>0</v>
      </c>
      <c r="Q40" s="168">
        <v>0</v>
      </c>
      <c r="R40" s="168">
        <v>0</v>
      </c>
      <c r="S40" s="168">
        <v>0</v>
      </c>
      <c r="T40" s="168">
        <v>0</v>
      </c>
      <c r="U40" s="168">
        <v>0</v>
      </c>
      <c r="V40" s="168">
        <v>0</v>
      </c>
      <c r="W40" s="168">
        <v>0</v>
      </c>
      <c r="X40" s="168">
        <v>0</v>
      </c>
      <c r="Y40" s="168">
        <v>0</v>
      </c>
      <c r="Z40" s="168">
        <v>0</v>
      </c>
      <c r="AA40" s="168">
        <v>0</v>
      </c>
      <c r="AB40" s="168">
        <v>0</v>
      </c>
      <c r="AC40" s="168">
        <v>0</v>
      </c>
      <c r="AD40" s="168">
        <v>0</v>
      </c>
      <c r="AE40" s="168">
        <v>0</v>
      </c>
      <c r="AF40" s="168">
        <v>0</v>
      </c>
      <c r="AG40" s="168">
        <v>0</v>
      </c>
      <c r="AH40" s="168">
        <v>0</v>
      </c>
    </row>
  </sheetData>
  <mergeCells count="10">
    <mergeCell ref="AA9:AH9"/>
    <mergeCell ref="AA10:AH10"/>
    <mergeCell ref="AA11:AH11"/>
    <mergeCell ref="AA26:AH26"/>
    <mergeCell ref="AA12:AH12"/>
    <mergeCell ref="AA13:AH13"/>
    <mergeCell ref="AA14:AH15"/>
    <mergeCell ref="AA16:AH18"/>
    <mergeCell ref="AA19:AH21"/>
    <mergeCell ref="AA22:AH25"/>
  </mergeCells>
  <conditionalFormatting sqref="D33:F1048576">
    <cfRule type="expression" dxfId="47" priority="2">
      <formula>OR($B33="Aggregator")</formula>
    </cfRule>
    <cfRule type="expression" dxfId="46" priority="6">
      <formula>OR($B33="Spring")</formula>
    </cfRule>
  </conditionalFormatting>
  <conditionalFormatting sqref="H33:AH1048576">
    <cfRule type="expression" dxfId="45" priority="9">
      <formula>AND($B33="Concrete",$C33="Elastic")</formula>
    </cfRule>
  </conditionalFormatting>
  <conditionalFormatting sqref="I33:AH1048576">
    <cfRule type="expression" dxfId="44" priority="8">
      <formula>AND(OR($B33="Rebar",$B33="Steel"),$C33="Elastic")</formula>
    </cfRule>
  </conditionalFormatting>
  <conditionalFormatting sqref="M33:AH1048576">
    <cfRule type="expression" dxfId="43" priority="1">
      <formula>AND($B33="Aggregator",$C33="ElasticAggregator")</formula>
    </cfRule>
    <cfRule type="expression" dxfId="42" priority="20">
      <formula>AND($B33="Concrete",$C33="Concrete04")</formula>
    </cfRule>
  </conditionalFormatting>
  <conditionalFormatting sqref="O33:AH1048576">
    <cfRule type="expression" dxfId="41" priority="11">
      <formula>AND($B33="Concrete",$C33="Concrete04+MinMax")</formula>
    </cfRule>
  </conditionalFormatting>
  <conditionalFormatting sqref="S33:AH1048576">
    <cfRule type="expression" dxfId="40" priority="7">
      <formula>AND(OR($B33="Rebar",$B33="Steel"),$C33="Steel02")</formula>
    </cfRule>
  </conditionalFormatting>
  <conditionalFormatting sqref="U33:AH1048576">
    <cfRule type="expression" dxfId="39" priority="10">
      <formula>AND(OR($B33="Rebar",$B33="Steel"),$C33="Steel02+MinMax")</formula>
    </cfRule>
  </conditionalFormatting>
  <conditionalFormatting sqref="AF33:AH1048576">
    <cfRule type="expression" dxfId="38" priority="4">
      <formula>AND($B33="Spring",$C33="IMKPeakOriented")</formula>
    </cfRule>
  </conditionalFormatting>
  <conditionalFormatting sqref="AG33:AH1048576">
    <cfRule type="expression" dxfId="37" priority="5">
      <formula>AND($B33="Spring",$C33="IMKBilinear")</formula>
    </cfRule>
  </conditionalFormatting>
  <dataValidations xWindow="1021" yWindow="300" count="4">
    <dataValidation type="textLength" allowBlank="1" showInputMessage="1" showErrorMessage="1" errorTitle="Invalid Input" error="Please enter maximum 32 characters only." sqref="A33:A1048576" xr:uid="{131760B7-786E-3D4C-B392-BB100595E619}">
      <formula1>1</formula1>
      <formula2>32</formula2>
    </dataValidation>
    <dataValidation type="list" showInputMessage="1" showErrorMessage="1" errorTitle="Invalid Input" error="Choose from the list" sqref="B33:B1048576" xr:uid="{FF5910DB-B386-D14E-959D-0FD1DC758343}">
      <formula1>Mat_Type</formula1>
    </dataValidation>
    <dataValidation type="decimal" allowBlank="1" showInputMessage="1" showErrorMessage="1" errorTitle="Invalid Input" error="Please enter a float value only." sqref="D33:AI1048576" xr:uid="{FCAF7430-218B-6845-83DC-1DDC9A5D41A0}">
      <formula1>0</formula1>
      <formula2>1000000000000</formula2>
    </dataValidation>
    <dataValidation type="list" showInputMessage="1" showErrorMessage="1" errorTitle="Invalid Input" error="Choose from the list" sqref="C33:C1048576" xr:uid="{0CFE9A7D-744C-0049-9CE5-4AAAE6F48C9C}">
      <formula1>IF($B33="Concrete",Mat_Model_Concrete,IF(OR($B33="Rebar",$B33="Steel"),Mat_Model_Steel,IF($B33="Spring",Mat_Model_Hysteretic,IF($B33="Aggregator",Mat_Model_Agg,Blank))))</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D375-DBFA-4947-9799-8505849C9E0A}">
  <sheetPr codeName="Sheet10"/>
  <dimension ref="A1:AD1019"/>
  <sheetViews>
    <sheetView tabSelected="1" zoomScale="130" zoomScaleNormal="130" workbookViewId="0">
      <selection activeCell="H23" sqref="H23"/>
    </sheetView>
  </sheetViews>
  <sheetFormatPr baseColWidth="10" defaultColWidth="10.83203125" defaultRowHeight="16" x14ac:dyDescent="0.2"/>
  <cols>
    <col min="1" max="14" width="20.6640625" style="192" customWidth="1"/>
    <col min="15" max="20" width="10.6640625" style="193" customWidth="1"/>
    <col min="21" max="22" width="15.6640625" style="193" customWidth="1"/>
    <col min="23" max="27" width="15.6640625" style="194" customWidth="1"/>
    <col min="28" max="30" width="15.6640625" style="195" customWidth="1"/>
    <col min="31" max="16384" width="10.83203125" style="180"/>
  </cols>
  <sheetData>
    <row r="1" spans="1:30" x14ac:dyDescent="0.2">
      <c r="A1" s="175" t="s">
        <v>101</v>
      </c>
      <c r="B1" s="176"/>
      <c r="C1" s="176"/>
      <c r="D1" s="176"/>
      <c r="E1" s="176"/>
      <c r="F1" s="176"/>
      <c r="G1" s="176"/>
      <c r="H1" s="176"/>
      <c r="I1" s="176"/>
      <c r="J1" s="176"/>
      <c r="K1" s="176"/>
      <c r="L1" s="176"/>
      <c r="M1" s="176"/>
      <c r="N1" s="177"/>
      <c r="O1" s="178"/>
      <c r="P1" s="178"/>
      <c r="Q1" s="178"/>
      <c r="R1" s="178"/>
      <c r="S1" s="178"/>
      <c r="T1" s="179"/>
      <c r="U1" s="178"/>
      <c r="V1" s="178"/>
      <c r="W1" s="197"/>
      <c r="X1" s="197"/>
      <c r="Y1" s="197"/>
      <c r="Z1" s="197"/>
      <c r="AA1" s="197"/>
      <c r="AB1" s="197"/>
      <c r="AC1" s="197"/>
      <c r="AD1" s="198"/>
    </row>
    <row r="2" spans="1:30" x14ac:dyDescent="0.2">
      <c r="A2" s="181" t="s">
        <v>170</v>
      </c>
      <c r="B2" s="122"/>
      <c r="C2" s="122"/>
      <c r="D2" s="122"/>
      <c r="E2" s="122"/>
      <c r="F2" s="122"/>
      <c r="G2" s="122"/>
      <c r="H2" s="122"/>
      <c r="I2" s="122"/>
      <c r="J2" s="206"/>
      <c r="K2" s="206"/>
      <c r="L2" s="206"/>
      <c r="M2" s="206"/>
      <c r="N2" s="183" t="s">
        <v>203</v>
      </c>
      <c r="O2" s="209"/>
      <c r="P2" s="209"/>
      <c r="Q2" s="209"/>
      <c r="R2" s="210"/>
      <c r="S2" s="209"/>
      <c r="T2" s="215"/>
      <c r="U2" s="210" t="s">
        <v>303</v>
      </c>
      <c r="V2" s="210"/>
      <c r="W2" s="211"/>
      <c r="X2" s="211"/>
      <c r="Y2" s="211"/>
      <c r="Z2" s="211"/>
      <c r="AA2" s="211"/>
      <c r="AB2" s="211"/>
      <c r="AC2" s="211"/>
      <c r="AD2" s="199"/>
    </row>
    <row r="3" spans="1:30" x14ac:dyDescent="0.2">
      <c r="A3" s="181" t="s">
        <v>171</v>
      </c>
      <c r="B3" s="122"/>
      <c r="C3" s="122"/>
      <c r="D3" s="122"/>
      <c r="E3" s="122"/>
      <c r="F3" s="122"/>
      <c r="G3" s="122"/>
      <c r="H3" s="122"/>
      <c r="I3" s="122"/>
      <c r="J3" s="206"/>
      <c r="K3" s="206"/>
      <c r="L3" s="206"/>
      <c r="M3" s="206"/>
      <c r="N3" s="183" t="s">
        <v>204</v>
      </c>
      <c r="O3" s="209"/>
      <c r="P3" s="209"/>
      <c r="Q3" s="209"/>
      <c r="R3" s="210"/>
      <c r="S3" s="209"/>
      <c r="T3" s="215"/>
      <c r="U3" s="210" t="s">
        <v>302</v>
      </c>
      <c r="V3" s="210"/>
      <c r="W3" s="211"/>
      <c r="X3" s="211"/>
      <c r="Y3" s="211"/>
      <c r="Z3" s="211"/>
      <c r="AA3" s="211"/>
      <c r="AB3" s="211"/>
      <c r="AC3" s="211"/>
      <c r="AD3" s="199"/>
    </row>
    <row r="4" spans="1:30" x14ac:dyDescent="0.2">
      <c r="A4" s="174" t="s">
        <v>285</v>
      </c>
      <c r="B4" s="122"/>
      <c r="C4" s="122"/>
      <c r="D4" s="122"/>
      <c r="E4" s="122"/>
      <c r="F4" s="122"/>
      <c r="G4" s="122"/>
      <c r="H4" s="122"/>
      <c r="I4" s="122"/>
      <c r="J4" s="206"/>
      <c r="K4" s="206"/>
      <c r="L4" s="206"/>
      <c r="M4" s="206"/>
      <c r="N4" s="183" t="s">
        <v>205</v>
      </c>
      <c r="O4" s="209"/>
      <c r="P4" s="209"/>
      <c r="Q4" s="209"/>
      <c r="R4" s="206"/>
      <c r="S4" s="209"/>
      <c r="T4" s="182"/>
      <c r="U4" s="209"/>
      <c r="V4" s="209"/>
      <c r="W4" s="211"/>
      <c r="X4" s="211"/>
      <c r="Y4" s="211"/>
      <c r="Z4" s="211"/>
      <c r="AA4" s="211"/>
      <c r="AB4" s="211"/>
      <c r="AC4" s="211"/>
      <c r="AD4" s="199"/>
    </row>
    <row r="5" spans="1:30" ht="16" customHeight="1" x14ac:dyDescent="0.2">
      <c r="A5" s="243" t="s">
        <v>361</v>
      </c>
      <c r="B5" s="231"/>
      <c r="C5" s="231"/>
      <c r="D5" s="231"/>
      <c r="E5" s="231"/>
      <c r="F5" s="231"/>
      <c r="G5" s="231"/>
      <c r="H5" s="231"/>
      <c r="I5" s="231"/>
      <c r="J5" s="231"/>
      <c r="K5" s="219"/>
      <c r="L5" s="219"/>
      <c r="M5" s="219"/>
      <c r="N5" s="183" t="s">
        <v>206</v>
      </c>
      <c r="O5" s="203"/>
      <c r="P5" s="203"/>
      <c r="Q5" s="203"/>
      <c r="R5" s="206"/>
      <c r="S5" s="209"/>
      <c r="T5" s="182"/>
      <c r="U5" s="209"/>
      <c r="V5" s="209"/>
      <c r="W5" s="211"/>
      <c r="X5" s="211"/>
      <c r="Y5" s="211"/>
      <c r="Z5" s="211"/>
      <c r="AA5" s="211"/>
      <c r="AB5" s="211"/>
      <c r="AC5" s="211"/>
      <c r="AD5" s="199"/>
    </row>
    <row r="6" spans="1:30" x14ac:dyDescent="0.2">
      <c r="A6" s="230"/>
      <c r="B6" s="231"/>
      <c r="C6" s="231"/>
      <c r="D6" s="231"/>
      <c r="E6" s="231"/>
      <c r="F6" s="231"/>
      <c r="G6" s="231"/>
      <c r="H6" s="231"/>
      <c r="I6" s="231"/>
      <c r="J6" s="231"/>
      <c r="K6" s="219"/>
      <c r="L6" s="219"/>
      <c r="M6" s="219"/>
      <c r="N6" s="183" t="s">
        <v>207</v>
      </c>
      <c r="O6" s="203"/>
      <c r="P6" s="203"/>
      <c r="Q6" s="203"/>
      <c r="R6" s="206"/>
      <c r="S6" s="209"/>
      <c r="T6" s="182"/>
      <c r="U6" s="209"/>
      <c r="V6" s="209"/>
      <c r="W6" s="211"/>
      <c r="X6" s="211"/>
      <c r="Y6" s="211"/>
      <c r="Z6" s="211"/>
      <c r="AA6" s="211"/>
      <c r="AB6" s="211"/>
      <c r="AC6" s="211"/>
      <c r="AD6" s="199"/>
    </row>
    <row r="7" spans="1:30" ht="16" customHeight="1" x14ac:dyDescent="0.2">
      <c r="A7" s="243" t="s">
        <v>362</v>
      </c>
      <c r="B7" s="231"/>
      <c r="C7" s="231"/>
      <c r="D7" s="231"/>
      <c r="E7" s="231"/>
      <c r="F7" s="231"/>
      <c r="G7" s="231"/>
      <c r="H7" s="231"/>
      <c r="I7" s="231"/>
      <c r="J7" s="231"/>
      <c r="K7" s="219"/>
      <c r="L7" s="219"/>
      <c r="M7" s="219"/>
      <c r="N7" s="183" t="s">
        <v>208</v>
      </c>
      <c r="O7" s="203"/>
      <c r="P7" s="203"/>
      <c r="Q7" s="203"/>
      <c r="R7" s="206"/>
      <c r="S7" s="209"/>
      <c r="T7" s="182"/>
      <c r="U7" s="209"/>
      <c r="V7" s="209"/>
      <c r="W7" s="211"/>
      <c r="X7" s="211"/>
      <c r="Y7" s="211"/>
      <c r="Z7" s="211"/>
      <c r="AA7" s="211"/>
      <c r="AB7" s="211"/>
      <c r="AC7" s="211"/>
      <c r="AD7" s="199"/>
    </row>
    <row r="8" spans="1:30" ht="16" customHeight="1" x14ac:dyDescent="0.2">
      <c r="A8" s="243" t="s">
        <v>363</v>
      </c>
      <c r="B8" s="231"/>
      <c r="C8" s="231"/>
      <c r="D8" s="231"/>
      <c r="E8" s="231"/>
      <c r="F8" s="231"/>
      <c r="G8" s="231"/>
      <c r="H8" s="231"/>
      <c r="I8" s="231"/>
      <c r="J8" s="231"/>
      <c r="K8" s="219"/>
      <c r="L8" s="219"/>
      <c r="M8" s="219"/>
      <c r="N8" s="181" t="str">
        <f>"- h: Height of rectangular section (Input as Float) ("&amp;'User Defined Units'!$B$11&amp;")"</f>
        <v>- h: Height of rectangular section (Input as Float) (m)</v>
      </c>
      <c r="O8" s="203"/>
      <c r="P8" s="203"/>
      <c r="Q8" s="203"/>
      <c r="R8" s="207"/>
      <c r="S8" s="209"/>
      <c r="T8" s="182"/>
      <c r="U8" s="209"/>
      <c r="V8" s="209"/>
      <c r="W8" s="211"/>
      <c r="X8" s="211"/>
      <c r="Y8" s="211"/>
      <c r="Z8" s="211"/>
      <c r="AA8" s="211"/>
      <c r="AB8" s="211"/>
      <c r="AC8" s="211"/>
      <c r="AD8" s="199"/>
    </row>
    <row r="9" spans="1:30" ht="16" customHeight="1" x14ac:dyDescent="0.2">
      <c r="A9" s="243" t="s">
        <v>364</v>
      </c>
      <c r="B9" s="231"/>
      <c r="C9" s="231"/>
      <c r="D9" s="231"/>
      <c r="E9" s="231"/>
      <c r="F9" s="231"/>
      <c r="G9" s="231"/>
      <c r="H9" s="231"/>
      <c r="I9" s="231"/>
      <c r="J9" s="231"/>
      <c r="K9" s="219"/>
      <c r="L9" s="219"/>
      <c r="M9" s="219"/>
      <c r="N9" s="181" t="str">
        <f>"- b: Width of rectangular section (Input as Float) ("&amp;'User Defined Units'!$B$11&amp;")"</f>
        <v>- b: Width of rectangular section (Input as Float) (m)</v>
      </c>
      <c r="O9" s="203"/>
      <c r="P9" s="203"/>
      <c r="Q9" s="203"/>
      <c r="R9" s="207"/>
      <c r="S9" s="209"/>
      <c r="T9" s="182"/>
      <c r="U9" s="209"/>
      <c r="V9" s="209"/>
      <c r="W9" s="211"/>
      <c r="X9" s="211"/>
      <c r="Y9" s="211"/>
      <c r="Z9" s="211"/>
      <c r="AA9" s="211"/>
      <c r="AB9" s="211"/>
      <c r="AC9" s="211"/>
      <c r="AD9" s="199"/>
    </row>
    <row r="10" spans="1:30" ht="16" customHeight="1" x14ac:dyDescent="0.2">
      <c r="A10" s="243" t="s">
        <v>365</v>
      </c>
      <c r="B10" s="231"/>
      <c r="C10" s="231"/>
      <c r="D10" s="231"/>
      <c r="E10" s="231"/>
      <c r="F10" s="231"/>
      <c r="G10" s="231"/>
      <c r="H10" s="231"/>
      <c r="I10" s="231"/>
      <c r="J10" s="231"/>
      <c r="K10" s="219"/>
      <c r="L10" s="219"/>
      <c r="M10" s="219"/>
      <c r="N10" s="174" t="str">
        <f>"- c: Concrete cover (Input as Float) ("&amp;'User Defined Units'!$B$11&amp;")"</f>
        <v>- c: Concrete cover (Input as Float) (m)</v>
      </c>
      <c r="O10" s="203"/>
      <c r="P10" s="203"/>
      <c r="Q10" s="203"/>
      <c r="R10" s="208"/>
      <c r="S10" s="209"/>
      <c r="T10" s="182"/>
      <c r="U10" s="209"/>
      <c r="V10" s="209"/>
      <c r="W10" s="211"/>
      <c r="X10" s="211"/>
      <c r="Y10" s="211"/>
      <c r="Z10" s="211"/>
      <c r="AA10" s="211"/>
      <c r="AB10" s="211"/>
      <c r="AC10" s="211"/>
      <c r="AD10" s="199"/>
    </row>
    <row r="11" spans="1:30" ht="16" customHeight="1" x14ac:dyDescent="0.2">
      <c r="A11" s="243" t="s">
        <v>366</v>
      </c>
      <c r="B11" s="231"/>
      <c r="C11" s="231"/>
      <c r="D11" s="231"/>
      <c r="E11" s="231"/>
      <c r="F11" s="231"/>
      <c r="G11" s="231"/>
      <c r="H11" s="231"/>
      <c r="I11" s="231"/>
      <c r="J11" s="231"/>
      <c r="K11" s="219"/>
      <c r="L11" s="219"/>
      <c r="M11" s="219"/>
      <c r="N11" s="181" t="str">
        <f>"- barDiaHoop: Diameter of hoops (Input as Float) ("&amp;'User Defined Units'!$B$11&amp;")"</f>
        <v>- barDiaHoop: Diameter of hoops (Input as Float) (m)</v>
      </c>
      <c r="O11" s="203"/>
      <c r="P11" s="203"/>
      <c r="Q11" s="203"/>
      <c r="R11" s="207"/>
      <c r="S11" s="209"/>
      <c r="T11" s="182"/>
      <c r="U11" s="209"/>
      <c r="V11" s="209"/>
      <c r="W11" s="211"/>
      <c r="X11" s="211"/>
      <c r="Y11" s="211"/>
      <c r="Z11" s="211"/>
      <c r="AA11" s="211"/>
      <c r="AB11" s="211"/>
      <c r="AC11" s="211"/>
      <c r="AD11" s="199"/>
    </row>
    <row r="12" spans="1:30" ht="16" customHeight="1" x14ac:dyDescent="0.2">
      <c r="A12" s="221" t="s">
        <v>341</v>
      </c>
      <c r="B12" s="203"/>
      <c r="C12" s="203"/>
      <c r="D12" s="203"/>
      <c r="E12" s="203"/>
      <c r="F12" s="203"/>
      <c r="G12" s="203"/>
      <c r="H12" s="203"/>
      <c r="I12" s="203"/>
      <c r="J12" s="207"/>
      <c r="K12" s="207"/>
      <c r="L12" s="207"/>
      <c r="M12" s="207"/>
      <c r="N12" s="181" t="str">
        <f>"- barDiaTop: Diameter of top reinforcements (Input as Float) ("&amp;'User Defined Units'!$B$11&amp;")"</f>
        <v>- barDiaTop: Diameter of top reinforcements (Input as Float) (m)</v>
      </c>
      <c r="O12" s="209"/>
      <c r="P12" s="209"/>
      <c r="Q12" s="209"/>
      <c r="R12" s="207"/>
      <c r="S12" s="209"/>
      <c r="T12" s="182"/>
      <c r="U12" s="209"/>
      <c r="V12" s="209"/>
      <c r="W12" s="211"/>
      <c r="X12" s="211"/>
      <c r="Y12" s="211"/>
      <c r="Z12" s="211"/>
      <c r="AA12" s="211"/>
      <c r="AB12" s="211"/>
      <c r="AC12" s="211"/>
      <c r="AD12" s="199"/>
    </row>
    <row r="13" spans="1:30" ht="16" customHeight="1" x14ac:dyDescent="0.2">
      <c r="A13" s="221" t="s">
        <v>342</v>
      </c>
      <c r="B13" s="205"/>
      <c r="C13" s="205"/>
      <c r="D13" s="205"/>
      <c r="E13" s="205"/>
      <c r="F13" s="205"/>
      <c r="G13" s="205"/>
      <c r="H13" s="205"/>
      <c r="I13" s="205"/>
      <c r="J13" s="207"/>
      <c r="K13" s="207"/>
      <c r="L13" s="207"/>
      <c r="M13" s="207"/>
      <c r="N13" s="181" t="str">
        <f>"- barDiaBot: Diameter of bottom reinforcements (Input as Float) ("&amp;'User Defined Units'!$B$11&amp;")"</f>
        <v>- barDiaBot: Diameter of bottom reinforcements (Input as Float) (m)</v>
      </c>
      <c r="O13" s="209"/>
      <c r="P13" s="209"/>
      <c r="Q13" s="209"/>
      <c r="R13" s="207"/>
      <c r="S13" s="209"/>
      <c r="T13" s="182"/>
      <c r="U13" s="209"/>
      <c r="V13" s="209"/>
      <c r="W13" s="211"/>
      <c r="X13" s="211"/>
      <c r="Y13" s="211"/>
      <c r="Z13" s="211"/>
      <c r="AA13" s="211"/>
      <c r="AB13" s="211"/>
      <c r="AC13" s="211"/>
      <c r="AD13" s="199"/>
    </row>
    <row r="14" spans="1:30" ht="16" customHeight="1" x14ac:dyDescent="0.2">
      <c r="A14" s="202" t="s">
        <v>308</v>
      </c>
      <c r="B14" s="205"/>
      <c r="C14" s="205"/>
      <c r="D14" s="205"/>
      <c r="E14" s="205"/>
      <c r="F14" s="205"/>
      <c r="G14" s="205"/>
      <c r="H14" s="205"/>
      <c r="I14" s="205"/>
      <c r="J14" s="207"/>
      <c r="K14" s="207"/>
      <c r="L14" s="207"/>
      <c r="M14" s="207"/>
      <c r="N14" s="181" t="str">
        <f>"- barDiaInt: Diameter of intermediate reinforcements (Input as Float) ("&amp;'User Defined Units'!$B$11&amp;")"</f>
        <v>- barDiaInt: Diameter of intermediate reinforcements (Input as Float) (m)</v>
      </c>
      <c r="O14" s="209"/>
      <c r="P14" s="209"/>
      <c r="Q14" s="209"/>
      <c r="R14" s="207"/>
      <c r="S14" s="209"/>
      <c r="T14" s="182"/>
      <c r="U14" s="209"/>
      <c r="V14" s="209"/>
      <c r="W14" s="211"/>
      <c r="X14" s="211"/>
      <c r="Y14" s="211"/>
      <c r="Z14" s="211"/>
      <c r="AA14" s="211"/>
      <c r="AB14" s="211"/>
      <c r="AC14" s="211"/>
      <c r="AD14" s="199"/>
    </row>
    <row r="15" spans="1:30" ht="16" customHeight="1" x14ac:dyDescent="0.2">
      <c r="A15" s="204"/>
      <c r="B15" s="205"/>
      <c r="C15" s="205"/>
      <c r="D15" s="205"/>
      <c r="E15" s="205"/>
      <c r="F15" s="205"/>
      <c r="G15" s="205"/>
      <c r="H15" s="205"/>
      <c r="I15" s="205"/>
      <c r="J15" s="207"/>
      <c r="K15" s="207"/>
      <c r="L15" s="207"/>
      <c r="M15" s="207"/>
      <c r="N15" s="181" t="s">
        <v>173</v>
      </c>
      <c r="O15" s="209"/>
      <c r="P15" s="209"/>
      <c r="Q15" s="209"/>
      <c r="R15" s="207"/>
      <c r="S15" s="209"/>
      <c r="T15" s="182"/>
      <c r="U15" s="209"/>
      <c r="V15" s="209"/>
      <c r="W15" s="211"/>
      <c r="X15" s="211"/>
      <c r="Y15" s="211"/>
      <c r="Z15" s="211"/>
      <c r="AA15" s="211"/>
      <c r="AB15" s="211"/>
      <c r="AC15" s="211"/>
      <c r="AD15" s="199"/>
    </row>
    <row r="16" spans="1:30" ht="16" customHeight="1" x14ac:dyDescent="0.2">
      <c r="A16" s="184" t="s">
        <v>119</v>
      </c>
      <c r="B16" s="205"/>
      <c r="C16" s="205"/>
      <c r="D16" s="205"/>
      <c r="E16" s="205"/>
      <c r="F16" s="205"/>
      <c r="G16" s="205"/>
      <c r="H16" s="205"/>
      <c r="I16" s="205"/>
      <c r="J16" s="207"/>
      <c r="K16" s="207"/>
      <c r="L16" s="207"/>
      <c r="M16" s="207"/>
      <c r="N16" s="181" t="s">
        <v>174</v>
      </c>
      <c r="O16" s="209"/>
      <c r="P16" s="209"/>
      <c r="Q16" s="209"/>
      <c r="R16" s="207"/>
      <c r="S16" s="209"/>
      <c r="T16" s="182"/>
      <c r="U16" s="209"/>
      <c r="V16" s="209"/>
      <c r="W16" s="211"/>
      <c r="X16" s="211"/>
      <c r="Y16" s="211"/>
      <c r="Z16" s="211"/>
      <c r="AA16" s="211"/>
      <c r="AB16" s="211"/>
      <c r="AC16" s="211"/>
      <c r="AD16" s="199"/>
    </row>
    <row r="17" spans="1:30" x14ac:dyDescent="0.2">
      <c r="A17" s="185" t="s">
        <v>300</v>
      </c>
      <c r="B17" s="186"/>
      <c r="C17" s="186"/>
      <c r="D17" s="186"/>
      <c r="E17" s="186"/>
      <c r="F17" s="186"/>
      <c r="G17" s="186"/>
      <c r="H17" s="186"/>
      <c r="I17" s="186"/>
      <c r="J17" s="212"/>
      <c r="K17" s="212"/>
      <c r="L17" s="212"/>
      <c r="M17" s="212"/>
      <c r="N17" s="214" t="s">
        <v>175</v>
      </c>
      <c r="O17" s="187"/>
      <c r="P17" s="187"/>
      <c r="Q17" s="187"/>
      <c r="R17" s="212"/>
      <c r="S17" s="187"/>
      <c r="T17" s="188"/>
      <c r="U17" s="187"/>
      <c r="V17" s="187"/>
      <c r="W17" s="200"/>
      <c r="X17" s="200"/>
      <c r="Y17" s="200"/>
      <c r="Z17" s="200"/>
      <c r="AA17" s="200"/>
      <c r="AB17" s="200"/>
      <c r="AC17" s="200"/>
      <c r="AD17" s="201"/>
    </row>
    <row r="18" spans="1:30" x14ac:dyDescent="0.2">
      <c r="A18" s="189"/>
      <c r="B18" s="101"/>
      <c r="C18" s="101"/>
      <c r="D18" s="101"/>
      <c r="E18" s="101"/>
      <c r="F18" s="101"/>
      <c r="G18" s="101"/>
      <c r="H18" s="101"/>
      <c r="I18" s="101"/>
      <c r="J18" s="101"/>
      <c r="K18" s="101"/>
      <c r="L18" s="101"/>
      <c r="M18" s="101"/>
      <c r="N18" s="101"/>
      <c r="O18" s="190"/>
      <c r="P18" s="190"/>
      <c r="Q18" s="190"/>
      <c r="R18" s="190"/>
      <c r="S18" s="190"/>
      <c r="T18" s="190"/>
      <c r="U18" s="190"/>
      <c r="V18" s="190"/>
      <c r="W18" s="180"/>
      <c r="X18" s="180"/>
      <c r="Y18" s="180"/>
      <c r="Z18" s="180"/>
      <c r="AA18" s="180"/>
      <c r="AB18" s="180"/>
      <c r="AC18" s="180"/>
      <c r="AD18" s="180"/>
    </row>
    <row r="19" spans="1:30" s="191" customFormat="1" x14ac:dyDescent="0.2">
      <c r="A19" s="126" t="s">
        <v>24</v>
      </c>
      <c r="B19" s="126" t="s">
        <v>23</v>
      </c>
      <c r="C19" s="126" t="s">
        <v>27</v>
      </c>
      <c r="D19" s="126" t="s">
        <v>211</v>
      </c>
      <c r="E19" s="126" t="s">
        <v>289</v>
      </c>
      <c r="F19" s="126" t="s">
        <v>290</v>
      </c>
      <c r="G19" s="126" t="s">
        <v>304</v>
      </c>
      <c r="H19" s="126" t="s">
        <v>305</v>
      </c>
      <c r="I19" s="126" t="s">
        <v>306</v>
      </c>
      <c r="J19" s="126" t="s">
        <v>30</v>
      </c>
      <c r="K19" s="126" t="s">
        <v>340</v>
      </c>
      <c r="L19" s="126" t="s">
        <v>359</v>
      </c>
      <c r="M19" s="126" t="s">
        <v>358</v>
      </c>
      <c r="N19" s="126" t="s">
        <v>31</v>
      </c>
      <c r="O19" s="126" t="s">
        <v>197</v>
      </c>
      <c r="P19" s="126" t="s">
        <v>198</v>
      </c>
      <c r="Q19" s="126" t="s">
        <v>199</v>
      </c>
      <c r="R19" s="126" t="s">
        <v>200</v>
      </c>
      <c r="S19" s="126" t="s">
        <v>201</v>
      </c>
      <c r="T19" s="126" t="s">
        <v>202</v>
      </c>
      <c r="U19" s="126" t="s">
        <v>287</v>
      </c>
      <c r="V19" s="126" t="s">
        <v>288</v>
      </c>
      <c r="W19" s="126" t="s">
        <v>292</v>
      </c>
      <c r="X19" s="126" t="s">
        <v>293</v>
      </c>
      <c r="Y19" s="126" t="s">
        <v>294</v>
      </c>
      <c r="Z19" s="126" t="s">
        <v>295</v>
      </c>
      <c r="AA19" s="126" t="s">
        <v>296</v>
      </c>
      <c r="AB19" s="126" t="s">
        <v>297</v>
      </c>
      <c r="AC19" s="126" t="s">
        <v>298</v>
      </c>
      <c r="AD19" s="126" t="s">
        <v>299</v>
      </c>
    </row>
    <row r="20" spans="1:30" x14ac:dyDescent="0.2">
      <c r="A20" s="192" t="s">
        <v>28</v>
      </c>
      <c r="B20" s="192" t="s">
        <v>26</v>
      </c>
      <c r="C20" s="192" t="s">
        <v>235</v>
      </c>
      <c r="D20" s="192" t="s">
        <v>13</v>
      </c>
      <c r="O20" s="193">
        <v>1</v>
      </c>
      <c r="P20" s="193">
        <v>1</v>
      </c>
      <c r="Q20" s="193">
        <v>1</v>
      </c>
      <c r="R20" s="193">
        <v>0.7</v>
      </c>
      <c r="S20" s="193">
        <v>0.7</v>
      </c>
      <c r="T20" s="193">
        <v>1</v>
      </c>
      <c r="U20" s="193">
        <v>0.7</v>
      </c>
      <c r="V20" s="193">
        <v>0.7</v>
      </c>
      <c r="W20" s="194">
        <v>0</v>
      </c>
      <c r="X20" s="194">
        <v>0</v>
      </c>
      <c r="Y20" s="194">
        <v>0</v>
      </c>
      <c r="Z20" s="194">
        <v>0</v>
      </c>
      <c r="AA20" s="194">
        <v>0</v>
      </c>
      <c r="AB20" s="195">
        <v>0</v>
      </c>
      <c r="AC20" s="195">
        <v>0</v>
      </c>
      <c r="AD20" s="195">
        <v>0</v>
      </c>
    </row>
    <row r="21" spans="1:30" x14ac:dyDescent="0.2">
      <c r="A21" s="192" t="s">
        <v>29</v>
      </c>
      <c r="B21" s="192" t="s">
        <v>26</v>
      </c>
      <c r="C21" s="192" t="s">
        <v>235</v>
      </c>
      <c r="D21" s="192" t="s">
        <v>13</v>
      </c>
      <c r="O21" s="193">
        <v>1</v>
      </c>
      <c r="P21" s="193">
        <v>1</v>
      </c>
      <c r="Q21" s="193">
        <v>1</v>
      </c>
      <c r="R21" s="193">
        <v>0.35</v>
      </c>
      <c r="S21" s="193">
        <v>0.35</v>
      </c>
      <c r="T21" s="193">
        <v>1</v>
      </c>
      <c r="U21" s="193">
        <v>0.6</v>
      </c>
      <c r="V21" s="193">
        <v>0.3</v>
      </c>
      <c r="W21" s="194">
        <v>0</v>
      </c>
      <c r="X21" s="194">
        <v>0</v>
      </c>
      <c r="Y21" s="194">
        <v>0</v>
      </c>
      <c r="Z21" s="194">
        <v>0</v>
      </c>
      <c r="AA21" s="194">
        <v>0</v>
      </c>
      <c r="AB21" s="195">
        <v>0</v>
      </c>
      <c r="AC21" s="195">
        <v>0</v>
      </c>
      <c r="AD21" s="195">
        <v>0</v>
      </c>
    </row>
    <row r="22" spans="1:30" x14ac:dyDescent="0.2">
      <c r="A22" s="196" t="s">
        <v>291</v>
      </c>
      <c r="B22" s="192" t="s">
        <v>26</v>
      </c>
      <c r="C22" s="192" t="s">
        <v>284</v>
      </c>
      <c r="D22" s="192" t="s">
        <v>17</v>
      </c>
      <c r="E22" s="192" t="s">
        <v>16</v>
      </c>
      <c r="F22" s="192" t="s">
        <v>18</v>
      </c>
      <c r="O22" s="193">
        <v>1</v>
      </c>
      <c r="P22" s="193">
        <v>1</v>
      </c>
      <c r="Q22" s="193">
        <v>1</v>
      </c>
      <c r="R22" s="193">
        <v>1</v>
      </c>
      <c r="S22" s="193">
        <v>1</v>
      </c>
      <c r="T22" s="193">
        <v>1</v>
      </c>
      <c r="U22" s="193">
        <v>0.7</v>
      </c>
      <c r="V22" s="193">
        <v>0.7</v>
      </c>
      <c r="W22" s="194">
        <f>40/1000</f>
        <v>0.04</v>
      </c>
      <c r="X22" s="194">
        <f>13/1000</f>
        <v>1.2999999999999999E-2</v>
      </c>
      <c r="Y22" s="194">
        <f>22/1000</f>
        <v>2.1999999999999999E-2</v>
      </c>
      <c r="Z22" s="194">
        <f>22/1000</f>
        <v>2.1999999999999999E-2</v>
      </c>
      <c r="AA22" s="194">
        <f>22/1000</f>
        <v>2.1999999999999999E-2</v>
      </c>
      <c r="AB22" s="195">
        <v>7</v>
      </c>
      <c r="AC22" s="195">
        <v>7</v>
      </c>
      <c r="AD22" s="195">
        <v>10</v>
      </c>
    </row>
    <row r="23" spans="1:30" x14ac:dyDescent="0.2">
      <c r="A23" s="224" t="s">
        <v>348</v>
      </c>
      <c r="B23" s="192" t="s">
        <v>26</v>
      </c>
      <c r="C23" s="192" t="s">
        <v>307</v>
      </c>
      <c r="F23" s="192" t="s">
        <v>350</v>
      </c>
      <c r="H23" s="192" t="s">
        <v>351</v>
      </c>
      <c r="J23" s="192" t="s">
        <v>22</v>
      </c>
      <c r="K23" s="192">
        <v>5</v>
      </c>
      <c r="N23" s="192" t="s">
        <v>291</v>
      </c>
      <c r="O23" s="193">
        <v>0</v>
      </c>
      <c r="P23" s="193">
        <v>0</v>
      </c>
      <c r="Q23" s="193">
        <v>0</v>
      </c>
      <c r="R23" s="193">
        <v>0</v>
      </c>
      <c r="S23" s="193">
        <v>0</v>
      </c>
      <c r="T23" s="193">
        <v>0</v>
      </c>
      <c r="U23" s="193">
        <v>0</v>
      </c>
      <c r="V23" s="193">
        <v>0</v>
      </c>
      <c r="W23" s="194">
        <v>0</v>
      </c>
      <c r="X23" s="194">
        <v>0</v>
      </c>
      <c r="Y23" s="194">
        <v>0</v>
      </c>
      <c r="Z23" s="194">
        <v>0</v>
      </c>
      <c r="AA23" s="194">
        <v>0</v>
      </c>
      <c r="AB23" s="195">
        <v>0</v>
      </c>
      <c r="AC23" s="195">
        <v>0</v>
      </c>
      <c r="AD23" s="195">
        <v>0</v>
      </c>
    </row>
    <row r="24" spans="1:30" x14ac:dyDescent="0.2">
      <c r="A24" s="241"/>
      <c r="C24" s="192" t="str">
        <f t="shared" ref="C24:C86" si="0">IF(A24=0,"","Elastic")</f>
        <v/>
      </c>
    </row>
    <row r="25" spans="1:30" x14ac:dyDescent="0.2">
      <c r="C25" s="192" t="str">
        <f t="shared" si="0"/>
        <v/>
      </c>
    </row>
    <row r="26" spans="1:30" x14ac:dyDescent="0.2">
      <c r="C26" s="192" t="str">
        <f t="shared" si="0"/>
        <v/>
      </c>
    </row>
    <row r="27" spans="1:30" x14ac:dyDescent="0.2">
      <c r="C27" s="192" t="str">
        <f t="shared" si="0"/>
        <v/>
      </c>
    </row>
    <row r="28" spans="1:30" x14ac:dyDescent="0.2">
      <c r="C28" s="192" t="str">
        <f t="shared" si="0"/>
        <v/>
      </c>
    </row>
    <row r="29" spans="1:30" x14ac:dyDescent="0.2">
      <c r="C29" s="192" t="str">
        <f t="shared" si="0"/>
        <v/>
      </c>
    </row>
    <row r="30" spans="1:30" x14ac:dyDescent="0.2">
      <c r="C30" s="192" t="str">
        <f t="shared" si="0"/>
        <v/>
      </c>
    </row>
    <row r="31" spans="1:30" x14ac:dyDescent="0.2">
      <c r="C31" s="192" t="str">
        <f t="shared" si="0"/>
        <v/>
      </c>
    </row>
    <row r="32" spans="1:30" x14ac:dyDescent="0.2">
      <c r="C32" s="192" t="str">
        <f t="shared" si="0"/>
        <v/>
      </c>
    </row>
    <row r="33" spans="3:3" x14ac:dyDescent="0.2">
      <c r="C33" s="192" t="str">
        <f t="shared" si="0"/>
        <v/>
      </c>
    </row>
    <row r="34" spans="3:3" x14ac:dyDescent="0.2">
      <c r="C34" s="192" t="str">
        <f t="shared" si="0"/>
        <v/>
      </c>
    </row>
    <row r="35" spans="3:3" x14ac:dyDescent="0.2">
      <c r="C35" s="192" t="str">
        <f t="shared" si="0"/>
        <v/>
      </c>
    </row>
    <row r="36" spans="3:3" x14ac:dyDescent="0.2">
      <c r="C36" s="192" t="str">
        <f t="shared" si="0"/>
        <v/>
      </c>
    </row>
    <row r="37" spans="3:3" x14ac:dyDescent="0.2">
      <c r="C37" s="192" t="str">
        <f t="shared" si="0"/>
        <v/>
      </c>
    </row>
    <row r="38" spans="3:3" x14ac:dyDescent="0.2">
      <c r="C38" s="192" t="str">
        <f t="shared" si="0"/>
        <v/>
      </c>
    </row>
    <row r="39" spans="3:3" x14ac:dyDescent="0.2">
      <c r="C39" s="192" t="str">
        <f t="shared" si="0"/>
        <v/>
      </c>
    </row>
    <row r="40" spans="3:3" x14ac:dyDescent="0.2">
      <c r="C40" s="192" t="str">
        <f t="shared" si="0"/>
        <v/>
      </c>
    </row>
    <row r="41" spans="3:3" x14ac:dyDescent="0.2">
      <c r="C41" s="192" t="str">
        <f t="shared" si="0"/>
        <v/>
      </c>
    </row>
    <row r="42" spans="3:3" x14ac:dyDescent="0.2">
      <c r="C42" s="192" t="str">
        <f t="shared" si="0"/>
        <v/>
      </c>
    </row>
    <row r="43" spans="3:3" x14ac:dyDescent="0.2">
      <c r="C43" s="192" t="str">
        <f t="shared" si="0"/>
        <v/>
      </c>
    </row>
    <row r="44" spans="3:3" x14ac:dyDescent="0.2">
      <c r="C44" s="192" t="str">
        <f t="shared" si="0"/>
        <v/>
      </c>
    </row>
    <row r="45" spans="3:3" x14ac:dyDescent="0.2">
      <c r="C45" s="192" t="str">
        <f t="shared" si="0"/>
        <v/>
      </c>
    </row>
    <row r="46" spans="3:3" x14ac:dyDescent="0.2">
      <c r="C46" s="192" t="str">
        <f t="shared" si="0"/>
        <v/>
      </c>
    </row>
    <row r="47" spans="3:3" x14ac:dyDescent="0.2">
      <c r="C47" s="192" t="str">
        <f t="shared" si="0"/>
        <v/>
      </c>
    </row>
    <row r="48" spans="3:3" x14ac:dyDescent="0.2">
      <c r="C48" s="192" t="str">
        <f t="shared" si="0"/>
        <v/>
      </c>
    </row>
    <row r="49" spans="3:3" x14ac:dyDescent="0.2">
      <c r="C49" s="192" t="str">
        <f t="shared" si="0"/>
        <v/>
      </c>
    </row>
    <row r="50" spans="3:3" x14ac:dyDescent="0.2">
      <c r="C50" s="192" t="str">
        <f t="shared" si="0"/>
        <v/>
      </c>
    </row>
    <row r="51" spans="3:3" x14ac:dyDescent="0.2">
      <c r="C51" s="192" t="str">
        <f t="shared" si="0"/>
        <v/>
      </c>
    </row>
    <row r="52" spans="3:3" x14ac:dyDescent="0.2">
      <c r="C52" s="192" t="str">
        <f t="shared" si="0"/>
        <v/>
      </c>
    </row>
    <row r="53" spans="3:3" x14ac:dyDescent="0.2">
      <c r="C53" s="192" t="str">
        <f t="shared" si="0"/>
        <v/>
      </c>
    </row>
    <row r="54" spans="3:3" x14ac:dyDescent="0.2">
      <c r="C54" s="192" t="str">
        <f t="shared" si="0"/>
        <v/>
      </c>
    </row>
    <row r="55" spans="3:3" x14ac:dyDescent="0.2">
      <c r="C55" s="192" t="str">
        <f t="shared" si="0"/>
        <v/>
      </c>
    </row>
    <row r="56" spans="3:3" x14ac:dyDescent="0.2">
      <c r="C56" s="192" t="str">
        <f t="shared" si="0"/>
        <v/>
      </c>
    </row>
    <row r="57" spans="3:3" x14ac:dyDescent="0.2">
      <c r="C57" s="192" t="str">
        <f t="shared" si="0"/>
        <v/>
      </c>
    </row>
    <row r="58" spans="3:3" x14ac:dyDescent="0.2">
      <c r="C58" s="192" t="str">
        <f t="shared" si="0"/>
        <v/>
      </c>
    </row>
    <row r="59" spans="3:3" x14ac:dyDescent="0.2">
      <c r="C59" s="192" t="str">
        <f t="shared" si="0"/>
        <v/>
      </c>
    </row>
    <row r="60" spans="3:3" x14ac:dyDescent="0.2">
      <c r="C60" s="192" t="str">
        <f t="shared" si="0"/>
        <v/>
      </c>
    </row>
    <row r="61" spans="3:3" x14ac:dyDescent="0.2">
      <c r="C61" s="192" t="str">
        <f t="shared" si="0"/>
        <v/>
      </c>
    </row>
    <row r="62" spans="3:3" x14ac:dyDescent="0.2">
      <c r="C62" s="192" t="str">
        <f t="shared" si="0"/>
        <v/>
      </c>
    </row>
    <row r="63" spans="3:3" x14ac:dyDescent="0.2">
      <c r="C63" s="192" t="str">
        <f t="shared" si="0"/>
        <v/>
      </c>
    </row>
    <row r="64" spans="3:3" x14ac:dyDescent="0.2">
      <c r="C64" s="192" t="str">
        <f t="shared" si="0"/>
        <v/>
      </c>
    </row>
    <row r="65" spans="3:3" x14ac:dyDescent="0.2">
      <c r="C65" s="192" t="str">
        <f t="shared" si="0"/>
        <v/>
      </c>
    </row>
    <row r="66" spans="3:3" x14ac:dyDescent="0.2">
      <c r="C66" s="192" t="str">
        <f t="shared" si="0"/>
        <v/>
      </c>
    </row>
    <row r="67" spans="3:3" x14ac:dyDescent="0.2">
      <c r="C67" s="192" t="str">
        <f t="shared" si="0"/>
        <v/>
      </c>
    </row>
    <row r="68" spans="3:3" x14ac:dyDescent="0.2">
      <c r="C68" s="192" t="str">
        <f t="shared" si="0"/>
        <v/>
      </c>
    </row>
    <row r="69" spans="3:3" x14ac:dyDescent="0.2">
      <c r="C69" s="192" t="str">
        <f t="shared" si="0"/>
        <v/>
      </c>
    </row>
    <row r="70" spans="3:3" x14ac:dyDescent="0.2">
      <c r="C70" s="192" t="str">
        <f t="shared" si="0"/>
        <v/>
      </c>
    </row>
    <row r="71" spans="3:3" x14ac:dyDescent="0.2">
      <c r="C71" s="192" t="str">
        <f t="shared" si="0"/>
        <v/>
      </c>
    </row>
    <row r="72" spans="3:3" x14ac:dyDescent="0.2">
      <c r="C72" s="192" t="str">
        <f t="shared" si="0"/>
        <v/>
      </c>
    </row>
    <row r="73" spans="3:3" x14ac:dyDescent="0.2">
      <c r="C73" s="192" t="str">
        <f t="shared" si="0"/>
        <v/>
      </c>
    </row>
    <row r="74" spans="3:3" x14ac:dyDescent="0.2">
      <c r="C74" s="192" t="str">
        <f t="shared" si="0"/>
        <v/>
      </c>
    </row>
    <row r="75" spans="3:3" x14ac:dyDescent="0.2">
      <c r="C75" s="192" t="str">
        <f t="shared" si="0"/>
        <v/>
      </c>
    </row>
    <row r="76" spans="3:3" x14ac:dyDescent="0.2">
      <c r="C76" s="192" t="str">
        <f t="shared" si="0"/>
        <v/>
      </c>
    </row>
    <row r="77" spans="3:3" x14ac:dyDescent="0.2">
      <c r="C77" s="192" t="str">
        <f t="shared" si="0"/>
        <v/>
      </c>
    </row>
    <row r="78" spans="3:3" x14ac:dyDescent="0.2">
      <c r="C78" s="192" t="str">
        <f t="shared" si="0"/>
        <v/>
      </c>
    </row>
    <row r="79" spans="3:3" x14ac:dyDescent="0.2">
      <c r="C79" s="192" t="str">
        <f t="shared" si="0"/>
        <v/>
      </c>
    </row>
    <row r="80" spans="3:3" x14ac:dyDescent="0.2">
      <c r="C80" s="192" t="str">
        <f t="shared" si="0"/>
        <v/>
      </c>
    </row>
    <row r="81" spans="3:3" x14ac:dyDescent="0.2">
      <c r="C81" s="192" t="str">
        <f t="shared" si="0"/>
        <v/>
      </c>
    </row>
    <row r="82" spans="3:3" x14ac:dyDescent="0.2">
      <c r="C82" s="192" t="str">
        <f t="shared" si="0"/>
        <v/>
      </c>
    </row>
    <row r="83" spans="3:3" x14ac:dyDescent="0.2">
      <c r="C83" s="192" t="str">
        <f t="shared" si="0"/>
        <v/>
      </c>
    </row>
    <row r="84" spans="3:3" x14ac:dyDescent="0.2">
      <c r="C84" s="192" t="str">
        <f t="shared" si="0"/>
        <v/>
      </c>
    </row>
    <row r="85" spans="3:3" x14ac:dyDescent="0.2">
      <c r="C85" s="192" t="str">
        <f t="shared" si="0"/>
        <v/>
      </c>
    </row>
    <row r="86" spans="3:3" x14ac:dyDescent="0.2">
      <c r="C86" s="192" t="str">
        <f t="shared" si="0"/>
        <v/>
      </c>
    </row>
    <row r="87" spans="3:3" x14ac:dyDescent="0.2">
      <c r="C87" s="192" t="str">
        <f t="shared" ref="C87:C150" si="1">IF(A87=0,"","Elastic")</f>
        <v/>
      </c>
    </row>
    <row r="88" spans="3:3" x14ac:dyDescent="0.2">
      <c r="C88" s="192" t="str">
        <f t="shared" si="1"/>
        <v/>
      </c>
    </row>
    <row r="89" spans="3:3" x14ac:dyDescent="0.2">
      <c r="C89" s="192" t="str">
        <f t="shared" si="1"/>
        <v/>
      </c>
    </row>
    <row r="90" spans="3:3" x14ac:dyDescent="0.2">
      <c r="C90" s="192" t="str">
        <f t="shared" si="1"/>
        <v/>
      </c>
    </row>
    <row r="91" spans="3:3" x14ac:dyDescent="0.2">
      <c r="C91" s="192" t="str">
        <f t="shared" si="1"/>
        <v/>
      </c>
    </row>
    <row r="92" spans="3:3" x14ac:dyDescent="0.2">
      <c r="C92" s="192" t="str">
        <f t="shared" si="1"/>
        <v/>
      </c>
    </row>
    <row r="93" spans="3:3" x14ac:dyDescent="0.2">
      <c r="C93" s="192" t="str">
        <f t="shared" si="1"/>
        <v/>
      </c>
    </row>
    <row r="94" spans="3:3" x14ac:dyDescent="0.2">
      <c r="C94" s="192" t="str">
        <f t="shared" si="1"/>
        <v/>
      </c>
    </row>
    <row r="95" spans="3:3" x14ac:dyDescent="0.2">
      <c r="C95" s="192" t="str">
        <f t="shared" si="1"/>
        <v/>
      </c>
    </row>
    <row r="96" spans="3:3" x14ac:dyDescent="0.2">
      <c r="C96" s="192" t="str">
        <f t="shared" si="1"/>
        <v/>
      </c>
    </row>
    <row r="97" spans="3:3" x14ac:dyDescent="0.2">
      <c r="C97" s="192" t="str">
        <f t="shared" si="1"/>
        <v/>
      </c>
    </row>
    <row r="98" spans="3:3" x14ac:dyDescent="0.2">
      <c r="C98" s="192" t="str">
        <f t="shared" si="1"/>
        <v/>
      </c>
    </row>
    <row r="99" spans="3:3" x14ac:dyDescent="0.2">
      <c r="C99" s="192" t="str">
        <f t="shared" si="1"/>
        <v/>
      </c>
    </row>
    <row r="100" spans="3:3" x14ac:dyDescent="0.2">
      <c r="C100" s="192" t="str">
        <f t="shared" si="1"/>
        <v/>
      </c>
    </row>
    <row r="101" spans="3:3" x14ac:dyDescent="0.2">
      <c r="C101" s="192" t="str">
        <f t="shared" si="1"/>
        <v/>
      </c>
    </row>
    <row r="102" spans="3:3" x14ac:dyDescent="0.2">
      <c r="C102" s="192" t="str">
        <f t="shared" si="1"/>
        <v/>
      </c>
    </row>
    <row r="103" spans="3:3" x14ac:dyDescent="0.2">
      <c r="C103" s="192" t="str">
        <f t="shared" si="1"/>
        <v/>
      </c>
    </row>
    <row r="104" spans="3:3" x14ac:dyDescent="0.2">
      <c r="C104" s="192" t="str">
        <f t="shared" si="1"/>
        <v/>
      </c>
    </row>
    <row r="105" spans="3:3" x14ac:dyDescent="0.2">
      <c r="C105" s="192" t="str">
        <f t="shared" si="1"/>
        <v/>
      </c>
    </row>
    <row r="106" spans="3:3" x14ac:dyDescent="0.2">
      <c r="C106" s="192" t="str">
        <f t="shared" si="1"/>
        <v/>
      </c>
    </row>
    <row r="107" spans="3:3" x14ac:dyDescent="0.2">
      <c r="C107" s="192" t="str">
        <f t="shared" si="1"/>
        <v/>
      </c>
    </row>
    <row r="108" spans="3:3" x14ac:dyDescent="0.2">
      <c r="C108" s="192" t="str">
        <f t="shared" si="1"/>
        <v/>
      </c>
    </row>
    <row r="109" spans="3:3" x14ac:dyDescent="0.2">
      <c r="C109" s="192" t="str">
        <f t="shared" si="1"/>
        <v/>
      </c>
    </row>
    <row r="110" spans="3:3" x14ac:dyDescent="0.2">
      <c r="C110" s="192" t="str">
        <f t="shared" si="1"/>
        <v/>
      </c>
    </row>
    <row r="111" spans="3:3" x14ac:dyDescent="0.2">
      <c r="C111" s="192" t="str">
        <f t="shared" si="1"/>
        <v/>
      </c>
    </row>
    <row r="112" spans="3:3" x14ac:dyDescent="0.2">
      <c r="C112" s="192" t="str">
        <f t="shared" si="1"/>
        <v/>
      </c>
    </row>
    <row r="113" spans="3:3" x14ac:dyDescent="0.2">
      <c r="C113" s="192" t="str">
        <f t="shared" si="1"/>
        <v/>
      </c>
    </row>
    <row r="114" spans="3:3" x14ac:dyDescent="0.2">
      <c r="C114" s="192" t="str">
        <f t="shared" si="1"/>
        <v/>
      </c>
    </row>
    <row r="115" spans="3:3" x14ac:dyDescent="0.2">
      <c r="C115" s="192" t="str">
        <f t="shared" si="1"/>
        <v/>
      </c>
    </row>
    <row r="116" spans="3:3" x14ac:dyDescent="0.2">
      <c r="C116" s="192" t="str">
        <f t="shared" si="1"/>
        <v/>
      </c>
    </row>
    <row r="117" spans="3:3" x14ac:dyDescent="0.2">
      <c r="C117" s="192" t="str">
        <f t="shared" si="1"/>
        <v/>
      </c>
    </row>
    <row r="118" spans="3:3" x14ac:dyDescent="0.2">
      <c r="C118" s="192" t="str">
        <f t="shared" si="1"/>
        <v/>
      </c>
    </row>
    <row r="119" spans="3:3" x14ac:dyDescent="0.2">
      <c r="C119" s="192" t="str">
        <f t="shared" si="1"/>
        <v/>
      </c>
    </row>
    <row r="120" spans="3:3" x14ac:dyDescent="0.2">
      <c r="C120" s="192" t="str">
        <f t="shared" si="1"/>
        <v/>
      </c>
    </row>
    <row r="121" spans="3:3" x14ac:dyDescent="0.2">
      <c r="C121" s="192" t="str">
        <f t="shared" si="1"/>
        <v/>
      </c>
    </row>
    <row r="122" spans="3:3" x14ac:dyDescent="0.2">
      <c r="C122" s="192" t="str">
        <f t="shared" si="1"/>
        <v/>
      </c>
    </row>
    <row r="123" spans="3:3" x14ac:dyDescent="0.2">
      <c r="C123" s="192" t="str">
        <f t="shared" si="1"/>
        <v/>
      </c>
    </row>
    <row r="124" spans="3:3" x14ac:dyDescent="0.2">
      <c r="C124" s="192" t="str">
        <f t="shared" si="1"/>
        <v/>
      </c>
    </row>
    <row r="125" spans="3:3" x14ac:dyDescent="0.2">
      <c r="C125" s="192" t="str">
        <f t="shared" si="1"/>
        <v/>
      </c>
    </row>
    <row r="126" spans="3:3" x14ac:dyDescent="0.2">
      <c r="C126" s="192" t="str">
        <f t="shared" si="1"/>
        <v/>
      </c>
    </row>
    <row r="127" spans="3:3" x14ac:dyDescent="0.2">
      <c r="C127" s="192" t="str">
        <f t="shared" si="1"/>
        <v/>
      </c>
    </row>
    <row r="128" spans="3:3" x14ac:dyDescent="0.2">
      <c r="C128" s="192" t="str">
        <f t="shared" si="1"/>
        <v/>
      </c>
    </row>
    <row r="129" spans="3:3" x14ac:dyDescent="0.2">
      <c r="C129" s="192" t="str">
        <f t="shared" si="1"/>
        <v/>
      </c>
    </row>
    <row r="130" spans="3:3" x14ac:dyDescent="0.2">
      <c r="C130" s="192" t="str">
        <f t="shared" si="1"/>
        <v/>
      </c>
    </row>
    <row r="131" spans="3:3" x14ac:dyDescent="0.2">
      <c r="C131" s="192" t="str">
        <f t="shared" si="1"/>
        <v/>
      </c>
    </row>
    <row r="132" spans="3:3" x14ac:dyDescent="0.2">
      <c r="C132" s="192" t="str">
        <f t="shared" si="1"/>
        <v/>
      </c>
    </row>
    <row r="133" spans="3:3" x14ac:dyDescent="0.2">
      <c r="C133" s="192" t="str">
        <f t="shared" si="1"/>
        <v/>
      </c>
    </row>
    <row r="134" spans="3:3" x14ac:dyDescent="0.2">
      <c r="C134" s="192" t="str">
        <f t="shared" si="1"/>
        <v/>
      </c>
    </row>
    <row r="135" spans="3:3" x14ac:dyDescent="0.2">
      <c r="C135" s="192" t="str">
        <f t="shared" si="1"/>
        <v/>
      </c>
    </row>
    <row r="136" spans="3:3" x14ac:dyDescent="0.2">
      <c r="C136" s="192" t="str">
        <f t="shared" si="1"/>
        <v/>
      </c>
    </row>
    <row r="137" spans="3:3" x14ac:dyDescent="0.2">
      <c r="C137" s="192" t="str">
        <f t="shared" si="1"/>
        <v/>
      </c>
    </row>
    <row r="138" spans="3:3" x14ac:dyDescent="0.2">
      <c r="C138" s="192" t="str">
        <f t="shared" si="1"/>
        <v/>
      </c>
    </row>
    <row r="139" spans="3:3" x14ac:dyDescent="0.2">
      <c r="C139" s="192" t="str">
        <f t="shared" si="1"/>
        <v/>
      </c>
    </row>
    <row r="140" spans="3:3" x14ac:dyDescent="0.2">
      <c r="C140" s="192" t="str">
        <f t="shared" si="1"/>
        <v/>
      </c>
    </row>
    <row r="141" spans="3:3" x14ac:dyDescent="0.2">
      <c r="C141" s="192" t="str">
        <f t="shared" si="1"/>
        <v/>
      </c>
    </row>
    <row r="142" spans="3:3" x14ac:dyDescent="0.2">
      <c r="C142" s="192" t="str">
        <f t="shared" si="1"/>
        <v/>
      </c>
    </row>
    <row r="143" spans="3:3" x14ac:dyDescent="0.2">
      <c r="C143" s="192" t="str">
        <f t="shared" si="1"/>
        <v/>
      </c>
    </row>
    <row r="144" spans="3:3" x14ac:dyDescent="0.2">
      <c r="C144" s="192" t="str">
        <f t="shared" si="1"/>
        <v/>
      </c>
    </row>
    <row r="145" spans="3:3" x14ac:dyDescent="0.2">
      <c r="C145" s="192" t="str">
        <f t="shared" si="1"/>
        <v/>
      </c>
    </row>
    <row r="146" spans="3:3" x14ac:dyDescent="0.2">
      <c r="C146" s="192" t="str">
        <f t="shared" si="1"/>
        <v/>
      </c>
    </row>
    <row r="147" spans="3:3" x14ac:dyDescent="0.2">
      <c r="C147" s="192" t="str">
        <f t="shared" si="1"/>
        <v/>
      </c>
    </row>
    <row r="148" spans="3:3" x14ac:dyDescent="0.2">
      <c r="C148" s="192" t="str">
        <f t="shared" si="1"/>
        <v/>
      </c>
    </row>
    <row r="149" spans="3:3" x14ac:dyDescent="0.2">
      <c r="C149" s="192" t="str">
        <f t="shared" si="1"/>
        <v/>
      </c>
    </row>
    <row r="150" spans="3:3" x14ac:dyDescent="0.2">
      <c r="C150" s="192" t="str">
        <f t="shared" si="1"/>
        <v/>
      </c>
    </row>
    <row r="151" spans="3:3" x14ac:dyDescent="0.2">
      <c r="C151" s="192" t="str">
        <f t="shared" ref="C151:C214" si="2">IF(A151=0,"","Elastic")</f>
        <v/>
      </c>
    </row>
    <row r="152" spans="3:3" x14ac:dyDescent="0.2">
      <c r="C152" s="192" t="str">
        <f t="shared" si="2"/>
        <v/>
      </c>
    </row>
    <row r="153" spans="3:3" x14ac:dyDescent="0.2">
      <c r="C153" s="192" t="str">
        <f t="shared" si="2"/>
        <v/>
      </c>
    </row>
    <row r="154" spans="3:3" x14ac:dyDescent="0.2">
      <c r="C154" s="192" t="str">
        <f t="shared" si="2"/>
        <v/>
      </c>
    </row>
    <row r="155" spans="3:3" x14ac:dyDescent="0.2">
      <c r="C155" s="192" t="str">
        <f t="shared" si="2"/>
        <v/>
      </c>
    </row>
    <row r="156" spans="3:3" x14ac:dyDescent="0.2">
      <c r="C156" s="192" t="str">
        <f t="shared" si="2"/>
        <v/>
      </c>
    </row>
    <row r="157" spans="3:3" x14ac:dyDescent="0.2">
      <c r="C157" s="192" t="str">
        <f t="shared" si="2"/>
        <v/>
      </c>
    </row>
    <row r="158" spans="3:3" x14ac:dyDescent="0.2">
      <c r="C158" s="192" t="str">
        <f t="shared" si="2"/>
        <v/>
      </c>
    </row>
    <row r="159" spans="3:3" x14ac:dyDescent="0.2">
      <c r="C159" s="192" t="str">
        <f t="shared" si="2"/>
        <v/>
      </c>
    </row>
    <row r="160" spans="3:3" x14ac:dyDescent="0.2">
      <c r="C160" s="192" t="str">
        <f t="shared" si="2"/>
        <v/>
      </c>
    </row>
    <row r="161" spans="3:3" x14ac:dyDescent="0.2">
      <c r="C161" s="192" t="str">
        <f t="shared" si="2"/>
        <v/>
      </c>
    </row>
    <row r="162" spans="3:3" x14ac:dyDescent="0.2">
      <c r="C162" s="192" t="str">
        <f t="shared" si="2"/>
        <v/>
      </c>
    </row>
    <row r="163" spans="3:3" x14ac:dyDescent="0.2">
      <c r="C163" s="192" t="str">
        <f t="shared" si="2"/>
        <v/>
      </c>
    </row>
    <row r="164" spans="3:3" x14ac:dyDescent="0.2">
      <c r="C164" s="192" t="str">
        <f t="shared" si="2"/>
        <v/>
      </c>
    </row>
    <row r="165" spans="3:3" x14ac:dyDescent="0.2">
      <c r="C165" s="192" t="str">
        <f t="shared" si="2"/>
        <v/>
      </c>
    </row>
    <row r="166" spans="3:3" x14ac:dyDescent="0.2">
      <c r="C166" s="192" t="str">
        <f t="shared" si="2"/>
        <v/>
      </c>
    </row>
    <row r="167" spans="3:3" x14ac:dyDescent="0.2">
      <c r="C167" s="192" t="str">
        <f t="shared" si="2"/>
        <v/>
      </c>
    </row>
    <row r="168" spans="3:3" x14ac:dyDescent="0.2">
      <c r="C168" s="192" t="str">
        <f t="shared" si="2"/>
        <v/>
      </c>
    </row>
    <row r="169" spans="3:3" x14ac:dyDescent="0.2">
      <c r="C169" s="192" t="str">
        <f t="shared" si="2"/>
        <v/>
      </c>
    </row>
    <row r="170" spans="3:3" x14ac:dyDescent="0.2">
      <c r="C170" s="192" t="str">
        <f t="shared" si="2"/>
        <v/>
      </c>
    </row>
    <row r="171" spans="3:3" x14ac:dyDescent="0.2">
      <c r="C171" s="192" t="str">
        <f t="shared" si="2"/>
        <v/>
      </c>
    </row>
    <row r="172" spans="3:3" x14ac:dyDescent="0.2">
      <c r="C172" s="192" t="str">
        <f t="shared" si="2"/>
        <v/>
      </c>
    </row>
    <row r="173" spans="3:3" x14ac:dyDescent="0.2">
      <c r="C173" s="192" t="str">
        <f t="shared" si="2"/>
        <v/>
      </c>
    </row>
    <row r="174" spans="3:3" x14ac:dyDescent="0.2">
      <c r="C174" s="192" t="str">
        <f t="shared" si="2"/>
        <v/>
      </c>
    </row>
    <row r="175" spans="3:3" x14ac:dyDescent="0.2">
      <c r="C175" s="192" t="str">
        <f t="shared" si="2"/>
        <v/>
      </c>
    </row>
    <row r="176" spans="3:3" x14ac:dyDescent="0.2">
      <c r="C176" s="192" t="str">
        <f t="shared" si="2"/>
        <v/>
      </c>
    </row>
    <row r="177" spans="3:3" x14ac:dyDescent="0.2">
      <c r="C177" s="192" t="str">
        <f t="shared" si="2"/>
        <v/>
      </c>
    </row>
    <row r="178" spans="3:3" x14ac:dyDescent="0.2">
      <c r="C178" s="192" t="str">
        <f t="shared" si="2"/>
        <v/>
      </c>
    </row>
    <row r="179" spans="3:3" x14ac:dyDescent="0.2">
      <c r="C179" s="192" t="str">
        <f t="shared" si="2"/>
        <v/>
      </c>
    </row>
    <row r="180" spans="3:3" x14ac:dyDescent="0.2">
      <c r="C180" s="192" t="str">
        <f t="shared" si="2"/>
        <v/>
      </c>
    </row>
    <row r="181" spans="3:3" x14ac:dyDescent="0.2">
      <c r="C181" s="192" t="str">
        <f t="shared" si="2"/>
        <v/>
      </c>
    </row>
    <row r="182" spans="3:3" x14ac:dyDescent="0.2">
      <c r="C182" s="192" t="str">
        <f t="shared" si="2"/>
        <v/>
      </c>
    </row>
    <row r="183" spans="3:3" x14ac:dyDescent="0.2">
      <c r="C183" s="192" t="str">
        <f t="shared" si="2"/>
        <v/>
      </c>
    </row>
    <row r="184" spans="3:3" x14ac:dyDescent="0.2">
      <c r="C184" s="192" t="str">
        <f t="shared" si="2"/>
        <v/>
      </c>
    </row>
    <row r="185" spans="3:3" x14ac:dyDescent="0.2">
      <c r="C185" s="192" t="str">
        <f t="shared" si="2"/>
        <v/>
      </c>
    </row>
    <row r="186" spans="3:3" x14ac:dyDescent="0.2">
      <c r="C186" s="192" t="str">
        <f t="shared" si="2"/>
        <v/>
      </c>
    </row>
    <row r="187" spans="3:3" x14ac:dyDescent="0.2">
      <c r="C187" s="192" t="str">
        <f t="shared" si="2"/>
        <v/>
      </c>
    </row>
    <row r="188" spans="3:3" x14ac:dyDescent="0.2">
      <c r="C188" s="192" t="str">
        <f t="shared" si="2"/>
        <v/>
      </c>
    </row>
    <row r="189" spans="3:3" x14ac:dyDescent="0.2">
      <c r="C189" s="192" t="str">
        <f t="shared" si="2"/>
        <v/>
      </c>
    </row>
    <row r="190" spans="3:3" x14ac:dyDescent="0.2">
      <c r="C190" s="192" t="str">
        <f t="shared" si="2"/>
        <v/>
      </c>
    </row>
    <row r="191" spans="3:3" x14ac:dyDescent="0.2">
      <c r="C191" s="192" t="str">
        <f t="shared" si="2"/>
        <v/>
      </c>
    </row>
    <row r="192" spans="3:3" x14ac:dyDescent="0.2">
      <c r="C192" s="192" t="str">
        <f t="shared" si="2"/>
        <v/>
      </c>
    </row>
    <row r="193" spans="3:3" x14ac:dyDescent="0.2">
      <c r="C193" s="192" t="str">
        <f t="shared" si="2"/>
        <v/>
      </c>
    </row>
    <row r="194" spans="3:3" x14ac:dyDescent="0.2">
      <c r="C194" s="192" t="str">
        <f t="shared" si="2"/>
        <v/>
      </c>
    </row>
    <row r="195" spans="3:3" x14ac:dyDescent="0.2">
      <c r="C195" s="192" t="str">
        <f t="shared" si="2"/>
        <v/>
      </c>
    </row>
    <row r="196" spans="3:3" x14ac:dyDescent="0.2">
      <c r="C196" s="192" t="str">
        <f t="shared" si="2"/>
        <v/>
      </c>
    </row>
    <row r="197" spans="3:3" x14ac:dyDescent="0.2">
      <c r="C197" s="192" t="str">
        <f t="shared" si="2"/>
        <v/>
      </c>
    </row>
    <row r="198" spans="3:3" x14ac:dyDescent="0.2">
      <c r="C198" s="192" t="str">
        <f t="shared" si="2"/>
        <v/>
      </c>
    </row>
    <row r="199" spans="3:3" x14ac:dyDescent="0.2">
      <c r="C199" s="192" t="str">
        <f t="shared" si="2"/>
        <v/>
      </c>
    </row>
    <row r="200" spans="3:3" x14ac:dyDescent="0.2">
      <c r="C200" s="192" t="str">
        <f t="shared" si="2"/>
        <v/>
      </c>
    </row>
    <row r="201" spans="3:3" x14ac:dyDescent="0.2">
      <c r="C201" s="192" t="str">
        <f t="shared" si="2"/>
        <v/>
      </c>
    </row>
    <row r="202" spans="3:3" x14ac:dyDescent="0.2">
      <c r="C202" s="192" t="str">
        <f t="shared" si="2"/>
        <v/>
      </c>
    </row>
    <row r="203" spans="3:3" x14ac:dyDescent="0.2">
      <c r="C203" s="192" t="str">
        <f t="shared" si="2"/>
        <v/>
      </c>
    </row>
    <row r="204" spans="3:3" x14ac:dyDescent="0.2">
      <c r="C204" s="192" t="str">
        <f t="shared" si="2"/>
        <v/>
      </c>
    </row>
    <row r="205" spans="3:3" x14ac:dyDescent="0.2">
      <c r="C205" s="192" t="str">
        <f t="shared" si="2"/>
        <v/>
      </c>
    </row>
    <row r="206" spans="3:3" x14ac:dyDescent="0.2">
      <c r="C206" s="192" t="str">
        <f t="shared" si="2"/>
        <v/>
      </c>
    </row>
    <row r="207" spans="3:3" x14ac:dyDescent="0.2">
      <c r="C207" s="192" t="str">
        <f t="shared" si="2"/>
        <v/>
      </c>
    </row>
    <row r="208" spans="3:3" x14ac:dyDescent="0.2">
      <c r="C208" s="192" t="str">
        <f t="shared" si="2"/>
        <v/>
      </c>
    </row>
    <row r="209" spans="3:3" x14ac:dyDescent="0.2">
      <c r="C209" s="192" t="str">
        <f t="shared" si="2"/>
        <v/>
      </c>
    </row>
    <row r="210" spans="3:3" x14ac:dyDescent="0.2">
      <c r="C210" s="192" t="str">
        <f t="shared" si="2"/>
        <v/>
      </c>
    </row>
    <row r="211" spans="3:3" x14ac:dyDescent="0.2">
      <c r="C211" s="192" t="str">
        <f t="shared" si="2"/>
        <v/>
      </c>
    </row>
    <row r="212" spans="3:3" x14ac:dyDescent="0.2">
      <c r="C212" s="192" t="str">
        <f t="shared" si="2"/>
        <v/>
      </c>
    </row>
    <row r="213" spans="3:3" x14ac:dyDescent="0.2">
      <c r="C213" s="192" t="str">
        <f t="shared" si="2"/>
        <v/>
      </c>
    </row>
    <row r="214" spans="3:3" x14ac:dyDescent="0.2">
      <c r="C214" s="192" t="str">
        <f t="shared" si="2"/>
        <v/>
      </c>
    </row>
    <row r="215" spans="3:3" x14ac:dyDescent="0.2">
      <c r="C215" s="192" t="str">
        <f t="shared" ref="C215:C278" si="3">IF(A215=0,"","Elastic")</f>
        <v/>
      </c>
    </row>
    <row r="216" spans="3:3" x14ac:dyDescent="0.2">
      <c r="C216" s="192" t="str">
        <f t="shared" si="3"/>
        <v/>
      </c>
    </row>
    <row r="217" spans="3:3" x14ac:dyDescent="0.2">
      <c r="C217" s="192" t="str">
        <f t="shared" si="3"/>
        <v/>
      </c>
    </row>
    <row r="218" spans="3:3" x14ac:dyDescent="0.2">
      <c r="C218" s="192" t="str">
        <f t="shared" si="3"/>
        <v/>
      </c>
    </row>
    <row r="219" spans="3:3" x14ac:dyDescent="0.2">
      <c r="C219" s="192" t="str">
        <f t="shared" si="3"/>
        <v/>
      </c>
    </row>
    <row r="220" spans="3:3" x14ac:dyDescent="0.2">
      <c r="C220" s="192" t="str">
        <f t="shared" si="3"/>
        <v/>
      </c>
    </row>
    <row r="221" spans="3:3" x14ac:dyDescent="0.2">
      <c r="C221" s="192" t="str">
        <f t="shared" si="3"/>
        <v/>
      </c>
    </row>
    <row r="222" spans="3:3" x14ac:dyDescent="0.2">
      <c r="C222" s="192" t="str">
        <f t="shared" si="3"/>
        <v/>
      </c>
    </row>
    <row r="223" spans="3:3" x14ac:dyDescent="0.2">
      <c r="C223" s="192" t="str">
        <f t="shared" si="3"/>
        <v/>
      </c>
    </row>
    <row r="224" spans="3:3" x14ac:dyDescent="0.2">
      <c r="C224" s="192" t="str">
        <f t="shared" si="3"/>
        <v/>
      </c>
    </row>
    <row r="225" spans="3:3" x14ac:dyDescent="0.2">
      <c r="C225" s="192" t="str">
        <f t="shared" si="3"/>
        <v/>
      </c>
    </row>
    <row r="226" spans="3:3" x14ac:dyDescent="0.2">
      <c r="C226" s="192" t="str">
        <f t="shared" si="3"/>
        <v/>
      </c>
    </row>
    <row r="227" spans="3:3" x14ac:dyDescent="0.2">
      <c r="C227" s="192" t="str">
        <f t="shared" si="3"/>
        <v/>
      </c>
    </row>
    <row r="228" spans="3:3" x14ac:dyDescent="0.2">
      <c r="C228" s="192" t="str">
        <f t="shared" si="3"/>
        <v/>
      </c>
    </row>
    <row r="229" spans="3:3" x14ac:dyDescent="0.2">
      <c r="C229" s="192" t="str">
        <f t="shared" si="3"/>
        <v/>
      </c>
    </row>
    <row r="230" spans="3:3" x14ac:dyDescent="0.2">
      <c r="C230" s="192" t="str">
        <f t="shared" si="3"/>
        <v/>
      </c>
    </row>
    <row r="231" spans="3:3" x14ac:dyDescent="0.2">
      <c r="C231" s="192" t="str">
        <f t="shared" si="3"/>
        <v/>
      </c>
    </row>
    <row r="232" spans="3:3" x14ac:dyDescent="0.2">
      <c r="C232" s="192" t="str">
        <f t="shared" si="3"/>
        <v/>
      </c>
    </row>
    <row r="233" spans="3:3" x14ac:dyDescent="0.2">
      <c r="C233" s="192" t="str">
        <f t="shared" si="3"/>
        <v/>
      </c>
    </row>
    <row r="234" spans="3:3" x14ac:dyDescent="0.2">
      <c r="C234" s="192" t="str">
        <f t="shared" si="3"/>
        <v/>
      </c>
    </row>
    <row r="235" spans="3:3" x14ac:dyDescent="0.2">
      <c r="C235" s="192" t="str">
        <f t="shared" si="3"/>
        <v/>
      </c>
    </row>
    <row r="236" spans="3:3" x14ac:dyDescent="0.2">
      <c r="C236" s="192" t="str">
        <f t="shared" si="3"/>
        <v/>
      </c>
    </row>
    <row r="237" spans="3:3" x14ac:dyDescent="0.2">
      <c r="C237" s="192" t="str">
        <f t="shared" si="3"/>
        <v/>
      </c>
    </row>
    <row r="238" spans="3:3" x14ac:dyDescent="0.2">
      <c r="C238" s="192" t="str">
        <f t="shared" si="3"/>
        <v/>
      </c>
    </row>
    <row r="239" spans="3:3" x14ac:dyDescent="0.2">
      <c r="C239" s="192" t="str">
        <f t="shared" si="3"/>
        <v/>
      </c>
    </row>
    <row r="240" spans="3:3" x14ac:dyDescent="0.2">
      <c r="C240" s="192" t="str">
        <f t="shared" si="3"/>
        <v/>
      </c>
    </row>
    <row r="241" spans="3:3" x14ac:dyDescent="0.2">
      <c r="C241" s="192" t="str">
        <f t="shared" si="3"/>
        <v/>
      </c>
    </row>
    <row r="242" spans="3:3" x14ac:dyDescent="0.2">
      <c r="C242" s="192" t="str">
        <f t="shared" si="3"/>
        <v/>
      </c>
    </row>
    <row r="243" spans="3:3" x14ac:dyDescent="0.2">
      <c r="C243" s="192" t="str">
        <f t="shared" si="3"/>
        <v/>
      </c>
    </row>
    <row r="244" spans="3:3" x14ac:dyDescent="0.2">
      <c r="C244" s="192" t="str">
        <f t="shared" si="3"/>
        <v/>
      </c>
    </row>
    <row r="245" spans="3:3" x14ac:dyDescent="0.2">
      <c r="C245" s="192" t="str">
        <f t="shared" si="3"/>
        <v/>
      </c>
    </row>
    <row r="246" spans="3:3" x14ac:dyDescent="0.2">
      <c r="C246" s="192" t="str">
        <f t="shared" si="3"/>
        <v/>
      </c>
    </row>
    <row r="247" spans="3:3" x14ac:dyDescent="0.2">
      <c r="C247" s="192" t="str">
        <f t="shared" si="3"/>
        <v/>
      </c>
    </row>
    <row r="248" spans="3:3" x14ac:dyDescent="0.2">
      <c r="C248" s="192" t="str">
        <f t="shared" si="3"/>
        <v/>
      </c>
    </row>
    <row r="249" spans="3:3" x14ac:dyDescent="0.2">
      <c r="C249" s="192" t="str">
        <f t="shared" si="3"/>
        <v/>
      </c>
    </row>
    <row r="250" spans="3:3" x14ac:dyDescent="0.2">
      <c r="C250" s="192" t="str">
        <f t="shared" si="3"/>
        <v/>
      </c>
    </row>
    <row r="251" spans="3:3" x14ac:dyDescent="0.2">
      <c r="C251" s="192" t="str">
        <f t="shared" si="3"/>
        <v/>
      </c>
    </row>
    <row r="252" spans="3:3" x14ac:dyDescent="0.2">
      <c r="C252" s="192" t="str">
        <f t="shared" si="3"/>
        <v/>
      </c>
    </row>
    <row r="253" spans="3:3" x14ac:dyDescent="0.2">
      <c r="C253" s="192" t="str">
        <f t="shared" si="3"/>
        <v/>
      </c>
    </row>
    <row r="254" spans="3:3" x14ac:dyDescent="0.2">
      <c r="C254" s="192" t="str">
        <f t="shared" si="3"/>
        <v/>
      </c>
    </row>
    <row r="255" spans="3:3" x14ac:dyDescent="0.2">
      <c r="C255" s="192" t="str">
        <f t="shared" si="3"/>
        <v/>
      </c>
    </row>
    <row r="256" spans="3:3" x14ac:dyDescent="0.2">
      <c r="C256" s="192" t="str">
        <f t="shared" si="3"/>
        <v/>
      </c>
    </row>
    <row r="257" spans="3:3" x14ac:dyDescent="0.2">
      <c r="C257" s="192" t="str">
        <f t="shared" si="3"/>
        <v/>
      </c>
    </row>
    <row r="258" spans="3:3" x14ac:dyDescent="0.2">
      <c r="C258" s="192" t="str">
        <f t="shared" si="3"/>
        <v/>
      </c>
    </row>
    <row r="259" spans="3:3" x14ac:dyDescent="0.2">
      <c r="C259" s="192" t="str">
        <f t="shared" si="3"/>
        <v/>
      </c>
    </row>
    <row r="260" spans="3:3" x14ac:dyDescent="0.2">
      <c r="C260" s="192" t="str">
        <f t="shared" si="3"/>
        <v/>
      </c>
    </row>
    <row r="261" spans="3:3" x14ac:dyDescent="0.2">
      <c r="C261" s="192" t="str">
        <f t="shared" si="3"/>
        <v/>
      </c>
    </row>
    <row r="262" spans="3:3" x14ac:dyDescent="0.2">
      <c r="C262" s="192" t="str">
        <f t="shared" si="3"/>
        <v/>
      </c>
    </row>
    <row r="263" spans="3:3" x14ac:dyDescent="0.2">
      <c r="C263" s="192" t="str">
        <f t="shared" si="3"/>
        <v/>
      </c>
    </row>
    <row r="264" spans="3:3" x14ac:dyDescent="0.2">
      <c r="C264" s="192" t="str">
        <f t="shared" si="3"/>
        <v/>
      </c>
    </row>
    <row r="265" spans="3:3" x14ac:dyDescent="0.2">
      <c r="C265" s="192" t="str">
        <f t="shared" si="3"/>
        <v/>
      </c>
    </row>
    <row r="266" spans="3:3" x14ac:dyDescent="0.2">
      <c r="C266" s="192" t="str">
        <f t="shared" si="3"/>
        <v/>
      </c>
    </row>
    <row r="267" spans="3:3" x14ac:dyDescent="0.2">
      <c r="C267" s="192" t="str">
        <f t="shared" si="3"/>
        <v/>
      </c>
    </row>
    <row r="268" spans="3:3" x14ac:dyDescent="0.2">
      <c r="C268" s="192" t="str">
        <f t="shared" si="3"/>
        <v/>
      </c>
    </row>
    <row r="269" spans="3:3" x14ac:dyDescent="0.2">
      <c r="C269" s="192" t="str">
        <f t="shared" si="3"/>
        <v/>
      </c>
    </row>
    <row r="270" spans="3:3" x14ac:dyDescent="0.2">
      <c r="C270" s="192" t="str">
        <f t="shared" si="3"/>
        <v/>
      </c>
    </row>
    <row r="271" spans="3:3" x14ac:dyDescent="0.2">
      <c r="C271" s="192" t="str">
        <f t="shared" si="3"/>
        <v/>
      </c>
    </row>
    <row r="272" spans="3:3" x14ac:dyDescent="0.2">
      <c r="C272" s="192" t="str">
        <f t="shared" si="3"/>
        <v/>
      </c>
    </row>
    <row r="273" spans="3:3" x14ac:dyDescent="0.2">
      <c r="C273" s="192" t="str">
        <f t="shared" si="3"/>
        <v/>
      </c>
    </row>
    <row r="274" spans="3:3" x14ac:dyDescent="0.2">
      <c r="C274" s="192" t="str">
        <f t="shared" si="3"/>
        <v/>
      </c>
    </row>
    <row r="275" spans="3:3" x14ac:dyDescent="0.2">
      <c r="C275" s="192" t="str">
        <f t="shared" si="3"/>
        <v/>
      </c>
    </row>
    <row r="276" spans="3:3" x14ac:dyDescent="0.2">
      <c r="C276" s="192" t="str">
        <f t="shared" si="3"/>
        <v/>
      </c>
    </row>
    <row r="277" spans="3:3" x14ac:dyDescent="0.2">
      <c r="C277" s="192" t="str">
        <f t="shared" si="3"/>
        <v/>
      </c>
    </row>
    <row r="278" spans="3:3" x14ac:dyDescent="0.2">
      <c r="C278" s="192" t="str">
        <f t="shared" si="3"/>
        <v/>
      </c>
    </row>
    <row r="279" spans="3:3" x14ac:dyDescent="0.2">
      <c r="C279" s="192" t="str">
        <f t="shared" ref="C279:C342" si="4">IF(A279=0,"","Elastic")</f>
        <v/>
      </c>
    </row>
    <row r="280" spans="3:3" x14ac:dyDescent="0.2">
      <c r="C280" s="192" t="str">
        <f t="shared" si="4"/>
        <v/>
      </c>
    </row>
    <row r="281" spans="3:3" x14ac:dyDescent="0.2">
      <c r="C281" s="192" t="str">
        <f t="shared" si="4"/>
        <v/>
      </c>
    </row>
    <row r="282" spans="3:3" x14ac:dyDescent="0.2">
      <c r="C282" s="192" t="str">
        <f t="shared" si="4"/>
        <v/>
      </c>
    </row>
    <row r="283" spans="3:3" x14ac:dyDescent="0.2">
      <c r="C283" s="192" t="str">
        <f t="shared" si="4"/>
        <v/>
      </c>
    </row>
    <row r="284" spans="3:3" x14ac:dyDescent="0.2">
      <c r="C284" s="192" t="str">
        <f t="shared" si="4"/>
        <v/>
      </c>
    </row>
    <row r="285" spans="3:3" x14ac:dyDescent="0.2">
      <c r="C285" s="192" t="str">
        <f t="shared" si="4"/>
        <v/>
      </c>
    </row>
    <row r="286" spans="3:3" x14ac:dyDescent="0.2">
      <c r="C286" s="192" t="str">
        <f t="shared" si="4"/>
        <v/>
      </c>
    </row>
    <row r="287" spans="3:3" x14ac:dyDescent="0.2">
      <c r="C287" s="192" t="str">
        <f t="shared" si="4"/>
        <v/>
      </c>
    </row>
    <row r="288" spans="3:3" x14ac:dyDescent="0.2">
      <c r="C288" s="192" t="str">
        <f t="shared" si="4"/>
        <v/>
      </c>
    </row>
    <row r="289" spans="3:3" x14ac:dyDescent="0.2">
      <c r="C289" s="192" t="str">
        <f t="shared" si="4"/>
        <v/>
      </c>
    </row>
    <row r="290" spans="3:3" x14ac:dyDescent="0.2">
      <c r="C290" s="192" t="str">
        <f t="shared" si="4"/>
        <v/>
      </c>
    </row>
    <row r="291" spans="3:3" x14ac:dyDescent="0.2">
      <c r="C291" s="192" t="str">
        <f t="shared" si="4"/>
        <v/>
      </c>
    </row>
    <row r="292" spans="3:3" x14ac:dyDescent="0.2">
      <c r="C292" s="192" t="str">
        <f t="shared" si="4"/>
        <v/>
      </c>
    </row>
    <row r="293" spans="3:3" x14ac:dyDescent="0.2">
      <c r="C293" s="192" t="str">
        <f t="shared" si="4"/>
        <v/>
      </c>
    </row>
    <row r="294" spans="3:3" x14ac:dyDescent="0.2">
      <c r="C294" s="192" t="str">
        <f t="shared" si="4"/>
        <v/>
      </c>
    </row>
    <row r="295" spans="3:3" x14ac:dyDescent="0.2">
      <c r="C295" s="192" t="str">
        <f t="shared" si="4"/>
        <v/>
      </c>
    </row>
    <row r="296" spans="3:3" x14ac:dyDescent="0.2">
      <c r="C296" s="192" t="str">
        <f t="shared" si="4"/>
        <v/>
      </c>
    </row>
    <row r="297" spans="3:3" x14ac:dyDescent="0.2">
      <c r="C297" s="192" t="str">
        <f t="shared" si="4"/>
        <v/>
      </c>
    </row>
    <row r="298" spans="3:3" x14ac:dyDescent="0.2">
      <c r="C298" s="192" t="str">
        <f t="shared" si="4"/>
        <v/>
      </c>
    </row>
    <row r="299" spans="3:3" x14ac:dyDescent="0.2">
      <c r="C299" s="192" t="str">
        <f t="shared" si="4"/>
        <v/>
      </c>
    </row>
    <row r="300" spans="3:3" x14ac:dyDescent="0.2">
      <c r="C300" s="192" t="str">
        <f t="shared" si="4"/>
        <v/>
      </c>
    </row>
    <row r="301" spans="3:3" x14ac:dyDescent="0.2">
      <c r="C301" s="192" t="str">
        <f t="shared" si="4"/>
        <v/>
      </c>
    </row>
    <row r="302" spans="3:3" x14ac:dyDescent="0.2">
      <c r="C302" s="192" t="str">
        <f t="shared" si="4"/>
        <v/>
      </c>
    </row>
    <row r="303" spans="3:3" x14ac:dyDescent="0.2">
      <c r="C303" s="192" t="str">
        <f t="shared" si="4"/>
        <v/>
      </c>
    </row>
    <row r="304" spans="3:3" x14ac:dyDescent="0.2">
      <c r="C304" s="192" t="str">
        <f t="shared" si="4"/>
        <v/>
      </c>
    </row>
    <row r="305" spans="3:3" x14ac:dyDescent="0.2">
      <c r="C305" s="192" t="str">
        <f t="shared" si="4"/>
        <v/>
      </c>
    </row>
    <row r="306" spans="3:3" x14ac:dyDescent="0.2">
      <c r="C306" s="192" t="str">
        <f t="shared" si="4"/>
        <v/>
      </c>
    </row>
    <row r="307" spans="3:3" x14ac:dyDescent="0.2">
      <c r="C307" s="192" t="str">
        <f t="shared" si="4"/>
        <v/>
      </c>
    </row>
    <row r="308" spans="3:3" x14ac:dyDescent="0.2">
      <c r="C308" s="192" t="str">
        <f t="shared" si="4"/>
        <v/>
      </c>
    </row>
    <row r="309" spans="3:3" x14ac:dyDescent="0.2">
      <c r="C309" s="192" t="str">
        <f t="shared" si="4"/>
        <v/>
      </c>
    </row>
    <row r="310" spans="3:3" x14ac:dyDescent="0.2">
      <c r="C310" s="192" t="str">
        <f t="shared" si="4"/>
        <v/>
      </c>
    </row>
    <row r="311" spans="3:3" x14ac:dyDescent="0.2">
      <c r="C311" s="192" t="str">
        <f t="shared" si="4"/>
        <v/>
      </c>
    </row>
    <row r="312" spans="3:3" x14ac:dyDescent="0.2">
      <c r="C312" s="192" t="str">
        <f t="shared" si="4"/>
        <v/>
      </c>
    </row>
    <row r="313" spans="3:3" x14ac:dyDescent="0.2">
      <c r="C313" s="192" t="str">
        <f t="shared" si="4"/>
        <v/>
      </c>
    </row>
    <row r="314" spans="3:3" x14ac:dyDescent="0.2">
      <c r="C314" s="192" t="str">
        <f t="shared" si="4"/>
        <v/>
      </c>
    </row>
    <row r="315" spans="3:3" x14ac:dyDescent="0.2">
      <c r="C315" s="192" t="str">
        <f t="shared" si="4"/>
        <v/>
      </c>
    </row>
    <row r="316" spans="3:3" x14ac:dyDescent="0.2">
      <c r="C316" s="192" t="str">
        <f t="shared" si="4"/>
        <v/>
      </c>
    </row>
    <row r="317" spans="3:3" x14ac:dyDescent="0.2">
      <c r="C317" s="192" t="str">
        <f t="shared" si="4"/>
        <v/>
      </c>
    </row>
    <row r="318" spans="3:3" x14ac:dyDescent="0.2">
      <c r="C318" s="192" t="str">
        <f t="shared" si="4"/>
        <v/>
      </c>
    </row>
    <row r="319" spans="3:3" x14ac:dyDescent="0.2">
      <c r="C319" s="192" t="str">
        <f t="shared" si="4"/>
        <v/>
      </c>
    </row>
    <row r="320" spans="3:3" x14ac:dyDescent="0.2">
      <c r="C320" s="192" t="str">
        <f t="shared" si="4"/>
        <v/>
      </c>
    </row>
    <row r="321" spans="3:3" x14ac:dyDescent="0.2">
      <c r="C321" s="192" t="str">
        <f t="shared" si="4"/>
        <v/>
      </c>
    </row>
    <row r="322" spans="3:3" x14ac:dyDescent="0.2">
      <c r="C322" s="192" t="str">
        <f t="shared" si="4"/>
        <v/>
      </c>
    </row>
    <row r="323" spans="3:3" x14ac:dyDescent="0.2">
      <c r="C323" s="192" t="str">
        <f t="shared" si="4"/>
        <v/>
      </c>
    </row>
    <row r="324" spans="3:3" x14ac:dyDescent="0.2">
      <c r="C324" s="192" t="str">
        <f t="shared" si="4"/>
        <v/>
      </c>
    </row>
    <row r="325" spans="3:3" x14ac:dyDescent="0.2">
      <c r="C325" s="192" t="str">
        <f t="shared" si="4"/>
        <v/>
      </c>
    </row>
    <row r="326" spans="3:3" x14ac:dyDescent="0.2">
      <c r="C326" s="192" t="str">
        <f t="shared" si="4"/>
        <v/>
      </c>
    </row>
    <row r="327" spans="3:3" x14ac:dyDescent="0.2">
      <c r="C327" s="192" t="str">
        <f t="shared" si="4"/>
        <v/>
      </c>
    </row>
    <row r="328" spans="3:3" x14ac:dyDescent="0.2">
      <c r="C328" s="192" t="str">
        <f t="shared" si="4"/>
        <v/>
      </c>
    </row>
    <row r="329" spans="3:3" x14ac:dyDescent="0.2">
      <c r="C329" s="192" t="str">
        <f t="shared" si="4"/>
        <v/>
      </c>
    </row>
    <row r="330" spans="3:3" x14ac:dyDescent="0.2">
      <c r="C330" s="192" t="str">
        <f t="shared" si="4"/>
        <v/>
      </c>
    </row>
    <row r="331" spans="3:3" x14ac:dyDescent="0.2">
      <c r="C331" s="192" t="str">
        <f t="shared" si="4"/>
        <v/>
      </c>
    </row>
    <row r="332" spans="3:3" x14ac:dyDescent="0.2">
      <c r="C332" s="192" t="str">
        <f t="shared" si="4"/>
        <v/>
      </c>
    </row>
    <row r="333" spans="3:3" x14ac:dyDescent="0.2">
      <c r="C333" s="192" t="str">
        <f t="shared" si="4"/>
        <v/>
      </c>
    </row>
    <row r="334" spans="3:3" x14ac:dyDescent="0.2">
      <c r="C334" s="192" t="str">
        <f t="shared" si="4"/>
        <v/>
      </c>
    </row>
    <row r="335" spans="3:3" x14ac:dyDescent="0.2">
      <c r="C335" s="192" t="str">
        <f t="shared" si="4"/>
        <v/>
      </c>
    </row>
    <row r="336" spans="3:3" x14ac:dyDescent="0.2">
      <c r="C336" s="192" t="str">
        <f t="shared" si="4"/>
        <v/>
      </c>
    </row>
    <row r="337" spans="3:3" x14ac:dyDescent="0.2">
      <c r="C337" s="192" t="str">
        <f t="shared" si="4"/>
        <v/>
      </c>
    </row>
    <row r="338" spans="3:3" x14ac:dyDescent="0.2">
      <c r="C338" s="192" t="str">
        <f t="shared" si="4"/>
        <v/>
      </c>
    </row>
    <row r="339" spans="3:3" x14ac:dyDescent="0.2">
      <c r="C339" s="192" t="str">
        <f t="shared" si="4"/>
        <v/>
      </c>
    </row>
    <row r="340" spans="3:3" x14ac:dyDescent="0.2">
      <c r="C340" s="192" t="str">
        <f t="shared" si="4"/>
        <v/>
      </c>
    </row>
    <row r="341" spans="3:3" x14ac:dyDescent="0.2">
      <c r="C341" s="192" t="str">
        <f t="shared" si="4"/>
        <v/>
      </c>
    </row>
    <row r="342" spans="3:3" x14ac:dyDescent="0.2">
      <c r="C342" s="192" t="str">
        <f t="shared" si="4"/>
        <v/>
      </c>
    </row>
    <row r="343" spans="3:3" x14ac:dyDescent="0.2">
      <c r="C343" s="192" t="str">
        <f t="shared" ref="C343:C406" si="5">IF(A343=0,"","Elastic")</f>
        <v/>
      </c>
    </row>
    <row r="344" spans="3:3" x14ac:dyDescent="0.2">
      <c r="C344" s="192" t="str">
        <f t="shared" si="5"/>
        <v/>
      </c>
    </row>
    <row r="345" spans="3:3" x14ac:dyDescent="0.2">
      <c r="C345" s="192" t="str">
        <f t="shared" si="5"/>
        <v/>
      </c>
    </row>
    <row r="346" spans="3:3" x14ac:dyDescent="0.2">
      <c r="C346" s="192" t="str">
        <f t="shared" si="5"/>
        <v/>
      </c>
    </row>
    <row r="347" spans="3:3" x14ac:dyDescent="0.2">
      <c r="C347" s="192" t="str">
        <f t="shared" si="5"/>
        <v/>
      </c>
    </row>
    <row r="348" spans="3:3" x14ac:dyDescent="0.2">
      <c r="C348" s="192" t="str">
        <f t="shared" si="5"/>
        <v/>
      </c>
    </row>
    <row r="349" spans="3:3" x14ac:dyDescent="0.2">
      <c r="C349" s="192" t="str">
        <f t="shared" si="5"/>
        <v/>
      </c>
    </row>
    <row r="350" spans="3:3" x14ac:dyDescent="0.2">
      <c r="C350" s="192" t="str">
        <f t="shared" si="5"/>
        <v/>
      </c>
    </row>
    <row r="351" spans="3:3" x14ac:dyDescent="0.2">
      <c r="C351" s="192" t="str">
        <f t="shared" si="5"/>
        <v/>
      </c>
    </row>
    <row r="352" spans="3:3" x14ac:dyDescent="0.2">
      <c r="C352" s="192" t="str">
        <f t="shared" si="5"/>
        <v/>
      </c>
    </row>
    <row r="353" spans="3:3" x14ac:dyDescent="0.2">
      <c r="C353" s="192" t="str">
        <f t="shared" si="5"/>
        <v/>
      </c>
    </row>
    <row r="354" spans="3:3" x14ac:dyDescent="0.2">
      <c r="C354" s="192" t="str">
        <f t="shared" si="5"/>
        <v/>
      </c>
    </row>
    <row r="355" spans="3:3" x14ac:dyDescent="0.2">
      <c r="C355" s="192" t="str">
        <f t="shared" si="5"/>
        <v/>
      </c>
    </row>
    <row r="356" spans="3:3" x14ac:dyDescent="0.2">
      <c r="C356" s="192" t="str">
        <f t="shared" si="5"/>
        <v/>
      </c>
    </row>
    <row r="357" spans="3:3" x14ac:dyDescent="0.2">
      <c r="C357" s="192" t="str">
        <f t="shared" si="5"/>
        <v/>
      </c>
    </row>
    <row r="358" spans="3:3" x14ac:dyDescent="0.2">
      <c r="C358" s="192" t="str">
        <f t="shared" si="5"/>
        <v/>
      </c>
    </row>
    <row r="359" spans="3:3" x14ac:dyDescent="0.2">
      <c r="C359" s="192" t="str">
        <f t="shared" si="5"/>
        <v/>
      </c>
    </row>
    <row r="360" spans="3:3" x14ac:dyDescent="0.2">
      <c r="C360" s="192" t="str">
        <f t="shared" si="5"/>
        <v/>
      </c>
    </row>
    <row r="361" spans="3:3" x14ac:dyDescent="0.2">
      <c r="C361" s="192" t="str">
        <f t="shared" si="5"/>
        <v/>
      </c>
    </row>
    <row r="362" spans="3:3" x14ac:dyDescent="0.2">
      <c r="C362" s="192" t="str">
        <f t="shared" si="5"/>
        <v/>
      </c>
    </row>
    <row r="363" spans="3:3" x14ac:dyDescent="0.2">
      <c r="C363" s="192" t="str">
        <f t="shared" si="5"/>
        <v/>
      </c>
    </row>
    <row r="364" spans="3:3" x14ac:dyDescent="0.2">
      <c r="C364" s="192" t="str">
        <f t="shared" si="5"/>
        <v/>
      </c>
    </row>
    <row r="365" spans="3:3" x14ac:dyDescent="0.2">
      <c r="C365" s="192" t="str">
        <f t="shared" si="5"/>
        <v/>
      </c>
    </row>
    <row r="366" spans="3:3" x14ac:dyDescent="0.2">
      <c r="C366" s="192" t="str">
        <f t="shared" si="5"/>
        <v/>
      </c>
    </row>
    <row r="367" spans="3:3" x14ac:dyDescent="0.2">
      <c r="C367" s="192" t="str">
        <f t="shared" si="5"/>
        <v/>
      </c>
    </row>
    <row r="368" spans="3:3" x14ac:dyDescent="0.2">
      <c r="C368" s="192" t="str">
        <f t="shared" si="5"/>
        <v/>
      </c>
    </row>
    <row r="369" spans="3:3" x14ac:dyDescent="0.2">
      <c r="C369" s="192" t="str">
        <f t="shared" si="5"/>
        <v/>
      </c>
    </row>
    <row r="370" spans="3:3" x14ac:dyDescent="0.2">
      <c r="C370" s="192" t="str">
        <f t="shared" si="5"/>
        <v/>
      </c>
    </row>
    <row r="371" spans="3:3" x14ac:dyDescent="0.2">
      <c r="C371" s="192" t="str">
        <f t="shared" si="5"/>
        <v/>
      </c>
    </row>
    <row r="372" spans="3:3" x14ac:dyDescent="0.2">
      <c r="C372" s="192" t="str">
        <f t="shared" si="5"/>
        <v/>
      </c>
    </row>
    <row r="373" spans="3:3" x14ac:dyDescent="0.2">
      <c r="C373" s="192" t="str">
        <f t="shared" si="5"/>
        <v/>
      </c>
    </row>
    <row r="374" spans="3:3" x14ac:dyDescent="0.2">
      <c r="C374" s="192" t="str">
        <f t="shared" si="5"/>
        <v/>
      </c>
    </row>
    <row r="375" spans="3:3" x14ac:dyDescent="0.2">
      <c r="C375" s="192" t="str">
        <f t="shared" si="5"/>
        <v/>
      </c>
    </row>
    <row r="376" spans="3:3" x14ac:dyDescent="0.2">
      <c r="C376" s="192" t="str">
        <f t="shared" si="5"/>
        <v/>
      </c>
    </row>
    <row r="377" spans="3:3" x14ac:dyDescent="0.2">
      <c r="C377" s="192" t="str">
        <f t="shared" si="5"/>
        <v/>
      </c>
    </row>
    <row r="378" spans="3:3" x14ac:dyDescent="0.2">
      <c r="C378" s="192" t="str">
        <f t="shared" si="5"/>
        <v/>
      </c>
    </row>
    <row r="379" spans="3:3" x14ac:dyDescent="0.2">
      <c r="C379" s="192" t="str">
        <f t="shared" si="5"/>
        <v/>
      </c>
    </row>
    <row r="380" spans="3:3" x14ac:dyDescent="0.2">
      <c r="C380" s="192" t="str">
        <f t="shared" si="5"/>
        <v/>
      </c>
    </row>
    <row r="381" spans="3:3" x14ac:dyDescent="0.2">
      <c r="C381" s="192" t="str">
        <f t="shared" si="5"/>
        <v/>
      </c>
    </row>
    <row r="382" spans="3:3" x14ac:dyDescent="0.2">
      <c r="C382" s="192" t="str">
        <f t="shared" si="5"/>
        <v/>
      </c>
    </row>
    <row r="383" spans="3:3" x14ac:dyDescent="0.2">
      <c r="C383" s="192" t="str">
        <f t="shared" si="5"/>
        <v/>
      </c>
    </row>
    <row r="384" spans="3:3" x14ac:dyDescent="0.2">
      <c r="C384" s="192" t="str">
        <f t="shared" si="5"/>
        <v/>
      </c>
    </row>
    <row r="385" spans="3:3" x14ac:dyDescent="0.2">
      <c r="C385" s="192" t="str">
        <f t="shared" si="5"/>
        <v/>
      </c>
    </row>
    <row r="386" spans="3:3" x14ac:dyDescent="0.2">
      <c r="C386" s="192" t="str">
        <f t="shared" si="5"/>
        <v/>
      </c>
    </row>
    <row r="387" spans="3:3" x14ac:dyDescent="0.2">
      <c r="C387" s="192" t="str">
        <f t="shared" si="5"/>
        <v/>
      </c>
    </row>
    <row r="388" spans="3:3" x14ac:dyDescent="0.2">
      <c r="C388" s="192" t="str">
        <f t="shared" si="5"/>
        <v/>
      </c>
    </row>
    <row r="389" spans="3:3" x14ac:dyDescent="0.2">
      <c r="C389" s="192" t="str">
        <f t="shared" si="5"/>
        <v/>
      </c>
    </row>
    <row r="390" spans="3:3" x14ac:dyDescent="0.2">
      <c r="C390" s="192" t="str">
        <f t="shared" si="5"/>
        <v/>
      </c>
    </row>
    <row r="391" spans="3:3" x14ac:dyDescent="0.2">
      <c r="C391" s="192" t="str">
        <f t="shared" si="5"/>
        <v/>
      </c>
    </row>
    <row r="392" spans="3:3" x14ac:dyDescent="0.2">
      <c r="C392" s="192" t="str">
        <f t="shared" si="5"/>
        <v/>
      </c>
    </row>
    <row r="393" spans="3:3" x14ac:dyDescent="0.2">
      <c r="C393" s="192" t="str">
        <f t="shared" si="5"/>
        <v/>
      </c>
    </row>
    <row r="394" spans="3:3" x14ac:dyDescent="0.2">
      <c r="C394" s="192" t="str">
        <f t="shared" si="5"/>
        <v/>
      </c>
    </row>
    <row r="395" spans="3:3" x14ac:dyDescent="0.2">
      <c r="C395" s="192" t="str">
        <f t="shared" si="5"/>
        <v/>
      </c>
    </row>
    <row r="396" spans="3:3" x14ac:dyDescent="0.2">
      <c r="C396" s="192" t="str">
        <f t="shared" si="5"/>
        <v/>
      </c>
    </row>
    <row r="397" spans="3:3" x14ac:dyDescent="0.2">
      <c r="C397" s="192" t="str">
        <f t="shared" si="5"/>
        <v/>
      </c>
    </row>
    <row r="398" spans="3:3" x14ac:dyDescent="0.2">
      <c r="C398" s="192" t="str">
        <f t="shared" si="5"/>
        <v/>
      </c>
    </row>
    <row r="399" spans="3:3" x14ac:dyDescent="0.2">
      <c r="C399" s="192" t="str">
        <f t="shared" si="5"/>
        <v/>
      </c>
    </row>
    <row r="400" spans="3:3" x14ac:dyDescent="0.2">
      <c r="C400" s="192" t="str">
        <f t="shared" si="5"/>
        <v/>
      </c>
    </row>
    <row r="401" spans="3:3" x14ac:dyDescent="0.2">
      <c r="C401" s="192" t="str">
        <f t="shared" si="5"/>
        <v/>
      </c>
    </row>
    <row r="402" spans="3:3" x14ac:dyDescent="0.2">
      <c r="C402" s="192" t="str">
        <f t="shared" si="5"/>
        <v/>
      </c>
    </row>
    <row r="403" spans="3:3" x14ac:dyDescent="0.2">
      <c r="C403" s="192" t="str">
        <f t="shared" si="5"/>
        <v/>
      </c>
    </row>
    <row r="404" spans="3:3" x14ac:dyDescent="0.2">
      <c r="C404" s="192" t="str">
        <f t="shared" si="5"/>
        <v/>
      </c>
    </row>
    <row r="405" spans="3:3" x14ac:dyDescent="0.2">
      <c r="C405" s="192" t="str">
        <f t="shared" si="5"/>
        <v/>
      </c>
    </row>
    <row r="406" spans="3:3" x14ac:dyDescent="0.2">
      <c r="C406" s="192" t="str">
        <f t="shared" si="5"/>
        <v/>
      </c>
    </row>
    <row r="407" spans="3:3" x14ac:dyDescent="0.2">
      <c r="C407" s="192" t="str">
        <f t="shared" ref="C407:C470" si="6">IF(A407=0,"","Elastic")</f>
        <v/>
      </c>
    </row>
    <row r="408" spans="3:3" x14ac:dyDescent="0.2">
      <c r="C408" s="192" t="str">
        <f t="shared" si="6"/>
        <v/>
      </c>
    </row>
    <row r="409" spans="3:3" x14ac:dyDescent="0.2">
      <c r="C409" s="192" t="str">
        <f t="shared" si="6"/>
        <v/>
      </c>
    </row>
    <row r="410" spans="3:3" x14ac:dyDescent="0.2">
      <c r="C410" s="192" t="str">
        <f t="shared" si="6"/>
        <v/>
      </c>
    </row>
    <row r="411" spans="3:3" x14ac:dyDescent="0.2">
      <c r="C411" s="192" t="str">
        <f t="shared" si="6"/>
        <v/>
      </c>
    </row>
    <row r="412" spans="3:3" x14ac:dyDescent="0.2">
      <c r="C412" s="192" t="str">
        <f t="shared" si="6"/>
        <v/>
      </c>
    </row>
    <row r="413" spans="3:3" x14ac:dyDescent="0.2">
      <c r="C413" s="192" t="str">
        <f t="shared" si="6"/>
        <v/>
      </c>
    </row>
    <row r="414" spans="3:3" x14ac:dyDescent="0.2">
      <c r="C414" s="192" t="str">
        <f t="shared" si="6"/>
        <v/>
      </c>
    </row>
    <row r="415" spans="3:3" x14ac:dyDescent="0.2">
      <c r="C415" s="192" t="str">
        <f t="shared" si="6"/>
        <v/>
      </c>
    </row>
    <row r="416" spans="3:3" x14ac:dyDescent="0.2">
      <c r="C416" s="192" t="str">
        <f t="shared" si="6"/>
        <v/>
      </c>
    </row>
    <row r="417" spans="3:3" x14ac:dyDescent="0.2">
      <c r="C417" s="192" t="str">
        <f t="shared" si="6"/>
        <v/>
      </c>
    </row>
    <row r="418" spans="3:3" x14ac:dyDescent="0.2">
      <c r="C418" s="192" t="str">
        <f t="shared" si="6"/>
        <v/>
      </c>
    </row>
    <row r="419" spans="3:3" x14ac:dyDescent="0.2">
      <c r="C419" s="192" t="str">
        <f t="shared" si="6"/>
        <v/>
      </c>
    </row>
    <row r="420" spans="3:3" x14ac:dyDescent="0.2">
      <c r="C420" s="192" t="str">
        <f t="shared" si="6"/>
        <v/>
      </c>
    </row>
    <row r="421" spans="3:3" x14ac:dyDescent="0.2">
      <c r="C421" s="192" t="str">
        <f t="shared" si="6"/>
        <v/>
      </c>
    </row>
    <row r="422" spans="3:3" x14ac:dyDescent="0.2">
      <c r="C422" s="192" t="str">
        <f t="shared" si="6"/>
        <v/>
      </c>
    </row>
    <row r="423" spans="3:3" x14ac:dyDescent="0.2">
      <c r="C423" s="192" t="str">
        <f t="shared" si="6"/>
        <v/>
      </c>
    </row>
    <row r="424" spans="3:3" x14ac:dyDescent="0.2">
      <c r="C424" s="192" t="str">
        <f t="shared" si="6"/>
        <v/>
      </c>
    </row>
    <row r="425" spans="3:3" x14ac:dyDescent="0.2">
      <c r="C425" s="192" t="str">
        <f t="shared" si="6"/>
        <v/>
      </c>
    </row>
    <row r="426" spans="3:3" x14ac:dyDescent="0.2">
      <c r="C426" s="192" t="str">
        <f t="shared" si="6"/>
        <v/>
      </c>
    </row>
    <row r="427" spans="3:3" x14ac:dyDescent="0.2">
      <c r="C427" s="192" t="str">
        <f t="shared" si="6"/>
        <v/>
      </c>
    </row>
    <row r="428" spans="3:3" x14ac:dyDescent="0.2">
      <c r="C428" s="192" t="str">
        <f t="shared" si="6"/>
        <v/>
      </c>
    </row>
    <row r="429" spans="3:3" x14ac:dyDescent="0.2">
      <c r="C429" s="192" t="str">
        <f t="shared" si="6"/>
        <v/>
      </c>
    </row>
    <row r="430" spans="3:3" x14ac:dyDescent="0.2">
      <c r="C430" s="192" t="str">
        <f t="shared" si="6"/>
        <v/>
      </c>
    </row>
    <row r="431" spans="3:3" x14ac:dyDescent="0.2">
      <c r="C431" s="192" t="str">
        <f t="shared" si="6"/>
        <v/>
      </c>
    </row>
    <row r="432" spans="3:3" x14ac:dyDescent="0.2">
      <c r="C432" s="192" t="str">
        <f t="shared" si="6"/>
        <v/>
      </c>
    </row>
    <row r="433" spans="3:3" x14ac:dyDescent="0.2">
      <c r="C433" s="192" t="str">
        <f t="shared" si="6"/>
        <v/>
      </c>
    </row>
    <row r="434" spans="3:3" x14ac:dyDescent="0.2">
      <c r="C434" s="192" t="str">
        <f t="shared" si="6"/>
        <v/>
      </c>
    </row>
    <row r="435" spans="3:3" x14ac:dyDescent="0.2">
      <c r="C435" s="192" t="str">
        <f t="shared" si="6"/>
        <v/>
      </c>
    </row>
    <row r="436" spans="3:3" x14ac:dyDescent="0.2">
      <c r="C436" s="192" t="str">
        <f t="shared" si="6"/>
        <v/>
      </c>
    </row>
    <row r="437" spans="3:3" x14ac:dyDescent="0.2">
      <c r="C437" s="192" t="str">
        <f t="shared" si="6"/>
        <v/>
      </c>
    </row>
    <row r="438" spans="3:3" x14ac:dyDescent="0.2">
      <c r="C438" s="192" t="str">
        <f t="shared" si="6"/>
        <v/>
      </c>
    </row>
    <row r="439" spans="3:3" x14ac:dyDescent="0.2">
      <c r="C439" s="192" t="str">
        <f t="shared" si="6"/>
        <v/>
      </c>
    </row>
    <row r="440" spans="3:3" x14ac:dyDescent="0.2">
      <c r="C440" s="192" t="str">
        <f t="shared" si="6"/>
        <v/>
      </c>
    </row>
    <row r="441" spans="3:3" x14ac:dyDescent="0.2">
      <c r="C441" s="192" t="str">
        <f t="shared" si="6"/>
        <v/>
      </c>
    </row>
    <row r="442" spans="3:3" x14ac:dyDescent="0.2">
      <c r="C442" s="192" t="str">
        <f t="shared" si="6"/>
        <v/>
      </c>
    </row>
    <row r="443" spans="3:3" x14ac:dyDescent="0.2">
      <c r="C443" s="192" t="str">
        <f t="shared" si="6"/>
        <v/>
      </c>
    </row>
    <row r="444" spans="3:3" x14ac:dyDescent="0.2">
      <c r="C444" s="192" t="str">
        <f t="shared" si="6"/>
        <v/>
      </c>
    </row>
    <row r="445" spans="3:3" x14ac:dyDescent="0.2">
      <c r="C445" s="192" t="str">
        <f t="shared" si="6"/>
        <v/>
      </c>
    </row>
    <row r="446" spans="3:3" x14ac:dyDescent="0.2">
      <c r="C446" s="192" t="str">
        <f t="shared" si="6"/>
        <v/>
      </c>
    </row>
    <row r="447" spans="3:3" x14ac:dyDescent="0.2">
      <c r="C447" s="192" t="str">
        <f t="shared" si="6"/>
        <v/>
      </c>
    </row>
    <row r="448" spans="3:3" x14ac:dyDescent="0.2">
      <c r="C448" s="192" t="str">
        <f t="shared" si="6"/>
        <v/>
      </c>
    </row>
    <row r="449" spans="3:3" x14ac:dyDescent="0.2">
      <c r="C449" s="192" t="str">
        <f t="shared" si="6"/>
        <v/>
      </c>
    </row>
    <row r="450" spans="3:3" x14ac:dyDescent="0.2">
      <c r="C450" s="192" t="str">
        <f t="shared" si="6"/>
        <v/>
      </c>
    </row>
    <row r="451" spans="3:3" x14ac:dyDescent="0.2">
      <c r="C451" s="192" t="str">
        <f t="shared" si="6"/>
        <v/>
      </c>
    </row>
    <row r="452" spans="3:3" x14ac:dyDescent="0.2">
      <c r="C452" s="192" t="str">
        <f t="shared" si="6"/>
        <v/>
      </c>
    </row>
    <row r="453" spans="3:3" x14ac:dyDescent="0.2">
      <c r="C453" s="192" t="str">
        <f t="shared" si="6"/>
        <v/>
      </c>
    </row>
    <row r="454" spans="3:3" x14ac:dyDescent="0.2">
      <c r="C454" s="192" t="str">
        <f t="shared" si="6"/>
        <v/>
      </c>
    </row>
    <row r="455" spans="3:3" x14ac:dyDescent="0.2">
      <c r="C455" s="192" t="str">
        <f t="shared" si="6"/>
        <v/>
      </c>
    </row>
    <row r="456" spans="3:3" x14ac:dyDescent="0.2">
      <c r="C456" s="192" t="str">
        <f t="shared" si="6"/>
        <v/>
      </c>
    </row>
    <row r="457" spans="3:3" x14ac:dyDescent="0.2">
      <c r="C457" s="192" t="str">
        <f t="shared" si="6"/>
        <v/>
      </c>
    </row>
    <row r="458" spans="3:3" x14ac:dyDescent="0.2">
      <c r="C458" s="192" t="str">
        <f t="shared" si="6"/>
        <v/>
      </c>
    </row>
    <row r="459" spans="3:3" x14ac:dyDescent="0.2">
      <c r="C459" s="192" t="str">
        <f t="shared" si="6"/>
        <v/>
      </c>
    </row>
    <row r="460" spans="3:3" x14ac:dyDescent="0.2">
      <c r="C460" s="192" t="str">
        <f t="shared" si="6"/>
        <v/>
      </c>
    </row>
    <row r="461" spans="3:3" x14ac:dyDescent="0.2">
      <c r="C461" s="192" t="str">
        <f t="shared" si="6"/>
        <v/>
      </c>
    </row>
    <row r="462" spans="3:3" x14ac:dyDescent="0.2">
      <c r="C462" s="192" t="str">
        <f t="shared" si="6"/>
        <v/>
      </c>
    </row>
    <row r="463" spans="3:3" x14ac:dyDescent="0.2">
      <c r="C463" s="192" t="str">
        <f t="shared" si="6"/>
        <v/>
      </c>
    </row>
    <row r="464" spans="3:3" x14ac:dyDescent="0.2">
      <c r="C464" s="192" t="str">
        <f t="shared" si="6"/>
        <v/>
      </c>
    </row>
    <row r="465" spans="3:3" x14ac:dyDescent="0.2">
      <c r="C465" s="192" t="str">
        <f t="shared" si="6"/>
        <v/>
      </c>
    </row>
    <row r="466" spans="3:3" x14ac:dyDescent="0.2">
      <c r="C466" s="192" t="str">
        <f t="shared" si="6"/>
        <v/>
      </c>
    </row>
    <row r="467" spans="3:3" x14ac:dyDescent="0.2">
      <c r="C467" s="192" t="str">
        <f t="shared" si="6"/>
        <v/>
      </c>
    </row>
    <row r="468" spans="3:3" x14ac:dyDescent="0.2">
      <c r="C468" s="192" t="str">
        <f t="shared" si="6"/>
        <v/>
      </c>
    </row>
    <row r="469" spans="3:3" x14ac:dyDescent="0.2">
      <c r="C469" s="192" t="str">
        <f t="shared" si="6"/>
        <v/>
      </c>
    </row>
    <row r="470" spans="3:3" x14ac:dyDescent="0.2">
      <c r="C470" s="192" t="str">
        <f t="shared" si="6"/>
        <v/>
      </c>
    </row>
    <row r="471" spans="3:3" x14ac:dyDescent="0.2">
      <c r="C471" s="192" t="str">
        <f t="shared" ref="C471:C534" si="7">IF(A471=0,"","Elastic")</f>
        <v/>
      </c>
    </row>
    <row r="472" spans="3:3" x14ac:dyDescent="0.2">
      <c r="C472" s="192" t="str">
        <f t="shared" si="7"/>
        <v/>
      </c>
    </row>
    <row r="473" spans="3:3" x14ac:dyDescent="0.2">
      <c r="C473" s="192" t="str">
        <f t="shared" si="7"/>
        <v/>
      </c>
    </row>
    <row r="474" spans="3:3" x14ac:dyDescent="0.2">
      <c r="C474" s="192" t="str">
        <f t="shared" si="7"/>
        <v/>
      </c>
    </row>
    <row r="475" spans="3:3" x14ac:dyDescent="0.2">
      <c r="C475" s="192" t="str">
        <f t="shared" si="7"/>
        <v/>
      </c>
    </row>
    <row r="476" spans="3:3" x14ac:dyDescent="0.2">
      <c r="C476" s="192" t="str">
        <f t="shared" si="7"/>
        <v/>
      </c>
    </row>
    <row r="477" spans="3:3" x14ac:dyDescent="0.2">
      <c r="C477" s="192" t="str">
        <f t="shared" si="7"/>
        <v/>
      </c>
    </row>
    <row r="478" spans="3:3" x14ac:dyDescent="0.2">
      <c r="C478" s="192" t="str">
        <f t="shared" si="7"/>
        <v/>
      </c>
    </row>
    <row r="479" spans="3:3" x14ac:dyDescent="0.2">
      <c r="C479" s="192" t="str">
        <f t="shared" si="7"/>
        <v/>
      </c>
    </row>
    <row r="480" spans="3:3" x14ac:dyDescent="0.2">
      <c r="C480" s="192" t="str">
        <f t="shared" si="7"/>
        <v/>
      </c>
    </row>
    <row r="481" spans="3:3" x14ac:dyDescent="0.2">
      <c r="C481" s="192" t="str">
        <f t="shared" si="7"/>
        <v/>
      </c>
    </row>
    <row r="482" spans="3:3" x14ac:dyDescent="0.2">
      <c r="C482" s="192" t="str">
        <f t="shared" si="7"/>
        <v/>
      </c>
    </row>
    <row r="483" spans="3:3" x14ac:dyDescent="0.2">
      <c r="C483" s="192" t="str">
        <f t="shared" si="7"/>
        <v/>
      </c>
    </row>
    <row r="484" spans="3:3" x14ac:dyDescent="0.2">
      <c r="C484" s="192" t="str">
        <f t="shared" si="7"/>
        <v/>
      </c>
    </row>
    <row r="485" spans="3:3" x14ac:dyDescent="0.2">
      <c r="C485" s="192" t="str">
        <f t="shared" si="7"/>
        <v/>
      </c>
    </row>
    <row r="486" spans="3:3" x14ac:dyDescent="0.2">
      <c r="C486" s="192" t="str">
        <f t="shared" si="7"/>
        <v/>
      </c>
    </row>
    <row r="487" spans="3:3" x14ac:dyDescent="0.2">
      <c r="C487" s="192" t="str">
        <f t="shared" si="7"/>
        <v/>
      </c>
    </row>
    <row r="488" spans="3:3" x14ac:dyDescent="0.2">
      <c r="C488" s="192" t="str">
        <f t="shared" si="7"/>
        <v/>
      </c>
    </row>
    <row r="489" spans="3:3" x14ac:dyDescent="0.2">
      <c r="C489" s="192" t="str">
        <f t="shared" si="7"/>
        <v/>
      </c>
    </row>
    <row r="490" spans="3:3" x14ac:dyDescent="0.2">
      <c r="C490" s="192" t="str">
        <f t="shared" si="7"/>
        <v/>
      </c>
    </row>
    <row r="491" spans="3:3" x14ac:dyDescent="0.2">
      <c r="C491" s="192" t="str">
        <f t="shared" si="7"/>
        <v/>
      </c>
    </row>
    <row r="492" spans="3:3" x14ac:dyDescent="0.2">
      <c r="C492" s="192" t="str">
        <f t="shared" si="7"/>
        <v/>
      </c>
    </row>
    <row r="493" spans="3:3" x14ac:dyDescent="0.2">
      <c r="C493" s="192" t="str">
        <f t="shared" si="7"/>
        <v/>
      </c>
    </row>
    <row r="494" spans="3:3" x14ac:dyDescent="0.2">
      <c r="C494" s="192" t="str">
        <f t="shared" si="7"/>
        <v/>
      </c>
    </row>
    <row r="495" spans="3:3" x14ac:dyDescent="0.2">
      <c r="C495" s="192" t="str">
        <f t="shared" si="7"/>
        <v/>
      </c>
    </row>
    <row r="496" spans="3:3" x14ac:dyDescent="0.2">
      <c r="C496" s="192" t="str">
        <f t="shared" si="7"/>
        <v/>
      </c>
    </row>
    <row r="497" spans="3:3" x14ac:dyDescent="0.2">
      <c r="C497" s="192" t="str">
        <f t="shared" si="7"/>
        <v/>
      </c>
    </row>
    <row r="498" spans="3:3" x14ac:dyDescent="0.2">
      <c r="C498" s="192" t="str">
        <f t="shared" si="7"/>
        <v/>
      </c>
    </row>
    <row r="499" spans="3:3" x14ac:dyDescent="0.2">
      <c r="C499" s="192" t="str">
        <f t="shared" si="7"/>
        <v/>
      </c>
    </row>
    <row r="500" spans="3:3" x14ac:dyDescent="0.2">
      <c r="C500" s="192" t="str">
        <f t="shared" si="7"/>
        <v/>
      </c>
    </row>
    <row r="501" spans="3:3" x14ac:dyDescent="0.2">
      <c r="C501" s="192" t="str">
        <f t="shared" si="7"/>
        <v/>
      </c>
    </row>
    <row r="502" spans="3:3" x14ac:dyDescent="0.2">
      <c r="C502" s="192" t="str">
        <f t="shared" si="7"/>
        <v/>
      </c>
    </row>
    <row r="503" spans="3:3" x14ac:dyDescent="0.2">
      <c r="C503" s="192" t="str">
        <f t="shared" si="7"/>
        <v/>
      </c>
    </row>
    <row r="504" spans="3:3" x14ac:dyDescent="0.2">
      <c r="C504" s="192" t="str">
        <f t="shared" si="7"/>
        <v/>
      </c>
    </row>
    <row r="505" spans="3:3" x14ac:dyDescent="0.2">
      <c r="C505" s="192" t="str">
        <f t="shared" si="7"/>
        <v/>
      </c>
    </row>
    <row r="506" spans="3:3" x14ac:dyDescent="0.2">
      <c r="C506" s="192" t="str">
        <f t="shared" si="7"/>
        <v/>
      </c>
    </row>
    <row r="507" spans="3:3" x14ac:dyDescent="0.2">
      <c r="C507" s="192" t="str">
        <f t="shared" si="7"/>
        <v/>
      </c>
    </row>
    <row r="508" spans="3:3" x14ac:dyDescent="0.2">
      <c r="C508" s="192" t="str">
        <f t="shared" si="7"/>
        <v/>
      </c>
    </row>
    <row r="509" spans="3:3" x14ac:dyDescent="0.2">
      <c r="C509" s="192" t="str">
        <f t="shared" si="7"/>
        <v/>
      </c>
    </row>
    <row r="510" spans="3:3" x14ac:dyDescent="0.2">
      <c r="C510" s="192" t="str">
        <f t="shared" si="7"/>
        <v/>
      </c>
    </row>
    <row r="511" spans="3:3" x14ac:dyDescent="0.2">
      <c r="C511" s="192" t="str">
        <f t="shared" si="7"/>
        <v/>
      </c>
    </row>
    <row r="512" spans="3:3" x14ac:dyDescent="0.2">
      <c r="C512" s="192" t="str">
        <f t="shared" si="7"/>
        <v/>
      </c>
    </row>
    <row r="513" spans="3:3" x14ac:dyDescent="0.2">
      <c r="C513" s="192" t="str">
        <f t="shared" si="7"/>
        <v/>
      </c>
    </row>
    <row r="514" spans="3:3" x14ac:dyDescent="0.2">
      <c r="C514" s="192" t="str">
        <f t="shared" si="7"/>
        <v/>
      </c>
    </row>
    <row r="515" spans="3:3" x14ac:dyDescent="0.2">
      <c r="C515" s="192" t="str">
        <f t="shared" si="7"/>
        <v/>
      </c>
    </row>
    <row r="516" spans="3:3" x14ac:dyDescent="0.2">
      <c r="C516" s="192" t="str">
        <f t="shared" si="7"/>
        <v/>
      </c>
    </row>
    <row r="517" spans="3:3" x14ac:dyDescent="0.2">
      <c r="C517" s="192" t="str">
        <f t="shared" si="7"/>
        <v/>
      </c>
    </row>
    <row r="518" spans="3:3" x14ac:dyDescent="0.2">
      <c r="C518" s="192" t="str">
        <f t="shared" si="7"/>
        <v/>
      </c>
    </row>
    <row r="519" spans="3:3" x14ac:dyDescent="0.2">
      <c r="C519" s="192" t="str">
        <f t="shared" si="7"/>
        <v/>
      </c>
    </row>
    <row r="520" spans="3:3" x14ac:dyDescent="0.2">
      <c r="C520" s="192" t="str">
        <f t="shared" si="7"/>
        <v/>
      </c>
    </row>
    <row r="521" spans="3:3" x14ac:dyDescent="0.2">
      <c r="C521" s="192" t="str">
        <f t="shared" si="7"/>
        <v/>
      </c>
    </row>
    <row r="522" spans="3:3" x14ac:dyDescent="0.2">
      <c r="C522" s="192" t="str">
        <f t="shared" si="7"/>
        <v/>
      </c>
    </row>
    <row r="523" spans="3:3" x14ac:dyDescent="0.2">
      <c r="C523" s="192" t="str">
        <f t="shared" si="7"/>
        <v/>
      </c>
    </row>
    <row r="524" spans="3:3" x14ac:dyDescent="0.2">
      <c r="C524" s="192" t="str">
        <f t="shared" si="7"/>
        <v/>
      </c>
    </row>
    <row r="525" spans="3:3" x14ac:dyDescent="0.2">
      <c r="C525" s="192" t="str">
        <f t="shared" si="7"/>
        <v/>
      </c>
    </row>
    <row r="526" spans="3:3" x14ac:dyDescent="0.2">
      <c r="C526" s="192" t="str">
        <f t="shared" si="7"/>
        <v/>
      </c>
    </row>
    <row r="527" spans="3:3" x14ac:dyDescent="0.2">
      <c r="C527" s="192" t="str">
        <f t="shared" si="7"/>
        <v/>
      </c>
    </row>
    <row r="528" spans="3:3" x14ac:dyDescent="0.2">
      <c r="C528" s="192" t="str">
        <f t="shared" si="7"/>
        <v/>
      </c>
    </row>
    <row r="529" spans="3:3" x14ac:dyDescent="0.2">
      <c r="C529" s="192" t="str">
        <f t="shared" si="7"/>
        <v/>
      </c>
    </row>
    <row r="530" spans="3:3" x14ac:dyDescent="0.2">
      <c r="C530" s="192" t="str">
        <f t="shared" si="7"/>
        <v/>
      </c>
    </row>
    <row r="531" spans="3:3" x14ac:dyDescent="0.2">
      <c r="C531" s="192" t="str">
        <f t="shared" si="7"/>
        <v/>
      </c>
    </row>
    <row r="532" spans="3:3" x14ac:dyDescent="0.2">
      <c r="C532" s="192" t="str">
        <f t="shared" si="7"/>
        <v/>
      </c>
    </row>
    <row r="533" spans="3:3" x14ac:dyDescent="0.2">
      <c r="C533" s="192" t="str">
        <f t="shared" si="7"/>
        <v/>
      </c>
    </row>
    <row r="534" spans="3:3" x14ac:dyDescent="0.2">
      <c r="C534" s="192" t="str">
        <f t="shared" si="7"/>
        <v/>
      </c>
    </row>
    <row r="535" spans="3:3" x14ac:dyDescent="0.2">
      <c r="C535" s="192" t="str">
        <f t="shared" ref="C535:C598" si="8">IF(A535=0,"","Elastic")</f>
        <v/>
      </c>
    </row>
    <row r="536" spans="3:3" x14ac:dyDescent="0.2">
      <c r="C536" s="192" t="str">
        <f t="shared" si="8"/>
        <v/>
      </c>
    </row>
    <row r="537" spans="3:3" x14ac:dyDescent="0.2">
      <c r="C537" s="192" t="str">
        <f t="shared" si="8"/>
        <v/>
      </c>
    </row>
    <row r="538" spans="3:3" x14ac:dyDescent="0.2">
      <c r="C538" s="192" t="str">
        <f t="shared" si="8"/>
        <v/>
      </c>
    </row>
    <row r="539" spans="3:3" x14ac:dyDescent="0.2">
      <c r="C539" s="192" t="str">
        <f t="shared" si="8"/>
        <v/>
      </c>
    </row>
    <row r="540" spans="3:3" x14ac:dyDescent="0.2">
      <c r="C540" s="192" t="str">
        <f t="shared" si="8"/>
        <v/>
      </c>
    </row>
    <row r="541" spans="3:3" x14ac:dyDescent="0.2">
      <c r="C541" s="192" t="str">
        <f t="shared" si="8"/>
        <v/>
      </c>
    </row>
    <row r="542" spans="3:3" x14ac:dyDescent="0.2">
      <c r="C542" s="192" t="str">
        <f t="shared" si="8"/>
        <v/>
      </c>
    </row>
    <row r="543" spans="3:3" x14ac:dyDescent="0.2">
      <c r="C543" s="192" t="str">
        <f t="shared" si="8"/>
        <v/>
      </c>
    </row>
    <row r="544" spans="3:3" x14ac:dyDescent="0.2">
      <c r="C544" s="192" t="str">
        <f t="shared" si="8"/>
        <v/>
      </c>
    </row>
    <row r="545" spans="3:3" x14ac:dyDescent="0.2">
      <c r="C545" s="192" t="str">
        <f t="shared" si="8"/>
        <v/>
      </c>
    </row>
    <row r="546" spans="3:3" x14ac:dyDescent="0.2">
      <c r="C546" s="192" t="str">
        <f t="shared" si="8"/>
        <v/>
      </c>
    </row>
    <row r="547" spans="3:3" x14ac:dyDescent="0.2">
      <c r="C547" s="192" t="str">
        <f t="shared" si="8"/>
        <v/>
      </c>
    </row>
    <row r="548" spans="3:3" x14ac:dyDescent="0.2">
      <c r="C548" s="192" t="str">
        <f t="shared" si="8"/>
        <v/>
      </c>
    </row>
    <row r="549" spans="3:3" x14ac:dyDescent="0.2">
      <c r="C549" s="192" t="str">
        <f t="shared" si="8"/>
        <v/>
      </c>
    </row>
    <row r="550" spans="3:3" x14ac:dyDescent="0.2">
      <c r="C550" s="192" t="str">
        <f t="shared" si="8"/>
        <v/>
      </c>
    </row>
    <row r="551" spans="3:3" x14ac:dyDescent="0.2">
      <c r="C551" s="192" t="str">
        <f t="shared" si="8"/>
        <v/>
      </c>
    </row>
    <row r="552" spans="3:3" x14ac:dyDescent="0.2">
      <c r="C552" s="192" t="str">
        <f t="shared" si="8"/>
        <v/>
      </c>
    </row>
    <row r="553" spans="3:3" x14ac:dyDescent="0.2">
      <c r="C553" s="192" t="str">
        <f t="shared" si="8"/>
        <v/>
      </c>
    </row>
    <row r="554" spans="3:3" x14ac:dyDescent="0.2">
      <c r="C554" s="192" t="str">
        <f t="shared" si="8"/>
        <v/>
      </c>
    </row>
    <row r="555" spans="3:3" x14ac:dyDescent="0.2">
      <c r="C555" s="192" t="str">
        <f t="shared" si="8"/>
        <v/>
      </c>
    </row>
    <row r="556" spans="3:3" x14ac:dyDescent="0.2">
      <c r="C556" s="192" t="str">
        <f t="shared" si="8"/>
        <v/>
      </c>
    </row>
    <row r="557" spans="3:3" x14ac:dyDescent="0.2">
      <c r="C557" s="192" t="str">
        <f t="shared" si="8"/>
        <v/>
      </c>
    </row>
    <row r="558" spans="3:3" x14ac:dyDescent="0.2">
      <c r="C558" s="192" t="str">
        <f t="shared" si="8"/>
        <v/>
      </c>
    </row>
    <row r="559" spans="3:3" x14ac:dyDescent="0.2">
      <c r="C559" s="192" t="str">
        <f t="shared" si="8"/>
        <v/>
      </c>
    </row>
    <row r="560" spans="3:3" x14ac:dyDescent="0.2">
      <c r="C560" s="192" t="str">
        <f t="shared" si="8"/>
        <v/>
      </c>
    </row>
    <row r="561" spans="3:3" x14ac:dyDescent="0.2">
      <c r="C561" s="192" t="str">
        <f t="shared" si="8"/>
        <v/>
      </c>
    </row>
    <row r="562" spans="3:3" x14ac:dyDescent="0.2">
      <c r="C562" s="192" t="str">
        <f t="shared" si="8"/>
        <v/>
      </c>
    </row>
    <row r="563" spans="3:3" x14ac:dyDescent="0.2">
      <c r="C563" s="192" t="str">
        <f t="shared" si="8"/>
        <v/>
      </c>
    </row>
    <row r="564" spans="3:3" x14ac:dyDescent="0.2">
      <c r="C564" s="192" t="str">
        <f t="shared" si="8"/>
        <v/>
      </c>
    </row>
    <row r="565" spans="3:3" x14ac:dyDescent="0.2">
      <c r="C565" s="192" t="str">
        <f t="shared" si="8"/>
        <v/>
      </c>
    </row>
    <row r="566" spans="3:3" x14ac:dyDescent="0.2">
      <c r="C566" s="192" t="str">
        <f t="shared" si="8"/>
        <v/>
      </c>
    </row>
    <row r="567" spans="3:3" x14ac:dyDescent="0.2">
      <c r="C567" s="192" t="str">
        <f t="shared" si="8"/>
        <v/>
      </c>
    </row>
    <row r="568" spans="3:3" x14ac:dyDescent="0.2">
      <c r="C568" s="192" t="str">
        <f t="shared" si="8"/>
        <v/>
      </c>
    </row>
    <row r="569" spans="3:3" x14ac:dyDescent="0.2">
      <c r="C569" s="192" t="str">
        <f t="shared" si="8"/>
        <v/>
      </c>
    </row>
    <row r="570" spans="3:3" x14ac:dyDescent="0.2">
      <c r="C570" s="192" t="str">
        <f t="shared" si="8"/>
        <v/>
      </c>
    </row>
    <row r="571" spans="3:3" x14ac:dyDescent="0.2">
      <c r="C571" s="192" t="str">
        <f t="shared" si="8"/>
        <v/>
      </c>
    </row>
    <row r="572" spans="3:3" x14ac:dyDescent="0.2">
      <c r="C572" s="192" t="str">
        <f t="shared" si="8"/>
        <v/>
      </c>
    </row>
    <row r="573" spans="3:3" x14ac:dyDescent="0.2">
      <c r="C573" s="192" t="str">
        <f t="shared" si="8"/>
        <v/>
      </c>
    </row>
    <row r="574" spans="3:3" x14ac:dyDescent="0.2">
      <c r="C574" s="192" t="str">
        <f t="shared" si="8"/>
        <v/>
      </c>
    </row>
    <row r="575" spans="3:3" x14ac:dyDescent="0.2">
      <c r="C575" s="192" t="str">
        <f t="shared" si="8"/>
        <v/>
      </c>
    </row>
    <row r="576" spans="3:3" x14ac:dyDescent="0.2">
      <c r="C576" s="192" t="str">
        <f t="shared" si="8"/>
        <v/>
      </c>
    </row>
    <row r="577" spans="3:3" x14ac:dyDescent="0.2">
      <c r="C577" s="192" t="str">
        <f t="shared" si="8"/>
        <v/>
      </c>
    </row>
    <row r="578" spans="3:3" x14ac:dyDescent="0.2">
      <c r="C578" s="192" t="str">
        <f t="shared" si="8"/>
        <v/>
      </c>
    </row>
    <row r="579" spans="3:3" x14ac:dyDescent="0.2">
      <c r="C579" s="192" t="str">
        <f t="shared" si="8"/>
        <v/>
      </c>
    </row>
    <row r="580" spans="3:3" x14ac:dyDescent="0.2">
      <c r="C580" s="192" t="str">
        <f t="shared" si="8"/>
        <v/>
      </c>
    </row>
    <row r="581" spans="3:3" x14ac:dyDescent="0.2">
      <c r="C581" s="192" t="str">
        <f t="shared" si="8"/>
        <v/>
      </c>
    </row>
    <row r="582" spans="3:3" x14ac:dyDescent="0.2">
      <c r="C582" s="192" t="str">
        <f t="shared" si="8"/>
        <v/>
      </c>
    </row>
    <row r="583" spans="3:3" x14ac:dyDescent="0.2">
      <c r="C583" s="192" t="str">
        <f t="shared" si="8"/>
        <v/>
      </c>
    </row>
    <row r="584" spans="3:3" x14ac:dyDescent="0.2">
      <c r="C584" s="192" t="str">
        <f t="shared" si="8"/>
        <v/>
      </c>
    </row>
    <row r="585" spans="3:3" x14ac:dyDescent="0.2">
      <c r="C585" s="192" t="str">
        <f t="shared" si="8"/>
        <v/>
      </c>
    </row>
    <row r="586" spans="3:3" x14ac:dyDescent="0.2">
      <c r="C586" s="192" t="str">
        <f t="shared" si="8"/>
        <v/>
      </c>
    </row>
    <row r="587" spans="3:3" x14ac:dyDescent="0.2">
      <c r="C587" s="192" t="str">
        <f t="shared" si="8"/>
        <v/>
      </c>
    </row>
    <row r="588" spans="3:3" x14ac:dyDescent="0.2">
      <c r="C588" s="192" t="str">
        <f t="shared" si="8"/>
        <v/>
      </c>
    </row>
    <row r="589" spans="3:3" x14ac:dyDescent="0.2">
      <c r="C589" s="192" t="str">
        <f t="shared" si="8"/>
        <v/>
      </c>
    </row>
    <row r="590" spans="3:3" x14ac:dyDescent="0.2">
      <c r="C590" s="192" t="str">
        <f t="shared" si="8"/>
        <v/>
      </c>
    </row>
    <row r="591" spans="3:3" x14ac:dyDescent="0.2">
      <c r="C591" s="192" t="str">
        <f t="shared" si="8"/>
        <v/>
      </c>
    </row>
    <row r="592" spans="3:3" x14ac:dyDescent="0.2">
      <c r="C592" s="192" t="str">
        <f t="shared" si="8"/>
        <v/>
      </c>
    </row>
    <row r="593" spans="3:3" x14ac:dyDescent="0.2">
      <c r="C593" s="192" t="str">
        <f t="shared" si="8"/>
        <v/>
      </c>
    </row>
    <row r="594" spans="3:3" x14ac:dyDescent="0.2">
      <c r="C594" s="192" t="str">
        <f t="shared" si="8"/>
        <v/>
      </c>
    </row>
    <row r="595" spans="3:3" x14ac:dyDescent="0.2">
      <c r="C595" s="192" t="str">
        <f t="shared" si="8"/>
        <v/>
      </c>
    </row>
    <row r="596" spans="3:3" x14ac:dyDescent="0.2">
      <c r="C596" s="192" t="str">
        <f t="shared" si="8"/>
        <v/>
      </c>
    </row>
    <row r="597" spans="3:3" x14ac:dyDescent="0.2">
      <c r="C597" s="192" t="str">
        <f t="shared" si="8"/>
        <v/>
      </c>
    </row>
    <row r="598" spans="3:3" x14ac:dyDescent="0.2">
      <c r="C598" s="192" t="str">
        <f t="shared" si="8"/>
        <v/>
      </c>
    </row>
    <row r="599" spans="3:3" x14ac:dyDescent="0.2">
      <c r="C599" s="192" t="str">
        <f t="shared" ref="C599:C662" si="9">IF(A599=0,"","Elastic")</f>
        <v/>
      </c>
    </row>
    <row r="600" spans="3:3" x14ac:dyDescent="0.2">
      <c r="C600" s="192" t="str">
        <f t="shared" si="9"/>
        <v/>
      </c>
    </row>
    <row r="601" spans="3:3" x14ac:dyDescent="0.2">
      <c r="C601" s="192" t="str">
        <f t="shared" si="9"/>
        <v/>
      </c>
    </row>
    <row r="602" spans="3:3" x14ac:dyDescent="0.2">
      <c r="C602" s="192" t="str">
        <f t="shared" si="9"/>
        <v/>
      </c>
    </row>
    <row r="603" spans="3:3" x14ac:dyDescent="0.2">
      <c r="C603" s="192" t="str">
        <f t="shared" si="9"/>
        <v/>
      </c>
    </row>
    <row r="604" spans="3:3" x14ac:dyDescent="0.2">
      <c r="C604" s="192" t="str">
        <f t="shared" si="9"/>
        <v/>
      </c>
    </row>
    <row r="605" spans="3:3" x14ac:dyDescent="0.2">
      <c r="C605" s="192" t="str">
        <f t="shared" si="9"/>
        <v/>
      </c>
    </row>
    <row r="606" spans="3:3" x14ac:dyDescent="0.2">
      <c r="C606" s="192" t="str">
        <f t="shared" si="9"/>
        <v/>
      </c>
    </row>
    <row r="607" spans="3:3" x14ac:dyDescent="0.2">
      <c r="C607" s="192" t="str">
        <f t="shared" si="9"/>
        <v/>
      </c>
    </row>
    <row r="608" spans="3:3" x14ac:dyDescent="0.2">
      <c r="C608" s="192" t="str">
        <f t="shared" si="9"/>
        <v/>
      </c>
    </row>
    <row r="609" spans="3:3" x14ac:dyDescent="0.2">
      <c r="C609" s="192" t="str">
        <f t="shared" si="9"/>
        <v/>
      </c>
    </row>
    <row r="610" spans="3:3" x14ac:dyDescent="0.2">
      <c r="C610" s="192" t="str">
        <f t="shared" si="9"/>
        <v/>
      </c>
    </row>
    <row r="611" spans="3:3" x14ac:dyDescent="0.2">
      <c r="C611" s="192" t="str">
        <f t="shared" si="9"/>
        <v/>
      </c>
    </row>
    <row r="612" spans="3:3" x14ac:dyDescent="0.2">
      <c r="C612" s="192" t="str">
        <f t="shared" si="9"/>
        <v/>
      </c>
    </row>
    <row r="613" spans="3:3" x14ac:dyDescent="0.2">
      <c r="C613" s="192" t="str">
        <f t="shared" si="9"/>
        <v/>
      </c>
    </row>
    <row r="614" spans="3:3" x14ac:dyDescent="0.2">
      <c r="C614" s="192" t="str">
        <f t="shared" si="9"/>
        <v/>
      </c>
    </row>
    <row r="615" spans="3:3" x14ac:dyDescent="0.2">
      <c r="C615" s="192" t="str">
        <f t="shared" si="9"/>
        <v/>
      </c>
    </row>
    <row r="616" spans="3:3" x14ac:dyDescent="0.2">
      <c r="C616" s="192" t="str">
        <f t="shared" si="9"/>
        <v/>
      </c>
    </row>
    <row r="617" spans="3:3" x14ac:dyDescent="0.2">
      <c r="C617" s="192" t="str">
        <f t="shared" si="9"/>
        <v/>
      </c>
    </row>
    <row r="618" spans="3:3" x14ac:dyDescent="0.2">
      <c r="C618" s="192" t="str">
        <f t="shared" si="9"/>
        <v/>
      </c>
    </row>
    <row r="619" spans="3:3" x14ac:dyDescent="0.2">
      <c r="C619" s="192" t="str">
        <f t="shared" si="9"/>
        <v/>
      </c>
    </row>
    <row r="620" spans="3:3" x14ac:dyDescent="0.2">
      <c r="C620" s="192" t="str">
        <f t="shared" si="9"/>
        <v/>
      </c>
    </row>
    <row r="621" spans="3:3" x14ac:dyDescent="0.2">
      <c r="C621" s="192" t="str">
        <f t="shared" si="9"/>
        <v/>
      </c>
    </row>
    <row r="622" spans="3:3" x14ac:dyDescent="0.2">
      <c r="C622" s="192" t="str">
        <f t="shared" si="9"/>
        <v/>
      </c>
    </row>
    <row r="623" spans="3:3" x14ac:dyDescent="0.2">
      <c r="C623" s="192" t="str">
        <f t="shared" si="9"/>
        <v/>
      </c>
    </row>
    <row r="624" spans="3:3" x14ac:dyDescent="0.2">
      <c r="C624" s="192" t="str">
        <f t="shared" si="9"/>
        <v/>
      </c>
    </row>
    <row r="625" spans="3:3" x14ac:dyDescent="0.2">
      <c r="C625" s="192" t="str">
        <f t="shared" si="9"/>
        <v/>
      </c>
    </row>
    <row r="626" spans="3:3" x14ac:dyDescent="0.2">
      <c r="C626" s="192" t="str">
        <f t="shared" si="9"/>
        <v/>
      </c>
    </row>
    <row r="627" spans="3:3" x14ac:dyDescent="0.2">
      <c r="C627" s="192" t="str">
        <f t="shared" si="9"/>
        <v/>
      </c>
    </row>
    <row r="628" spans="3:3" x14ac:dyDescent="0.2">
      <c r="C628" s="192" t="str">
        <f t="shared" si="9"/>
        <v/>
      </c>
    </row>
    <row r="629" spans="3:3" x14ac:dyDescent="0.2">
      <c r="C629" s="192" t="str">
        <f t="shared" si="9"/>
        <v/>
      </c>
    </row>
    <row r="630" spans="3:3" x14ac:dyDescent="0.2">
      <c r="C630" s="192" t="str">
        <f t="shared" si="9"/>
        <v/>
      </c>
    </row>
    <row r="631" spans="3:3" x14ac:dyDescent="0.2">
      <c r="C631" s="192" t="str">
        <f t="shared" si="9"/>
        <v/>
      </c>
    </row>
    <row r="632" spans="3:3" x14ac:dyDescent="0.2">
      <c r="C632" s="192" t="str">
        <f t="shared" si="9"/>
        <v/>
      </c>
    </row>
    <row r="633" spans="3:3" x14ac:dyDescent="0.2">
      <c r="C633" s="192" t="str">
        <f t="shared" si="9"/>
        <v/>
      </c>
    </row>
    <row r="634" spans="3:3" x14ac:dyDescent="0.2">
      <c r="C634" s="192" t="str">
        <f t="shared" si="9"/>
        <v/>
      </c>
    </row>
    <row r="635" spans="3:3" x14ac:dyDescent="0.2">
      <c r="C635" s="192" t="str">
        <f t="shared" si="9"/>
        <v/>
      </c>
    </row>
    <row r="636" spans="3:3" x14ac:dyDescent="0.2">
      <c r="C636" s="192" t="str">
        <f t="shared" si="9"/>
        <v/>
      </c>
    </row>
    <row r="637" spans="3:3" x14ac:dyDescent="0.2">
      <c r="C637" s="192" t="str">
        <f t="shared" si="9"/>
        <v/>
      </c>
    </row>
    <row r="638" spans="3:3" x14ac:dyDescent="0.2">
      <c r="C638" s="192" t="str">
        <f t="shared" si="9"/>
        <v/>
      </c>
    </row>
    <row r="639" spans="3:3" x14ac:dyDescent="0.2">
      <c r="C639" s="192" t="str">
        <f t="shared" si="9"/>
        <v/>
      </c>
    </row>
    <row r="640" spans="3:3" x14ac:dyDescent="0.2">
      <c r="C640" s="192" t="str">
        <f t="shared" si="9"/>
        <v/>
      </c>
    </row>
    <row r="641" spans="3:3" x14ac:dyDescent="0.2">
      <c r="C641" s="192" t="str">
        <f t="shared" si="9"/>
        <v/>
      </c>
    </row>
    <row r="642" spans="3:3" x14ac:dyDescent="0.2">
      <c r="C642" s="192" t="str">
        <f t="shared" si="9"/>
        <v/>
      </c>
    </row>
    <row r="643" spans="3:3" x14ac:dyDescent="0.2">
      <c r="C643" s="192" t="str">
        <f t="shared" si="9"/>
        <v/>
      </c>
    </row>
    <row r="644" spans="3:3" x14ac:dyDescent="0.2">
      <c r="C644" s="192" t="str">
        <f t="shared" si="9"/>
        <v/>
      </c>
    </row>
    <row r="645" spans="3:3" x14ac:dyDescent="0.2">
      <c r="C645" s="192" t="str">
        <f t="shared" si="9"/>
        <v/>
      </c>
    </row>
    <row r="646" spans="3:3" x14ac:dyDescent="0.2">
      <c r="C646" s="192" t="str">
        <f t="shared" si="9"/>
        <v/>
      </c>
    </row>
    <row r="647" spans="3:3" x14ac:dyDescent="0.2">
      <c r="C647" s="192" t="str">
        <f t="shared" si="9"/>
        <v/>
      </c>
    </row>
    <row r="648" spans="3:3" x14ac:dyDescent="0.2">
      <c r="C648" s="192" t="str">
        <f t="shared" si="9"/>
        <v/>
      </c>
    </row>
    <row r="649" spans="3:3" x14ac:dyDescent="0.2">
      <c r="C649" s="192" t="str">
        <f t="shared" si="9"/>
        <v/>
      </c>
    </row>
    <row r="650" spans="3:3" x14ac:dyDescent="0.2">
      <c r="C650" s="192" t="str">
        <f t="shared" si="9"/>
        <v/>
      </c>
    </row>
    <row r="651" spans="3:3" x14ac:dyDescent="0.2">
      <c r="C651" s="192" t="str">
        <f t="shared" si="9"/>
        <v/>
      </c>
    </row>
    <row r="652" spans="3:3" x14ac:dyDescent="0.2">
      <c r="C652" s="192" t="str">
        <f t="shared" si="9"/>
        <v/>
      </c>
    </row>
    <row r="653" spans="3:3" x14ac:dyDescent="0.2">
      <c r="C653" s="192" t="str">
        <f t="shared" si="9"/>
        <v/>
      </c>
    </row>
    <row r="654" spans="3:3" x14ac:dyDescent="0.2">
      <c r="C654" s="192" t="str">
        <f t="shared" si="9"/>
        <v/>
      </c>
    </row>
    <row r="655" spans="3:3" x14ac:dyDescent="0.2">
      <c r="C655" s="192" t="str">
        <f t="shared" si="9"/>
        <v/>
      </c>
    </row>
    <row r="656" spans="3:3" x14ac:dyDescent="0.2">
      <c r="C656" s="192" t="str">
        <f t="shared" si="9"/>
        <v/>
      </c>
    </row>
    <row r="657" spans="3:3" x14ac:dyDescent="0.2">
      <c r="C657" s="192" t="str">
        <f t="shared" si="9"/>
        <v/>
      </c>
    </row>
    <row r="658" spans="3:3" x14ac:dyDescent="0.2">
      <c r="C658" s="192" t="str">
        <f t="shared" si="9"/>
        <v/>
      </c>
    </row>
    <row r="659" spans="3:3" x14ac:dyDescent="0.2">
      <c r="C659" s="192" t="str">
        <f t="shared" si="9"/>
        <v/>
      </c>
    </row>
    <row r="660" spans="3:3" x14ac:dyDescent="0.2">
      <c r="C660" s="192" t="str">
        <f t="shared" si="9"/>
        <v/>
      </c>
    </row>
    <row r="661" spans="3:3" x14ac:dyDescent="0.2">
      <c r="C661" s="192" t="str">
        <f t="shared" si="9"/>
        <v/>
      </c>
    </row>
    <row r="662" spans="3:3" x14ac:dyDescent="0.2">
      <c r="C662" s="192" t="str">
        <f t="shared" si="9"/>
        <v/>
      </c>
    </row>
    <row r="663" spans="3:3" x14ac:dyDescent="0.2">
      <c r="C663" s="192" t="str">
        <f t="shared" ref="C663:C726" si="10">IF(A663=0,"","Elastic")</f>
        <v/>
      </c>
    </row>
    <row r="664" spans="3:3" x14ac:dyDescent="0.2">
      <c r="C664" s="192" t="str">
        <f t="shared" si="10"/>
        <v/>
      </c>
    </row>
    <row r="665" spans="3:3" x14ac:dyDescent="0.2">
      <c r="C665" s="192" t="str">
        <f t="shared" si="10"/>
        <v/>
      </c>
    </row>
    <row r="666" spans="3:3" x14ac:dyDescent="0.2">
      <c r="C666" s="192" t="str">
        <f t="shared" si="10"/>
        <v/>
      </c>
    </row>
    <row r="667" spans="3:3" x14ac:dyDescent="0.2">
      <c r="C667" s="192" t="str">
        <f t="shared" si="10"/>
        <v/>
      </c>
    </row>
    <row r="668" spans="3:3" x14ac:dyDescent="0.2">
      <c r="C668" s="192" t="str">
        <f t="shared" si="10"/>
        <v/>
      </c>
    </row>
    <row r="669" spans="3:3" x14ac:dyDescent="0.2">
      <c r="C669" s="192" t="str">
        <f t="shared" si="10"/>
        <v/>
      </c>
    </row>
    <row r="670" spans="3:3" x14ac:dyDescent="0.2">
      <c r="C670" s="192" t="str">
        <f t="shared" si="10"/>
        <v/>
      </c>
    </row>
    <row r="671" spans="3:3" x14ac:dyDescent="0.2">
      <c r="C671" s="192" t="str">
        <f t="shared" si="10"/>
        <v/>
      </c>
    </row>
    <row r="672" spans="3:3" x14ac:dyDescent="0.2">
      <c r="C672" s="192" t="str">
        <f t="shared" si="10"/>
        <v/>
      </c>
    </row>
    <row r="673" spans="3:3" x14ac:dyDescent="0.2">
      <c r="C673" s="192" t="str">
        <f t="shared" si="10"/>
        <v/>
      </c>
    </row>
    <row r="674" spans="3:3" x14ac:dyDescent="0.2">
      <c r="C674" s="192" t="str">
        <f t="shared" si="10"/>
        <v/>
      </c>
    </row>
    <row r="675" spans="3:3" x14ac:dyDescent="0.2">
      <c r="C675" s="192" t="str">
        <f t="shared" si="10"/>
        <v/>
      </c>
    </row>
    <row r="676" spans="3:3" x14ac:dyDescent="0.2">
      <c r="C676" s="192" t="str">
        <f t="shared" si="10"/>
        <v/>
      </c>
    </row>
    <row r="677" spans="3:3" x14ac:dyDescent="0.2">
      <c r="C677" s="192" t="str">
        <f t="shared" si="10"/>
        <v/>
      </c>
    </row>
    <row r="678" spans="3:3" x14ac:dyDescent="0.2">
      <c r="C678" s="192" t="str">
        <f t="shared" si="10"/>
        <v/>
      </c>
    </row>
    <row r="679" spans="3:3" x14ac:dyDescent="0.2">
      <c r="C679" s="192" t="str">
        <f t="shared" si="10"/>
        <v/>
      </c>
    </row>
    <row r="680" spans="3:3" x14ac:dyDescent="0.2">
      <c r="C680" s="192" t="str">
        <f t="shared" si="10"/>
        <v/>
      </c>
    </row>
    <row r="681" spans="3:3" x14ac:dyDescent="0.2">
      <c r="C681" s="192" t="str">
        <f t="shared" si="10"/>
        <v/>
      </c>
    </row>
    <row r="682" spans="3:3" x14ac:dyDescent="0.2">
      <c r="C682" s="192" t="str">
        <f t="shared" si="10"/>
        <v/>
      </c>
    </row>
    <row r="683" spans="3:3" x14ac:dyDescent="0.2">
      <c r="C683" s="192" t="str">
        <f t="shared" si="10"/>
        <v/>
      </c>
    </row>
    <row r="684" spans="3:3" x14ac:dyDescent="0.2">
      <c r="C684" s="192" t="str">
        <f t="shared" si="10"/>
        <v/>
      </c>
    </row>
    <row r="685" spans="3:3" x14ac:dyDescent="0.2">
      <c r="C685" s="192" t="str">
        <f t="shared" si="10"/>
        <v/>
      </c>
    </row>
    <row r="686" spans="3:3" x14ac:dyDescent="0.2">
      <c r="C686" s="192" t="str">
        <f t="shared" si="10"/>
        <v/>
      </c>
    </row>
    <row r="687" spans="3:3" x14ac:dyDescent="0.2">
      <c r="C687" s="192" t="str">
        <f t="shared" si="10"/>
        <v/>
      </c>
    </row>
    <row r="688" spans="3:3" x14ac:dyDescent="0.2">
      <c r="C688" s="192" t="str">
        <f t="shared" si="10"/>
        <v/>
      </c>
    </row>
    <row r="689" spans="3:3" x14ac:dyDescent="0.2">
      <c r="C689" s="192" t="str">
        <f t="shared" si="10"/>
        <v/>
      </c>
    </row>
    <row r="690" spans="3:3" x14ac:dyDescent="0.2">
      <c r="C690" s="192" t="str">
        <f t="shared" si="10"/>
        <v/>
      </c>
    </row>
    <row r="691" spans="3:3" x14ac:dyDescent="0.2">
      <c r="C691" s="192" t="str">
        <f t="shared" si="10"/>
        <v/>
      </c>
    </row>
    <row r="692" spans="3:3" x14ac:dyDescent="0.2">
      <c r="C692" s="192" t="str">
        <f t="shared" si="10"/>
        <v/>
      </c>
    </row>
    <row r="693" spans="3:3" x14ac:dyDescent="0.2">
      <c r="C693" s="192" t="str">
        <f t="shared" si="10"/>
        <v/>
      </c>
    </row>
    <row r="694" spans="3:3" x14ac:dyDescent="0.2">
      <c r="C694" s="192" t="str">
        <f t="shared" si="10"/>
        <v/>
      </c>
    </row>
    <row r="695" spans="3:3" x14ac:dyDescent="0.2">
      <c r="C695" s="192" t="str">
        <f t="shared" si="10"/>
        <v/>
      </c>
    </row>
    <row r="696" spans="3:3" x14ac:dyDescent="0.2">
      <c r="C696" s="192" t="str">
        <f t="shared" si="10"/>
        <v/>
      </c>
    </row>
    <row r="697" spans="3:3" x14ac:dyDescent="0.2">
      <c r="C697" s="192" t="str">
        <f t="shared" si="10"/>
        <v/>
      </c>
    </row>
    <row r="698" spans="3:3" x14ac:dyDescent="0.2">
      <c r="C698" s="192" t="str">
        <f t="shared" si="10"/>
        <v/>
      </c>
    </row>
    <row r="699" spans="3:3" x14ac:dyDescent="0.2">
      <c r="C699" s="192" t="str">
        <f t="shared" si="10"/>
        <v/>
      </c>
    </row>
    <row r="700" spans="3:3" x14ac:dyDescent="0.2">
      <c r="C700" s="192" t="str">
        <f t="shared" si="10"/>
        <v/>
      </c>
    </row>
    <row r="701" spans="3:3" x14ac:dyDescent="0.2">
      <c r="C701" s="192" t="str">
        <f t="shared" si="10"/>
        <v/>
      </c>
    </row>
    <row r="702" spans="3:3" x14ac:dyDescent="0.2">
      <c r="C702" s="192" t="str">
        <f t="shared" si="10"/>
        <v/>
      </c>
    </row>
    <row r="703" spans="3:3" x14ac:dyDescent="0.2">
      <c r="C703" s="192" t="str">
        <f t="shared" si="10"/>
        <v/>
      </c>
    </row>
    <row r="704" spans="3:3" x14ac:dyDescent="0.2">
      <c r="C704" s="192" t="str">
        <f t="shared" si="10"/>
        <v/>
      </c>
    </row>
    <row r="705" spans="3:3" x14ac:dyDescent="0.2">
      <c r="C705" s="192" t="str">
        <f t="shared" si="10"/>
        <v/>
      </c>
    </row>
    <row r="706" spans="3:3" x14ac:dyDescent="0.2">
      <c r="C706" s="192" t="str">
        <f t="shared" si="10"/>
        <v/>
      </c>
    </row>
    <row r="707" spans="3:3" x14ac:dyDescent="0.2">
      <c r="C707" s="192" t="str">
        <f t="shared" si="10"/>
        <v/>
      </c>
    </row>
    <row r="708" spans="3:3" x14ac:dyDescent="0.2">
      <c r="C708" s="192" t="str">
        <f t="shared" si="10"/>
        <v/>
      </c>
    </row>
    <row r="709" spans="3:3" x14ac:dyDescent="0.2">
      <c r="C709" s="192" t="str">
        <f t="shared" si="10"/>
        <v/>
      </c>
    </row>
    <row r="710" spans="3:3" x14ac:dyDescent="0.2">
      <c r="C710" s="192" t="str">
        <f t="shared" si="10"/>
        <v/>
      </c>
    </row>
    <row r="711" spans="3:3" x14ac:dyDescent="0.2">
      <c r="C711" s="192" t="str">
        <f t="shared" si="10"/>
        <v/>
      </c>
    </row>
    <row r="712" spans="3:3" x14ac:dyDescent="0.2">
      <c r="C712" s="192" t="str">
        <f t="shared" si="10"/>
        <v/>
      </c>
    </row>
    <row r="713" spans="3:3" x14ac:dyDescent="0.2">
      <c r="C713" s="192" t="str">
        <f t="shared" si="10"/>
        <v/>
      </c>
    </row>
    <row r="714" spans="3:3" x14ac:dyDescent="0.2">
      <c r="C714" s="192" t="str">
        <f t="shared" si="10"/>
        <v/>
      </c>
    </row>
    <row r="715" spans="3:3" x14ac:dyDescent="0.2">
      <c r="C715" s="192" t="str">
        <f t="shared" si="10"/>
        <v/>
      </c>
    </row>
    <row r="716" spans="3:3" x14ac:dyDescent="0.2">
      <c r="C716" s="192" t="str">
        <f t="shared" si="10"/>
        <v/>
      </c>
    </row>
    <row r="717" spans="3:3" x14ac:dyDescent="0.2">
      <c r="C717" s="192" t="str">
        <f t="shared" si="10"/>
        <v/>
      </c>
    </row>
    <row r="718" spans="3:3" x14ac:dyDescent="0.2">
      <c r="C718" s="192" t="str">
        <f t="shared" si="10"/>
        <v/>
      </c>
    </row>
    <row r="719" spans="3:3" x14ac:dyDescent="0.2">
      <c r="C719" s="192" t="str">
        <f t="shared" si="10"/>
        <v/>
      </c>
    </row>
    <row r="720" spans="3:3" x14ac:dyDescent="0.2">
      <c r="C720" s="192" t="str">
        <f t="shared" si="10"/>
        <v/>
      </c>
    </row>
    <row r="721" spans="3:3" x14ac:dyDescent="0.2">
      <c r="C721" s="192" t="str">
        <f t="shared" si="10"/>
        <v/>
      </c>
    </row>
    <row r="722" spans="3:3" x14ac:dyDescent="0.2">
      <c r="C722" s="192" t="str">
        <f t="shared" si="10"/>
        <v/>
      </c>
    </row>
    <row r="723" spans="3:3" x14ac:dyDescent="0.2">
      <c r="C723" s="192" t="str">
        <f t="shared" si="10"/>
        <v/>
      </c>
    </row>
    <row r="724" spans="3:3" x14ac:dyDescent="0.2">
      <c r="C724" s="192" t="str">
        <f t="shared" si="10"/>
        <v/>
      </c>
    </row>
    <row r="725" spans="3:3" x14ac:dyDescent="0.2">
      <c r="C725" s="192" t="str">
        <f t="shared" si="10"/>
        <v/>
      </c>
    </row>
    <row r="726" spans="3:3" x14ac:dyDescent="0.2">
      <c r="C726" s="192" t="str">
        <f t="shared" si="10"/>
        <v/>
      </c>
    </row>
    <row r="727" spans="3:3" x14ac:dyDescent="0.2">
      <c r="C727" s="192" t="str">
        <f t="shared" ref="C727:C790" si="11">IF(A727=0,"","Elastic")</f>
        <v/>
      </c>
    </row>
    <row r="728" spans="3:3" x14ac:dyDescent="0.2">
      <c r="C728" s="192" t="str">
        <f t="shared" si="11"/>
        <v/>
      </c>
    </row>
    <row r="729" spans="3:3" x14ac:dyDescent="0.2">
      <c r="C729" s="192" t="str">
        <f t="shared" si="11"/>
        <v/>
      </c>
    </row>
    <row r="730" spans="3:3" x14ac:dyDescent="0.2">
      <c r="C730" s="192" t="str">
        <f t="shared" si="11"/>
        <v/>
      </c>
    </row>
    <row r="731" spans="3:3" x14ac:dyDescent="0.2">
      <c r="C731" s="192" t="str">
        <f t="shared" si="11"/>
        <v/>
      </c>
    </row>
    <row r="732" spans="3:3" x14ac:dyDescent="0.2">
      <c r="C732" s="192" t="str">
        <f t="shared" si="11"/>
        <v/>
      </c>
    </row>
    <row r="733" spans="3:3" x14ac:dyDescent="0.2">
      <c r="C733" s="192" t="str">
        <f t="shared" si="11"/>
        <v/>
      </c>
    </row>
    <row r="734" spans="3:3" x14ac:dyDescent="0.2">
      <c r="C734" s="192" t="str">
        <f t="shared" si="11"/>
        <v/>
      </c>
    </row>
    <row r="735" spans="3:3" x14ac:dyDescent="0.2">
      <c r="C735" s="192" t="str">
        <f t="shared" si="11"/>
        <v/>
      </c>
    </row>
    <row r="736" spans="3:3" x14ac:dyDescent="0.2">
      <c r="C736" s="192" t="str">
        <f t="shared" si="11"/>
        <v/>
      </c>
    </row>
    <row r="737" spans="3:3" x14ac:dyDescent="0.2">
      <c r="C737" s="192" t="str">
        <f t="shared" si="11"/>
        <v/>
      </c>
    </row>
    <row r="738" spans="3:3" x14ac:dyDescent="0.2">
      <c r="C738" s="192" t="str">
        <f t="shared" si="11"/>
        <v/>
      </c>
    </row>
    <row r="739" spans="3:3" x14ac:dyDescent="0.2">
      <c r="C739" s="192" t="str">
        <f t="shared" si="11"/>
        <v/>
      </c>
    </row>
    <row r="740" spans="3:3" x14ac:dyDescent="0.2">
      <c r="C740" s="192" t="str">
        <f t="shared" si="11"/>
        <v/>
      </c>
    </row>
    <row r="741" spans="3:3" x14ac:dyDescent="0.2">
      <c r="C741" s="192" t="str">
        <f t="shared" si="11"/>
        <v/>
      </c>
    </row>
    <row r="742" spans="3:3" x14ac:dyDescent="0.2">
      <c r="C742" s="192" t="str">
        <f t="shared" si="11"/>
        <v/>
      </c>
    </row>
    <row r="743" spans="3:3" x14ac:dyDescent="0.2">
      <c r="C743" s="192" t="str">
        <f t="shared" si="11"/>
        <v/>
      </c>
    </row>
    <row r="744" spans="3:3" x14ac:dyDescent="0.2">
      <c r="C744" s="192" t="str">
        <f t="shared" si="11"/>
        <v/>
      </c>
    </row>
    <row r="745" spans="3:3" x14ac:dyDescent="0.2">
      <c r="C745" s="192" t="str">
        <f t="shared" si="11"/>
        <v/>
      </c>
    </row>
    <row r="746" spans="3:3" x14ac:dyDescent="0.2">
      <c r="C746" s="192" t="str">
        <f t="shared" si="11"/>
        <v/>
      </c>
    </row>
    <row r="747" spans="3:3" x14ac:dyDescent="0.2">
      <c r="C747" s="192" t="str">
        <f t="shared" si="11"/>
        <v/>
      </c>
    </row>
    <row r="748" spans="3:3" x14ac:dyDescent="0.2">
      <c r="C748" s="192" t="str">
        <f t="shared" si="11"/>
        <v/>
      </c>
    </row>
    <row r="749" spans="3:3" x14ac:dyDescent="0.2">
      <c r="C749" s="192" t="str">
        <f t="shared" si="11"/>
        <v/>
      </c>
    </row>
    <row r="750" spans="3:3" x14ac:dyDescent="0.2">
      <c r="C750" s="192" t="str">
        <f t="shared" si="11"/>
        <v/>
      </c>
    </row>
    <row r="751" spans="3:3" x14ac:dyDescent="0.2">
      <c r="C751" s="192" t="str">
        <f t="shared" si="11"/>
        <v/>
      </c>
    </row>
    <row r="752" spans="3:3" x14ac:dyDescent="0.2">
      <c r="C752" s="192" t="str">
        <f t="shared" si="11"/>
        <v/>
      </c>
    </row>
    <row r="753" spans="3:3" x14ac:dyDescent="0.2">
      <c r="C753" s="192" t="str">
        <f t="shared" si="11"/>
        <v/>
      </c>
    </row>
    <row r="754" spans="3:3" x14ac:dyDescent="0.2">
      <c r="C754" s="192" t="str">
        <f t="shared" si="11"/>
        <v/>
      </c>
    </row>
    <row r="755" spans="3:3" x14ac:dyDescent="0.2">
      <c r="C755" s="192" t="str">
        <f t="shared" si="11"/>
        <v/>
      </c>
    </row>
    <row r="756" spans="3:3" x14ac:dyDescent="0.2">
      <c r="C756" s="192" t="str">
        <f t="shared" si="11"/>
        <v/>
      </c>
    </row>
    <row r="757" spans="3:3" x14ac:dyDescent="0.2">
      <c r="C757" s="192" t="str">
        <f t="shared" si="11"/>
        <v/>
      </c>
    </row>
    <row r="758" spans="3:3" x14ac:dyDescent="0.2">
      <c r="C758" s="192" t="str">
        <f t="shared" si="11"/>
        <v/>
      </c>
    </row>
    <row r="759" spans="3:3" x14ac:dyDescent="0.2">
      <c r="C759" s="192" t="str">
        <f t="shared" si="11"/>
        <v/>
      </c>
    </row>
    <row r="760" spans="3:3" x14ac:dyDescent="0.2">
      <c r="C760" s="192" t="str">
        <f t="shared" si="11"/>
        <v/>
      </c>
    </row>
    <row r="761" spans="3:3" x14ac:dyDescent="0.2">
      <c r="C761" s="192" t="str">
        <f t="shared" si="11"/>
        <v/>
      </c>
    </row>
    <row r="762" spans="3:3" x14ac:dyDescent="0.2">
      <c r="C762" s="192" t="str">
        <f t="shared" si="11"/>
        <v/>
      </c>
    </row>
    <row r="763" spans="3:3" x14ac:dyDescent="0.2">
      <c r="C763" s="192" t="str">
        <f t="shared" si="11"/>
        <v/>
      </c>
    </row>
    <row r="764" spans="3:3" x14ac:dyDescent="0.2">
      <c r="C764" s="192" t="str">
        <f t="shared" si="11"/>
        <v/>
      </c>
    </row>
    <row r="765" spans="3:3" x14ac:dyDescent="0.2">
      <c r="C765" s="192" t="str">
        <f t="shared" si="11"/>
        <v/>
      </c>
    </row>
    <row r="766" spans="3:3" x14ac:dyDescent="0.2">
      <c r="C766" s="192" t="str">
        <f t="shared" si="11"/>
        <v/>
      </c>
    </row>
    <row r="767" spans="3:3" x14ac:dyDescent="0.2">
      <c r="C767" s="192" t="str">
        <f t="shared" si="11"/>
        <v/>
      </c>
    </row>
    <row r="768" spans="3:3" x14ac:dyDescent="0.2">
      <c r="C768" s="192" t="str">
        <f t="shared" si="11"/>
        <v/>
      </c>
    </row>
    <row r="769" spans="3:3" x14ac:dyDescent="0.2">
      <c r="C769" s="192" t="str">
        <f t="shared" si="11"/>
        <v/>
      </c>
    </row>
    <row r="770" spans="3:3" x14ac:dyDescent="0.2">
      <c r="C770" s="192" t="str">
        <f t="shared" si="11"/>
        <v/>
      </c>
    </row>
    <row r="771" spans="3:3" x14ac:dyDescent="0.2">
      <c r="C771" s="192" t="str">
        <f t="shared" si="11"/>
        <v/>
      </c>
    </row>
    <row r="772" spans="3:3" x14ac:dyDescent="0.2">
      <c r="C772" s="192" t="str">
        <f t="shared" si="11"/>
        <v/>
      </c>
    </row>
    <row r="773" spans="3:3" x14ac:dyDescent="0.2">
      <c r="C773" s="192" t="str">
        <f t="shared" si="11"/>
        <v/>
      </c>
    </row>
    <row r="774" spans="3:3" x14ac:dyDescent="0.2">
      <c r="C774" s="192" t="str">
        <f t="shared" si="11"/>
        <v/>
      </c>
    </row>
    <row r="775" spans="3:3" x14ac:dyDescent="0.2">
      <c r="C775" s="192" t="str">
        <f t="shared" si="11"/>
        <v/>
      </c>
    </row>
    <row r="776" spans="3:3" x14ac:dyDescent="0.2">
      <c r="C776" s="192" t="str">
        <f t="shared" si="11"/>
        <v/>
      </c>
    </row>
    <row r="777" spans="3:3" x14ac:dyDescent="0.2">
      <c r="C777" s="192" t="str">
        <f t="shared" si="11"/>
        <v/>
      </c>
    </row>
    <row r="778" spans="3:3" x14ac:dyDescent="0.2">
      <c r="C778" s="192" t="str">
        <f t="shared" si="11"/>
        <v/>
      </c>
    </row>
    <row r="779" spans="3:3" x14ac:dyDescent="0.2">
      <c r="C779" s="192" t="str">
        <f t="shared" si="11"/>
        <v/>
      </c>
    </row>
    <row r="780" spans="3:3" x14ac:dyDescent="0.2">
      <c r="C780" s="192" t="str">
        <f t="shared" si="11"/>
        <v/>
      </c>
    </row>
    <row r="781" spans="3:3" x14ac:dyDescent="0.2">
      <c r="C781" s="192" t="str">
        <f t="shared" si="11"/>
        <v/>
      </c>
    </row>
    <row r="782" spans="3:3" x14ac:dyDescent="0.2">
      <c r="C782" s="192" t="str">
        <f t="shared" si="11"/>
        <v/>
      </c>
    </row>
    <row r="783" spans="3:3" x14ac:dyDescent="0.2">
      <c r="C783" s="192" t="str">
        <f t="shared" si="11"/>
        <v/>
      </c>
    </row>
    <row r="784" spans="3:3" x14ac:dyDescent="0.2">
      <c r="C784" s="192" t="str">
        <f t="shared" si="11"/>
        <v/>
      </c>
    </row>
    <row r="785" spans="3:3" x14ac:dyDescent="0.2">
      <c r="C785" s="192" t="str">
        <f t="shared" si="11"/>
        <v/>
      </c>
    </row>
    <row r="786" spans="3:3" x14ac:dyDescent="0.2">
      <c r="C786" s="192" t="str">
        <f t="shared" si="11"/>
        <v/>
      </c>
    </row>
    <row r="787" spans="3:3" x14ac:dyDescent="0.2">
      <c r="C787" s="192" t="str">
        <f t="shared" si="11"/>
        <v/>
      </c>
    </row>
    <row r="788" spans="3:3" x14ac:dyDescent="0.2">
      <c r="C788" s="192" t="str">
        <f t="shared" si="11"/>
        <v/>
      </c>
    </row>
    <row r="789" spans="3:3" x14ac:dyDescent="0.2">
      <c r="C789" s="192" t="str">
        <f t="shared" si="11"/>
        <v/>
      </c>
    </row>
    <row r="790" spans="3:3" x14ac:dyDescent="0.2">
      <c r="C790" s="192" t="str">
        <f t="shared" si="11"/>
        <v/>
      </c>
    </row>
    <row r="791" spans="3:3" x14ac:dyDescent="0.2">
      <c r="C791" s="192" t="str">
        <f t="shared" ref="C791:C854" si="12">IF(A791=0,"","Elastic")</f>
        <v/>
      </c>
    </row>
    <row r="792" spans="3:3" x14ac:dyDescent="0.2">
      <c r="C792" s="192" t="str">
        <f t="shared" si="12"/>
        <v/>
      </c>
    </row>
    <row r="793" spans="3:3" x14ac:dyDescent="0.2">
      <c r="C793" s="192" t="str">
        <f t="shared" si="12"/>
        <v/>
      </c>
    </row>
    <row r="794" spans="3:3" x14ac:dyDescent="0.2">
      <c r="C794" s="192" t="str">
        <f t="shared" si="12"/>
        <v/>
      </c>
    </row>
    <row r="795" spans="3:3" x14ac:dyDescent="0.2">
      <c r="C795" s="192" t="str">
        <f t="shared" si="12"/>
        <v/>
      </c>
    </row>
    <row r="796" spans="3:3" x14ac:dyDescent="0.2">
      <c r="C796" s="192" t="str">
        <f t="shared" si="12"/>
        <v/>
      </c>
    </row>
    <row r="797" spans="3:3" x14ac:dyDescent="0.2">
      <c r="C797" s="192" t="str">
        <f t="shared" si="12"/>
        <v/>
      </c>
    </row>
    <row r="798" spans="3:3" x14ac:dyDescent="0.2">
      <c r="C798" s="192" t="str">
        <f t="shared" si="12"/>
        <v/>
      </c>
    </row>
    <row r="799" spans="3:3" x14ac:dyDescent="0.2">
      <c r="C799" s="192" t="str">
        <f t="shared" si="12"/>
        <v/>
      </c>
    </row>
    <row r="800" spans="3:3" x14ac:dyDescent="0.2">
      <c r="C800" s="192" t="str">
        <f t="shared" si="12"/>
        <v/>
      </c>
    </row>
    <row r="801" spans="3:3" x14ac:dyDescent="0.2">
      <c r="C801" s="192" t="str">
        <f t="shared" si="12"/>
        <v/>
      </c>
    </row>
    <row r="802" spans="3:3" x14ac:dyDescent="0.2">
      <c r="C802" s="192" t="str">
        <f t="shared" si="12"/>
        <v/>
      </c>
    </row>
    <row r="803" spans="3:3" x14ac:dyDescent="0.2">
      <c r="C803" s="192" t="str">
        <f t="shared" si="12"/>
        <v/>
      </c>
    </row>
    <row r="804" spans="3:3" x14ac:dyDescent="0.2">
      <c r="C804" s="192" t="str">
        <f t="shared" si="12"/>
        <v/>
      </c>
    </row>
    <row r="805" spans="3:3" x14ac:dyDescent="0.2">
      <c r="C805" s="192" t="str">
        <f t="shared" si="12"/>
        <v/>
      </c>
    </row>
    <row r="806" spans="3:3" x14ac:dyDescent="0.2">
      <c r="C806" s="192" t="str">
        <f t="shared" si="12"/>
        <v/>
      </c>
    </row>
    <row r="807" spans="3:3" x14ac:dyDescent="0.2">
      <c r="C807" s="192" t="str">
        <f t="shared" si="12"/>
        <v/>
      </c>
    </row>
    <row r="808" spans="3:3" x14ac:dyDescent="0.2">
      <c r="C808" s="192" t="str">
        <f t="shared" si="12"/>
        <v/>
      </c>
    </row>
    <row r="809" spans="3:3" x14ac:dyDescent="0.2">
      <c r="C809" s="192" t="str">
        <f t="shared" si="12"/>
        <v/>
      </c>
    </row>
    <row r="810" spans="3:3" x14ac:dyDescent="0.2">
      <c r="C810" s="192" t="str">
        <f t="shared" si="12"/>
        <v/>
      </c>
    </row>
    <row r="811" spans="3:3" x14ac:dyDescent="0.2">
      <c r="C811" s="192" t="str">
        <f t="shared" si="12"/>
        <v/>
      </c>
    </row>
    <row r="812" spans="3:3" x14ac:dyDescent="0.2">
      <c r="C812" s="192" t="str">
        <f t="shared" si="12"/>
        <v/>
      </c>
    </row>
    <row r="813" spans="3:3" x14ac:dyDescent="0.2">
      <c r="C813" s="192" t="str">
        <f t="shared" si="12"/>
        <v/>
      </c>
    </row>
    <row r="814" spans="3:3" x14ac:dyDescent="0.2">
      <c r="C814" s="192" t="str">
        <f t="shared" si="12"/>
        <v/>
      </c>
    </row>
    <row r="815" spans="3:3" x14ac:dyDescent="0.2">
      <c r="C815" s="192" t="str">
        <f t="shared" si="12"/>
        <v/>
      </c>
    </row>
    <row r="816" spans="3:3" x14ac:dyDescent="0.2">
      <c r="C816" s="192" t="str">
        <f t="shared" si="12"/>
        <v/>
      </c>
    </row>
    <row r="817" spans="3:3" x14ac:dyDescent="0.2">
      <c r="C817" s="192" t="str">
        <f t="shared" si="12"/>
        <v/>
      </c>
    </row>
    <row r="818" spans="3:3" x14ac:dyDescent="0.2">
      <c r="C818" s="192" t="str">
        <f t="shared" si="12"/>
        <v/>
      </c>
    </row>
    <row r="819" spans="3:3" x14ac:dyDescent="0.2">
      <c r="C819" s="192" t="str">
        <f t="shared" si="12"/>
        <v/>
      </c>
    </row>
    <row r="820" spans="3:3" x14ac:dyDescent="0.2">
      <c r="C820" s="192" t="str">
        <f t="shared" si="12"/>
        <v/>
      </c>
    </row>
    <row r="821" spans="3:3" x14ac:dyDescent="0.2">
      <c r="C821" s="192" t="str">
        <f t="shared" si="12"/>
        <v/>
      </c>
    </row>
    <row r="822" spans="3:3" x14ac:dyDescent="0.2">
      <c r="C822" s="192" t="str">
        <f t="shared" si="12"/>
        <v/>
      </c>
    </row>
    <row r="823" spans="3:3" x14ac:dyDescent="0.2">
      <c r="C823" s="192" t="str">
        <f t="shared" si="12"/>
        <v/>
      </c>
    </row>
    <row r="824" spans="3:3" x14ac:dyDescent="0.2">
      <c r="C824" s="192" t="str">
        <f t="shared" si="12"/>
        <v/>
      </c>
    </row>
    <row r="825" spans="3:3" x14ac:dyDescent="0.2">
      <c r="C825" s="192" t="str">
        <f t="shared" si="12"/>
        <v/>
      </c>
    </row>
    <row r="826" spans="3:3" x14ac:dyDescent="0.2">
      <c r="C826" s="192" t="str">
        <f t="shared" si="12"/>
        <v/>
      </c>
    </row>
    <row r="827" spans="3:3" x14ac:dyDescent="0.2">
      <c r="C827" s="192" t="str">
        <f t="shared" si="12"/>
        <v/>
      </c>
    </row>
    <row r="828" spans="3:3" x14ac:dyDescent="0.2">
      <c r="C828" s="192" t="str">
        <f t="shared" si="12"/>
        <v/>
      </c>
    </row>
    <row r="829" spans="3:3" x14ac:dyDescent="0.2">
      <c r="C829" s="192" t="str">
        <f t="shared" si="12"/>
        <v/>
      </c>
    </row>
    <row r="830" spans="3:3" x14ac:dyDescent="0.2">
      <c r="C830" s="192" t="str">
        <f t="shared" si="12"/>
        <v/>
      </c>
    </row>
    <row r="831" spans="3:3" x14ac:dyDescent="0.2">
      <c r="C831" s="192" t="str">
        <f t="shared" si="12"/>
        <v/>
      </c>
    </row>
    <row r="832" spans="3:3" x14ac:dyDescent="0.2">
      <c r="C832" s="192" t="str">
        <f t="shared" si="12"/>
        <v/>
      </c>
    </row>
    <row r="833" spans="3:3" x14ac:dyDescent="0.2">
      <c r="C833" s="192" t="str">
        <f t="shared" si="12"/>
        <v/>
      </c>
    </row>
    <row r="834" spans="3:3" x14ac:dyDescent="0.2">
      <c r="C834" s="192" t="str">
        <f t="shared" si="12"/>
        <v/>
      </c>
    </row>
    <row r="835" spans="3:3" x14ac:dyDescent="0.2">
      <c r="C835" s="192" t="str">
        <f t="shared" si="12"/>
        <v/>
      </c>
    </row>
    <row r="836" spans="3:3" x14ac:dyDescent="0.2">
      <c r="C836" s="192" t="str">
        <f t="shared" si="12"/>
        <v/>
      </c>
    </row>
    <row r="837" spans="3:3" x14ac:dyDescent="0.2">
      <c r="C837" s="192" t="str">
        <f t="shared" si="12"/>
        <v/>
      </c>
    </row>
    <row r="838" spans="3:3" x14ac:dyDescent="0.2">
      <c r="C838" s="192" t="str">
        <f t="shared" si="12"/>
        <v/>
      </c>
    </row>
    <row r="839" spans="3:3" x14ac:dyDescent="0.2">
      <c r="C839" s="192" t="str">
        <f t="shared" si="12"/>
        <v/>
      </c>
    </row>
    <row r="840" spans="3:3" x14ac:dyDescent="0.2">
      <c r="C840" s="192" t="str">
        <f t="shared" si="12"/>
        <v/>
      </c>
    </row>
    <row r="841" spans="3:3" x14ac:dyDescent="0.2">
      <c r="C841" s="192" t="str">
        <f t="shared" si="12"/>
        <v/>
      </c>
    </row>
    <row r="842" spans="3:3" x14ac:dyDescent="0.2">
      <c r="C842" s="192" t="str">
        <f t="shared" si="12"/>
        <v/>
      </c>
    </row>
    <row r="843" spans="3:3" x14ac:dyDescent="0.2">
      <c r="C843" s="192" t="str">
        <f t="shared" si="12"/>
        <v/>
      </c>
    </row>
    <row r="844" spans="3:3" x14ac:dyDescent="0.2">
      <c r="C844" s="192" t="str">
        <f t="shared" si="12"/>
        <v/>
      </c>
    </row>
    <row r="845" spans="3:3" x14ac:dyDescent="0.2">
      <c r="C845" s="192" t="str">
        <f t="shared" si="12"/>
        <v/>
      </c>
    </row>
    <row r="846" spans="3:3" x14ac:dyDescent="0.2">
      <c r="C846" s="192" t="str">
        <f t="shared" si="12"/>
        <v/>
      </c>
    </row>
    <row r="847" spans="3:3" x14ac:dyDescent="0.2">
      <c r="C847" s="192" t="str">
        <f t="shared" si="12"/>
        <v/>
      </c>
    </row>
    <row r="848" spans="3:3" x14ac:dyDescent="0.2">
      <c r="C848" s="192" t="str">
        <f t="shared" si="12"/>
        <v/>
      </c>
    </row>
    <row r="849" spans="3:3" x14ac:dyDescent="0.2">
      <c r="C849" s="192" t="str">
        <f t="shared" si="12"/>
        <v/>
      </c>
    </row>
    <row r="850" spans="3:3" x14ac:dyDescent="0.2">
      <c r="C850" s="192" t="str">
        <f t="shared" si="12"/>
        <v/>
      </c>
    </row>
    <row r="851" spans="3:3" x14ac:dyDescent="0.2">
      <c r="C851" s="192" t="str">
        <f t="shared" si="12"/>
        <v/>
      </c>
    </row>
    <row r="852" spans="3:3" x14ac:dyDescent="0.2">
      <c r="C852" s="192" t="str">
        <f t="shared" si="12"/>
        <v/>
      </c>
    </row>
    <row r="853" spans="3:3" x14ac:dyDescent="0.2">
      <c r="C853" s="192" t="str">
        <f t="shared" si="12"/>
        <v/>
      </c>
    </row>
    <row r="854" spans="3:3" x14ac:dyDescent="0.2">
      <c r="C854" s="192" t="str">
        <f t="shared" si="12"/>
        <v/>
      </c>
    </row>
    <row r="855" spans="3:3" x14ac:dyDescent="0.2">
      <c r="C855" s="192" t="str">
        <f t="shared" ref="C855:C918" si="13">IF(A855=0,"","Elastic")</f>
        <v/>
      </c>
    </row>
    <row r="856" spans="3:3" x14ac:dyDescent="0.2">
      <c r="C856" s="192" t="str">
        <f t="shared" si="13"/>
        <v/>
      </c>
    </row>
    <row r="857" spans="3:3" x14ac:dyDescent="0.2">
      <c r="C857" s="192" t="str">
        <f t="shared" si="13"/>
        <v/>
      </c>
    </row>
    <row r="858" spans="3:3" x14ac:dyDescent="0.2">
      <c r="C858" s="192" t="str">
        <f t="shared" si="13"/>
        <v/>
      </c>
    </row>
    <row r="859" spans="3:3" x14ac:dyDescent="0.2">
      <c r="C859" s="192" t="str">
        <f t="shared" si="13"/>
        <v/>
      </c>
    </row>
    <row r="860" spans="3:3" x14ac:dyDescent="0.2">
      <c r="C860" s="192" t="str">
        <f t="shared" si="13"/>
        <v/>
      </c>
    </row>
    <row r="861" spans="3:3" x14ac:dyDescent="0.2">
      <c r="C861" s="192" t="str">
        <f t="shared" si="13"/>
        <v/>
      </c>
    </row>
    <row r="862" spans="3:3" x14ac:dyDescent="0.2">
      <c r="C862" s="192" t="str">
        <f t="shared" si="13"/>
        <v/>
      </c>
    </row>
    <row r="863" spans="3:3" x14ac:dyDescent="0.2">
      <c r="C863" s="192" t="str">
        <f t="shared" si="13"/>
        <v/>
      </c>
    </row>
    <row r="864" spans="3:3" x14ac:dyDescent="0.2">
      <c r="C864" s="192" t="str">
        <f t="shared" si="13"/>
        <v/>
      </c>
    </row>
    <row r="865" spans="3:3" x14ac:dyDescent="0.2">
      <c r="C865" s="192" t="str">
        <f t="shared" si="13"/>
        <v/>
      </c>
    </row>
    <row r="866" spans="3:3" x14ac:dyDescent="0.2">
      <c r="C866" s="192" t="str">
        <f t="shared" si="13"/>
        <v/>
      </c>
    </row>
    <row r="867" spans="3:3" x14ac:dyDescent="0.2">
      <c r="C867" s="192" t="str">
        <f t="shared" si="13"/>
        <v/>
      </c>
    </row>
    <row r="868" spans="3:3" x14ac:dyDescent="0.2">
      <c r="C868" s="192" t="str">
        <f t="shared" si="13"/>
        <v/>
      </c>
    </row>
    <row r="869" spans="3:3" x14ac:dyDescent="0.2">
      <c r="C869" s="192" t="str">
        <f t="shared" si="13"/>
        <v/>
      </c>
    </row>
    <row r="870" spans="3:3" x14ac:dyDescent="0.2">
      <c r="C870" s="192" t="str">
        <f t="shared" si="13"/>
        <v/>
      </c>
    </row>
    <row r="871" spans="3:3" x14ac:dyDescent="0.2">
      <c r="C871" s="192" t="str">
        <f t="shared" si="13"/>
        <v/>
      </c>
    </row>
    <row r="872" spans="3:3" x14ac:dyDescent="0.2">
      <c r="C872" s="192" t="str">
        <f t="shared" si="13"/>
        <v/>
      </c>
    </row>
    <row r="873" spans="3:3" x14ac:dyDescent="0.2">
      <c r="C873" s="192" t="str">
        <f t="shared" si="13"/>
        <v/>
      </c>
    </row>
    <row r="874" spans="3:3" x14ac:dyDescent="0.2">
      <c r="C874" s="192" t="str">
        <f t="shared" si="13"/>
        <v/>
      </c>
    </row>
    <row r="875" spans="3:3" x14ac:dyDescent="0.2">
      <c r="C875" s="192" t="str">
        <f t="shared" si="13"/>
        <v/>
      </c>
    </row>
    <row r="876" spans="3:3" x14ac:dyDescent="0.2">
      <c r="C876" s="192" t="str">
        <f t="shared" si="13"/>
        <v/>
      </c>
    </row>
    <row r="877" spans="3:3" x14ac:dyDescent="0.2">
      <c r="C877" s="192" t="str">
        <f t="shared" si="13"/>
        <v/>
      </c>
    </row>
    <row r="878" spans="3:3" x14ac:dyDescent="0.2">
      <c r="C878" s="192" t="str">
        <f t="shared" si="13"/>
        <v/>
      </c>
    </row>
    <row r="879" spans="3:3" x14ac:dyDescent="0.2">
      <c r="C879" s="192" t="str">
        <f t="shared" si="13"/>
        <v/>
      </c>
    </row>
    <row r="880" spans="3:3" x14ac:dyDescent="0.2">
      <c r="C880" s="192" t="str">
        <f t="shared" si="13"/>
        <v/>
      </c>
    </row>
    <row r="881" spans="3:3" x14ac:dyDescent="0.2">
      <c r="C881" s="192" t="str">
        <f t="shared" si="13"/>
        <v/>
      </c>
    </row>
    <row r="882" spans="3:3" x14ac:dyDescent="0.2">
      <c r="C882" s="192" t="str">
        <f t="shared" si="13"/>
        <v/>
      </c>
    </row>
    <row r="883" spans="3:3" x14ac:dyDescent="0.2">
      <c r="C883" s="192" t="str">
        <f t="shared" si="13"/>
        <v/>
      </c>
    </row>
    <row r="884" spans="3:3" x14ac:dyDescent="0.2">
      <c r="C884" s="192" t="str">
        <f t="shared" si="13"/>
        <v/>
      </c>
    </row>
    <row r="885" spans="3:3" x14ac:dyDescent="0.2">
      <c r="C885" s="192" t="str">
        <f t="shared" si="13"/>
        <v/>
      </c>
    </row>
    <row r="886" spans="3:3" x14ac:dyDescent="0.2">
      <c r="C886" s="192" t="str">
        <f t="shared" si="13"/>
        <v/>
      </c>
    </row>
    <row r="887" spans="3:3" x14ac:dyDescent="0.2">
      <c r="C887" s="192" t="str">
        <f t="shared" si="13"/>
        <v/>
      </c>
    </row>
    <row r="888" spans="3:3" x14ac:dyDescent="0.2">
      <c r="C888" s="192" t="str">
        <f t="shared" si="13"/>
        <v/>
      </c>
    </row>
    <row r="889" spans="3:3" x14ac:dyDescent="0.2">
      <c r="C889" s="192" t="str">
        <f t="shared" si="13"/>
        <v/>
      </c>
    </row>
    <row r="890" spans="3:3" x14ac:dyDescent="0.2">
      <c r="C890" s="192" t="str">
        <f t="shared" si="13"/>
        <v/>
      </c>
    </row>
    <row r="891" spans="3:3" x14ac:dyDescent="0.2">
      <c r="C891" s="192" t="str">
        <f t="shared" si="13"/>
        <v/>
      </c>
    </row>
    <row r="892" spans="3:3" x14ac:dyDescent="0.2">
      <c r="C892" s="192" t="str">
        <f t="shared" si="13"/>
        <v/>
      </c>
    </row>
    <row r="893" spans="3:3" x14ac:dyDescent="0.2">
      <c r="C893" s="192" t="str">
        <f t="shared" si="13"/>
        <v/>
      </c>
    </row>
    <row r="894" spans="3:3" x14ac:dyDescent="0.2">
      <c r="C894" s="192" t="str">
        <f t="shared" si="13"/>
        <v/>
      </c>
    </row>
    <row r="895" spans="3:3" x14ac:dyDescent="0.2">
      <c r="C895" s="192" t="str">
        <f t="shared" si="13"/>
        <v/>
      </c>
    </row>
    <row r="896" spans="3:3" x14ac:dyDescent="0.2">
      <c r="C896" s="192" t="str">
        <f t="shared" si="13"/>
        <v/>
      </c>
    </row>
    <row r="897" spans="3:3" x14ac:dyDescent="0.2">
      <c r="C897" s="192" t="str">
        <f t="shared" si="13"/>
        <v/>
      </c>
    </row>
    <row r="898" spans="3:3" x14ac:dyDescent="0.2">
      <c r="C898" s="192" t="str">
        <f t="shared" si="13"/>
        <v/>
      </c>
    </row>
    <row r="899" spans="3:3" x14ac:dyDescent="0.2">
      <c r="C899" s="192" t="str">
        <f t="shared" si="13"/>
        <v/>
      </c>
    </row>
    <row r="900" spans="3:3" x14ac:dyDescent="0.2">
      <c r="C900" s="192" t="str">
        <f t="shared" si="13"/>
        <v/>
      </c>
    </row>
    <row r="901" spans="3:3" x14ac:dyDescent="0.2">
      <c r="C901" s="192" t="str">
        <f t="shared" si="13"/>
        <v/>
      </c>
    </row>
    <row r="902" spans="3:3" x14ac:dyDescent="0.2">
      <c r="C902" s="192" t="str">
        <f t="shared" si="13"/>
        <v/>
      </c>
    </row>
    <row r="903" spans="3:3" x14ac:dyDescent="0.2">
      <c r="C903" s="192" t="str">
        <f t="shared" si="13"/>
        <v/>
      </c>
    </row>
    <row r="904" spans="3:3" x14ac:dyDescent="0.2">
      <c r="C904" s="192" t="str">
        <f t="shared" si="13"/>
        <v/>
      </c>
    </row>
    <row r="905" spans="3:3" x14ac:dyDescent="0.2">
      <c r="C905" s="192" t="str">
        <f t="shared" si="13"/>
        <v/>
      </c>
    </row>
    <row r="906" spans="3:3" x14ac:dyDescent="0.2">
      <c r="C906" s="192" t="str">
        <f t="shared" si="13"/>
        <v/>
      </c>
    </row>
    <row r="907" spans="3:3" x14ac:dyDescent="0.2">
      <c r="C907" s="192" t="str">
        <f t="shared" si="13"/>
        <v/>
      </c>
    </row>
    <row r="908" spans="3:3" x14ac:dyDescent="0.2">
      <c r="C908" s="192" t="str">
        <f t="shared" si="13"/>
        <v/>
      </c>
    </row>
    <row r="909" spans="3:3" x14ac:dyDescent="0.2">
      <c r="C909" s="192" t="str">
        <f t="shared" si="13"/>
        <v/>
      </c>
    </row>
    <row r="910" spans="3:3" x14ac:dyDescent="0.2">
      <c r="C910" s="192" t="str">
        <f t="shared" si="13"/>
        <v/>
      </c>
    </row>
    <row r="911" spans="3:3" x14ac:dyDescent="0.2">
      <c r="C911" s="192" t="str">
        <f t="shared" si="13"/>
        <v/>
      </c>
    </row>
    <row r="912" spans="3:3" x14ac:dyDescent="0.2">
      <c r="C912" s="192" t="str">
        <f t="shared" si="13"/>
        <v/>
      </c>
    </row>
    <row r="913" spans="3:3" x14ac:dyDescent="0.2">
      <c r="C913" s="192" t="str">
        <f t="shared" si="13"/>
        <v/>
      </c>
    </row>
    <row r="914" spans="3:3" x14ac:dyDescent="0.2">
      <c r="C914" s="192" t="str">
        <f t="shared" si="13"/>
        <v/>
      </c>
    </row>
    <row r="915" spans="3:3" x14ac:dyDescent="0.2">
      <c r="C915" s="192" t="str">
        <f t="shared" si="13"/>
        <v/>
      </c>
    </row>
    <row r="916" spans="3:3" x14ac:dyDescent="0.2">
      <c r="C916" s="192" t="str">
        <f t="shared" si="13"/>
        <v/>
      </c>
    </row>
    <row r="917" spans="3:3" x14ac:dyDescent="0.2">
      <c r="C917" s="192" t="str">
        <f t="shared" si="13"/>
        <v/>
      </c>
    </row>
    <row r="918" spans="3:3" x14ac:dyDescent="0.2">
      <c r="C918" s="192" t="str">
        <f t="shared" si="13"/>
        <v/>
      </c>
    </row>
    <row r="919" spans="3:3" x14ac:dyDescent="0.2">
      <c r="C919" s="192" t="str">
        <f t="shared" ref="C919:C982" si="14">IF(A919=0,"","Elastic")</f>
        <v/>
      </c>
    </row>
    <row r="920" spans="3:3" x14ac:dyDescent="0.2">
      <c r="C920" s="192" t="str">
        <f t="shared" si="14"/>
        <v/>
      </c>
    </row>
    <row r="921" spans="3:3" x14ac:dyDescent="0.2">
      <c r="C921" s="192" t="str">
        <f t="shared" si="14"/>
        <v/>
      </c>
    </row>
    <row r="922" spans="3:3" x14ac:dyDescent="0.2">
      <c r="C922" s="192" t="str">
        <f t="shared" si="14"/>
        <v/>
      </c>
    </row>
    <row r="923" spans="3:3" x14ac:dyDescent="0.2">
      <c r="C923" s="192" t="str">
        <f t="shared" si="14"/>
        <v/>
      </c>
    </row>
    <row r="924" spans="3:3" x14ac:dyDescent="0.2">
      <c r="C924" s="192" t="str">
        <f t="shared" si="14"/>
        <v/>
      </c>
    </row>
    <row r="925" spans="3:3" x14ac:dyDescent="0.2">
      <c r="C925" s="192" t="str">
        <f t="shared" si="14"/>
        <v/>
      </c>
    </row>
    <row r="926" spans="3:3" x14ac:dyDescent="0.2">
      <c r="C926" s="192" t="str">
        <f t="shared" si="14"/>
        <v/>
      </c>
    </row>
    <row r="927" spans="3:3" x14ac:dyDescent="0.2">
      <c r="C927" s="192" t="str">
        <f t="shared" si="14"/>
        <v/>
      </c>
    </row>
    <row r="928" spans="3:3" x14ac:dyDescent="0.2">
      <c r="C928" s="192" t="str">
        <f t="shared" si="14"/>
        <v/>
      </c>
    </row>
    <row r="929" spans="3:3" x14ac:dyDescent="0.2">
      <c r="C929" s="192" t="str">
        <f t="shared" si="14"/>
        <v/>
      </c>
    </row>
    <row r="930" spans="3:3" x14ac:dyDescent="0.2">
      <c r="C930" s="192" t="str">
        <f t="shared" si="14"/>
        <v/>
      </c>
    </row>
    <row r="931" spans="3:3" x14ac:dyDescent="0.2">
      <c r="C931" s="192" t="str">
        <f t="shared" si="14"/>
        <v/>
      </c>
    </row>
    <row r="932" spans="3:3" x14ac:dyDescent="0.2">
      <c r="C932" s="192" t="str">
        <f t="shared" si="14"/>
        <v/>
      </c>
    </row>
    <row r="933" spans="3:3" x14ac:dyDescent="0.2">
      <c r="C933" s="192" t="str">
        <f t="shared" si="14"/>
        <v/>
      </c>
    </row>
    <row r="934" spans="3:3" x14ac:dyDescent="0.2">
      <c r="C934" s="192" t="str">
        <f t="shared" si="14"/>
        <v/>
      </c>
    </row>
    <row r="935" spans="3:3" x14ac:dyDescent="0.2">
      <c r="C935" s="192" t="str">
        <f t="shared" si="14"/>
        <v/>
      </c>
    </row>
    <row r="936" spans="3:3" x14ac:dyDescent="0.2">
      <c r="C936" s="192" t="str">
        <f t="shared" si="14"/>
        <v/>
      </c>
    </row>
    <row r="937" spans="3:3" x14ac:dyDescent="0.2">
      <c r="C937" s="192" t="str">
        <f t="shared" si="14"/>
        <v/>
      </c>
    </row>
    <row r="938" spans="3:3" x14ac:dyDescent="0.2">
      <c r="C938" s="192" t="str">
        <f t="shared" si="14"/>
        <v/>
      </c>
    </row>
    <row r="939" spans="3:3" x14ac:dyDescent="0.2">
      <c r="C939" s="192" t="str">
        <f t="shared" si="14"/>
        <v/>
      </c>
    </row>
    <row r="940" spans="3:3" x14ac:dyDescent="0.2">
      <c r="C940" s="192" t="str">
        <f t="shared" si="14"/>
        <v/>
      </c>
    </row>
    <row r="941" spans="3:3" x14ac:dyDescent="0.2">
      <c r="C941" s="192" t="str">
        <f t="shared" si="14"/>
        <v/>
      </c>
    </row>
    <row r="942" spans="3:3" x14ac:dyDescent="0.2">
      <c r="C942" s="192" t="str">
        <f t="shared" si="14"/>
        <v/>
      </c>
    </row>
    <row r="943" spans="3:3" x14ac:dyDescent="0.2">
      <c r="C943" s="192" t="str">
        <f t="shared" si="14"/>
        <v/>
      </c>
    </row>
    <row r="944" spans="3:3" x14ac:dyDescent="0.2">
      <c r="C944" s="192" t="str">
        <f t="shared" si="14"/>
        <v/>
      </c>
    </row>
    <row r="945" spans="3:3" x14ac:dyDescent="0.2">
      <c r="C945" s="192" t="str">
        <f t="shared" si="14"/>
        <v/>
      </c>
    </row>
    <row r="946" spans="3:3" x14ac:dyDescent="0.2">
      <c r="C946" s="192" t="str">
        <f t="shared" si="14"/>
        <v/>
      </c>
    </row>
    <row r="947" spans="3:3" x14ac:dyDescent="0.2">
      <c r="C947" s="192" t="str">
        <f t="shared" si="14"/>
        <v/>
      </c>
    </row>
    <row r="948" spans="3:3" x14ac:dyDescent="0.2">
      <c r="C948" s="192" t="str">
        <f t="shared" si="14"/>
        <v/>
      </c>
    </row>
    <row r="949" spans="3:3" x14ac:dyDescent="0.2">
      <c r="C949" s="192" t="str">
        <f t="shared" si="14"/>
        <v/>
      </c>
    </row>
    <row r="950" spans="3:3" x14ac:dyDescent="0.2">
      <c r="C950" s="192" t="str">
        <f t="shared" si="14"/>
        <v/>
      </c>
    </row>
    <row r="951" spans="3:3" x14ac:dyDescent="0.2">
      <c r="C951" s="192" t="str">
        <f t="shared" si="14"/>
        <v/>
      </c>
    </row>
    <row r="952" spans="3:3" x14ac:dyDescent="0.2">
      <c r="C952" s="192" t="str">
        <f t="shared" si="14"/>
        <v/>
      </c>
    </row>
    <row r="953" spans="3:3" x14ac:dyDescent="0.2">
      <c r="C953" s="192" t="str">
        <f t="shared" si="14"/>
        <v/>
      </c>
    </row>
    <row r="954" spans="3:3" x14ac:dyDescent="0.2">
      <c r="C954" s="192" t="str">
        <f t="shared" si="14"/>
        <v/>
      </c>
    </row>
    <row r="955" spans="3:3" x14ac:dyDescent="0.2">
      <c r="C955" s="192" t="str">
        <f t="shared" si="14"/>
        <v/>
      </c>
    </row>
    <row r="956" spans="3:3" x14ac:dyDescent="0.2">
      <c r="C956" s="192" t="str">
        <f t="shared" si="14"/>
        <v/>
      </c>
    </row>
    <row r="957" spans="3:3" x14ac:dyDescent="0.2">
      <c r="C957" s="192" t="str">
        <f t="shared" si="14"/>
        <v/>
      </c>
    </row>
    <row r="958" spans="3:3" x14ac:dyDescent="0.2">
      <c r="C958" s="192" t="str">
        <f t="shared" si="14"/>
        <v/>
      </c>
    </row>
    <row r="959" spans="3:3" x14ac:dyDescent="0.2">
      <c r="C959" s="192" t="str">
        <f t="shared" si="14"/>
        <v/>
      </c>
    </row>
    <row r="960" spans="3:3" x14ac:dyDescent="0.2">
      <c r="C960" s="192" t="str">
        <f t="shared" si="14"/>
        <v/>
      </c>
    </row>
    <row r="961" spans="3:3" x14ac:dyDescent="0.2">
      <c r="C961" s="192" t="str">
        <f t="shared" si="14"/>
        <v/>
      </c>
    </row>
    <row r="962" spans="3:3" x14ac:dyDescent="0.2">
      <c r="C962" s="192" t="str">
        <f t="shared" si="14"/>
        <v/>
      </c>
    </row>
    <row r="963" spans="3:3" x14ac:dyDescent="0.2">
      <c r="C963" s="192" t="str">
        <f t="shared" si="14"/>
        <v/>
      </c>
    </row>
    <row r="964" spans="3:3" x14ac:dyDescent="0.2">
      <c r="C964" s="192" t="str">
        <f t="shared" si="14"/>
        <v/>
      </c>
    </row>
    <row r="965" spans="3:3" x14ac:dyDescent="0.2">
      <c r="C965" s="192" t="str">
        <f t="shared" si="14"/>
        <v/>
      </c>
    </row>
    <row r="966" spans="3:3" x14ac:dyDescent="0.2">
      <c r="C966" s="192" t="str">
        <f t="shared" si="14"/>
        <v/>
      </c>
    </row>
    <row r="967" spans="3:3" x14ac:dyDescent="0.2">
      <c r="C967" s="192" t="str">
        <f t="shared" si="14"/>
        <v/>
      </c>
    </row>
    <row r="968" spans="3:3" x14ac:dyDescent="0.2">
      <c r="C968" s="192" t="str">
        <f t="shared" si="14"/>
        <v/>
      </c>
    </row>
    <row r="969" spans="3:3" x14ac:dyDescent="0.2">
      <c r="C969" s="192" t="str">
        <f t="shared" si="14"/>
        <v/>
      </c>
    </row>
    <row r="970" spans="3:3" x14ac:dyDescent="0.2">
      <c r="C970" s="192" t="str">
        <f t="shared" si="14"/>
        <v/>
      </c>
    </row>
    <row r="971" spans="3:3" x14ac:dyDescent="0.2">
      <c r="C971" s="192" t="str">
        <f t="shared" si="14"/>
        <v/>
      </c>
    </row>
    <row r="972" spans="3:3" x14ac:dyDescent="0.2">
      <c r="C972" s="192" t="str">
        <f t="shared" si="14"/>
        <v/>
      </c>
    </row>
    <row r="973" spans="3:3" x14ac:dyDescent="0.2">
      <c r="C973" s="192" t="str">
        <f t="shared" si="14"/>
        <v/>
      </c>
    </row>
    <row r="974" spans="3:3" x14ac:dyDescent="0.2">
      <c r="C974" s="192" t="str">
        <f t="shared" si="14"/>
        <v/>
      </c>
    </row>
    <row r="975" spans="3:3" x14ac:dyDescent="0.2">
      <c r="C975" s="192" t="str">
        <f t="shared" si="14"/>
        <v/>
      </c>
    </row>
    <row r="976" spans="3:3" x14ac:dyDescent="0.2">
      <c r="C976" s="192" t="str">
        <f t="shared" si="14"/>
        <v/>
      </c>
    </row>
    <row r="977" spans="3:3" x14ac:dyDescent="0.2">
      <c r="C977" s="192" t="str">
        <f t="shared" si="14"/>
        <v/>
      </c>
    </row>
    <row r="978" spans="3:3" x14ac:dyDescent="0.2">
      <c r="C978" s="192" t="str">
        <f t="shared" si="14"/>
        <v/>
      </c>
    </row>
    <row r="979" spans="3:3" x14ac:dyDescent="0.2">
      <c r="C979" s="192" t="str">
        <f t="shared" si="14"/>
        <v/>
      </c>
    </row>
    <row r="980" spans="3:3" x14ac:dyDescent="0.2">
      <c r="C980" s="192" t="str">
        <f t="shared" si="14"/>
        <v/>
      </c>
    </row>
    <row r="981" spans="3:3" x14ac:dyDescent="0.2">
      <c r="C981" s="192" t="str">
        <f t="shared" si="14"/>
        <v/>
      </c>
    </row>
    <row r="982" spans="3:3" x14ac:dyDescent="0.2">
      <c r="C982" s="192" t="str">
        <f t="shared" si="14"/>
        <v/>
      </c>
    </row>
    <row r="983" spans="3:3" x14ac:dyDescent="0.2">
      <c r="C983" s="192" t="str">
        <f t="shared" ref="C983:C1019" si="15">IF(A983=0,"","Elastic")</f>
        <v/>
      </c>
    </row>
    <row r="984" spans="3:3" x14ac:dyDescent="0.2">
      <c r="C984" s="192" t="str">
        <f t="shared" si="15"/>
        <v/>
      </c>
    </row>
    <row r="985" spans="3:3" x14ac:dyDescent="0.2">
      <c r="C985" s="192" t="str">
        <f t="shared" si="15"/>
        <v/>
      </c>
    </row>
    <row r="986" spans="3:3" x14ac:dyDescent="0.2">
      <c r="C986" s="192" t="str">
        <f t="shared" si="15"/>
        <v/>
      </c>
    </row>
    <row r="987" spans="3:3" x14ac:dyDescent="0.2">
      <c r="C987" s="192" t="str">
        <f t="shared" si="15"/>
        <v/>
      </c>
    </row>
    <row r="988" spans="3:3" x14ac:dyDescent="0.2">
      <c r="C988" s="192" t="str">
        <f t="shared" si="15"/>
        <v/>
      </c>
    </row>
    <row r="989" spans="3:3" x14ac:dyDescent="0.2">
      <c r="C989" s="192" t="str">
        <f t="shared" si="15"/>
        <v/>
      </c>
    </row>
    <row r="990" spans="3:3" x14ac:dyDescent="0.2">
      <c r="C990" s="192" t="str">
        <f t="shared" si="15"/>
        <v/>
      </c>
    </row>
    <row r="991" spans="3:3" x14ac:dyDescent="0.2">
      <c r="C991" s="192" t="str">
        <f t="shared" si="15"/>
        <v/>
      </c>
    </row>
    <row r="992" spans="3:3" x14ac:dyDescent="0.2">
      <c r="C992" s="192" t="str">
        <f t="shared" si="15"/>
        <v/>
      </c>
    </row>
    <row r="993" spans="3:3" x14ac:dyDescent="0.2">
      <c r="C993" s="192" t="str">
        <f t="shared" si="15"/>
        <v/>
      </c>
    </row>
    <row r="994" spans="3:3" x14ac:dyDescent="0.2">
      <c r="C994" s="192" t="str">
        <f t="shared" si="15"/>
        <v/>
      </c>
    </row>
    <row r="995" spans="3:3" x14ac:dyDescent="0.2">
      <c r="C995" s="192" t="str">
        <f t="shared" si="15"/>
        <v/>
      </c>
    </row>
    <row r="996" spans="3:3" x14ac:dyDescent="0.2">
      <c r="C996" s="192" t="str">
        <f t="shared" si="15"/>
        <v/>
      </c>
    </row>
    <row r="997" spans="3:3" x14ac:dyDescent="0.2">
      <c r="C997" s="192" t="str">
        <f t="shared" si="15"/>
        <v/>
      </c>
    </row>
    <row r="998" spans="3:3" x14ac:dyDescent="0.2">
      <c r="C998" s="192" t="str">
        <f t="shared" si="15"/>
        <v/>
      </c>
    </row>
    <row r="999" spans="3:3" x14ac:dyDescent="0.2">
      <c r="C999" s="192" t="str">
        <f t="shared" si="15"/>
        <v/>
      </c>
    </row>
    <row r="1000" spans="3:3" x14ac:dyDescent="0.2">
      <c r="C1000" s="192" t="str">
        <f t="shared" si="15"/>
        <v/>
      </c>
    </row>
    <row r="1001" spans="3:3" x14ac:dyDescent="0.2">
      <c r="C1001" s="192" t="str">
        <f t="shared" si="15"/>
        <v/>
      </c>
    </row>
    <row r="1002" spans="3:3" x14ac:dyDescent="0.2">
      <c r="C1002" s="192" t="str">
        <f t="shared" si="15"/>
        <v/>
      </c>
    </row>
    <row r="1003" spans="3:3" x14ac:dyDescent="0.2">
      <c r="C1003" s="192" t="str">
        <f t="shared" si="15"/>
        <v/>
      </c>
    </row>
    <row r="1004" spans="3:3" x14ac:dyDescent="0.2">
      <c r="C1004" s="192" t="str">
        <f t="shared" si="15"/>
        <v/>
      </c>
    </row>
    <row r="1005" spans="3:3" x14ac:dyDescent="0.2">
      <c r="C1005" s="192" t="str">
        <f t="shared" si="15"/>
        <v/>
      </c>
    </row>
    <row r="1006" spans="3:3" x14ac:dyDescent="0.2">
      <c r="C1006" s="192" t="str">
        <f t="shared" si="15"/>
        <v/>
      </c>
    </row>
    <row r="1007" spans="3:3" x14ac:dyDescent="0.2">
      <c r="C1007" s="192" t="str">
        <f t="shared" si="15"/>
        <v/>
      </c>
    </row>
    <row r="1008" spans="3:3" x14ac:dyDescent="0.2">
      <c r="C1008" s="192" t="str">
        <f t="shared" si="15"/>
        <v/>
      </c>
    </row>
    <row r="1009" spans="3:3" x14ac:dyDescent="0.2">
      <c r="C1009" s="192" t="str">
        <f t="shared" si="15"/>
        <v/>
      </c>
    </row>
    <row r="1010" spans="3:3" x14ac:dyDescent="0.2">
      <c r="C1010" s="192" t="str">
        <f t="shared" si="15"/>
        <v/>
      </c>
    </row>
    <row r="1011" spans="3:3" x14ac:dyDescent="0.2">
      <c r="C1011" s="192" t="str">
        <f t="shared" si="15"/>
        <v/>
      </c>
    </row>
    <row r="1012" spans="3:3" x14ac:dyDescent="0.2">
      <c r="C1012" s="192" t="str">
        <f t="shared" si="15"/>
        <v/>
      </c>
    </row>
    <row r="1013" spans="3:3" x14ac:dyDescent="0.2">
      <c r="C1013" s="192" t="str">
        <f t="shared" si="15"/>
        <v/>
      </c>
    </row>
    <row r="1014" spans="3:3" x14ac:dyDescent="0.2">
      <c r="C1014" s="192" t="str">
        <f t="shared" si="15"/>
        <v/>
      </c>
    </row>
    <row r="1015" spans="3:3" x14ac:dyDescent="0.2">
      <c r="C1015" s="192" t="str">
        <f t="shared" si="15"/>
        <v/>
      </c>
    </row>
    <row r="1016" spans="3:3" x14ac:dyDescent="0.2">
      <c r="C1016" s="192" t="str">
        <f t="shared" si="15"/>
        <v/>
      </c>
    </row>
    <row r="1017" spans="3:3" x14ac:dyDescent="0.2">
      <c r="C1017" s="192" t="str">
        <f t="shared" si="15"/>
        <v/>
      </c>
    </row>
    <row r="1018" spans="3:3" x14ac:dyDescent="0.2">
      <c r="C1018" s="192" t="str">
        <f t="shared" si="15"/>
        <v/>
      </c>
    </row>
    <row r="1019" spans="3:3" x14ac:dyDescent="0.2">
      <c r="C1019" s="192" t="str">
        <f t="shared" si="15"/>
        <v/>
      </c>
    </row>
  </sheetData>
  <mergeCells count="6">
    <mergeCell ref="A9:J9"/>
    <mergeCell ref="A10:J10"/>
    <mergeCell ref="A11:J11"/>
    <mergeCell ref="A5:J6"/>
    <mergeCell ref="A7:J7"/>
    <mergeCell ref="A8:J8"/>
  </mergeCells>
  <conditionalFormatting sqref="E20:J1048576">
    <cfRule type="expression" dxfId="11" priority="2">
      <formula>OR($C20="Elastic")</formula>
    </cfRule>
  </conditionalFormatting>
  <conditionalFormatting sqref="L20:M1048576">
    <cfRule type="expression" dxfId="10" priority="3">
      <formula>OR(AND($A20&lt;&gt;"",$J20=""),$J20="Lobatto")</formula>
    </cfRule>
  </conditionalFormatting>
  <conditionalFormatting sqref="N20:N1048576">
    <cfRule type="expression" dxfId="9" priority="9">
      <formula>OR($C20="Elastic",$C20="Fiber")</formula>
    </cfRule>
  </conditionalFormatting>
  <conditionalFormatting sqref="O20:AD1048576">
    <cfRule type="expression" dxfId="6" priority="8">
      <formula>AND($C20="Aggregator",$N20&lt;&gt;"")</formula>
    </cfRule>
  </conditionalFormatting>
  <conditionalFormatting sqref="W20:AD1048576">
    <cfRule type="expression" dxfId="8" priority="12">
      <formula>OR($C20="Elastic")</formula>
    </cfRule>
  </conditionalFormatting>
  <conditionalFormatting sqref="K20:K1048576">
    <cfRule type="expression" dxfId="7" priority="1">
      <formula>OR(AND($A20&lt;&gt;"",$J20=""),$J20="Hinge Radau")</formula>
    </cfRule>
  </conditionalFormatting>
  <dataValidations count="10">
    <dataValidation type="textLength" allowBlank="1" showInputMessage="1" showErrorMessage="1" errorTitle="Invalid Input" error="Please enter maximum 32 characters only." sqref="A20:A1048576" xr:uid="{A6951AF9-403B-4235-97E8-ED51DE5D0D5B}">
      <formula1>1</formula1>
      <formula2>32</formula2>
    </dataValidation>
    <dataValidation type="list" showInputMessage="1" showErrorMessage="1" errorTitle="Invalid Input" error="Choose from the list" sqref="B20:B1048576" xr:uid="{4EF50105-085C-447C-A0CE-688E34E28766}">
      <formula1>Sec_Shape</formula1>
    </dataValidation>
    <dataValidation type="list" showInputMessage="1" showErrorMessage="1" errorTitle="Invalid Input" error="Choose from the list" sqref="C20:C1048576" xr:uid="{D70A793A-6AD6-4B04-AE0C-A13C3FB3C5EA}">
      <formula1>Sec_Model</formula1>
    </dataValidation>
    <dataValidation type="decimal" allowBlank="1" showInputMessage="1" showErrorMessage="1" errorTitle="Invalid Input" error="Please enter a float value only." sqref="O20:AA1048576" xr:uid="{86CFDFF3-56AA-47EF-8107-3860F2D02E07}">
      <formula1>0</formula1>
      <formula2>1000000000000</formula2>
    </dataValidation>
    <dataValidation type="list" showInputMessage="1" showErrorMessage="1" errorTitle="Invalid Input" error="Choose from the list" sqref="J20:J1048576" xr:uid="{A6F874AE-4C0F-402F-B580-DEC24F8CCDCA}">
      <formula1>IF($C20="Aggregator",Int_Type_Dist,IF($C20="Fiber",Int_Type,Blank))</formula1>
    </dataValidation>
    <dataValidation type="whole" allowBlank="1" showInputMessage="1" showErrorMessage="1" errorTitle="Invalid Input" error="Please enter an integer value only." sqref="AB20:AD1048576" xr:uid="{9E7E1E85-07CA-4166-9E90-B8217F2A4E1E}">
      <formula1>0</formula1>
      <formula2>1000000000000</formula2>
    </dataValidation>
    <dataValidation type="list" showInputMessage="1" showErrorMessage="1" errorTitle="Invalid Input" error="Choose from the list" sqref="D20:D1048576" xr:uid="{A8355B54-42F1-4EFA-9077-D2579C7DD321}">
      <formula1>IF($C20="Elastic",Elastic_Mat_Name,IF(OR($C20="Fiber",$C20="Aggregator"),Mat_Name,""))</formula1>
    </dataValidation>
    <dataValidation type="list" showInputMessage="1" showErrorMessage="1" errorTitle="Invalid Input" error="Choose from the list" sqref="N20:N1048576" xr:uid="{3F4AD803-8899-594D-BE04-1E356DCDC571}">
      <formula1>IF($C20="Aggregator",Sec_name_wo_agg,Blank)</formula1>
    </dataValidation>
    <dataValidation type="whole" showInputMessage="1" showErrorMessage="1" errorTitle="Invalid Input" error="Please enter an integer value only." sqref="K20:M1048576" xr:uid="{4D077BD2-8C90-4BB5-9BC4-DB59553BB1F7}">
      <formula1>0</formula1>
      <formula2>1000000000000</formula2>
    </dataValidation>
    <dataValidation type="list" showInputMessage="1" showErrorMessage="1" errorTitle="Invalid Input" error="Choose from the list" sqref="E20:I1048576" xr:uid="{9540A3D0-5003-4BA5-BF00-28B466291CC4}">
      <formula1>IF(OR($C20="Fiber",$C20="Aggregator"),Mat_Name,Blank)</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4F89-C721-3340-A226-185107DBDAD1}">
  <sheetPr codeName="Sheet13"/>
  <dimension ref="A1:E7"/>
  <sheetViews>
    <sheetView zoomScale="130" zoomScaleNormal="130" workbookViewId="0">
      <selection activeCell="F8" sqref="F8"/>
    </sheetView>
  </sheetViews>
  <sheetFormatPr baseColWidth="10" defaultColWidth="10.83203125" defaultRowHeight="16" x14ac:dyDescent="0.2"/>
  <cols>
    <col min="1" max="2" width="20.6640625" style="38" customWidth="1"/>
    <col min="3" max="3" width="10.6640625" style="42" customWidth="1"/>
    <col min="4" max="16384" width="10.83203125" style="2"/>
  </cols>
  <sheetData>
    <row r="1" spans="1:5" x14ac:dyDescent="0.2">
      <c r="A1" s="26" t="s">
        <v>101</v>
      </c>
      <c r="B1" s="32"/>
      <c r="C1" s="39"/>
      <c r="D1" s="108"/>
      <c r="E1" s="33"/>
    </row>
    <row r="2" spans="1:5" x14ac:dyDescent="0.2">
      <c r="A2" s="40" t="s">
        <v>185</v>
      </c>
      <c r="B2" s="34"/>
      <c r="C2" s="47"/>
      <c r="D2" s="107"/>
      <c r="E2" s="35"/>
    </row>
    <row r="3" spans="1:5" x14ac:dyDescent="0.2">
      <c r="A3" s="117" t="s">
        <v>212</v>
      </c>
      <c r="B3" s="34"/>
      <c r="C3" s="47"/>
      <c r="D3" s="107"/>
      <c r="E3" s="35"/>
    </row>
    <row r="4" spans="1:5" x14ac:dyDescent="0.2">
      <c r="A4" s="43" t="str">
        <f>"- t: Slab thickness (Input as float) ("&amp;'User Defined Units'!$B$11&amp;")"</f>
        <v>- t: Slab thickness (Input as float) (m)</v>
      </c>
      <c r="B4" s="36"/>
      <c r="C4" s="41"/>
      <c r="D4" s="109"/>
      <c r="E4" s="37"/>
    </row>
    <row r="5" spans="1:5" x14ac:dyDescent="0.2">
      <c r="A5" s="27"/>
      <c r="B5" s="1"/>
      <c r="C5" s="3"/>
    </row>
    <row r="6" spans="1:5" s="5" customFormat="1" x14ac:dyDescent="0.2">
      <c r="A6" s="25" t="s">
        <v>24</v>
      </c>
      <c r="B6" s="24" t="s">
        <v>211</v>
      </c>
      <c r="C6" s="25" t="s">
        <v>32</v>
      </c>
    </row>
    <row r="7" spans="1:5" x14ac:dyDescent="0.2">
      <c r="A7" s="38" t="s">
        <v>33</v>
      </c>
      <c r="B7" s="38" t="s">
        <v>13</v>
      </c>
      <c r="C7" s="42">
        <v>0.2</v>
      </c>
    </row>
  </sheetData>
  <dataValidations count="3">
    <dataValidation type="textLength" allowBlank="1" showInputMessage="1" showErrorMessage="1" errorTitle="Invalid Input" error="Please enter maximum 32 characters only." sqref="A7:A1048576" xr:uid="{9208C44A-3B70-EB42-8B79-853AF450CF64}">
      <formula1>1</formula1>
      <formula2>32</formula2>
    </dataValidation>
    <dataValidation type="list" showInputMessage="1" showErrorMessage="1" errorTitle="Invalid Input" error="Choose from the list" sqref="B7:B1048576" xr:uid="{F9A26724-8B4A-3E48-9DCF-4A3CDE05A97A}">
      <formula1>Mat_Name</formula1>
    </dataValidation>
    <dataValidation type="decimal" allowBlank="1" showInputMessage="1" showErrorMessage="1" errorTitle="Invalid Input" error="Please enter a float value only." sqref="C7:C1048576" xr:uid="{88532836-B930-994A-A780-68544E0EBCC7}">
      <formula1>0</formula1>
      <formula2>1000000000000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1D-57DB-764D-B39C-421398651EDA}">
  <sheetPr codeName="Sheet22"/>
  <dimension ref="A1:I132"/>
  <sheetViews>
    <sheetView zoomScale="130" zoomScaleNormal="130" workbookViewId="0">
      <selection activeCell="E14" sqref="E14"/>
    </sheetView>
  </sheetViews>
  <sheetFormatPr baseColWidth="10" defaultColWidth="10.83203125" defaultRowHeight="16" x14ac:dyDescent="0.2"/>
  <cols>
    <col min="1" max="1" width="15.6640625" style="106" customWidth="1"/>
    <col min="2" max="4" width="10.6640625" style="74" customWidth="1"/>
    <col min="5" max="5" width="10.6640625" style="73" customWidth="1"/>
    <col min="6" max="6" width="10.83203125" style="73" customWidth="1"/>
    <col min="7" max="16384" width="10.83203125" style="63"/>
  </cols>
  <sheetData>
    <row r="1" spans="1:9" x14ac:dyDescent="0.2">
      <c r="A1" s="59" t="s">
        <v>101</v>
      </c>
      <c r="B1" s="60"/>
      <c r="C1" s="60"/>
      <c r="D1" s="60"/>
      <c r="E1" s="61"/>
      <c r="F1" s="61"/>
      <c r="G1" s="61"/>
      <c r="H1" s="61"/>
      <c r="I1" s="62"/>
    </row>
    <row r="2" spans="1:9" x14ac:dyDescent="0.2">
      <c r="A2" s="216" t="s">
        <v>318</v>
      </c>
      <c r="B2" s="111"/>
      <c r="C2" s="111"/>
      <c r="D2" s="111"/>
      <c r="E2" s="112"/>
      <c r="F2" s="112"/>
      <c r="G2" s="112"/>
      <c r="H2" s="112"/>
      <c r="I2" s="64"/>
    </row>
    <row r="3" spans="1:9" x14ac:dyDescent="0.2">
      <c r="A3" s="65" t="str">
        <f>"- X: X coordinate of node objects (Input as Float) ("&amp;'User Defined Units'!$B$11&amp;")"</f>
        <v>- X: X coordinate of node objects (Input as Float) (m)</v>
      </c>
      <c r="B3" s="111"/>
      <c r="C3" s="111"/>
      <c r="D3" s="111"/>
      <c r="E3" s="112"/>
      <c r="F3" s="112"/>
      <c r="G3" s="112"/>
      <c r="H3" s="112"/>
      <c r="I3" s="64"/>
    </row>
    <row r="4" spans="1:9" x14ac:dyDescent="0.2">
      <c r="A4" s="65" t="str">
        <f>"- Y: Y coordinate of node objects (Input as Float) ("&amp;'User Defined Units'!$B$11&amp;")"</f>
        <v>- Y: Y coordinate of node objects (Input as Float) (m)</v>
      </c>
      <c r="B4" s="111"/>
      <c r="C4" s="111"/>
      <c r="D4" s="111"/>
      <c r="E4" s="112"/>
      <c r="F4" s="112"/>
      <c r="G4" s="112"/>
      <c r="H4" s="112"/>
      <c r="I4" s="64"/>
    </row>
    <row r="5" spans="1:9" x14ac:dyDescent="0.2">
      <c r="A5" s="66" t="str">
        <f>"- Z: Z coordinate of node objects (Input as Float) ("&amp;'User Defined Units'!$B$11&amp;")"</f>
        <v>- Z: Z coordinate of node objects (Input as Float) (m)</v>
      </c>
      <c r="B5" s="67"/>
      <c r="C5" s="67"/>
      <c r="D5" s="67"/>
      <c r="E5" s="68"/>
      <c r="F5" s="68"/>
      <c r="G5" s="68"/>
      <c r="H5" s="68"/>
      <c r="I5" s="69"/>
    </row>
    <row r="6" spans="1:9" x14ac:dyDescent="0.2">
      <c r="A6" s="70"/>
      <c r="B6" s="71"/>
      <c r="C6" s="71"/>
      <c r="D6" s="71"/>
      <c r="E6" s="63"/>
      <c r="F6" s="63"/>
    </row>
    <row r="7" spans="1:9" s="6" customFormat="1" x14ac:dyDescent="0.2">
      <c r="A7" s="72" t="s">
        <v>184</v>
      </c>
      <c r="B7" s="10" t="s">
        <v>34</v>
      </c>
      <c r="C7" s="10" t="s">
        <v>35</v>
      </c>
      <c r="D7" s="10" t="s">
        <v>36</v>
      </c>
      <c r="E7" s="120"/>
      <c r="F7" s="73"/>
    </row>
    <row r="8" spans="1:9" x14ac:dyDescent="0.2">
      <c r="A8" s="106">
        <v>1</v>
      </c>
      <c r="B8" s="74">
        <v>0</v>
      </c>
      <c r="C8" s="74">
        <v>0</v>
      </c>
      <c r="D8" s="74">
        <v>0</v>
      </c>
    </row>
    <row r="9" spans="1:9" x14ac:dyDescent="0.2">
      <c r="A9" s="106">
        <v>2</v>
      </c>
      <c r="B9" s="74">
        <v>8</v>
      </c>
      <c r="C9" s="74">
        <v>0</v>
      </c>
      <c r="D9" s="74">
        <v>0</v>
      </c>
    </row>
    <row r="10" spans="1:9" x14ac:dyDescent="0.2">
      <c r="A10" s="104">
        <v>3</v>
      </c>
      <c r="B10" s="74">
        <v>16</v>
      </c>
      <c r="C10" s="74">
        <v>0</v>
      </c>
      <c r="D10" s="74">
        <v>0</v>
      </c>
    </row>
    <row r="11" spans="1:9" x14ac:dyDescent="0.2">
      <c r="A11" s="106">
        <v>4</v>
      </c>
      <c r="B11" s="74">
        <v>24</v>
      </c>
      <c r="C11" s="74">
        <v>0</v>
      </c>
      <c r="D11" s="74">
        <v>0</v>
      </c>
    </row>
    <row r="12" spans="1:9" x14ac:dyDescent="0.2">
      <c r="A12" s="106">
        <v>5</v>
      </c>
      <c r="B12" s="74">
        <v>32</v>
      </c>
      <c r="C12" s="74">
        <v>0</v>
      </c>
      <c r="D12" s="74">
        <v>0</v>
      </c>
    </row>
    <row r="13" spans="1:9" x14ac:dyDescent="0.2">
      <c r="A13" s="106">
        <v>6</v>
      </c>
      <c r="B13" s="74">
        <v>0</v>
      </c>
      <c r="C13" s="74">
        <v>8</v>
      </c>
      <c r="D13" s="74">
        <v>0</v>
      </c>
    </row>
    <row r="14" spans="1:9" x14ac:dyDescent="0.2">
      <c r="A14" s="106">
        <v>7</v>
      </c>
      <c r="B14" s="74">
        <v>8</v>
      </c>
      <c r="C14" s="74">
        <v>8</v>
      </c>
      <c r="D14" s="74">
        <v>0</v>
      </c>
    </row>
    <row r="15" spans="1:9" x14ac:dyDescent="0.2">
      <c r="A15" s="106">
        <v>8</v>
      </c>
      <c r="B15" s="74">
        <v>16</v>
      </c>
      <c r="C15" s="74">
        <v>8</v>
      </c>
      <c r="D15" s="74">
        <v>0</v>
      </c>
    </row>
    <row r="16" spans="1:9" x14ac:dyDescent="0.2">
      <c r="A16" s="106">
        <v>9</v>
      </c>
      <c r="B16" s="74">
        <v>24</v>
      </c>
      <c r="C16" s="74">
        <v>8</v>
      </c>
      <c r="D16" s="74">
        <v>0</v>
      </c>
    </row>
    <row r="17" spans="1:4" x14ac:dyDescent="0.2">
      <c r="A17" s="106">
        <v>10</v>
      </c>
      <c r="B17" s="74">
        <v>32</v>
      </c>
      <c r="C17" s="74">
        <v>8</v>
      </c>
      <c r="D17" s="74">
        <v>0</v>
      </c>
    </row>
    <row r="18" spans="1:4" x14ac:dyDescent="0.2">
      <c r="A18" s="106">
        <v>11</v>
      </c>
      <c r="B18" s="74">
        <v>0</v>
      </c>
      <c r="C18" s="74">
        <v>16</v>
      </c>
      <c r="D18" s="74">
        <v>0</v>
      </c>
    </row>
    <row r="19" spans="1:4" x14ac:dyDescent="0.2">
      <c r="A19" s="106">
        <v>12</v>
      </c>
      <c r="B19" s="74">
        <v>8</v>
      </c>
      <c r="C19" s="74">
        <v>16</v>
      </c>
      <c r="D19" s="74">
        <v>0</v>
      </c>
    </row>
    <row r="20" spans="1:4" x14ac:dyDescent="0.2">
      <c r="A20" s="106">
        <v>13</v>
      </c>
      <c r="B20" s="74">
        <v>16</v>
      </c>
      <c r="C20" s="74">
        <v>16</v>
      </c>
      <c r="D20" s="74">
        <v>0</v>
      </c>
    </row>
    <row r="21" spans="1:4" x14ac:dyDescent="0.2">
      <c r="A21" s="106">
        <v>14</v>
      </c>
      <c r="B21" s="74">
        <v>24</v>
      </c>
      <c r="C21" s="74">
        <v>16</v>
      </c>
      <c r="D21" s="74">
        <v>0</v>
      </c>
    </row>
    <row r="22" spans="1:4" x14ac:dyDescent="0.2">
      <c r="A22" s="106">
        <v>15</v>
      </c>
      <c r="B22" s="74">
        <v>32</v>
      </c>
      <c r="C22" s="74">
        <v>16</v>
      </c>
      <c r="D22" s="74">
        <v>0</v>
      </c>
    </row>
    <row r="23" spans="1:4" x14ac:dyDescent="0.2">
      <c r="A23" s="106">
        <v>16</v>
      </c>
      <c r="B23" s="74">
        <v>0</v>
      </c>
      <c r="C23" s="74">
        <v>24</v>
      </c>
      <c r="D23" s="74">
        <v>0</v>
      </c>
    </row>
    <row r="24" spans="1:4" x14ac:dyDescent="0.2">
      <c r="A24" s="106">
        <v>17</v>
      </c>
      <c r="B24" s="74">
        <v>8</v>
      </c>
      <c r="C24" s="74">
        <v>24</v>
      </c>
      <c r="D24" s="74">
        <v>0</v>
      </c>
    </row>
    <row r="25" spans="1:4" x14ac:dyDescent="0.2">
      <c r="A25" s="106">
        <v>18</v>
      </c>
      <c r="B25" s="74">
        <v>16</v>
      </c>
      <c r="C25" s="74">
        <v>24</v>
      </c>
      <c r="D25" s="74">
        <v>0</v>
      </c>
    </row>
    <row r="26" spans="1:4" x14ac:dyDescent="0.2">
      <c r="A26" s="106">
        <v>19</v>
      </c>
      <c r="B26" s="74">
        <v>24</v>
      </c>
      <c r="C26" s="74">
        <v>24</v>
      </c>
      <c r="D26" s="74">
        <v>0</v>
      </c>
    </row>
    <row r="27" spans="1:4" x14ac:dyDescent="0.2">
      <c r="A27" s="106">
        <v>20</v>
      </c>
      <c r="B27" s="74">
        <v>32</v>
      </c>
      <c r="C27" s="74">
        <v>24</v>
      </c>
      <c r="D27" s="74">
        <v>0</v>
      </c>
    </row>
    <row r="28" spans="1:4" x14ac:dyDescent="0.2">
      <c r="A28" s="106">
        <v>21</v>
      </c>
      <c r="B28" s="74">
        <v>0</v>
      </c>
      <c r="C28" s="74">
        <v>32</v>
      </c>
      <c r="D28" s="74">
        <v>0</v>
      </c>
    </row>
    <row r="29" spans="1:4" x14ac:dyDescent="0.2">
      <c r="A29" s="106">
        <v>22</v>
      </c>
      <c r="B29" s="74">
        <v>8</v>
      </c>
      <c r="C29" s="74">
        <v>32</v>
      </c>
      <c r="D29" s="74">
        <v>0</v>
      </c>
    </row>
    <row r="30" spans="1:4" x14ac:dyDescent="0.2">
      <c r="A30" s="106">
        <v>23</v>
      </c>
      <c r="B30" s="74">
        <v>16</v>
      </c>
      <c r="C30" s="74">
        <v>32</v>
      </c>
      <c r="D30" s="74">
        <v>0</v>
      </c>
    </row>
    <row r="31" spans="1:4" x14ac:dyDescent="0.2">
      <c r="A31" s="106">
        <v>24</v>
      </c>
      <c r="B31" s="74">
        <v>24</v>
      </c>
      <c r="C31" s="74">
        <v>32</v>
      </c>
      <c r="D31" s="74">
        <v>0</v>
      </c>
    </row>
    <row r="32" spans="1:4" x14ac:dyDescent="0.2">
      <c r="A32" s="106">
        <v>25</v>
      </c>
      <c r="B32" s="74">
        <v>32</v>
      </c>
      <c r="C32" s="74">
        <v>32</v>
      </c>
      <c r="D32" s="74">
        <v>0</v>
      </c>
    </row>
    <row r="33" spans="1:4" x14ac:dyDescent="0.2">
      <c r="A33" s="106">
        <v>26</v>
      </c>
      <c r="B33" s="74">
        <v>0</v>
      </c>
      <c r="C33" s="74">
        <v>0</v>
      </c>
      <c r="D33" s="74">
        <v>4</v>
      </c>
    </row>
    <row r="34" spans="1:4" x14ac:dyDescent="0.2">
      <c r="A34" s="106">
        <v>27</v>
      </c>
      <c r="B34" s="74">
        <v>8</v>
      </c>
      <c r="C34" s="74">
        <v>0</v>
      </c>
      <c r="D34" s="74">
        <v>4</v>
      </c>
    </row>
    <row r="35" spans="1:4" x14ac:dyDescent="0.2">
      <c r="A35" s="106">
        <v>28</v>
      </c>
      <c r="B35" s="74">
        <v>16</v>
      </c>
      <c r="C35" s="74">
        <v>0</v>
      </c>
      <c r="D35" s="74">
        <v>4</v>
      </c>
    </row>
    <row r="36" spans="1:4" x14ac:dyDescent="0.2">
      <c r="A36" s="106">
        <v>29</v>
      </c>
      <c r="B36" s="74">
        <v>24</v>
      </c>
      <c r="C36" s="74">
        <v>0</v>
      </c>
      <c r="D36" s="74">
        <v>4</v>
      </c>
    </row>
    <row r="37" spans="1:4" x14ac:dyDescent="0.2">
      <c r="A37" s="106">
        <v>30</v>
      </c>
      <c r="B37" s="74">
        <v>32</v>
      </c>
      <c r="C37" s="74">
        <v>0</v>
      </c>
      <c r="D37" s="74">
        <v>4</v>
      </c>
    </row>
    <row r="38" spans="1:4" x14ac:dyDescent="0.2">
      <c r="A38" s="106">
        <v>31</v>
      </c>
      <c r="B38" s="74">
        <v>0</v>
      </c>
      <c r="C38" s="74">
        <v>8</v>
      </c>
      <c r="D38" s="74">
        <v>4</v>
      </c>
    </row>
    <row r="39" spans="1:4" x14ac:dyDescent="0.2">
      <c r="A39" s="106">
        <v>32</v>
      </c>
      <c r="B39" s="74">
        <v>8</v>
      </c>
      <c r="C39" s="74">
        <v>8</v>
      </c>
      <c r="D39" s="74">
        <v>4</v>
      </c>
    </row>
    <row r="40" spans="1:4" x14ac:dyDescent="0.2">
      <c r="A40" s="106">
        <v>33</v>
      </c>
      <c r="B40" s="74">
        <v>16</v>
      </c>
      <c r="C40" s="74">
        <v>8</v>
      </c>
      <c r="D40" s="74">
        <v>4</v>
      </c>
    </row>
    <row r="41" spans="1:4" x14ac:dyDescent="0.2">
      <c r="A41" s="106">
        <v>34</v>
      </c>
      <c r="B41" s="74">
        <v>24</v>
      </c>
      <c r="C41" s="74">
        <v>8</v>
      </c>
      <c r="D41" s="74">
        <v>4</v>
      </c>
    </row>
    <row r="42" spans="1:4" x14ac:dyDescent="0.2">
      <c r="A42" s="106">
        <v>35</v>
      </c>
      <c r="B42" s="74">
        <v>32</v>
      </c>
      <c r="C42" s="74">
        <v>8</v>
      </c>
      <c r="D42" s="74">
        <v>4</v>
      </c>
    </row>
    <row r="43" spans="1:4" x14ac:dyDescent="0.2">
      <c r="A43" s="106">
        <v>36</v>
      </c>
      <c r="B43" s="74">
        <v>0</v>
      </c>
      <c r="C43" s="74">
        <v>16</v>
      </c>
      <c r="D43" s="74">
        <v>4</v>
      </c>
    </row>
    <row r="44" spans="1:4" x14ac:dyDescent="0.2">
      <c r="A44" s="106">
        <v>37</v>
      </c>
      <c r="B44" s="74">
        <v>8</v>
      </c>
      <c r="C44" s="74">
        <v>16</v>
      </c>
      <c r="D44" s="74">
        <v>4</v>
      </c>
    </row>
    <row r="45" spans="1:4" x14ac:dyDescent="0.2">
      <c r="A45" s="106">
        <v>38</v>
      </c>
      <c r="B45" s="74">
        <v>16</v>
      </c>
      <c r="C45" s="74">
        <v>16</v>
      </c>
      <c r="D45" s="74">
        <v>4</v>
      </c>
    </row>
    <row r="46" spans="1:4" x14ac:dyDescent="0.2">
      <c r="A46" s="106">
        <v>39</v>
      </c>
      <c r="B46" s="74">
        <v>24</v>
      </c>
      <c r="C46" s="74">
        <v>16</v>
      </c>
      <c r="D46" s="74">
        <v>4</v>
      </c>
    </row>
    <row r="47" spans="1:4" x14ac:dyDescent="0.2">
      <c r="A47" s="106">
        <v>40</v>
      </c>
      <c r="B47" s="74">
        <v>32</v>
      </c>
      <c r="C47" s="74">
        <v>16</v>
      </c>
      <c r="D47" s="74">
        <v>4</v>
      </c>
    </row>
    <row r="48" spans="1:4" x14ac:dyDescent="0.2">
      <c r="A48" s="106">
        <v>41</v>
      </c>
      <c r="B48" s="74">
        <v>0</v>
      </c>
      <c r="C48" s="74">
        <v>24</v>
      </c>
      <c r="D48" s="74">
        <v>4</v>
      </c>
    </row>
    <row r="49" spans="1:4" x14ac:dyDescent="0.2">
      <c r="A49" s="106">
        <v>42</v>
      </c>
      <c r="B49" s="74">
        <v>8</v>
      </c>
      <c r="C49" s="74">
        <v>24</v>
      </c>
      <c r="D49" s="74">
        <v>4</v>
      </c>
    </row>
    <row r="50" spans="1:4" x14ac:dyDescent="0.2">
      <c r="A50" s="106">
        <v>43</v>
      </c>
      <c r="B50" s="74">
        <v>16</v>
      </c>
      <c r="C50" s="74">
        <v>24</v>
      </c>
      <c r="D50" s="74">
        <v>4</v>
      </c>
    </row>
    <row r="51" spans="1:4" x14ac:dyDescent="0.2">
      <c r="A51" s="106">
        <v>44</v>
      </c>
      <c r="B51" s="74">
        <v>24</v>
      </c>
      <c r="C51" s="74">
        <v>24</v>
      </c>
      <c r="D51" s="74">
        <v>4</v>
      </c>
    </row>
    <row r="52" spans="1:4" x14ac:dyDescent="0.2">
      <c r="A52" s="106">
        <v>45</v>
      </c>
      <c r="B52" s="74">
        <v>32</v>
      </c>
      <c r="C52" s="74">
        <v>24</v>
      </c>
      <c r="D52" s="74">
        <v>4</v>
      </c>
    </row>
    <row r="53" spans="1:4" x14ac:dyDescent="0.2">
      <c r="A53" s="106">
        <v>46</v>
      </c>
      <c r="B53" s="74">
        <v>0</v>
      </c>
      <c r="C53" s="74">
        <v>32</v>
      </c>
      <c r="D53" s="74">
        <v>4</v>
      </c>
    </row>
    <row r="54" spans="1:4" x14ac:dyDescent="0.2">
      <c r="A54" s="106">
        <v>47</v>
      </c>
      <c r="B54" s="74">
        <v>8</v>
      </c>
      <c r="C54" s="74">
        <v>32</v>
      </c>
      <c r="D54" s="74">
        <v>4</v>
      </c>
    </row>
    <row r="55" spans="1:4" x14ac:dyDescent="0.2">
      <c r="A55" s="106">
        <v>48</v>
      </c>
      <c r="B55" s="74">
        <v>16</v>
      </c>
      <c r="C55" s="74">
        <v>32</v>
      </c>
      <c r="D55" s="74">
        <v>4</v>
      </c>
    </row>
    <row r="56" spans="1:4" x14ac:dyDescent="0.2">
      <c r="A56" s="106">
        <v>49</v>
      </c>
      <c r="B56" s="74">
        <v>24</v>
      </c>
      <c r="C56" s="74">
        <v>32</v>
      </c>
      <c r="D56" s="74">
        <v>4</v>
      </c>
    </row>
    <row r="57" spans="1:4" x14ac:dyDescent="0.2">
      <c r="A57" s="106">
        <v>50</v>
      </c>
      <c r="B57" s="74">
        <v>32</v>
      </c>
      <c r="C57" s="74">
        <v>32</v>
      </c>
      <c r="D57" s="74">
        <v>4</v>
      </c>
    </row>
    <row r="58" spans="1:4" x14ac:dyDescent="0.2">
      <c r="A58" s="106">
        <v>51</v>
      </c>
      <c r="B58" s="74">
        <v>0</v>
      </c>
      <c r="C58" s="74">
        <v>0</v>
      </c>
      <c r="D58" s="74">
        <v>7.5</v>
      </c>
    </row>
    <row r="59" spans="1:4" x14ac:dyDescent="0.2">
      <c r="A59" s="106">
        <v>52</v>
      </c>
      <c r="B59" s="74">
        <v>8</v>
      </c>
      <c r="C59" s="74">
        <v>0</v>
      </c>
      <c r="D59" s="74">
        <v>7.5</v>
      </c>
    </row>
    <row r="60" spans="1:4" x14ac:dyDescent="0.2">
      <c r="A60" s="106">
        <v>53</v>
      </c>
      <c r="B60" s="74">
        <v>16</v>
      </c>
      <c r="C60" s="74">
        <v>0</v>
      </c>
      <c r="D60" s="74">
        <v>7.5</v>
      </c>
    </row>
    <row r="61" spans="1:4" x14ac:dyDescent="0.2">
      <c r="A61" s="106">
        <v>54</v>
      </c>
      <c r="B61" s="74">
        <v>24</v>
      </c>
      <c r="C61" s="74">
        <v>0</v>
      </c>
      <c r="D61" s="74">
        <v>7.5</v>
      </c>
    </row>
    <row r="62" spans="1:4" x14ac:dyDescent="0.2">
      <c r="A62" s="106">
        <v>55</v>
      </c>
      <c r="B62" s="74">
        <v>32</v>
      </c>
      <c r="C62" s="74">
        <v>0</v>
      </c>
      <c r="D62" s="74">
        <v>7.5</v>
      </c>
    </row>
    <row r="63" spans="1:4" x14ac:dyDescent="0.2">
      <c r="A63" s="106">
        <v>56</v>
      </c>
      <c r="B63" s="74">
        <v>0</v>
      </c>
      <c r="C63" s="74">
        <v>8</v>
      </c>
      <c r="D63" s="74">
        <v>7.5</v>
      </c>
    </row>
    <row r="64" spans="1:4" x14ac:dyDescent="0.2">
      <c r="A64" s="106">
        <v>57</v>
      </c>
      <c r="B64" s="74">
        <v>8</v>
      </c>
      <c r="C64" s="74">
        <v>8</v>
      </c>
      <c r="D64" s="74">
        <v>7.5</v>
      </c>
    </row>
    <row r="65" spans="1:4" x14ac:dyDescent="0.2">
      <c r="A65" s="106">
        <v>58</v>
      </c>
      <c r="B65" s="74">
        <v>16</v>
      </c>
      <c r="C65" s="74">
        <v>8</v>
      </c>
      <c r="D65" s="74">
        <v>7.5</v>
      </c>
    </row>
    <row r="66" spans="1:4" x14ac:dyDescent="0.2">
      <c r="A66" s="106">
        <v>59</v>
      </c>
      <c r="B66" s="74">
        <v>24</v>
      </c>
      <c r="C66" s="74">
        <v>8</v>
      </c>
      <c r="D66" s="74">
        <v>7.5</v>
      </c>
    </row>
    <row r="67" spans="1:4" x14ac:dyDescent="0.2">
      <c r="A67" s="106">
        <v>60</v>
      </c>
      <c r="B67" s="74">
        <v>32</v>
      </c>
      <c r="C67" s="74">
        <v>8</v>
      </c>
      <c r="D67" s="74">
        <v>7.5</v>
      </c>
    </row>
    <row r="68" spans="1:4" x14ac:dyDescent="0.2">
      <c r="A68" s="106">
        <v>61</v>
      </c>
      <c r="B68" s="74">
        <v>0</v>
      </c>
      <c r="C68" s="74">
        <v>16</v>
      </c>
      <c r="D68" s="74">
        <v>7.5</v>
      </c>
    </row>
    <row r="69" spans="1:4" x14ac:dyDescent="0.2">
      <c r="A69" s="106">
        <v>62</v>
      </c>
      <c r="B69" s="74">
        <v>8</v>
      </c>
      <c r="C69" s="74">
        <v>16</v>
      </c>
      <c r="D69" s="74">
        <v>7.5</v>
      </c>
    </row>
    <row r="70" spans="1:4" x14ac:dyDescent="0.2">
      <c r="A70" s="106">
        <v>63</v>
      </c>
      <c r="B70" s="74">
        <v>16</v>
      </c>
      <c r="C70" s="74">
        <v>16</v>
      </c>
      <c r="D70" s="74">
        <v>7.5</v>
      </c>
    </row>
    <row r="71" spans="1:4" x14ac:dyDescent="0.2">
      <c r="A71" s="106">
        <v>64</v>
      </c>
      <c r="B71" s="74">
        <v>24</v>
      </c>
      <c r="C71" s="74">
        <v>16</v>
      </c>
      <c r="D71" s="74">
        <v>7.5</v>
      </c>
    </row>
    <row r="72" spans="1:4" x14ac:dyDescent="0.2">
      <c r="A72" s="106">
        <v>65</v>
      </c>
      <c r="B72" s="74">
        <v>32</v>
      </c>
      <c r="C72" s="74">
        <v>16</v>
      </c>
      <c r="D72" s="74">
        <v>7.5</v>
      </c>
    </row>
    <row r="73" spans="1:4" x14ac:dyDescent="0.2">
      <c r="A73" s="106">
        <v>66</v>
      </c>
      <c r="B73" s="74">
        <v>0</v>
      </c>
      <c r="C73" s="74">
        <v>24</v>
      </c>
      <c r="D73" s="74">
        <v>7.5</v>
      </c>
    </row>
    <row r="74" spans="1:4" x14ac:dyDescent="0.2">
      <c r="A74" s="106">
        <v>67</v>
      </c>
      <c r="B74" s="74">
        <v>8</v>
      </c>
      <c r="C74" s="74">
        <v>24</v>
      </c>
      <c r="D74" s="74">
        <v>7.5</v>
      </c>
    </row>
    <row r="75" spans="1:4" x14ac:dyDescent="0.2">
      <c r="A75" s="106">
        <v>68</v>
      </c>
      <c r="B75" s="74">
        <v>16</v>
      </c>
      <c r="C75" s="74">
        <v>24</v>
      </c>
      <c r="D75" s="74">
        <v>7.5</v>
      </c>
    </row>
    <row r="76" spans="1:4" x14ac:dyDescent="0.2">
      <c r="A76" s="106">
        <v>69</v>
      </c>
      <c r="B76" s="74">
        <v>24</v>
      </c>
      <c r="C76" s="74">
        <v>24</v>
      </c>
      <c r="D76" s="74">
        <v>7.5</v>
      </c>
    </row>
    <row r="77" spans="1:4" x14ac:dyDescent="0.2">
      <c r="A77" s="106">
        <v>70</v>
      </c>
      <c r="B77" s="74">
        <v>32</v>
      </c>
      <c r="C77" s="74">
        <v>24</v>
      </c>
      <c r="D77" s="74">
        <v>7.5</v>
      </c>
    </row>
    <row r="78" spans="1:4" x14ac:dyDescent="0.2">
      <c r="A78" s="106">
        <v>71</v>
      </c>
      <c r="B78" s="74">
        <v>0</v>
      </c>
      <c r="C78" s="74">
        <v>32</v>
      </c>
      <c r="D78" s="74">
        <v>7.5</v>
      </c>
    </row>
    <row r="79" spans="1:4" x14ac:dyDescent="0.2">
      <c r="A79" s="106">
        <v>72</v>
      </c>
      <c r="B79" s="74">
        <v>8</v>
      </c>
      <c r="C79" s="74">
        <v>32</v>
      </c>
      <c r="D79" s="74">
        <v>7.5</v>
      </c>
    </row>
    <row r="80" spans="1:4" x14ac:dyDescent="0.2">
      <c r="A80" s="106">
        <v>73</v>
      </c>
      <c r="B80" s="74">
        <v>16</v>
      </c>
      <c r="C80" s="74">
        <v>32</v>
      </c>
      <c r="D80" s="74">
        <v>7.5</v>
      </c>
    </row>
    <row r="81" spans="1:4" x14ac:dyDescent="0.2">
      <c r="A81" s="106">
        <v>74</v>
      </c>
      <c r="B81" s="74">
        <v>24</v>
      </c>
      <c r="C81" s="74">
        <v>32</v>
      </c>
      <c r="D81" s="74">
        <v>7.5</v>
      </c>
    </row>
    <row r="82" spans="1:4" x14ac:dyDescent="0.2">
      <c r="A82" s="106">
        <v>75</v>
      </c>
      <c r="B82" s="74">
        <v>32</v>
      </c>
      <c r="C82" s="74">
        <v>32</v>
      </c>
      <c r="D82" s="74">
        <v>7.5</v>
      </c>
    </row>
    <row r="83" spans="1:4" x14ac:dyDescent="0.2">
      <c r="A83" s="106">
        <v>76</v>
      </c>
      <c r="B83" s="74">
        <v>0</v>
      </c>
      <c r="C83" s="74">
        <v>0</v>
      </c>
      <c r="D83" s="74">
        <v>11</v>
      </c>
    </row>
    <row r="84" spans="1:4" x14ac:dyDescent="0.2">
      <c r="A84" s="106">
        <v>77</v>
      </c>
      <c r="B84" s="74">
        <v>8</v>
      </c>
      <c r="C84" s="74">
        <v>0</v>
      </c>
      <c r="D84" s="74">
        <v>11</v>
      </c>
    </row>
    <row r="85" spans="1:4" x14ac:dyDescent="0.2">
      <c r="A85" s="106">
        <v>78</v>
      </c>
      <c r="B85" s="74">
        <v>16</v>
      </c>
      <c r="C85" s="74">
        <v>0</v>
      </c>
      <c r="D85" s="74">
        <v>11</v>
      </c>
    </row>
    <row r="86" spans="1:4" x14ac:dyDescent="0.2">
      <c r="A86" s="106">
        <v>79</v>
      </c>
      <c r="B86" s="74">
        <v>24</v>
      </c>
      <c r="C86" s="74">
        <v>0</v>
      </c>
      <c r="D86" s="74">
        <v>11</v>
      </c>
    </row>
    <row r="87" spans="1:4" x14ac:dyDescent="0.2">
      <c r="A87" s="106">
        <v>80</v>
      </c>
      <c r="B87" s="74">
        <v>32</v>
      </c>
      <c r="C87" s="74">
        <v>0</v>
      </c>
      <c r="D87" s="74">
        <v>11</v>
      </c>
    </row>
    <row r="88" spans="1:4" x14ac:dyDescent="0.2">
      <c r="A88" s="106">
        <v>81</v>
      </c>
      <c r="B88" s="74">
        <v>0</v>
      </c>
      <c r="C88" s="74">
        <v>8</v>
      </c>
      <c r="D88" s="74">
        <v>11</v>
      </c>
    </row>
    <row r="89" spans="1:4" x14ac:dyDescent="0.2">
      <c r="A89" s="106">
        <v>82</v>
      </c>
      <c r="B89" s="74">
        <v>8</v>
      </c>
      <c r="C89" s="74">
        <v>8</v>
      </c>
      <c r="D89" s="74">
        <v>11</v>
      </c>
    </row>
    <row r="90" spans="1:4" x14ac:dyDescent="0.2">
      <c r="A90" s="106">
        <v>83</v>
      </c>
      <c r="B90" s="74">
        <v>16</v>
      </c>
      <c r="C90" s="74">
        <v>8</v>
      </c>
      <c r="D90" s="74">
        <v>11</v>
      </c>
    </row>
    <row r="91" spans="1:4" x14ac:dyDescent="0.2">
      <c r="A91" s="106">
        <v>84</v>
      </c>
      <c r="B91" s="74">
        <v>24</v>
      </c>
      <c r="C91" s="74">
        <v>8</v>
      </c>
      <c r="D91" s="74">
        <v>11</v>
      </c>
    </row>
    <row r="92" spans="1:4" x14ac:dyDescent="0.2">
      <c r="A92" s="106">
        <v>85</v>
      </c>
      <c r="B92" s="74">
        <v>32</v>
      </c>
      <c r="C92" s="74">
        <v>8</v>
      </c>
      <c r="D92" s="74">
        <v>11</v>
      </c>
    </row>
    <row r="93" spans="1:4" x14ac:dyDescent="0.2">
      <c r="A93" s="106">
        <v>86</v>
      </c>
      <c r="B93" s="74">
        <v>0</v>
      </c>
      <c r="C93" s="74">
        <v>16</v>
      </c>
      <c r="D93" s="74">
        <v>11</v>
      </c>
    </row>
    <row r="94" spans="1:4" x14ac:dyDescent="0.2">
      <c r="A94" s="106">
        <v>87</v>
      </c>
      <c r="B94" s="74">
        <v>8</v>
      </c>
      <c r="C94" s="74">
        <v>16</v>
      </c>
      <c r="D94" s="74">
        <v>11</v>
      </c>
    </row>
    <row r="95" spans="1:4" x14ac:dyDescent="0.2">
      <c r="A95" s="106">
        <v>88</v>
      </c>
      <c r="B95" s="74">
        <v>16</v>
      </c>
      <c r="C95" s="74">
        <v>16</v>
      </c>
      <c r="D95" s="74">
        <v>11</v>
      </c>
    </row>
    <row r="96" spans="1:4" x14ac:dyDescent="0.2">
      <c r="A96" s="106">
        <v>89</v>
      </c>
      <c r="B96" s="74">
        <v>24</v>
      </c>
      <c r="C96" s="74">
        <v>16</v>
      </c>
      <c r="D96" s="74">
        <v>11</v>
      </c>
    </row>
    <row r="97" spans="1:4" x14ac:dyDescent="0.2">
      <c r="A97" s="106">
        <v>90</v>
      </c>
      <c r="B97" s="74">
        <v>32</v>
      </c>
      <c r="C97" s="74">
        <v>16</v>
      </c>
      <c r="D97" s="74">
        <v>11</v>
      </c>
    </row>
    <row r="98" spans="1:4" x14ac:dyDescent="0.2">
      <c r="A98" s="106">
        <v>91</v>
      </c>
      <c r="B98" s="74">
        <v>0</v>
      </c>
      <c r="C98" s="74">
        <v>24</v>
      </c>
      <c r="D98" s="74">
        <v>11</v>
      </c>
    </row>
    <row r="99" spans="1:4" x14ac:dyDescent="0.2">
      <c r="A99" s="106">
        <v>92</v>
      </c>
      <c r="B99" s="74">
        <v>8</v>
      </c>
      <c r="C99" s="74">
        <v>24</v>
      </c>
      <c r="D99" s="74">
        <v>11</v>
      </c>
    </row>
    <row r="100" spans="1:4" x14ac:dyDescent="0.2">
      <c r="A100" s="106">
        <v>93</v>
      </c>
      <c r="B100" s="74">
        <v>16</v>
      </c>
      <c r="C100" s="74">
        <v>24</v>
      </c>
      <c r="D100" s="74">
        <v>11</v>
      </c>
    </row>
    <row r="101" spans="1:4" x14ac:dyDescent="0.2">
      <c r="A101" s="106">
        <v>94</v>
      </c>
      <c r="B101" s="74">
        <v>24</v>
      </c>
      <c r="C101" s="74">
        <v>24</v>
      </c>
      <c r="D101" s="74">
        <v>11</v>
      </c>
    </row>
    <row r="102" spans="1:4" x14ac:dyDescent="0.2">
      <c r="A102" s="106">
        <v>95</v>
      </c>
      <c r="B102" s="74">
        <v>32</v>
      </c>
      <c r="C102" s="74">
        <v>24</v>
      </c>
      <c r="D102" s="74">
        <v>11</v>
      </c>
    </row>
    <row r="103" spans="1:4" x14ac:dyDescent="0.2">
      <c r="A103" s="106">
        <v>96</v>
      </c>
      <c r="B103" s="74">
        <v>0</v>
      </c>
      <c r="C103" s="74">
        <v>32</v>
      </c>
      <c r="D103" s="74">
        <v>11</v>
      </c>
    </row>
    <row r="104" spans="1:4" x14ac:dyDescent="0.2">
      <c r="A104" s="106">
        <v>97</v>
      </c>
      <c r="B104" s="74">
        <v>8</v>
      </c>
      <c r="C104" s="74">
        <v>32</v>
      </c>
      <c r="D104" s="74">
        <v>11</v>
      </c>
    </row>
    <row r="105" spans="1:4" x14ac:dyDescent="0.2">
      <c r="A105" s="106">
        <v>98</v>
      </c>
      <c r="B105" s="74">
        <v>16</v>
      </c>
      <c r="C105" s="74">
        <v>32</v>
      </c>
      <c r="D105" s="74">
        <v>11</v>
      </c>
    </row>
    <row r="106" spans="1:4" x14ac:dyDescent="0.2">
      <c r="A106" s="106">
        <v>99</v>
      </c>
      <c r="B106" s="74">
        <v>24</v>
      </c>
      <c r="C106" s="74">
        <v>32</v>
      </c>
      <c r="D106" s="74">
        <v>11</v>
      </c>
    </row>
    <row r="107" spans="1:4" x14ac:dyDescent="0.2">
      <c r="A107" s="106">
        <v>100</v>
      </c>
      <c r="B107" s="74">
        <v>32</v>
      </c>
      <c r="C107" s="74">
        <v>32</v>
      </c>
      <c r="D107" s="74">
        <v>11</v>
      </c>
    </row>
    <row r="108" spans="1:4" x14ac:dyDescent="0.2">
      <c r="A108" s="106">
        <v>101</v>
      </c>
      <c r="B108" s="74">
        <v>0</v>
      </c>
      <c r="C108" s="74">
        <v>0</v>
      </c>
      <c r="D108" s="74">
        <v>14.5</v>
      </c>
    </row>
    <row r="109" spans="1:4" x14ac:dyDescent="0.2">
      <c r="A109" s="106">
        <v>102</v>
      </c>
      <c r="B109" s="74">
        <v>8</v>
      </c>
      <c r="C109" s="74">
        <v>0</v>
      </c>
      <c r="D109" s="74">
        <v>14.5</v>
      </c>
    </row>
    <row r="110" spans="1:4" x14ac:dyDescent="0.2">
      <c r="A110" s="106">
        <v>103</v>
      </c>
      <c r="B110" s="74">
        <v>16</v>
      </c>
      <c r="C110" s="74">
        <v>0</v>
      </c>
      <c r="D110" s="74">
        <v>14.5</v>
      </c>
    </row>
    <row r="111" spans="1:4" x14ac:dyDescent="0.2">
      <c r="A111" s="106">
        <v>104</v>
      </c>
      <c r="B111" s="74">
        <v>24</v>
      </c>
      <c r="C111" s="74">
        <v>0</v>
      </c>
      <c r="D111" s="74">
        <v>14.5</v>
      </c>
    </row>
    <row r="112" spans="1:4" x14ac:dyDescent="0.2">
      <c r="A112" s="106">
        <v>105</v>
      </c>
      <c r="B112" s="74">
        <v>32</v>
      </c>
      <c r="C112" s="74">
        <v>0</v>
      </c>
      <c r="D112" s="74">
        <v>14.5</v>
      </c>
    </row>
    <row r="113" spans="1:4" x14ac:dyDescent="0.2">
      <c r="A113" s="106">
        <v>106</v>
      </c>
      <c r="B113" s="74">
        <v>0</v>
      </c>
      <c r="C113" s="74">
        <v>8</v>
      </c>
      <c r="D113" s="74">
        <v>14.5</v>
      </c>
    </row>
    <row r="114" spans="1:4" x14ac:dyDescent="0.2">
      <c r="A114" s="106">
        <v>107</v>
      </c>
      <c r="B114" s="74">
        <v>8</v>
      </c>
      <c r="C114" s="74">
        <v>8</v>
      </c>
      <c r="D114" s="74">
        <v>14.5</v>
      </c>
    </row>
    <row r="115" spans="1:4" x14ac:dyDescent="0.2">
      <c r="A115" s="106">
        <v>108</v>
      </c>
      <c r="B115" s="74">
        <v>16</v>
      </c>
      <c r="C115" s="74">
        <v>8</v>
      </c>
      <c r="D115" s="74">
        <v>14.5</v>
      </c>
    </row>
    <row r="116" spans="1:4" x14ac:dyDescent="0.2">
      <c r="A116" s="106">
        <v>109</v>
      </c>
      <c r="B116" s="74">
        <v>24</v>
      </c>
      <c r="C116" s="74">
        <v>8</v>
      </c>
      <c r="D116" s="74">
        <v>14.5</v>
      </c>
    </row>
    <row r="117" spans="1:4" x14ac:dyDescent="0.2">
      <c r="A117" s="106">
        <v>110</v>
      </c>
      <c r="B117" s="74">
        <v>32</v>
      </c>
      <c r="C117" s="74">
        <v>8</v>
      </c>
      <c r="D117" s="74">
        <v>14.5</v>
      </c>
    </row>
    <row r="118" spans="1:4" x14ac:dyDescent="0.2">
      <c r="A118" s="106">
        <v>111</v>
      </c>
      <c r="B118" s="74">
        <v>0</v>
      </c>
      <c r="C118" s="74">
        <v>16</v>
      </c>
      <c r="D118" s="74">
        <v>14.5</v>
      </c>
    </row>
    <row r="119" spans="1:4" x14ac:dyDescent="0.2">
      <c r="A119" s="106">
        <v>112</v>
      </c>
      <c r="B119" s="74">
        <v>8</v>
      </c>
      <c r="C119" s="74">
        <v>16</v>
      </c>
      <c r="D119" s="74">
        <v>14.5</v>
      </c>
    </row>
    <row r="120" spans="1:4" x14ac:dyDescent="0.2">
      <c r="A120" s="106">
        <v>113</v>
      </c>
      <c r="B120" s="74">
        <v>16</v>
      </c>
      <c r="C120" s="74">
        <v>16</v>
      </c>
      <c r="D120" s="74">
        <v>14.5</v>
      </c>
    </row>
    <row r="121" spans="1:4" x14ac:dyDescent="0.2">
      <c r="A121" s="106">
        <v>114</v>
      </c>
      <c r="B121" s="74">
        <v>24</v>
      </c>
      <c r="C121" s="74">
        <v>16</v>
      </c>
      <c r="D121" s="74">
        <v>14.5</v>
      </c>
    </row>
    <row r="122" spans="1:4" x14ac:dyDescent="0.2">
      <c r="A122" s="106">
        <v>115</v>
      </c>
      <c r="B122" s="74">
        <v>32</v>
      </c>
      <c r="C122" s="74">
        <v>16</v>
      </c>
      <c r="D122" s="74">
        <v>14.5</v>
      </c>
    </row>
    <row r="123" spans="1:4" x14ac:dyDescent="0.2">
      <c r="A123" s="106">
        <v>116</v>
      </c>
      <c r="B123" s="74">
        <v>0</v>
      </c>
      <c r="C123" s="74">
        <v>24</v>
      </c>
      <c r="D123" s="74">
        <v>14.5</v>
      </c>
    </row>
    <row r="124" spans="1:4" x14ac:dyDescent="0.2">
      <c r="A124" s="106">
        <v>117</v>
      </c>
      <c r="B124" s="74">
        <v>8</v>
      </c>
      <c r="C124" s="74">
        <v>24</v>
      </c>
      <c r="D124" s="74">
        <v>14.5</v>
      </c>
    </row>
    <row r="125" spans="1:4" x14ac:dyDescent="0.2">
      <c r="A125" s="106">
        <v>118</v>
      </c>
      <c r="B125" s="74">
        <v>16</v>
      </c>
      <c r="C125" s="74">
        <v>24</v>
      </c>
      <c r="D125" s="74">
        <v>14.5</v>
      </c>
    </row>
    <row r="126" spans="1:4" x14ac:dyDescent="0.2">
      <c r="A126" s="106">
        <v>119</v>
      </c>
      <c r="B126" s="74">
        <v>24</v>
      </c>
      <c r="C126" s="74">
        <v>24</v>
      </c>
      <c r="D126" s="74">
        <v>14.5</v>
      </c>
    </row>
    <row r="127" spans="1:4" x14ac:dyDescent="0.2">
      <c r="A127" s="106">
        <v>120</v>
      </c>
      <c r="B127" s="74">
        <v>32</v>
      </c>
      <c r="C127" s="74">
        <v>24</v>
      </c>
      <c r="D127" s="74">
        <v>14.5</v>
      </c>
    </row>
    <row r="128" spans="1:4" x14ac:dyDescent="0.2">
      <c r="A128" s="106">
        <v>121</v>
      </c>
      <c r="B128" s="74">
        <v>0</v>
      </c>
      <c r="C128" s="74">
        <v>32</v>
      </c>
      <c r="D128" s="74">
        <v>14.5</v>
      </c>
    </row>
    <row r="129" spans="1:4" x14ac:dyDescent="0.2">
      <c r="A129" s="106">
        <v>122</v>
      </c>
      <c r="B129" s="74">
        <v>8</v>
      </c>
      <c r="C129" s="74">
        <v>32</v>
      </c>
      <c r="D129" s="74">
        <v>14.5</v>
      </c>
    </row>
    <row r="130" spans="1:4" x14ac:dyDescent="0.2">
      <c r="A130" s="106">
        <v>123</v>
      </c>
      <c r="B130" s="74">
        <v>16</v>
      </c>
      <c r="C130" s="74">
        <v>32</v>
      </c>
      <c r="D130" s="74">
        <v>14.5</v>
      </c>
    </row>
    <row r="131" spans="1:4" x14ac:dyDescent="0.2">
      <c r="A131" s="106">
        <v>124</v>
      </c>
      <c r="B131" s="74">
        <v>24</v>
      </c>
      <c r="C131" s="74">
        <v>32</v>
      </c>
      <c r="D131" s="74">
        <v>14.5</v>
      </c>
    </row>
    <row r="132" spans="1:4" x14ac:dyDescent="0.2">
      <c r="A132" s="106">
        <v>125</v>
      </c>
      <c r="B132" s="74">
        <v>32</v>
      </c>
      <c r="C132" s="74">
        <v>32</v>
      </c>
      <c r="D132" s="74">
        <v>14.5</v>
      </c>
    </row>
  </sheetData>
  <phoneticPr fontId="14" type="noConversion"/>
  <dataValidations count="3">
    <dataValidation type="decimal" allowBlank="1" showInputMessage="1" showErrorMessage="1" errorTitle="Invalid Input" error="Please enter a float value only." sqref="B8:D1048576" xr:uid="{59191A79-386F-49B3-AFE4-237CB06DBDE4}">
      <formula1>-1000000000000</formula1>
      <formula2>1000000000000</formula2>
    </dataValidation>
    <dataValidation type="textLength" allowBlank="1" showInputMessage="1" showErrorMessage="1" errorTitle="Invalid Input" error="Please enter maximum 15 characters only." sqref="A8:A1048576" xr:uid="{C1002837-A574-45F7-AEE7-82EDB1704E5C}">
      <formula1>1</formula1>
      <formula2>15</formula2>
    </dataValidation>
    <dataValidation showInputMessage="1" showErrorMessage="1" sqref="E8:E1048576" xr:uid="{F11A3C4F-E2E8-4993-8B79-1647FF6EC8AC}"/>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83D8-E217-6640-A9AD-68C48FB60FE4}">
  <sheetPr codeName="Sheet24"/>
  <dimension ref="A1:J275"/>
  <sheetViews>
    <sheetView zoomScale="130" zoomScaleNormal="130" workbookViewId="0">
      <selection activeCell="F18" sqref="F18"/>
    </sheetView>
  </sheetViews>
  <sheetFormatPr baseColWidth="10" defaultColWidth="10.83203125" defaultRowHeight="16" x14ac:dyDescent="0.2"/>
  <cols>
    <col min="1" max="1" width="15.6640625" style="90" customWidth="1"/>
    <col min="2" max="3" width="10.6640625" style="90" customWidth="1"/>
    <col min="4" max="4" width="20.6640625" style="38" customWidth="1"/>
    <col min="5" max="5" width="25.6640625" style="49" customWidth="1"/>
    <col min="6" max="6" width="20.6640625" style="49" customWidth="1"/>
    <col min="7" max="8" width="20.6640625" style="87" customWidth="1"/>
    <col min="9" max="9" width="15.6640625" style="49" customWidth="1"/>
    <col min="10" max="10" width="20.6640625" style="49" customWidth="1"/>
    <col min="11" max="16384" width="10.83203125" style="78"/>
  </cols>
  <sheetData>
    <row r="1" spans="1:10" x14ac:dyDescent="0.2">
      <c r="A1" s="59" t="s">
        <v>101</v>
      </c>
      <c r="B1" s="75"/>
      <c r="C1" s="75"/>
      <c r="D1" s="34"/>
      <c r="E1" s="76"/>
      <c r="F1" s="76"/>
      <c r="G1" s="76"/>
      <c r="H1" s="76"/>
      <c r="I1" s="75"/>
      <c r="J1" s="114"/>
    </row>
    <row r="2" spans="1:10" x14ac:dyDescent="0.2">
      <c r="A2" s="216" t="s">
        <v>321</v>
      </c>
      <c r="B2" s="79"/>
      <c r="C2" s="79"/>
      <c r="D2" s="34"/>
      <c r="E2" s="80"/>
      <c r="F2" s="80"/>
      <c r="G2" s="80"/>
      <c r="H2" s="80"/>
      <c r="I2" s="79"/>
      <c r="J2" s="115"/>
    </row>
    <row r="3" spans="1:10" x14ac:dyDescent="0.2">
      <c r="A3" s="216" t="s">
        <v>323</v>
      </c>
      <c r="B3" s="79"/>
      <c r="C3" s="79"/>
      <c r="D3" s="34"/>
      <c r="E3" s="80"/>
      <c r="F3" s="80"/>
      <c r="G3" s="80"/>
      <c r="H3" s="80"/>
      <c r="I3" s="79"/>
      <c r="J3" s="115"/>
    </row>
    <row r="4" spans="1:10" x14ac:dyDescent="0.2">
      <c r="A4" s="216" t="s">
        <v>322</v>
      </c>
      <c r="B4" s="79"/>
      <c r="C4" s="79"/>
      <c r="D4" s="34"/>
      <c r="E4" s="80"/>
      <c r="F4" s="80"/>
      <c r="G4" s="80"/>
      <c r="H4" s="80"/>
      <c r="I4" s="79"/>
      <c r="J4" s="115"/>
    </row>
    <row r="5" spans="1:10" x14ac:dyDescent="0.2">
      <c r="A5" s="113" t="s">
        <v>172</v>
      </c>
      <c r="B5" s="79"/>
      <c r="C5" s="79"/>
      <c r="D5" s="34"/>
      <c r="E5" s="80"/>
      <c r="F5" s="80"/>
      <c r="G5" s="80"/>
      <c r="H5" s="80"/>
      <c r="I5" s="79"/>
      <c r="J5" s="115"/>
    </row>
    <row r="6" spans="1:10" x14ac:dyDescent="0.2">
      <c r="A6" s="82" t="s">
        <v>124</v>
      </c>
      <c r="B6" s="79"/>
      <c r="C6" s="79"/>
      <c r="D6" s="34"/>
      <c r="E6" s="80"/>
      <c r="F6" s="80"/>
      <c r="G6" s="80"/>
      <c r="H6" s="80"/>
      <c r="I6" s="79"/>
      <c r="J6" s="115"/>
    </row>
    <row r="7" spans="1:10" x14ac:dyDescent="0.2">
      <c r="A7" s="113" t="s">
        <v>214</v>
      </c>
      <c r="B7" s="79"/>
      <c r="C7" s="79"/>
      <c r="D7" s="34"/>
      <c r="E7" s="80"/>
      <c r="F7" s="80"/>
      <c r="G7" s="80"/>
      <c r="H7" s="80"/>
      <c r="I7" s="79"/>
      <c r="J7" s="115"/>
    </row>
    <row r="8" spans="1:10" x14ac:dyDescent="0.2">
      <c r="A8" s="82" t="str">
        <f>"- I-End Offset Length: Offset length at the start (I) of the element object (Input as Float) ("&amp;'User Defined Units'!$B$11&amp;")"</f>
        <v>- I-End Offset Length: Offset length at the start (I) of the element object (Input as Float) (m)</v>
      </c>
      <c r="B8" s="79"/>
      <c r="C8" s="79"/>
      <c r="D8" s="34"/>
      <c r="E8" s="80"/>
      <c r="F8" s="80"/>
      <c r="G8" s="80"/>
      <c r="H8" s="80"/>
      <c r="I8" s="79"/>
      <c r="J8" s="115"/>
    </row>
    <row r="9" spans="1:10" x14ac:dyDescent="0.2">
      <c r="A9" s="82" t="str">
        <f>"-J-End Offset Length: Offset length at the end (J) of the element object (Input as Float) ("&amp;'User Defined Units'!$B$11&amp;")"</f>
        <v>-J-End Offset Length: Offset length at the end (J) of the element object (Input as Float) (m)</v>
      </c>
      <c r="B9" s="79"/>
      <c r="C9" s="79"/>
      <c r="D9" s="34"/>
      <c r="E9" s="80"/>
      <c r="F9" s="80"/>
      <c r="G9" s="80"/>
      <c r="H9" s="80"/>
      <c r="I9" s="79"/>
      <c r="J9" s="115"/>
    </row>
    <row r="10" spans="1:10" x14ac:dyDescent="0.2">
      <c r="A10" s="216" t="s">
        <v>324</v>
      </c>
      <c r="B10" s="79"/>
      <c r="C10" s="79"/>
      <c r="D10" s="34"/>
      <c r="E10" s="80"/>
      <c r="F10" s="80"/>
      <c r="G10" s="80"/>
      <c r="H10" s="80"/>
      <c r="I10" s="79"/>
      <c r="J10" s="115"/>
    </row>
    <row r="11" spans="1:10" x14ac:dyDescent="0.2">
      <c r="A11" s="113" t="s">
        <v>190</v>
      </c>
      <c r="B11" s="79"/>
      <c r="C11" s="79"/>
      <c r="D11" s="34"/>
      <c r="E11" s="80"/>
      <c r="F11" s="80"/>
      <c r="G11" s="80"/>
      <c r="H11" s="80"/>
      <c r="I11" s="79"/>
      <c r="J11" s="115"/>
    </row>
    <row r="12" spans="1:10" x14ac:dyDescent="0.2">
      <c r="A12" s="83" t="s">
        <v>119</v>
      </c>
      <c r="B12" s="79"/>
      <c r="C12" s="79"/>
      <c r="D12" s="34"/>
      <c r="E12" s="80"/>
      <c r="F12" s="80"/>
      <c r="G12" s="80"/>
      <c r="H12" s="80"/>
      <c r="I12" s="79"/>
      <c r="J12" s="115"/>
    </row>
    <row r="13" spans="1:10" x14ac:dyDescent="0.2">
      <c r="A13" s="84" t="s">
        <v>132</v>
      </c>
      <c r="B13" s="85"/>
      <c r="C13" s="86"/>
      <c r="D13" s="36"/>
      <c r="E13" s="86"/>
      <c r="F13" s="86"/>
      <c r="G13" s="86"/>
      <c r="H13" s="86"/>
      <c r="I13" s="119"/>
      <c r="J13" s="116"/>
    </row>
    <row r="14" spans="1:10" x14ac:dyDescent="0.2">
      <c r="A14" s="88"/>
      <c r="B14" s="49"/>
      <c r="C14" s="49"/>
      <c r="D14" s="1"/>
      <c r="E14" s="78"/>
      <c r="F14" s="78"/>
      <c r="G14" s="78"/>
      <c r="H14" s="78"/>
    </row>
    <row r="15" spans="1:10" s="6" customFormat="1" x14ac:dyDescent="0.2">
      <c r="A15" s="72" t="s">
        <v>184</v>
      </c>
      <c r="B15" s="10" t="s">
        <v>106</v>
      </c>
      <c r="C15" s="10" t="s">
        <v>107</v>
      </c>
      <c r="D15" s="24" t="s">
        <v>37</v>
      </c>
      <c r="E15" s="72" t="s">
        <v>122</v>
      </c>
      <c r="F15" s="72" t="s">
        <v>213</v>
      </c>
      <c r="G15" s="89" t="s">
        <v>120</v>
      </c>
      <c r="H15" s="89" t="s">
        <v>121</v>
      </c>
      <c r="I15" s="72" t="s">
        <v>186</v>
      </c>
      <c r="J15" s="72" t="s">
        <v>189</v>
      </c>
    </row>
    <row r="16" spans="1:10" x14ac:dyDescent="0.2">
      <c r="A16" s="90">
        <v>1</v>
      </c>
      <c r="B16" s="90">
        <v>1</v>
      </c>
      <c r="C16" s="90">
        <v>26</v>
      </c>
      <c r="D16" s="38" t="s">
        <v>38</v>
      </c>
      <c r="E16" s="124" t="s">
        <v>123</v>
      </c>
      <c r="F16" s="124">
        <v>1</v>
      </c>
      <c r="G16" s="87">
        <v>0</v>
      </c>
      <c r="H16" s="87">
        <v>0</v>
      </c>
      <c r="I16" s="49" t="s">
        <v>28</v>
      </c>
      <c r="J16" s="49" t="s">
        <v>181</v>
      </c>
    </row>
    <row r="17" spans="1:10" x14ac:dyDescent="0.2">
      <c r="A17" s="90">
        <v>2</v>
      </c>
      <c r="B17" s="90">
        <v>2</v>
      </c>
      <c r="C17" s="90">
        <v>27</v>
      </c>
      <c r="D17" s="38" t="s">
        <v>38</v>
      </c>
      <c r="E17" s="49" t="s">
        <v>123</v>
      </c>
      <c r="F17" s="124">
        <v>1</v>
      </c>
      <c r="G17" s="87">
        <v>0</v>
      </c>
      <c r="H17" s="87">
        <v>0</v>
      </c>
      <c r="I17" s="49" t="s">
        <v>28</v>
      </c>
      <c r="J17" s="49" t="s">
        <v>181</v>
      </c>
    </row>
    <row r="18" spans="1:10" x14ac:dyDescent="0.2">
      <c r="A18" s="90">
        <v>3</v>
      </c>
      <c r="B18" s="90">
        <v>3</v>
      </c>
      <c r="C18" s="90">
        <v>28</v>
      </c>
      <c r="D18" s="38" t="s">
        <v>38</v>
      </c>
      <c r="E18" s="49" t="s">
        <v>123</v>
      </c>
      <c r="F18" s="124">
        <v>1</v>
      </c>
      <c r="G18" s="87">
        <v>0</v>
      </c>
      <c r="H18" s="87">
        <v>0</v>
      </c>
      <c r="I18" s="49" t="s">
        <v>28</v>
      </c>
      <c r="J18" s="49" t="s">
        <v>181</v>
      </c>
    </row>
    <row r="19" spans="1:10" x14ac:dyDescent="0.2">
      <c r="A19" s="90">
        <v>4</v>
      </c>
      <c r="B19" s="90">
        <v>4</v>
      </c>
      <c r="C19" s="90">
        <v>29</v>
      </c>
      <c r="D19" s="38" t="s">
        <v>38</v>
      </c>
      <c r="E19" s="49" t="s">
        <v>123</v>
      </c>
      <c r="F19" s="124">
        <v>1</v>
      </c>
      <c r="G19" s="87">
        <v>0</v>
      </c>
      <c r="H19" s="87">
        <v>0</v>
      </c>
      <c r="I19" s="49" t="s">
        <v>28</v>
      </c>
      <c r="J19" s="49" t="s">
        <v>181</v>
      </c>
    </row>
    <row r="20" spans="1:10" x14ac:dyDescent="0.2">
      <c r="A20" s="90">
        <v>5</v>
      </c>
      <c r="B20" s="90">
        <v>5</v>
      </c>
      <c r="C20" s="90">
        <v>30</v>
      </c>
      <c r="D20" s="38" t="s">
        <v>38</v>
      </c>
      <c r="E20" s="49" t="s">
        <v>123</v>
      </c>
      <c r="F20" s="124">
        <v>1</v>
      </c>
      <c r="G20" s="87">
        <v>0</v>
      </c>
      <c r="H20" s="87">
        <v>0</v>
      </c>
      <c r="I20" s="49" t="s">
        <v>28</v>
      </c>
      <c r="J20" s="49" t="s">
        <v>181</v>
      </c>
    </row>
    <row r="21" spans="1:10" x14ac:dyDescent="0.2">
      <c r="A21" s="90">
        <v>6</v>
      </c>
      <c r="B21" s="90">
        <v>6</v>
      </c>
      <c r="C21" s="90">
        <v>31</v>
      </c>
      <c r="D21" s="38" t="s">
        <v>38</v>
      </c>
      <c r="E21" s="49" t="s">
        <v>123</v>
      </c>
      <c r="F21" s="124">
        <v>1</v>
      </c>
      <c r="G21" s="87">
        <v>0</v>
      </c>
      <c r="H21" s="87">
        <v>0</v>
      </c>
      <c r="I21" s="49" t="s">
        <v>28</v>
      </c>
      <c r="J21" s="49" t="s">
        <v>181</v>
      </c>
    </row>
    <row r="22" spans="1:10" x14ac:dyDescent="0.2">
      <c r="A22" s="90">
        <v>7</v>
      </c>
      <c r="B22" s="90">
        <v>7</v>
      </c>
      <c r="C22" s="90">
        <v>32</v>
      </c>
      <c r="D22" s="38" t="s">
        <v>38</v>
      </c>
      <c r="E22" s="49" t="s">
        <v>123</v>
      </c>
      <c r="F22" s="124">
        <v>1</v>
      </c>
      <c r="G22" s="87">
        <v>0</v>
      </c>
      <c r="H22" s="87">
        <v>0</v>
      </c>
      <c r="I22" s="49" t="s">
        <v>28</v>
      </c>
      <c r="J22" s="49" t="s">
        <v>181</v>
      </c>
    </row>
    <row r="23" spans="1:10" x14ac:dyDescent="0.2">
      <c r="A23" s="90">
        <v>8</v>
      </c>
      <c r="B23" s="90">
        <v>8</v>
      </c>
      <c r="C23" s="90">
        <v>33</v>
      </c>
      <c r="D23" s="38" t="s">
        <v>38</v>
      </c>
      <c r="E23" s="49" t="s">
        <v>123</v>
      </c>
      <c r="F23" s="124">
        <v>1</v>
      </c>
      <c r="G23" s="87">
        <v>0</v>
      </c>
      <c r="H23" s="87">
        <v>0</v>
      </c>
      <c r="I23" s="49" t="s">
        <v>28</v>
      </c>
      <c r="J23" s="49" t="s">
        <v>181</v>
      </c>
    </row>
    <row r="24" spans="1:10" x14ac:dyDescent="0.2">
      <c r="A24" s="90">
        <v>9</v>
      </c>
      <c r="B24" s="90">
        <v>9</v>
      </c>
      <c r="C24" s="90">
        <v>34</v>
      </c>
      <c r="D24" s="38" t="s">
        <v>38</v>
      </c>
      <c r="E24" s="49" t="s">
        <v>123</v>
      </c>
      <c r="F24" s="124">
        <v>1</v>
      </c>
      <c r="G24" s="87">
        <v>0</v>
      </c>
      <c r="H24" s="87">
        <v>0</v>
      </c>
      <c r="I24" s="49" t="s">
        <v>28</v>
      </c>
      <c r="J24" s="49" t="s">
        <v>181</v>
      </c>
    </row>
    <row r="25" spans="1:10" x14ac:dyDescent="0.2">
      <c r="A25" s="90">
        <v>10</v>
      </c>
      <c r="B25" s="90">
        <v>10</v>
      </c>
      <c r="C25" s="90">
        <v>35</v>
      </c>
      <c r="D25" s="38" t="s">
        <v>38</v>
      </c>
      <c r="E25" s="49" t="s">
        <v>123</v>
      </c>
      <c r="F25" s="124">
        <v>1</v>
      </c>
      <c r="G25" s="87">
        <v>0</v>
      </c>
      <c r="H25" s="87">
        <v>0</v>
      </c>
      <c r="I25" s="49" t="s">
        <v>28</v>
      </c>
      <c r="J25" s="49" t="s">
        <v>181</v>
      </c>
    </row>
    <row r="26" spans="1:10" x14ac:dyDescent="0.2">
      <c r="A26" s="90">
        <v>11</v>
      </c>
      <c r="B26" s="90">
        <v>11</v>
      </c>
      <c r="C26" s="90">
        <v>36</v>
      </c>
      <c r="D26" s="38" t="s">
        <v>38</v>
      </c>
      <c r="E26" s="49" t="s">
        <v>123</v>
      </c>
      <c r="F26" s="124">
        <v>1</v>
      </c>
      <c r="G26" s="87">
        <v>0</v>
      </c>
      <c r="H26" s="87">
        <v>0</v>
      </c>
      <c r="I26" s="49" t="s">
        <v>28</v>
      </c>
      <c r="J26" s="49" t="s">
        <v>181</v>
      </c>
    </row>
    <row r="27" spans="1:10" x14ac:dyDescent="0.2">
      <c r="A27" s="90">
        <v>12</v>
      </c>
      <c r="B27" s="90">
        <v>12</v>
      </c>
      <c r="C27" s="90">
        <v>37</v>
      </c>
      <c r="D27" s="38" t="s">
        <v>38</v>
      </c>
      <c r="E27" s="49" t="s">
        <v>123</v>
      </c>
      <c r="F27" s="124">
        <v>1</v>
      </c>
      <c r="G27" s="87">
        <v>0</v>
      </c>
      <c r="H27" s="87">
        <v>0</v>
      </c>
      <c r="I27" s="49" t="s">
        <v>28</v>
      </c>
      <c r="J27" s="49" t="s">
        <v>181</v>
      </c>
    </row>
    <row r="28" spans="1:10" x14ac:dyDescent="0.2">
      <c r="A28" s="90">
        <v>13</v>
      </c>
      <c r="B28" s="90">
        <v>13</v>
      </c>
      <c r="C28" s="90">
        <v>38</v>
      </c>
      <c r="D28" s="38" t="s">
        <v>38</v>
      </c>
      <c r="E28" s="49" t="s">
        <v>123</v>
      </c>
      <c r="F28" s="124">
        <v>1</v>
      </c>
      <c r="G28" s="87">
        <v>0</v>
      </c>
      <c r="H28" s="87">
        <v>0</v>
      </c>
      <c r="I28" s="49" t="s">
        <v>28</v>
      </c>
      <c r="J28" s="49" t="s">
        <v>181</v>
      </c>
    </row>
    <row r="29" spans="1:10" x14ac:dyDescent="0.2">
      <c r="A29" s="90">
        <v>14</v>
      </c>
      <c r="B29" s="90">
        <v>14</v>
      </c>
      <c r="C29" s="90">
        <v>39</v>
      </c>
      <c r="D29" s="38" t="s">
        <v>38</v>
      </c>
      <c r="E29" s="49" t="s">
        <v>123</v>
      </c>
      <c r="F29" s="124">
        <v>1</v>
      </c>
      <c r="G29" s="87">
        <v>0</v>
      </c>
      <c r="H29" s="87">
        <v>0</v>
      </c>
      <c r="I29" s="49" t="s">
        <v>28</v>
      </c>
      <c r="J29" s="49" t="s">
        <v>181</v>
      </c>
    </row>
    <row r="30" spans="1:10" x14ac:dyDescent="0.2">
      <c r="A30" s="90">
        <v>15</v>
      </c>
      <c r="B30" s="90">
        <v>15</v>
      </c>
      <c r="C30" s="90">
        <v>40</v>
      </c>
      <c r="D30" s="38" t="s">
        <v>38</v>
      </c>
      <c r="E30" s="49" t="s">
        <v>123</v>
      </c>
      <c r="F30" s="124">
        <v>1</v>
      </c>
      <c r="G30" s="87">
        <v>0</v>
      </c>
      <c r="H30" s="87">
        <v>0</v>
      </c>
      <c r="I30" s="49" t="s">
        <v>28</v>
      </c>
      <c r="J30" s="49" t="s">
        <v>181</v>
      </c>
    </row>
    <row r="31" spans="1:10" x14ac:dyDescent="0.2">
      <c r="A31" s="90">
        <v>16</v>
      </c>
      <c r="B31" s="90">
        <v>16</v>
      </c>
      <c r="C31" s="90">
        <v>41</v>
      </c>
      <c r="D31" s="38" t="s">
        <v>38</v>
      </c>
      <c r="E31" s="49" t="s">
        <v>123</v>
      </c>
      <c r="F31" s="124">
        <v>1</v>
      </c>
      <c r="G31" s="87">
        <v>0</v>
      </c>
      <c r="H31" s="87">
        <v>0</v>
      </c>
      <c r="I31" s="49" t="s">
        <v>28</v>
      </c>
      <c r="J31" s="49" t="s">
        <v>181</v>
      </c>
    </row>
    <row r="32" spans="1:10" x14ac:dyDescent="0.2">
      <c r="A32" s="90">
        <v>17</v>
      </c>
      <c r="B32" s="90">
        <v>17</v>
      </c>
      <c r="C32" s="90">
        <v>42</v>
      </c>
      <c r="D32" s="38" t="s">
        <v>38</v>
      </c>
      <c r="E32" s="49" t="s">
        <v>123</v>
      </c>
      <c r="F32" s="124">
        <v>1</v>
      </c>
      <c r="G32" s="87">
        <v>0</v>
      </c>
      <c r="H32" s="87">
        <v>0</v>
      </c>
      <c r="I32" s="49" t="s">
        <v>28</v>
      </c>
      <c r="J32" s="49" t="s">
        <v>181</v>
      </c>
    </row>
    <row r="33" spans="1:10" x14ac:dyDescent="0.2">
      <c r="A33" s="90">
        <v>18</v>
      </c>
      <c r="B33" s="90">
        <v>18</v>
      </c>
      <c r="C33" s="90">
        <v>43</v>
      </c>
      <c r="D33" s="38" t="s">
        <v>38</v>
      </c>
      <c r="E33" s="49" t="s">
        <v>123</v>
      </c>
      <c r="F33" s="124">
        <v>1</v>
      </c>
      <c r="G33" s="87">
        <v>0</v>
      </c>
      <c r="H33" s="87">
        <v>0</v>
      </c>
      <c r="I33" s="49" t="s">
        <v>28</v>
      </c>
      <c r="J33" s="49" t="s">
        <v>181</v>
      </c>
    </row>
    <row r="34" spans="1:10" x14ac:dyDescent="0.2">
      <c r="A34" s="90">
        <v>19</v>
      </c>
      <c r="B34" s="90">
        <v>19</v>
      </c>
      <c r="C34" s="90">
        <v>44</v>
      </c>
      <c r="D34" s="38" t="s">
        <v>38</v>
      </c>
      <c r="E34" s="49" t="s">
        <v>123</v>
      </c>
      <c r="F34" s="124">
        <v>1</v>
      </c>
      <c r="G34" s="87">
        <v>0</v>
      </c>
      <c r="H34" s="87">
        <v>0</v>
      </c>
      <c r="I34" s="49" t="s">
        <v>28</v>
      </c>
      <c r="J34" s="49" t="s">
        <v>181</v>
      </c>
    </row>
    <row r="35" spans="1:10" x14ac:dyDescent="0.2">
      <c r="A35" s="90">
        <v>20</v>
      </c>
      <c r="B35" s="90">
        <v>20</v>
      </c>
      <c r="C35" s="90">
        <v>45</v>
      </c>
      <c r="D35" s="38" t="s">
        <v>38</v>
      </c>
      <c r="E35" s="49" t="s">
        <v>123</v>
      </c>
      <c r="F35" s="124">
        <v>1</v>
      </c>
      <c r="G35" s="87">
        <v>0</v>
      </c>
      <c r="H35" s="87">
        <v>0</v>
      </c>
      <c r="I35" s="49" t="s">
        <v>28</v>
      </c>
      <c r="J35" s="49" t="s">
        <v>181</v>
      </c>
    </row>
    <row r="36" spans="1:10" x14ac:dyDescent="0.2">
      <c r="A36" s="90">
        <v>21</v>
      </c>
      <c r="B36" s="90">
        <v>21</v>
      </c>
      <c r="C36" s="90">
        <v>46</v>
      </c>
      <c r="D36" s="38" t="s">
        <v>38</v>
      </c>
      <c r="E36" s="49" t="s">
        <v>123</v>
      </c>
      <c r="F36" s="124">
        <v>1</v>
      </c>
      <c r="G36" s="87">
        <v>0</v>
      </c>
      <c r="H36" s="87">
        <v>0</v>
      </c>
      <c r="I36" s="49" t="s">
        <v>28</v>
      </c>
      <c r="J36" s="49" t="s">
        <v>181</v>
      </c>
    </row>
    <row r="37" spans="1:10" x14ac:dyDescent="0.2">
      <c r="A37" s="90">
        <v>22</v>
      </c>
      <c r="B37" s="90">
        <v>22</v>
      </c>
      <c r="C37" s="90">
        <v>47</v>
      </c>
      <c r="D37" s="38" t="s">
        <v>38</v>
      </c>
      <c r="E37" s="49" t="s">
        <v>123</v>
      </c>
      <c r="F37" s="124">
        <v>1</v>
      </c>
      <c r="G37" s="87">
        <v>0</v>
      </c>
      <c r="H37" s="87">
        <v>0</v>
      </c>
      <c r="I37" s="49" t="s">
        <v>28</v>
      </c>
      <c r="J37" s="49" t="s">
        <v>181</v>
      </c>
    </row>
    <row r="38" spans="1:10" x14ac:dyDescent="0.2">
      <c r="A38" s="90">
        <v>23</v>
      </c>
      <c r="B38" s="90">
        <v>23</v>
      </c>
      <c r="C38" s="90">
        <v>48</v>
      </c>
      <c r="D38" s="38" t="s">
        <v>38</v>
      </c>
      <c r="E38" s="49" t="s">
        <v>123</v>
      </c>
      <c r="F38" s="124">
        <v>1</v>
      </c>
      <c r="G38" s="87">
        <v>0</v>
      </c>
      <c r="H38" s="87">
        <v>0</v>
      </c>
      <c r="I38" s="49" t="s">
        <v>28</v>
      </c>
      <c r="J38" s="49" t="s">
        <v>181</v>
      </c>
    </row>
    <row r="39" spans="1:10" x14ac:dyDescent="0.2">
      <c r="A39" s="90">
        <v>24</v>
      </c>
      <c r="B39" s="90">
        <v>24</v>
      </c>
      <c r="C39" s="90">
        <v>49</v>
      </c>
      <c r="D39" s="38" t="s">
        <v>38</v>
      </c>
      <c r="E39" s="49" t="s">
        <v>123</v>
      </c>
      <c r="F39" s="124">
        <v>1</v>
      </c>
      <c r="G39" s="87">
        <v>0</v>
      </c>
      <c r="H39" s="87">
        <v>0</v>
      </c>
      <c r="I39" s="49" t="s">
        <v>28</v>
      </c>
      <c r="J39" s="49" t="s">
        <v>181</v>
      </c>
    </row>
    <row r="40" spans="1:10" x14ac:dyDescent="0.2">
      <c r="A40" s="90">
        <v>25</v>
      </c>
      <c r="B40" s="90">
        <v>25</v>
      </c>
      <c r="C40" s="90">
        <v>50</v>
      </c>
      <c r="D40" s="38" t="s">
        <v>38</v>
      </c>
      <c r="E40" s="49" t="s">
        <v>123</v>
      </c>
      <c r="F40" s="124">
        <v>1</v>
      </c>
      <c r="G40" s="87">
        <v>0</v>
      </c>
      <c r="H40" s="87">
        <v>0</v>
      </c>
      <c r="I40" s="49" t="s">
        <v>28</v>
      </c>
      <c r="J40" s="49" t="s">
        <v>181</v>
      </c>
    </row>
    <row r="41" spans="1:10" x14ac:dyDescent="0.2">
      <c r="A41" s="90">
        <v>26</v>
      </c>
      <c r="B41" s="90">
        <v>26</v>
      </c>
      <c r="C41" s="90">
        <v>51</v>
      </c>
      <c r="D41" s="38" t="s">
        <v>38</v>
      </c>
      <c r="E41" s="49" t="s">
        <v>123</v>
      </c>
      <c r="F41" s="124">
        <v>1</v>
      </c>
      <c r="G41" s="87">
        <v>0</v>
      </c>
      <c r="H41" s="87">
        <v>0</v>
      </c>
      <c r="I41" s="49" t="s">
        <v>28</v>
      </c>
      <c r="J41" s="49" t="s">
        <v>181</v>
      </c>
    </row>
    <row r="42" spans="1:10" x14ac:dyDescent="0.2">
      <c r="A42" s="90">
        <v>27</v>
      </c>
      <c r="B42" s="90">
        <v>27</v>
      </c>
      <c r="C42" s="90">
        <v>52</v>
      </c>
      <c r="D42" s="38" t="s">
        <v>38</v>
      </c>
      <c r="E42" s="49" t="s">
        <v>123</v>
      </c>
      <c r="F42" s="124">
        <v>1</v>
      </c>
      <c r="G42" s="87">
        <v>0</v>
      </c>
      <c r="H42" s="87">
        <v>0</v>
      </c>
      <c r="I42" s="49" t="s">
        <v>28</v>
      </c>
      <c r="J42" s="49" t="s">
        <v>181</v>
      </c>
    </row>
    <row r="43" spans="1:10" x14ac:dyDescent="0.2">
      <c r="A43" s="90">
        <v>28</v>
      </c>
      <c r="B43" s="90">
        <v>28</v>
      </c>
      <c r="C43" s="90">
        <v>53</v>
      </c>
      <c r="D43" s="38" t="s">
        <v>38</v>
      </c>
      <c r="E43" s="49" t="s">
        <v>123</v>
      </c>
      <c r="F43" s="124">
        <v>1</v>
      </c>
      <c r="G43" s="87">
        <v>0</v>
      </c>
      <c r="H43" s="87">
        <v>0</v>
      </c>
      <c r="I43" s="49" t="s">
        <v>28</v>
      </c>
      <c r="J43" s="49" t="s">
        <v>181</v>
      </c>
    </row>
    <row r="44" spans="1:10" x14ac:dyDescent="0.2">
      <c r="A44" s="90">
        <v>29</v>
      </c>
      <c r="B44" s="90">
        <v>29</v>
      </c>
      <c r="C44" s="90">
        <v>54</v>
      </c>
      <c r="D44" s="38" t="s">
        <v>38</v>
      </c>
      <c r="E44" s="49" t="s">
        <v>123</v>
      </c>
      <c r="F44" s="124">
        <v>1</v>
      </c>
      <c r="G44" s="87">
        <v>0</v>
      </c>
      <c r="H44" s="87">
        <v>0</v>
      </c>
      <c r="I44" s="49" t="s">
        <v>28</v>
      </c>
      <c r="J44" s="49" t="s">
        <v>181</v>
      </c>
    </row>
    <row r="45" spans="1:10" x14ac:dyDescent="0.2">
      <c r="A45" s="90">
        <v>30</v>
      </c>
      <c r="B45" s="90">
        <v>30</v>
      </c>
      <c r="C45" s="90">
        <v>55</v>
      </c>
      <c r="D45" s="38" t="s">
        <v>38</v>
      </c>
      <c r="E45" s="49" t="s">
        <v>123</v>
      </c>
      <c r="F45" s="124">
        <v>1</v>
      </c>
      <c r="G45" s="87">
        <v>0</v>
      </c>
      <c r="H45" s="87">
        <v>0</v>
      </c>
      <c r="I45" s="49" t="s">
        <v>28</v>
      </c>
      <c r="J45" s="49" t="s">
        <v>181</v>
      </c>
    </row>
    <row r="46" spans="1:10" x14ac:dyDescent="0.2">
      <c r="A46" s="90">
        <v>31</v>
      </c>
      <c r="B46" s="90">
        <v>31</v>
      </c>
      <c r="C46" s="90">
        <v>56</v>
      </c>
      <c r="D46" s="38" t="s">
        <v>38</v>
      </c>
      <c r="E46" s="49" t="s">
        <v>123</v>
      </c>
      <c r="F46" s="124">
        <v>1</v>
      </c>
      <c r="G46" s="87">
        <v>0</v>
      </c>
      <c r="H46" s="87">
        <v>0</v>
      </c>
      <c r="I46" s="49" t="s">
        <v>28</v>
      </c>
      <c r="J46" s="49" t="s">
        <v>181</v>
      </c>
    </row>
    <row r="47" spans="1:10" x14ac:dyDescent="0.2">
      <c r="A47" s="90">
        <v>32</v>
      </c>
      <c r="B47" s="90">
        <v>32</v>
      </c>
      <c r="C47" s="90">
        <v>57</v>
      </c>
      <c r="D47" s="38" t="s">
        <v>38</v>
      </c>
      <c r="E47" s="49" t="s">
        <v>123</v>
      </c>
      <c r="F47" s="124">
        <v>1</v>
      </c>
      <c r="G47" s="87">
        <v>0</v>
      </c>
      <c r="H47" s="87">
        <v>0</v>
      </c>
      <c r="I47" s="49" t="s">
        <v>28</v>
      </c>
      <c r="J47" s="49" t="s">
        <v>181</v>
      </c>
    </row>
    <row r="48" spans="1:10" x14ac:dyDescent="0.2">
      <c r="A48" s="90">
        <v>33</v>
      </c>
      <c r="B48" s="90">
        <v>33</v>
      </c>
      <c r="C48" s="90">
        <v>58</v>
      </c>
      <c r="D48" s="38" t="s">
        <v>38</v>
      </c>
      <c r="E48" s="49" t="s">
        <v>123</v>
      </c>
      <c r="F48" s="124">
        <v>1</v>
      </c>
      <c r="G48" s="87">
        <v>0</v>
      </c>
      <c r="H48" s="87">
        <v>0</v>
      </c>
      <c r="I48" s="49" t="s">
        <v>28</v>
      </c>
      <c r="J48" s="49" t="s">
        <v>181</v>
      </c>
    </row>
    <row r="49" spans="1:10" x14ac:dyDescent="0.2">
      <c r="A49" s="90">
        <v>34</v>
      </c>
      <c r="B49" s="90">
        <v>34</v>
      </c>
      <c r="C49" s="90">
        <v>59</v>
      </c>
      <c r="D49" s="38" t="s">
        <v>38</v>
      </c>
      <c r="E49" s="49" t="s">
        <v>123</v>
      </c>
      <c r="F49" s="124">
        <v>1</v>
      </c>
      <c r="G49" s="87">
        <v>0</v>
      </c>
      <c r="H49" s="87">
        <v>0</v>
      </c>
      <c r="I49" s="49" t="s">
        <v>28</v>
      </c>
      <c r="J49" s="49" t="s">
        <v>181</v>
      </c>
    </row>
    <row r="50" spans="1:10" x14ac:dyDescent="0.2">
      <c r="A50" s="90">
        <v>35</v>
      </c>
      <c r="B50" s="90">
        <v>35</v>
      </c>
      <c r="C50" s="90">
        <v>60</v>
      </c>
      <c r="D50" s="38" t="s">
        <v>38</v>
      </c>
      <c r="E50" s="49" t="s">
        <v>123</v>
      </c>
      <c r="F50" s="124">
        <v>1</v>
      </c>
      <c r="G50" s="87">
        <v>0</v>
      </c>
      <c r="H50" s="87">
        <v>0</v>
      </c>
      <c r="I50" s="49" t="s">
        <v>28</v>
      </c>
      <c r="J50" s="49" t="s">
        <v>181</v>
      </c>
    </row>
    <row r="51" spans="1:10" x14ac:dyDescent="0.2">
      <c r="A51" s="90">
        <v>36</v>
      </c>
      <c r="B51" s="90">
        <v>36</v>
      </c>
      <c r="C51" s="90">
        <v>61</v>
      </c>
      <c r="D51" s="38" t="s">
        <v>38</v>
      </c>
      <c r="E51" s="49" t="s">
        <v>123</v>
      </c>
      <c r="F51" s="124">
        <v>1</v>
      </c>
      <c r="G51" s="87">
        <v>0</v>
      </c>
      <c r="H51" s="87">
        <v>0</v>
      </c>
      <c r="I51" s="49" t="s">
        <v>28</v>
      </c>
      <c r="J51" s="49" t="s">
        <v>181</v>
      </c>
    </row>
    <row r="52" spans="1:10" x14ac:dyDescent="0.2">
      <c r="A52" s="90">
        <v>37</v>
      </c>
      <c r="B52" s="90">
        <v>37</v>
      </c>
      <c r="C52" s="90">
        <v>62</v>
      </c>
      <c r="D52" s="38" t="s">
        <v>38</v>
      </c>
      <c r="E52" s="49" t="s">
        <v>123</v>
      </c>
      <c r="F52" s="124">
        <v>1</v>
      </c>
      <c r="G52" s="87">
        <v>0</v>
      </c>
      <c r="H52" s="87">
        <v>0</v>
      </c>
      <c r="I52" s="49" t="s">
        <v>28</v>
      </c>
      <c r="J52" s="49" t="s">
        <v>181</v>
      </c>
    </row>
    <row r="53" spans="1:10" x14ac:dyDescent="0.2">
      <c r="A53" s="90">
        <v>38</v>
      </c>
      <c r="B53" s="90">
        <v>38</v>
      </c>
      <c r="C53" s="90">
        <v>63</v>
      </c>
      <c r="D53" s="38" t="s">
        <v>38</v>
      </c>
      <c r="E53" s="49" t="s">
        <v>123</v>
      </c>
      <c r="F53" s="124">
        <v>1</v>
      </c>
      <c r="G53" s="87">
        <v>0</v>
      </c>
      <c r="H53" s="87">
        <v>0</v>
      </c>
      <c r="I53" s="49" t="s">
        <v>28</v>
      </c>
      <c r="J53" s="49" t="s">
        <v>181</v>
      </c>
    </row>
    <row r="54" spans="1:10" x14ac:dyDescent="0.2">
      <c r="A54" s="90">
        <v>39</v>
      </c>
      <c r="B54" s="90">
        <v>39</v>
      </c>
      <c r="C54" s="90">
        <v>64</v>
      </c>
      <c r="D54" s="38" t="s">
        <v>38</v>
      </c>
      <c r="E54" s="49" t="s">
        <v>123</v>
      </c>
      <c r="F54" s="124">
        <v>1</v>
      </c>
      <c r="G54" s="87">
        <v>0</v>
      </c>
      <c r="H54" s="87">
        <v>0</v>
      </c>
      <c r="I54" s="49" t="s">
        <v>28</v>
      </c>
      <c r="J54" s="49" t="s">
        <v>181</v>
      </c>
    </row>
    <row r="55" spans="1:10" x14ac:dyDescent="0.2">
      <c r="A55" s="90">
        <v>40</v>
      </c>
      <c r="B55" s="90">
        <v>40</v>
      </c>
      <c r="C55" s="90">
        <v>65</v>
      </c>
      <c r="D55" s="38" t="s">
        <v>38</v>
      </c>
      <c r="E55" s="49" t="s">
        <v>123</v>
      </c>
      <c r="F55" s="124">
        <v>1</v>
      </c>
      <c r="G55" s="87">
        <v>0</v>
      </c>
      <c r="H55" s="87">
        <v>0</v>
      </c>
      <c r="I55" s="49" t="s">
        <v>28</v>
      </c>
      <c r="J55" s="49" t="s">
        <v>181</v>
      </c>
    </row>
    <row r="56" spans="1:10" x14ac:dyDescent="0.2">
      <c r="A56" s="90">
        <v>41</v>
      </c>
      <c r="B56" s="90">
        <v>41</v>
      </c>
      <c r="C56" s="90">
        <v>66</v>
      </c>
      <c r="D56" s="38" t="s">
        <v>38</v>
      </c>
      <c r="E56" s="49" t="s">
        <v>123</v>
      </c>
      <c r="F56" s="124">
        <v>1</v>
      </c>
      <c r="G56" s="87">
        <v>0</v>
      </c>
      <c r="H56" s="87">
        <v>0</v>
      </c>
      <c r="I56" s="49" t="s">
        <v>28</v>
      </c>
      <c r="J56" s="49" t="s">
        <v>181</v>
      </c>
    </row>
    <row r="57" spans="1:10" x14ac:dyDescent="0.2">
      <c r="A57" s="90">
        <v>42</v>
      </c>
      <c r="B57" s="90">
        <v>42</v>
      </c>
      <c r="C57" s="90">
        <v>67</v>
      </c>
      <c r="D57" s="38" t="s">
        <v>38</v>
      </c>
      <c r="E57" s="49" t="s">
        <v>123</v>
      </c>
      <c r="F57" s="124">
        <v>1</v>
      </c>
      <c r="G57" s="87">
        <v>0</v>
      </c>
      <c r="H57" s="87">
        <v>0</v>
      </c>
      <c r="I57" s="49" t="s">
        <v>28</v>
      </c>
      <c r="J57" s="49" t="s">
        <v>181</v>
      </c>
    </row>
    <row r="58" spans="1:10" x14ac:dyDescent="0.2">
      <c r="A58" s="90">
        <v>43</v>
      </c>
      <c r="B58" s="90">
        <v>43</v>
      </c>
      <c r="C58" s="90">
        <v>68</v>
      </c>
      <c r="D58" s="38" t="s">
        <v>38</v>
      </c>
      <c r="E58" s="49" t="s">
        <v>123</v>
      </c>
      <c r="F58" s="124">
        <v>1</v>
      </c>
      <c r="G58" s="87">
        <v>0</v>
      </c>
      <c r="H58" s="87">
        <v>0</v>
      </c>
      <c r="I58" s="49" t="s">
        <v>28</v>
      </c>
      <c r="J58" s="49" t="s">
        <v>181</v>
      </c>
    </row>
    <row r="59" spans="1:10" x14ac:dyDescent="0.2">
      <c r="A59" s="90">
        <v>44</v>
      </c>
      <c r="B59" s="90">
        <v>44</v>
      </c>
      <c r="C59" s="90">
        <v>69</v>
      </c>
      <c r="D59" s="38" t="s">
        <v>38</v>
      </c>
      <c r="E59" s="49" t="s">
        <v>123</v>
      </c>
      <c r="F59" s="124">
        <v>1</v>
      </c>
      <c r="G59" s="87">
        <v>0</v>
      </c>
      <c r="H59" s="87">
        <v>0</v>
      </c>
      <c r="I59" s="49" t="s">
        <v>28</v>
      </c>
      <c r="J59" s="49" t="s">
        <v>181</v>
      </c>
    </row>
    <row r="60" spans="1:10" x14ac:dyDescent="0.2">
      <c r="A60" s="90">
        <v>45</v>
      </c>
      <c r="B60" s="90">
        <v>45</v>
      </c>
      <c r="C60" s="90">
        <v>70</v>
      </c>
      <c r="D60" s="38" t="s">
        <v>38</v>
      </c>
      <c r="E60" s="49" t="s">
        <v>123</v>
      </c>
      <c r="F60" s="124">
        <v>1</v>
      </c>
      <c r="G60" s="87">
        <v>0</v>
      </c>
      <c r="H60" s="87">
        <v>0</v>
      </c>
      <c r="I60" s="49" t="s">
        <v>28</v>
      </c>
      <c r="J60" s="49" t="s">
        <v>181</v>
      </c>
    </row>
    <row r="61" spans="1:10" x14ac:dyDescent="0.2">
      <c r="A61" s="90">
        <v>46</v>
      </c>
      <c r="B61" s="90">
        <v>46</v>
      </c>
      <c r="C61" s="90">
        <v>71</v>
      </c>
      <c r="D61" s="38" t="s">
        <v>38</v>
      </c>
      <c r="E61" s="49" t="s">
        <v>123</v>
      </c>
      <c r="F61" s="124">
        <v>1</v>
      </c>
      <c r="G61" s="87">
        <v>0</v>
      </c>
      <c r="H61" s="87">
        <v>0</v>
      </c>
      <c r="I61" s="49" t="s">
        <v>28</v>
      </c>
      <c r="J61" s="49" t="s">
        <v>181</v>
      </c>
    </row>
    <row r="62" spans="1:10" x14ac:dyDescent="0.2">
      <c r="A62" s="90">
        <v>47</v>
      </c>
      <c r="B62" s="90">
        <v>47</v>
      </c>
      <c r="C62" s="90">
        <v>72</v>
      </c>
      <c r="D62" s="38" t="s">
        <v>38</v>
      </c>
      <c r="E62" s="49" t="s">
        <v>123</v>
      </c>
      <c r="F62" s="124">
        <v>1</v>
      </c>
      <c r="G62" s="87">
        <v>0</v>
      </c>
      <c r="H62" s="87">
        <v>0</v>
      </c>
      <c r="I62" s="49" t="s">
        <v>28</v>
      </c>
      <c r="J62" s="49" t="s">
        <v>181</v>
      </c>
    </row>
    <row r="63" spans="1:10" x14ac:dyDescent="0.2">
      <c r="A63" s="90">
        <v>48</v>
      </c>
      <c r="B63" s="90">
        <v>48</v>
      </c>
      <c r="C63" s="90">
        <v>73</v>
      </c>
      <c r="D63" s="38" t="s">
        <v>38</v>
      </c>
      <c r="E63" s="49" t="s">
        <v>123</v>
      </c>
      <c r="F63" s="124">
        <v>1</v>
      </c>
      <c r="G63" s="87">
        <v>0</v>
      </c>
      <c r="H63" s="87">
        <v>0</v>
      </c>
      <c r="I63" s="49" t="s">
        <v>28</v>
      </c>
      <c r="J63" s="49" t="s">
        <v>181</v>
      </c>
    </row>
    <row r="64" spans="1:10" x14ac:dyDescent="0.2">
      <c r="A64" s="90">
        <v>49</v>
      </c>
      <c r="B64" s="90">
        <v>49</v>
      </c>
      <c r="C64" s="90">
        <v>74</v>
      </c>
      <c r="D64" s="38" t="s">
        <v>38</v>
      </c>
      <c r="E64" s="49" t="s">
        <v>123</v>
      </c>
      <c r="F64" s="124">
        <v>1</v>
      </c>
      <c r="G64" s="87">
        <v>0</v>
      </c>
      <c r="H64" s="87">
        <v>0</v>
      </c>
      <c r="I64" s="49" t="s">
        <v>28</v>
      </c>
      <c r="J64" s="49" t="s">
        <v>181</v>
      </c>
    </row>
    <row r="65" spans="1:10" x14ac:dyDescent="0.2">
      <c r="A65" s="90">
        <v>50</v>
      </c>
      <c r="B65" s="90">
        <v>50</v>
      </c>
      <c r="C65" s="90">
        <v>75</v>
      </c>
      <c r="D65" s="38" t="s">
        <v>38</v>
      </c>
      <c r="E65" s="49" t="s">
        <v>123</v>
      </c>
      <c r="F65" s="124">
        <v>1</v>
      </c>
      <c r="G65" s="87">
        <v>0</v>
      </c>
      <c r="H65" s="87">
        <v>0</v>
      </c>
      <c r="I65" s="49" t="s">
        <v>28</v>
      </c>
      <c r="J65" s="49" t="s">
        <v>181</v>
      </c>
    </row>
    <row r="66" spans="1:10" x14ac:dyDescent="0.2">
      <c r="A66" s="90">
        <v>51</v>
      </c>
      <c r="B66" s="90">
        <v>51</v>
      </c>
      <c r="C66" s="90">
        <v>76</v>
      </c>
      <c r="D66" s="38" t="s">
        <v>38</v>
      </c>
      <c r="E66" s="49" t="s">
        <v>123</v>
      </c>
      <c r="F66" s="124">
        <v>1</v>
      </c>
      <c r="G66" s="87">
        <v>0</v>
      </c>
      <c r="H66" s="87">
        <v>0</v>
      </c>
      <c r="I66" s="49" t="s">
        <v>28</v>
      </c>
      <c r="J66" s="49" t="s">
        <v>181</v>
      </c>
    </row>
    <row r="67" spans="1:10" x14ac:dyDescent="0.2">
      <c r="A67" s="90">
        <v>52</v>
      </c>
      <c r="B67" s="90">
        <v>52</v>
      </c>
      <c r="C67" s="90">
        <v>77</v>
      </c>
      <c r="D67" s="38" t="s">
        <v>38</v>
      </c>
      <c r="E67" s="49" t="s">
        <v>123</v>
      </c>
      <c r="F67" s="124">
        <v>1</v>
      </c>
      <c r="G67" s="87">
        <v>0</v>
      </c>
      <c r="H67" s="87">
        <v>0</v>
      </c>
      <c r="I67" s="49" t="s">
        <v>28</v>
      </c>
      <c r="J67" s="49" t="s">
        <v>181</v>
      </c>
    </row>
    <row r="68" spans="1:10" x14ac:dyDescent="0.2">
      <c r="A68" s="90">
        <v>53</v>
      </c>
      <c r="B68" s="90">
        <v>53</v>
      </c>
      <c r="C68" s="90">
        <v>78</v>
      </c>
      <c r="D68" s="38" t="s">
        <v>38</v>
      </c>
      <c r="E68" s="49" t="s">
        <v>123</v>
      </c>
      <c r="F68" s="124">
        <v>1</v>
      </c>
      <c r="G68" s="87">
        <v>0</v>
      </c>
      <c r="H68" s="87">
        <v>0</v>
      </c>
      <c r="I68" s="49" t="s">
        <v>28</v>
      </c>
      <c r="J68" s="49" t="s">
        <v>181</v>
      </c>
    </row>
    <row r="69" spans="1:10" x14ac:dyDescent="0.2">
      <c r="A69" s="90">
        <v>54</v>
      </c>
      <c r="B69" s="90">
        <v>54</v>
      </c>
      <c r="C69" s="90">
        <v>79</v>
      </c>
      <c r="D69" s="38" t="s">
        <v>38</v>
      </c>
      <c r="E69" s="49" t="s">
        <v>123</v>
      </c>
      <c r="F69" s="124">
        <v>1</v>
      </c>
      <c r="G69" s="87">
        <v>0</v>
      </c>
      <c r="H69" s="87">
        <v>0</v>
      </c>
      <c r="I69" s="49" t="s">
        <v>28</v>
      </c>
      <c r="J69" s="49" t="s">
        <v>181</v>
      </c>
    </row>
    <row r="70" spans="1:10" x14ac:dyDescent="0.2">
      <c r="A70" s="90">
        <v>55</v>
      </c>
      <c r="B70" s="90">
        <v>55</v>
      </c>
      <c r="C70" s="90">
        <v>80</v>
      </c>
      <c r="D70" s="38" t="s">
        <v>38</v>
      </c>
      <c r="E70" s="49" t="s">
        <v>123</v>
      </c>
      <c r="F70" s="124">
        <v>1</v>
      </c>
      <c r="G70" s="87">
        <v>0</v>
      </c>
      <c r="H70" s="87">
        <v>0</v>
      </c>
      <c r="I70" s="49" t="s">
        <v>28</v>
      </c>
      <c r="J70" s="49" t="s">
        <v>181</v>
      </c>
    </row>
    <row r="71" spans="1:10" x14ac:dyDescent="0.2">
      <c r="A71" s="90">
        <v>56</v>
      </c>
      <c r="B71" s="90">
        <v>56</v>
      </c>
      <c r="C71" s="90">
        <v>81</v>
      </c>
      <c r="D71" s="38" t="s">
        <v>38</v>
      </c>
      <c r="E71" s="49" t="s">
        <v>123</v>
      </c>
      <c r="F71" s="124">
        <v>1</v>
      </c>
      <c r="G71" s="87">
        <v>0</v>
      </c>
      <c r="H71" s="87">
        <v>0</v>
      </c>
      <c r="I71" s="49" t="s">
        <v>28</v>
      </c>
      <c r="J71" s="49" t="s">
        <v>181</v>
      </c>
    </row>
    <row r="72" spans="1:10" x14ac:dyDescent="0.2">
      <c r="A72" s="90">
        <v>57</v>
      </c>
      <c r="B72" s="90">
        <v>57</v>
      </c>
      <c r="C72" s="90">
        <v>82</v>
      </c>
      <c r="D72" s="38" t="s">
        <v>38</v>
      </c>
      <c r="E72" s="49" t="s">
        <v>123</v>
      </c>
      <c r="F72" s="124">
        <v>1</v>
      </c>
      <c r="G72" s="87">
        <v>0</v>
      </c>
      <c r="H72" s="87">
        <v>0</v>
      </c>
      <c r="I72" s="49" t="s">
        <v>28</v>
      </c>
      <c r="J72" s="49" t="s">
        <v>181</v>
      </c>
    </row>
    <row r="73" spans="1:10" x14ac:dyDescent="0.2">
      <c r="A73" s="90">
        <v>58</v>
      </c>
      <c r="B73" s="90">
        <v>58</v>
      </c>
      <c r="C73" s="90">
        <v>83</v>
      </c>
      <c r="D73" s="38" t="s">
        <v>38</v>
      </c>
      <c r="E73" s="49" t="s">
        <v>123</v>
      </c>
      <c r="F73" s="124">
        <v>1</v>
      </c>
      <c r="G73" s="87">
        <v>0</v>
      </c>
      <c r="H73" s="87">
        <v>0</v>
      </c>
      <c r="I73" s="49" t="s">
        <v>28</v>
      </c>
      <c r="J73" s="49" t="s">
        <v>181</v>
      </c>
    </row>
    <row r="74" spans="1:10" x14ac:dyDescent="0.2">
      <c r="A74" s="90">
        <v>59</v>
      </c>
      <c r="B74" s="90">
        <v>59</v>
      </c>
      <c r="C74" s="90">
        <v>84</v>
      </c>
      <c r="D74" s="38" t="s">
        <v>38</v>
      </c>
      <c r="E74" s="49" t="s">
        <v>123</v>
      </c>
      <c r="F74" s="124">
        <v>1</v>
      </c>
      <c r="G74" s="87">
        <v>0</v>
      </c>
      <c r="H74" s="87">
        <v>0</v>
      </c>
      <c r="I74" s="49" t="s">
        <v>28</v>
      </c>
      <c r="J74" s="49" t="s">
        <v>181</v>
      </c>
    </row>
    <row r="75" spans="1:10" x14ac:dyDescent="0.2">
      <c r="A75" s="90">
        <v>60</v>
      </c>
      <c r="B75" s="90">
        <v>60</v>
      </c>
      <c r="C75" s="90">
        <v>85</v>
      </c>
      <c r="D75" s="38" t="s">
        <v>38</v>
      </c>
      <c r="E75" s="49" t="s">
        <v>123</v>
      </c>
      <c r="F75" s="124">
        <v>1</v>
      </c>
      <c r="G75" s="87">
        <v>0</v>
      </c>
      <c r="H75" s="87">
        <v>0</v>
      </c>
      <c r="I75" s="49" t="s">
        <v>28</v>
      </c>
      <c r="J75" s="49" t="s">
        <v>181</v>
      </c>
    </row>
    <row r="76" spans="1:10" x14ac:dyDescent="0.2">
      <c r="A76" s="90">
        <v>61</v>
      </c>
      <c r="B76" s="90">
        <v>61</v>
      </c>
      <c r="C76" s="90">
        <v>86</v>
      </c>
      <c r="D76" s="38" t="s">
        <v>38</v>
      </c>
      <c r="E76" s="49" t="s">
        <v>123</v>
      </c>
      <c r="F76" s="124">
        <v>1</v>
      </c>
      <c r="G76" s="87">
        <v>0</v>
      </c>
      <c r="H76" s="87">
        <v>0</v>
      </c>
      <c r="I76" s="49" t="s">
        <v>28</v>
      </c>
      <c r="J76" s="49" t="s">
        <v>181</v>
      </c>
    </row>
    <row r="77" spans="1:10" x14ac:dyDescent="0.2">
      <c r="A77" s="90">
        <v>62</v>
      </c>
      <c r="B77" s="90">
        <v>62</v>
      </c>
      <c r="C77" s="90">
        <v>87</v>
      </c>
      <c r="D77" s="38" t="s">
        <v>38</v>
      </c>
      <c r="E77" s="49" t="s">
        <v>123</v>
      </c>
      <c r="F77" s="124">
        <v>1</v>
      </c>
      <c r="G77" s="87">
        <v>0</v>
      </c>
      <c r="H77" s="87">
        <v>0</v>
      </c>
      <c r="I77" s="49" t="s">
        <v>28</v>
      </c>
      <c r="J77" s="49" t="s">
        <v>181</v>
      </c>
    </row>
    <row r="78" spans="1:10" x14ac:dyDescent="0.2">
      <c r="A78" s="90">
        <v>63</v>
      </c>
      <c r="B78" s="90">
        <v>63</v>
      </c>
      <c r="C78" s="90">
        <v>88</v>
      </c>
      <c r="D78" s="38" t="s">
        <v>38</v>
      </c>
      <c r="E78" s="49" t="s">
        <v>123</v>
      </c>
      <c r="F78" s="124">
        <v>1</v>
      </c>
      <c r="G78" s="87">
        <v>0</v>
      </c>
      <c r="H78" s="87">
        <v>0</v>
      </c>
      <c r="I78" s="49" t="s">
        <v>28</v>
      </c>
      <c r="J78" s="49" t="s">
        <v>181</v>
      </c>
    </row>
    <row r="79" spans="1:10" x14ac:dyDescent="0.2">
      <c r="A79" s="90">
        <v>64</v>
      </c>
      <c r="B79" s="90">
        <v>64</v>
      </c>
      <c r="C79" s="90">
        <v>89</v>
      </c>
      <c r="D79" s="38" t="s">
        <v>38</v>
      </c>
      <c r="E79" s="49" t="s">
        <v>123</v>
      </c>
      <c r="F79" s="124">
        <v>1</v>
      </c>
      <c r="G79" s="87">
        <v>0</v>
      </c>
      <c r="H79" s="87">
        <v>0</v>
      </c>
      <c r="I79" s="49" t="s">
        <v>28</v>
      </c>
      <c r="J79" s="49" t="s">
        <v>181</v>
      </c>
    </row>
    <row r="80" spans="1:10" x14ac:dyDescent="0.2">
      <c r="A80" s="90">
        <v>65</v>
      </c>
      <c r="B80" s="90">
        <v>65</v>
      </c>
      <c r="C80" s="90">
        <v>90</v>
      </c>
      <c r="D80" s="38" t="s">
        <v>38</v>
      </c>
      <c r="E80" s="49" t="s">
        <v>123</v>
      </c>
      <c r="F80" s="124">
        <v>1</v>
      </c>
      <c r="G80" s="87">
        <v>0</v>
      </c>
      <c r="H80" s="87">
        <v>0</v>
      </c>
      <c r="I80" s="49" t="s">
        <v>28</v>
      </c>
      <c r="J80" s="49" t="s">
        <v>181</v>
      </c>
    </row>
    <row r="81" spans="1:10" x14ac:dyDescent="0.2">
      <c r="A81" s="90">
        <v>66</v>
      </c>
      <c r="B81" s="90">
        <v>66</v>
      </c>
      <c r="C81" s="90">
        <v>91</v>
      </c>
      <c r="D81" s="38" t="s">
        <v>38</v>
      </c>
      <c r="E81" s="49" t="s">
        <v>123</v>
      </c>
      <c r="F81" s="124">
        <v>1</v>
      </c>
      <c r="G81" s="87">
        <v>0</v>
      </c>
      <c r="H81" s="87">
        <v>0</v>
      </c>
      <c r="I81" s="49" t="s">
        <v>28</v>
      </c>
      <c r="J81" s="49" t="s">
        <v>181</v>
      </c>
    </row>
    <row r="82" spans="1:10" x14ac:dyDescent="0.2">
      <c r="A82" s="90">
        <v>67</v>
      </c>
      <c r="B82" s="90">
        <v>67</v>
      </c>
      <c r="C82" s="90">
        <v>92</v>
      </c>
      <c r="D82" s="38" t="s">
        <v>38</v>
      </c>
      <c r="E82" s="49" t="s">
        <v>123</v>
      </c>
      <c r="F82" s="124">
        <v>1</v>
      </c>
      <c r="G82" s="87">
        <v>0</v>
      </c>
      <c r="H82" s="87">
        <v>0</v>
      </c>
      <c r="I82" s="49" t="s">
        <v>28</v>
      </c>
      <c r="J82" s="49" t="s">
        <v>181</v>
      </c>
    </row>
    <row r="83" spans="1:10" x14ac:dyDescent="0.2">
      <c r="A83" s="90">
        <v>68</v>
      </c>
      <c r="B83" s="90">
        <v>68</v>
      </c>
      <c r="C83" s="90">
        <v>93</v>
      </c>
      <c r="D83" s="38" t="s">
        <v>38</v>
      </c>
      <c r="E83" s="49" t="s">
        <v>123</v>
      </c>
      <c r="F83" s="124">
        <v>1</v>
      </c>
      <c r="G83" s="87">
        <v>0</v>
      </c>
      <c r="H83" s="87">
        <v>0</v>
      </c>
      <c r="I83" s="49" t="s">
        <v>28</v>
      </c>
      <c r="J83" s="49" t="s">
        <v>181</v>
      </c>
    </row>
    <row r="84" spans="1:10" x14ac:dyDescent="0.2">
      <c r="A84" s="90">
        <v>69</v>
      </c>
      <c r="B84" s="90">
        <v>69</v>
      </c>
      <c r="C84" s="90">
        <v>94</v>
      </c>
      <c r="D84" s="38" t="s">
        <v>38</v>
      </c>
      <c r="E84" s="49" t="s">
        <v>123</v>
      </c>
      <c r="F84" s="124">
        <v>1</v>
      </c>
      <c r="G84" s="87">
        <v>0</v>
      </c>
      <c r="H84" s="87">
        <v>0</v>
      </c>
      <c r="I84" s="49" t="s">
        <v>28</v>
      </c>
      <c r="J84" s="49" t="s">
        <v>181</v>
      </c>
    </row>
    <row r="85" spans="1:10" x14ac:dyDescent="0.2">
      <c r="A85" s="90">
        <v>70</v>
      </c>
      <c r="B85" s="90">
        <v>70</v>
      </c>
      <c r="C85" s="90">
        <v>95</v>
      </c>
      <c r="D85" s="38" t="s">
        <v>38</v>
      </c>
      <c r="E85" s="49" t="s">
        <v>123</v>
      </c>
      <c r="F85" s="124">
        <v>1</v>
      </c>
      <c r="G85" s="87">
        <v>0</v>
      </c>
      <c r="H85" s="87">
        <v>0</v>
      </c>
      <c r="I85" s="49" t="s">
        <v>28</v>
      </c>
      <c r="J85" s="49" t="s">
        <v>181</v>
      </c>
    </row>
    <row r="86" spans="1:10" x14ac:dyDescent="0.2">
      <c r="A86" s="90">
        <v>71</v>
      </c>
      <c r="B86" s="90">
        <v>71</v>
      </c>
      <c r="C86" s="90">
        <v>96</v>
      </c>
      <c r="D86" s="38" t="s">
        <v>38</v>
      </c>
      <c r="E86" s="49" t="s">
        <v>123</v>
      </c>
      <c r="F86" s="124">
        <v>1</v>
      </c>
      <c r="G86" s="87">
        <v>0</v>
      </c>
      <c r="H86" s="87">
        <v>0</v>
      </c>
      <c r="I86" s="49" t="s">
        <v>28</v>
      </c>
      <c r="J86" s="49" t="s">
        <v>181</v>
      </c>
    </row>
    <row r="87" spans="1:10" x14ac:dyDescent="0.2">
      <c r="A87" s="90">
        <v>72</v>
      </c>
      <c r="B87" s="90">
        <v>72</v>
      </c>
      <c r="C87" s="90">
        <v>97</v>
      </c>
      <c r="D87" s="38" t="s">
        <v>38</v>
      </c>
      <c r="E87" s="49" t="s">
        <v>123</v>
      </c>
      <c r="F87" s="124">
        <v>1</v>
      </c>
      <c r="G87" s="87">
        <v>0</v>
      </c>
      <c r="H87" s="87">
        <v>0</v>
      </c>
      <c r="I87" s="49" t="s">
        <v>28</v>
      </c>
      <c r="J87" s="49" t="s">
        <v>181</v>
      </c>
    </row>
    <row r="88" spans="1:10" x14ac:dyDescent="0.2">
      <c r="A88" s="90">
        <v>73</v>
      </c>
      <c r="B88" s="90">
        <v>73</v>
      </c>
      <c r="C88" s="90">
        <v>98</v>
      </c>
      <c r="D88" s="38" t="s">
        <v>38</v>
      </c>
      <c r="E88" s="49" t="s">
        <v>123</v>
      </c>
      <c r="F88" s="124">
        <v>1</v>
      </c>
      <c r="G88" s="87">
        <v>0</v>
      </c>
      <c r="H88" s="87">
        <v>0</v>
      </c>
      <c r="I88" s="49" t="s">
        <v>28</v>
      </c>
      <c r="J88" s="49" t="s">
        <v>181</v>
      </c>
    </row>
    <row r="89" spans="1:10" x14ac:dyDescent="0.2">
      <c r="A89" s="90">
        <v>74</v>
      </c>
      <c r="B89" s="90">
        <v>74</v>
      </c>
      <c r="C89" s="90">
        <v>99</v>
      </c>
      <c r="D89" s="38" t="s">
        <v>38</v>
      </c>
      <c r="E89" s="49" t="s">
        <v>123</v>
      </c>
      <c r="F89" s="124">
        <v>1</v>
      </c>
      <c r="G89" s="87">
        <v>0</v>
      </c>
      <c r="H89" s="87">
        <v>0</v>
      </c>
      <c r="I89" s="49" t="s">
        <v>28</v>
      </c>
      <c r="J89" s="49" t="s">
        <v>181</v>
      </c>
    </row>
    <row r="90" spans="1:10" x14ac:dyDescent="0.2">
      <c r="A90" s="90">
        <v>75</v>
      </c>
      <c r="B90" s="90">
        <v>75</v>
      </c>
      <c r="C90" s="90">
        <v>100</v>
      </c>
      <c r="D90" s="38" t="s">
        <v>38</v>
      </c>
      <c r="E90" s="49" t="s">
        <v>123</v>
      </c>
      <c r="F90" s="124">
        <v>1</v>
      </c>
      <c r="G90" s="87">
        <v>0</v>
      </c>
      <c r="H90" s="87">
        <v>0</v>
      </c>
      <c r="I90" s="49" t="s">
        <v>28</v>
      </c>
      <c r="J90" s="49" t="s">
        <v>181</v>
      </c>
    </row>
    <row r="91" spans="1:10" x14ac:dyDescent="0.2">
      <c r="A91" s="90">
        <v>76</v>
      </c>
      <c r="B91" s="90">
        <v>76</v>
      </c>
      <c r="C91" s="90">
        <v>101</v>
      </c>
      <c r="D91" s="38" t="s">
        <v>38</v>
      </c>
      <c r="E91" s="49" t="s">
        <v>123</v>
      </c>
      <c r="F91" s="124">
        <v>1</v>
      </c>
      <c r="G91" s="87">
        <v>0</v>
      </c>
      <c r="H91" s="87">
        <v>0</v>
      </c>
      <c r="I91" s="49" t="s">
        <v>28</v>
      </c>
      <c r="J91" s="49" t="s">
        <v>181</v>
      </c>
    </row>
    <row r="92" spans="1:10" x14ac:dyDescent="0.2">
      <c r="A92" s="90">
        <v>77</v>
      </c>
      <c r="B92" s="90">
        <v>77</v>
      </c>
      <c r="C92" s="90">
        <v>102</v>
      </c>
      <c r="D92" s="38" t="s">
        <v>38</v>
      </c>
      <c r="E92" s="49" t="s">
        <v>123</v>
      </c>
      <c r="F92" s="124">
        <v>1</v>
      </c>
      <c r="G92" s="87">
        <v>0</v>
      </c>
      <c r="H92" s="87">
        <v>0</v>
      </c>
      <c r="I92" s="49" t="s">
        <v>28</v>
      </c>
      <c r="J92" s="49" t="s">
        <v>181</v>
      </c>
    </row>
    <row r="93" spans="1:10" x14ac:dyDescent="0.2">
      <c r="A93" s="90">
        <v>78</v>
      </c>
      <c r="B93" s="90">
        <v>78</v>
      </c>
      <c r="C93" s="90">
        <v>103</v>
      </c>
      <c r="D93" s="38" t="s">
        <v>38</v>
      </c>
      <c r="E93" s="49" t="s">
        <v>123</v>
      </c>
      <c r="F93" s="124">
        <v>1</v>
      </c>
      <c r="G93" s="87">
        <v>0</v>
      </c>
      <c r="H93" s="87">
        <v>0</v>
      </c>
      <c r="I93" s="49" t="s">
        <v>28</v>
      </c>
      <c r="J93" s="49" t="s">
        <v>181</v>
      </c>
    </row>
    <row r="94" spans="1:10" x14ac:dyDescent="0.2">
      <c r="A94" s="90">
        <v>79</v>
      </c>
      <c r="B94" s="90">
        <v>79</v>
      </c>
      <c r="C94" s="90">
        <v>104</v>
      </c>
      <c r="D94" s="38" t="s">
        <v>38</v>
      </c>
      <c r="E94" s="49" t="s">
        <v>123</v>
      </c>
      <c r="F94" s="124">
        <v>1</v>
      </c>
      <c r="G94" s="87">
        <v>0</v>
      </c>
      <c r="H94" s="87">
        <v>0</v>
      </c>
      <c r="I94" s="49" t="s">
        <v>28</v>
      </c>
      <c r="J94" s="49" t="s">
        <v>181</v>
      </c>
    </row>
    <row r="95" spans="1:10" x14ac:dyDescent="0.2">
      <c r="A95" s="90">
        <v>80</v>
      </c>
      <c r="B95" s="90">
        <v>80</v>
      </c>
      <c r="C95" s="90">
        <v>105</v>
      </c>
      <c r="D95" s="38" t="s">
        <v>38</v>
      </c>
      <c r="E95" s="49" t="s">
        <v>123</v>
      </c>
      <c r="F95" s="124">
        <v>1</v>
      </c>
      <c r="G95" s="87">
        <v>0</v>
      </c>
      <c r="H95" s="87">
        <v>0</v>
      </c>
      <c r="I95" s="49" t="s">
        <v>28</v>
      </c>
      <c r="J95" s="49" t="s">
        <v>181</v>
      </c>
    </row>
    <row r="96" spans="1:10" x14ac:dyDescent="0.2">
      <c r="A96" s="90">
        <v>81</v>
      </c>
      <c r="B96" s="90">
        <v>81</v>
      </c>
      <c r="C96" s="90">
        <v>106</v>
      </c>
      <c r="D96" s="38" t="s">
        <v>38</v>
      </c>
      <c r="E96" s="49" t="s">
        <v>123</v>
      </c>
      <c r="F96" s="124">
        <v>1</v>
      </c>
      <c r="G96" s="87">
        <v>0</v>
      </c>
      <c r="H96" s="87">
        <v>0</v>
      </c>
      <c r="I96" s="49" t="s">
        <v>28</v>
      </c>
      <c r="J96" s="49" t="s">
        <v>181</v>
      </c>
    </row>
    <row r="97" spans="1:10" x14ac:dyDescent="0.2">
      <c r="A97" s="90">
        <v>82</v>
      </c>
      <c r="B97" s="90">
        <v>82</v>
      </c>
      <c r="C97" s="90">
        <v>107</v>
      </c>
      <c r="D97" s="38" t="s">
        <v>38</v>
      </c>
      <c r="E97" s="49" t="s">
        <v>123</v>
      </c>
      <c r="F97" s="124">
        <v>1</v>
      </c>
      <c r="G97" s="87">
        <v>0</v>
      </c>
      <c r="H97" s="87">
        <v>0</v>
      </c>
      <c r="I97" s="49" t="s">
        <v>28</v>
      </c>
      <c r="J97" s="49" t="s">
        <v>181</v>
      </c>
    </row>
    <row r="98" spans="1:10" x14ac:dyDescent="0.2">
      <c r="A98" s="90">
        <v>83</v>
      </c>
      <c r="B98" s="90">
        <v>83</v>
      </c>
      <c r="C98" s="90">
        <v>108</v>
      </c>
      <c r="D98" s="38" t="s">
        <v>38</v>
      </c>
      <c r="E98" s="49" t="s">
        <v>123</v>
      </c>
      <c r="F98" s="124">
        <v>1</v>
      </c>
      <c r="G98" s="87">
        <v>0</v>
      </c>
      <c r="H98" s="87">
        <v>0</v>
      </c>
      <c r="I98" s="49" t="s">
        <v>28</v>
      </c>
      <c r="J98" s="49" t="s">
        <v>181</v>
      </c>
    </row>
    <row r="99" spans="1:10" x14ac:dyDescent="0.2">
      <c r="A99" s="90">
        <v>84</v>
      </c>
      <c r="B99" s="90">
        <v>84</v>
      </c>
      <c r="C99" s="90">
        <v>109</v>
      </c>
      <c r="D99" s="38" t="s">
        <v>38</v>
      </c>
      <c r="E99" s="49" t="s">
        <v>123</v>
      </c>
      <c r="F99" s="124">
        <v>1</v>
      </c>
      <c r="G99" s="87">
        <v>0</v>
      </c>
      <c r="H99" s="87">
        <v>0</v>
      </c>
      <c r="I99" s="49" t="s">
        <v>28</v>
      </c>
      <c r="J99" s="49" t="s">
        <v>181</v>
      </c>
    </row>
    <row r="100" spans="1:10" x14ac:dyDescent="0.2">
      <c r="A100" s="90">
        <v>85</v>
      </c>
      <c r="B100" s="90">
        <v>85</v>
      </c>
      <c r="C100" s="90">
        <v>110</v>
      </c>
      <c r="D100" s="38" t="s">
        <v>38</v>
      </c>
      <c r="E100" s="49" t="s">
        <v>123</v>
      </c>
      <c r="F100" s="124">
        <v>1</v>
      </c>
      <c r="G100" s="87">
        <v>0</v>
      </c>
      <c r="H100" s="87">
        <v>0</v>
      </c>
      <c r="I100" s="49" t="s">
        <v>28</v>
      </c>
      <c r="J100" s="49" t="s">
        <v>181</v>
      </c>
    </row>
    <row r="101" spans="1:10" x14ac:dyDescent="0.2">
      <c r="A101" s="90">
        <v>86</v>
      </c>
      <c r="B101" s="90">
        <v>86</v>
      </c>
      <c r="C101" s="90">
        <v>111</v>
      </c>
      <c r="D101" s="38" t="s">
        <v>38</v>
      </c>
      <c r="E101" s="49" t="s">
        <v>123</v>
      </c>
      <c r="F101" s="124">
        <v>1</v>
      </c>
      <c r="G101" s="87">
        <v>0</v>
      </c>
      <c r="H101" s="87">
        <v>0</v>
      </c>
      <c r="I101" s="49" t="s">
        <v>28</v>
      </c>
      <c r="J101" s="49" t="s">
        <v>181</v>
      </c>
    </row>
    <row r="102" spans="1:10" x14ac:dyDescent="0.2">
      <c r="A102" s="90">
        <v>87</v>
      </c>
      <c r="B102" s="90">
        <v>87</v>
      </c>
      <c r="C102" s="90">
        <v>112</v>
      </c>
      <c r="D102" s="38" t="s">
        <v>38</v>
      </c>
      <c r="E102" s="49" t="s">
        <v>123</v>
      </c>
      <c r="F102" s="124">
        <v>1</v>
      </c>
      <c r="G102" s="87">
        <v>0</v>
      </c>
      <c r="H102" s="87">
        <v>0</v>
      </c>
      <c r="I102" s="49" t="s">
        <v>28</v>
      </c>
      <c r="J102" s="49" t="s">
        <v>181</v>
      </c>
    </row>
    <row r="103" spans="1:10" x14ac:dyDescent="0.2">
      <c r="A103" s="90">
        <v>88</v>
      </c>
      <c r="B103" s="90">
        <v>88</v>
      </c>
      <c r="C103" s="90">
        <v>113</v>
      </c>
      <c r="D103" s="38" t="s">
        <v>38</v>
      </c>
      <c r="E103" s="49" t="s">
        <v>123</v>
      </c>
      <c r="F103" s="124">
        <v>1</v>
      </c>
      <c r="G103" s="87">
        <v>0</v>
      </c>
      <c r="H103" s="87">
        <v>0</v>
      </c>
      <c r="I103" s="49" t="s">
        <v>28</v>
      </c>
      <c r="J103" s="49" t="s">
        <v>181</v>
      </c>
    </row>
    <row r="104" spans="1:10" x14ac:dyDescent="0.2">
      <c r="A104" s="90">
        <v>89</v>
      </c>
      <c r="B104" s="90">
        <v>89</v>
      </c>
      <c r="C104" s="90">
        <v>114</v>
      </c>
      <c r="D104" s="38" t="s">
        <v>38</v>
      </c>
      <c r="E104" s="49" t="s">
        <v>123</v>
      </c>
      <c r="F104" s="124">
        <v>1</v>
      </c>
      <c r="G104" s="87">
        <v>0</v>
      </c>
      <c r="H104" s="87">
        <v>0</v>
      </c>
      <c r="I104" s="49" t="s">
        <v>28</v>
      </c>
      <c r="J104" s="49" t="s">
        <v>181</v>
      </c>
    </row>
    <row r="105" spans="1:10" x14ac:dyDescent="0.2">
      <c r="A105" s="90">
        <v>90</v>
      </c>
      <c r="B105" s="90">
        <v>90</v>
      </c>
      <c r="C105" s="90">
        <v>115</v>
      </c>
      <c r="D105" s="38" t="s">
        <v>38</v>
      </c>
      <c r="E105" s="49" t="s">
        <v>123</v>
      </c>
      <c r="F105" s="124">
        <v>1</v>
      </c>
      <c r="G105" s="87">
        <v>0</v>
      </c>
      <c r="H105" s="87">
        <v>0</v>
      </c>
      <c r="I105" s="49" t="s">
        <v>28</v>
      </c>
      <c r="J105" s="49" t="s">
        <v>181</v>
      </c>
    </row>
    <row r="106" spans="1:10" x14ac:dyDescent="0.2">
      <c r="A106" s="90">
        <v>91</v>
      </c>
      <c r="B106" s="90">
        <v>91</v>
      </c>
      <c r="C106" s="90">
        <v>116</v>
      </c>
      <c r="D106" s="38" t="s">
        <v>38</v>
      </c>
      <c r="E106" s="49" t="s">
        <v>123</v>
      </c>
      <c r="F106" s="124">
        <v>1</v>
      </c>
      <c r="G106" s="87">
        <v>0</v>
      </c>
      <c r="H106" s="87">
        <v>0</v>
      </c>
      <c r="I106" s="49" t="s">
        <v>28</v>
      </c>
      <c r="J106" s="49" t="s">
        <v>181</v>
      </c>
    </row>
    <row r="107" spans="1:10" x14ac:dyDescent="0.2">
      <c r="A107" s="90">
        <v>92</v>
      </c>
      <c r="B107" s="90">
        <v>92</v>
      </c>
      <c r="C107" s="90">
        <v>117</v>
      </c>
      <c r="D107" s="38" t="s">
        <v>38</v>
      </c>
      <c r="E107" s="49" t="s">
        <v>123</v>
      </c>
      <c r="F107" s="124">
        <v>1</v>
      </c>
      <c r="G107" s="87">
        <v>0</v>
      </c>
      <c r="H107" s="87">
        <v>0</v>
      </c>
      <c r="I107" s="49" t="s">
        <v>28</v>
      </c>
      <c r="J107" s="49" t="s">
        <v>181</v>
      </c>
    </row>
    <row r="108" spans="1:10" x14ac:dyDescent="0.2">
      <c r="A108" s="90">
        <v>93</v>
      </c>
      <c r="B108" s="90">
        <v>93</v>
      </c>
      <c r="C108" s="90">
        <v>118</v>
      </c>
      <c r="D108" s="38" t="s">
        <v>38</v>
      </c>
      <c r="E108" s="49" t="s">
        <v>123</v>
      </c>
      <c r="F108" s="124">
        <v>1</v>
      </c>
      <c r="G108" s="87">
        <v>0</v>
      </c>
      <c r="H108" s="87">
        <v>0</v>
      </c>
      <c r="I108" s="49" t="s">
        <v>28</v>
      </c>
      <c r="J108" s="49" t="s">
        <v>181</v>
      </c>
    </row>
    <row r="109" spans="1:10" x14ac:dyDescent="0.2">
      <c r="A109" s="90">
        <v>94</v>
      </c>
      <c r="B109" s="90">
        <v>94</v>
      </c>
      <c r="C109" s="90">
        <v>119</v>
      </c>
      <c r="D109" s="38" t="s">
        <v>38</v>
      </c>
      <c r="E109" s="49" t="s">
        <v>123</v>
      </c>
      <c r="F109" s="124">
        <v>1</v>
      </c>
      <c r="G109" s="87">
        <v>0</v>
      </c>
      <c r="H109" s="87">
        <v>0</v>
      </c>
      <c r="I109" s="49" t="s">
        <v>28</v>
      </c>
      <c r="J109" s="49" t="s">
        <v>181</v>
      </c>
    </row>
    <row r="110" spans="1:10" x14ac:dyDescent="0.2">
      <c r="A110" s="90">
        <v>95</v>
      </c>
      <c r="B110" s="90">
        <v>95</v>
      </c>
      <c r="C110" s="90">
        <v>120</v>
      </c>
      <c r="D110" s="38" t="s">
        <v>38</v>
      </c>
      <c r="E110" s="49" t="s">
        <v>123</v>
      </c>
      <c r="F110" s="124">
        <v>1</v>
      </c>
      <c r="G110" s="87">
        <v>0</v>
      </c>
      <c r="H110" s="87">
        <v>0</v>
      </c>
      <c r="I110" s="49" t="s">
        <v>28</v>
      </c>
      <c r="J110" s="49" t="s">
        <v>181</v>
      </c>
    </row>
    <row r="111" spans="1:10" x14ac:dyDescent="0.2">
      <c r="A111" s="90">
        <v>96</v>
      </c>
      <c r="B111" s="90">
        <v>96</v>
      </c>
      <c r="C111" s="90">
        <v>121</v>
      </c>
      <c r="D111" s="38" t="s">
        <v>38</v>
      </c>
      <c r="E111" s="49" t="s">
        <v>123</v>
      </c>
      <c r="F111" s="124">
        <v>1</v>
      </c>
      <c r="G111" s="87">
        <v>0</v>
      </c>
      <c r="H111" s="87">
        <v>0</v>
      </c>
      <c r="I111" s="49" t="s">
        <v>28</v>
      </c>
      <c r="J111" s="49" t="s">
        <v>181</v>
      </c>
    </row>
    <row r="112" spans="1:10" x14ac:dyDescent="0.2">
      <c r="A112" s="90">
        <v>97</v>
      </c>
      <c r="B112" s="90">
        <v>97</v>
      </c>
      <c r="C112" s="90">
        <v>122</v>
      </c>
      <c r="D112" s="38" t="s">
        <v>38</v>
      </c>
      <c r="E112" s="49" t="s">
        <v>123</v>
      </c>
      <c r="F112" s="124">
        <v>1</v>
      </c>
      <c r="G112" s="87">
        <v>0</v>
      </c>
      <c r="H112" s="87">
        <v>0</v>
      </c>
      <c r="I112" s="49" t="s">
        <v>28</v>
      </c>
      <c r="J112" s="49" t="s">
        <v>181</v>
      </c>
    </row>
    <row r="113" spans="1:10" x14ac:dyDescent="0.2">
      <c r="A113" s="90">
        <v>98</v>
      </c>
      <c r="B113" s="90">
        <v>98</v>
      </c>
      <c r="C113" s="90">
        <v>123</v>
      </c>
      <c r="D113" s="38" t="s">
        <v>38</v>
      </c>
      <c r="E113" s="49" t="s">
        <v>123</v>
      </c>
      <c r="F113" s="124">
        <v>1</v>
      </c>
      <c r="G113" s="87">
        <v>0</v>
      </c>
      <c r="H113" s="87">
        <v>0</v>
      </c>
      <c r="I113" s="49" t="s">
        <v>28</v>
      </c>
      <c r="J113" s="49" t="s">
        <v>181</v>
      </c>
    </row>
    <row r="114" spans="1:10" x14ac:dyDescent="0.2">
      <c r="A114" s="90">
        <v>99</v>
      </c>
      <c r="B114" s="90">
        <v>99</v>
      </c>
      <c r="C114" s="90">
        <v>124</v>
      </c>
      <c r="D114" s="38" t="s">
        <v>38</v>
      </c>
      <c r="E114" s="49" t="s">
        <v>123</v>
      </c>
      <c r="F114" s="124">
        <v>1</v>
      </c>
      <c r="G114" s="87">
        <v>0</v>
      </c>
      <c r="H114" s="87">
        <v>0</v>
      </c>
      <c r="I114" s="49" t="s">
        <v>28</v>
      </c>
      <c r="J114" s="49" t="s">
        <v>181</v>
      </c>
    </row>
    <row r="115" spans="1:10" x14ac:dyDescent="0.2">
      <c r="A115" s="90">
        <v>100</v>
      </c>
      <c r="B115" s="90">
        <v>100</v>
      </c>
      <c r="C115" s="90">
        <v>125</v>
      </c>
      <c r="D115" s="38" t="s">
        <v>38</v>
      </c>
      <c r="E115" s="49" t="s">
        <v>123</v>
      </c>
      <c r="F115" s="124">
        <v>1</v>
      </c>
      <c r="G115" s="87">
        <v>0</v>
      </c>
      <c r="H115" s="87">
        <v>0</v>
      </c>
      <c r="I115" s="49" t="s">
        <v>28</v>
      </c>
      <c r="J115" s="49" t="s">
        <v>181</v>
      </c>
    </row>
    <row r="116" spans="1:10" x14ac:dyDescent="0.2">
      <c r="A116" s="90">
        <v>101</v>
      </c>
      <c r="B116" s="90">
        <v>26</v>
      </c>
      <c r="C116" s="90">
        <v>27</v>
      </c>
      <c r="D116" s="38" t="s">
        <v>39</v>
      </c>
      <c r="E116" s="49" t="s">
        <v>123</v>
      </c>
      <c r="F116" s="49">
        <v>0</v>
      </c>
      <c r="G116" s="87">
        <v>0</v>
      </c>
      <c r="H116" s="87">
        <v>0</v>
      </c>
      <c r="I116" s="49" t="s">
        <v>29</v>
      </c>
      <c r="J116" s="49" t="s">
        <v>181</v>
      </c>
    </row>
    <row r="117" spans="1:10" x14ac:dyDescent="0.2">
      <c r="A117" s="90">
        <v>102</v>
      </c>
      <c r="B117" s="90">
        <v>27</v>
      </c>
      <c r="C117" s="90">
        <v>28</v>
      </c>
      <c r="D117" s="38" t="s">
        <v>39</v>
      </c>
      <c r="E117" s="49" t="s">
        <v>123</v>
      </c>
      <c r="F117" s="49">
        <v>0</v>
      </c>
      <c r="G117" s="87">
        <v>0</v>
      </c>
      <c r="H117" s="87">
        <v>0</v>
      </c>
      <c r="I117" s="49" t="s">
        <v>29</v>
      </c>
      <c r="J117" s="49" t="s">
        <v>181</v>
      </c>
    </row>
    <row r="118" spans="1:10" x14ac:dyDescent="0.2">
      <c r="A118" s="90">
        <v>103</v>
      </c>
      <c r="B118" s="90">
        <v>28</v>
      </c>
      <c r="C118" s="90">
        <v>29</v>
      </c>
      <c r="D118" s="38" t="s">
        <v>39</v>
      </c>
      <c r="E118" s="49" t="s">
        <v>123</v>
      </c>
      <c r="F118" s="49">
        <v>0</v>
      </c>
      <c r="G118" s="87">
        <v>0</v>
      </c>
      <c r="H118" s="87">
        <v>0</v>
      </c>
      <c r="I118" s="49" t="s">
        <v>29</v>
      </c>
      <c r="J118" s="49" t="s">
        <v>181</v>
      </c>
    </row>
    <row r="119" spans="1:10" x14ac:dyDescent="0.2">
      <c r="A119" s="90">
        <v>104</v>
      </c>
      <c r="B119" s="90">
        <v>29</v>
      </c>
      <c r="C119" s="90">
        <v>30</v>
      </c>
      <c r="D119" s="38" t="s">
        <v>39</v>
      </c>
      <c r="E119" s="49" t="s">
        <v>123</v>
      </c>
      <c r="F119" s="49">
        <v>0</v>
      </c>
      <c r="G119" s="87">
        <v>0</v>
      </c>
      <c r="H119" s="87">
        <v>0</v>
      </c>
      <c r="I119" s="49" t="s">
        <v>29</v>
      </c>
      <c r="J119" s="49" t="s">
        <v>181</v>
      </c>
    </row>
    <row r="120" spans="1:10" x14ac:dyDescent="0.2">
      <c r="A120" s="90">
        <v>105</v>
      </c>
      <c r="B120" s="90">
        <v>31</v>
      </c>
      <c r="C120" s="90">
        <v>32</v>
      </c>
      <c r="D120" s="38" t="s">
        <v>39</v>
      </c>
      <c r="E120" s="49" t="s">
        <v>123</v>
      </c>
      <c r="F120" s="49">
        <v>0</v>
      </c>
      <c r="G120" s="87">
        <v>0</v>
      </c>
      <c r="H120" s="87">
        <v>0</v>
      </c>
      <c r="I120" s="49" t="s">
        <v>29</v>
      </c>
      <c r="J120" s="49" t="s">
        <v>181</v>
      </c>
    </row>
    <row r="121" spans="1:10" x14ac:dyDescent="0.2">
      <c r="A121" s="90">
        <v>106</v>
      </c>
      <c r="B121" s="90">
        <v>32</v>
      </c>
      <c r="C121" s="90">
        <v>33</v>
      </c>
      <c r="D121" s="38" t="s">
        <v>39</v>
      </c>
      <c r="E121" s="49" t="s">
        <v>123</v>
      </c>
      <c r="F121" s="49">
        <v>0</v>
      </c>
      <c r="G121" s="87">
        <v>0</v>
      </c>
      <c r="H121" s="87">
        <v>0</v>
      </c>
      <c r="I121" s="49" t="s">
        <v>29</v>
      </c>
      <c r="J121" s="49" t="s">
        <v>181</v>
      </c>
    </row>
    <row r="122" spans="1:10" x14ac:dyDescent="0.2">
      <c r="A122" s="90">
        <v>107</v>
      </c>
      <c r="B122" s="90">
        <v>33</v>
      </c>
      <c r="C122" s="90">
        <v>34</v>
      </c>
      <c r="D122" s="38" t="s">
        <v>39</v>
      </c>
      <c r="E122" s="49" t="s">
        <v>123</v>
      </c>
      <c r="F122" s="49">
        <v>0</v>
      </c>
      <c r="G122" s="87">
        <v>0</v>
      </c>
      <c r="H122" s="87">
        <v>0</v>
      </c>
      <c r="I122" s="49" t="s">
        <v>29</v>
      </c>
      <c r="J122" s="49" t="s">
        <v>181</v>
      </c>
    </row>
    <row r="123" spans="1:10" x14ac:dyDescent="0.2">
      <c r="A123" s="90">
        <v>108</v>
      </c>
      <c r="B123" s="90">
        <v>34</v>
      </c>
      <c r="C123" s="90">
        <v>35</v>
      </c>
      <c r="D123" s="38" t="s">
        <v>39</v>
      </c>
      <c r="E123" s="49" t="s">
        <v>123</v>
      </c>
      <c r="F123" s="49">
        <v>0</v>
      </c>
      <c r="G123" s="87">
        <v>0</v>
      </c>
      <c r="H123" s="87">
        <v>0</v>
      </c>
      <c r="I123" s="49" t="s">
        <v>29</v>
      </c>
      <c r="J123" s="49" t="s">
        <v>181</v>
      </c>
    </row>
    <row r="124" spans="1:10" x14ac:dyDescent="0.2">
      <c r="A124" s="90">
        <v>109</v>
      </c>
      <c r="B124" s="90">
        <v>36</v>
      </c>
      <c r="C124" s="90">
        <v>37</v>
      </c>
      <c r="D124" s="38" t="s">
        <v>39</v>
      </c>
      <c r="E124" s="49" t="s">
        <v>123</v>
      </c>
      <c r="F124" s="49">
        <v>0</v>
      </c>
      <c r="G124" s="87">
        <v>0</v>
      </c>
      <c r="H124" s="87">
        <v>0</v>
      </c>
      <c r="I124" s="49" t="s">
        <v>29</v>
      </c>
      <c r="J124" s="49" t="s">
        <v>181</v>
      </c>
    </row>
    <row r="125" spans="1:10" x14ac:dyDescent="0.2">
      <c r="A125" s="90">
        <v>110</v>
      </c>
      <c r="B125" s="90">
        <v>37</v>
      </c>
      <c r="C125" s="90">
        <v>38</v>
      </c>
      <c r="D125" s="38" t="s">
        <v>39</v>
      </c>
      <c r="E125" s="49" t="s">
        <v>123</v>
      </c>
      <c r="F125" s="49">
        <v>0</v>
      </c>
      <c r="G125" s="87">
        <v>0</v>
      </c>
      <c r="H125" s="87">
        <v>0</v>
      </c>
      <c r="I125" s="49" t="s">
        <v>29</v>
      </c>
      <c r="J125" s="49" t="s">
        <v>181</v>
      </c>
    </row>
    <row r="126" spans="1:10" x14ac:dyDescent="0.2">
      <c r="A126" s="90">
        <v>111</v>
      </c>
      <c r="B126" s="90">
        <v>38</v>
      </c>
      <c r="C126" s="90">
        <v>39</v>
      </c>
      <c r="D126" s="38" t="s">
        <v>39</v>
      </c>
      <c r="E126" s="49" t="s">
        <v>123</v>
      </c>
      <c r="F126" s="49">
        <v>0</v>
      </c>
      <c r="G126" s="87">
        <v>0</v>
      </c>
      <c r="H126" s="87">
        <v>0</v>
      </c>
      <c r="I126" s="49" t="s">
        <v>29</v>
      </c>
      <c r="J126" s="49" t="s">
        <v>181</v>
      </c>
    </row>
    <row r="127" spans="1:10" x14ac:dyDescent="0.2">
      <c r="A127" s="90">
        <v>112</v>
      </c>
      <c r="B127" s="90">
        <v>39</v>
      </c>
      <c r="C127" s="90">
        <v>40</v>
      </c>
      <c r="D127" s="38" t="s">
        <v>39</v>
      </c>
      <c r="E127" s="49" t="s">
        <v>123</v>
      </c>
      <c r="F127" s="49">
        <v>0</v>
      </c>
      <c r="G127" s="87">
        <v>0</v>
      </c>
      <c r="H127" s="87">
        <v>0</v>
      </c>
      <c r="I127" s="49" t="s">
        <v>29</v>
      </c>
      <c r="J127" s="49" t="s">
        <v>181</v>
      </c>
    </row>
    <row r="128" spans="1:10" x14ac:dyDescent="0.2">
      <c r="A128" s="90">
        <v>113</v>
      </c>
      <c r="B128" s="90">
        <v>41</v>
      </c>
      <c r="C128" s="90">
        <v>42</v>
      </c>
      <c r="D128" s="38" t="s">
        <v>39</v>
      </c>
      <c r="E128" s="49" t="s">
        <v>123</v>
      </c>
      <c r="F128" s="49">
        <v>0</v>
      </c>
      <c r="G128" s="87">
        <v>0</v>
      </c>
      <c r="H128" s="87">
        <v>0</v>
      </c>
      <c r="I128" s="49" t="s">
        <v>29</v>
      </c>
      <c r="J128" s="49" t="s">
        <v>181</v>
      </c>
    </row>
    <row r="129" spans="1:10" x14ac:dyDescent="0.2">
      <c r="A129" s="90">
        <v>114</v>
      </c>
      <c r="B129" s="90">
        <v>42</v>
      </c>
      <c r="C129" s="90">
        <v>43</v>
      </c>
      <c r="D129" s="38" t="s">
        <v>39</v>
      </c>
      <c r="E129" s="49" t="s">
        <v>123</v>
      </c>
      <c r="F129" s="49">
        <v>0</v>
      </c>
      <c r="G129" s="87">
        <v>0</v>
      </c>
      <c r="H129" s="87">
        <v>0</v>
      </c>
      <c r="I129" s="49" t="s">
        <v>29</v>
      </c>
      <c r="J129" s="49" t="s">
        <v>181</v>
      </c>
    </row>
    <row r="130" spans="1:10" x14ac:dyDescent="0.2">
      <c r="A130" s="90">
        <v>115</v>
      </c>
      <c r="B130" s="90">
        <v>43</v>
      </c>
      <c r="C130" s="90">
        <v>44</v>
      </c>
      <c r="D130" s="38" t="s">
        <v>39</v>
      </c>
      <c r="E130" s="49" t="s">
        <v>123</v>
      </c>
      <c r="F130" s="49">
        <v>0</v>
      </c>
      <c r="G130" s="87">
        <v>0</v>
      </c>
      <c r="H130" s="87">
        <v>0</v>
      </c>
      <c r="I130" s="49" t="s">
        <v>29</v>
      </c>
      <c r="J130" s="49" t="s">
        <v>181</v>
      </c>
    </row>
    <row r="131" spans="1:10" x14ac:dyDescent="0.2">
      <c r="A131" s="90">
        <v>116</v>
      </c>
      <c r="B131" s="90">
        <v>44</v>
      </c>
      <c r="C131" s="90">
        <v>45</v>
      </c>
      <c r="D131" s="38" t="s">
        <v>39</v>
      </c>
      <c r="E131" s="49" t="s">
        <v>123</v>
      </c>
      <c r="F131" s="49">
        <v>0</v>
      </c>
      <c r="G131" s="87">
        <v>0</v>
      </c>
      <c r="H131" s="87">
        <v>0</v>
      </c>
      <c r="I131" s="49" t="s">
        <v>29</v>
      </c>
      <c r="J131" s="49" t="s">
        <v>181</v>
      </c>
    </row>
    <row r="132" spans="1:10" x14ac:dyDescent="0.2">
      <c r="A132" s="90">
        <v>117</v>
      </c>
      <c r="B132" s="90">
        <v>46</v>
      </c>
      <c r="C132" s="90">
        <v>47</v>
      </c>
      <c r="D132" s="38" t="s">
        <v>39</v>
      </c>
      <c r="E132" s="49" t="s">
        <v>123</v>
      </c>
      <c r="F132" s="49">
        <v>0</v>
      </c>
      <c r="G132" s="87">
        <v>0</v>
      </c>
      <c r="H132" s="87">
        <v>0</v>
      </c>
      <c r="I132" s="49" t="s">
        <v>29</v>
      </c>
      <c r="J132" s="49" t="s">
        <v>181</v>
      </c>
    </row>
    <row r="133" spans="1:10" x14ac:dyDescent="0.2">
      <c r="A133" s="90">
        <v>118</v>
      </c>
      <c r="B133" s="90">
        <v>47</v>
      </c>
      <c r="C133" s="90">
        <v>48</v>
      </c>
      <c r="D133" s="38" t="s">
        <v>39</v>
      </c>
      <c r="E133" s="49" t="s">
        <v>123</v>
      </c>
      <c r="F133" s="49">
        <v>0</v>
      </c>
      <c r="G133" s="87">
        <v>0</v>
      </c>
      <c r="H133" s="87">
        <v>0</v>
      </c>
      <c r="I133" s="49" t="s">
        <v>29</v>
      </c>
      <c r="J133" s="49" t="s">
        <v>181</v>
      </c>
    </row>
    <row r="134" spans="1:10" x14ac:dyDescent="0.2">
      <c r="A134" s="90">
        <v>119</v>
      </c>
      <c r="B134" s="90">
        <v>48</v>
      </c>
      <c r="C134" s="90">
        <v>49</v>
      </c>
      <c r="D134" s="38" t="s">
        <v>39</v>
      </c>
      <c r="E134" s="49" t="s">
        <v>123</v>
      </c>
      <c r="F134" s="49">
        <v>0</v>
      </c>
      <c r="G134" s="87">
        <v>0</v>
      </c>
      <c r="H134" s="87">
        <v>0</v>
      </c>
      <c r="I134" s="49" t="s">
        <v>29</v>
      </c>
      <c r="J134" s="49" t="s">
        <v>181</v>
      </c>
    </row>
    <row r="135" spans="1:10" x14ac:dyDescent="0.2">
      <c r="A135" s="90">
        <v>120</v>
      </c>
      <c r="B135" s="90">
        <v>49</v>
      </c>
      <c r="C135" s="90">
        <v>50</v>
      </c>
      <c r="D135" s="38" t="s">
        <v>39</v>
      </c>
      <c r="E135" s="49" t="s">
        <v>123</v>
      </c>
      <c r="F135" s="49">
        <v>0</v>
      </c>
      <c r="G135" s="87">
        <v>0</v>
      </c>
      <c r="H135" s="87">
        <v>0</v>
      </c>
      <c r="I135" s="49" t="s">
        <v>29</v>
      </c>
      <c r="J135" s="49" t="s">
        <v>181</v>
      </c>
    </row>
    <row r="136" spans="1:10" x14ac:dyDescent="0.2">
      <c r="A136" s="90">
        <v>121</v>
      </c>
      <c r="B136" s="90">
        <v>51</v>
      </c>
      <c r="C136" s="90">
        <v>52</v>
      </c>
      <c r="D136" s="38" t="s">
        <v>39</v>
      </c>
      <c r="E136" s="49" t="s">
        <v>123</v>
      </c>
      <c r="F136" s="49">
        <v>0</v>
      </c>
      <c r="G136" s="87">
        <v>0</v>
      </c>
      <c r="H136" s="87">
        <v>0</v>
      </c>
      <c r="I136" s="49" t="s">
        <v>29</v>
      </c>
      <c r="J136" s="49" t="s">
        <v>181</v>
      </c>
    </row>
    <row r="137" spans="1:10" x14ac:dyDescent="0.2">
      <c r="A137" s="90">
        <v>122</v>
      </c>
      <c r="B137" s="90">
        <v>52</v>
      </c>
      <c r="C137" s="90">
        <v>53</v>
      </c>
      <c r="D137" s="38" t="s">
        <v>39</v>
      </c>
      <c r="E137" s="49" t="s">
        <v>123</v>
      </c>
      <c r="F137" s="49">
        <v>0</v>
      </c>
      <c r="G137" s="87">
        <v>0</v>
      </c>
      <c r="H137" s="87">
        <v>0</v>
      </c>
      <c r="I137" s="49" t="s">
        <v>29</v>
      </c>
      <c r="J137" s="49" t="s">
        <v>181</v>
      </c>
    </row>
    <row r="138" spans="1:10" x14ac:dyDescent="0.2">
      <c r="A138" s="90">
        <v>123</v>
      </c>
      <c r="B138" s="90">
        <v>53</v>
      </c>
      <c r="C138" s="90">
        <v>54</v>
      </c>
      <c r="D138" s="38" t="s">
        <v>39</v>
      </c>
      <c r="E138" s="49" t="s">
        <v>123</v>
      </c>
      <c r="F138" s="49">
        <v>0</v>
      </c>
      <c r="G138" s="87">
        <v>0</v>
      </c>
      <c r="H138" s="87">
        <v>0</v>
      </c>
      <c r="I138" s="49" t="s">
        <v>29</v>
      </c>
      <c r="J138" s="49" t="s">
        <v>181</v>
      </c>
    </row>
    <row r="139" spans="1:10" x14ac:dyDescent="0.2">
      <c r="A139" s="90">
        <v>124</v>
      </c>
      <c r="B139" s="90">
        <v>54</v>
      </c>
      <c r="C139" s="90">
        <v>55</v>
      </c>
      <c r="D139" s="38" t="s">
        <v>39</v>
      </c>
      <c r="E139" s="49" t="s">
        <v>123</v>
      </c>
      <c r="F139" s="49">
        <v>0</v>
      </c>
      <c r="G139" s="87">
        <v>0</v>
      </c>
      <c r="H139" s="87">
        <v>0</v>
      </c>
      <c r="I139" s="49" t="s">
        <v>29</v>
      </c>
      <c r="J139" s="49" t="s">
        <v>181</v>
      </c>
    </row>
    <row r="140" spans="1:10" x14ac:dyDescent="0.2">
      <c r="A140" s="90">
        <v>125</v>
      </c>
      <c r="B140" s="90">
        <v>56</v>
      </c>
      <c r="C140" s="90">
        <v>57</v>
      </c>
      <c r="D140" s="38" t="s">
        <v>39</v>
      </c>
      <c r="E140" s="49" t="s">
        <v>123</v>
      </c>
      <c r="F140" s="49">
        <v>0</v>
      </c>
      <c r="G140" s="87">
        <v>0</v>
      </c>
      <c r="H140" s="87">
        <v>0</v>
      </c>
      <c r="I140" s="49" t="s">
        <v>29</v>
      </c>
      <c r="J140" s="49" t="s">
        <v>181</v>
      </c>
    </row>
    <row r="141" spans="1:10" x14ac:dyDescent="0.2">
      <c r="A141" s="90">
        <v>126</v>
      </c>
      <c r="B141" s="90">
        <v>57</v>
      </c>
      <c r="C141" s="90">
        <v>58</v>
      </c>
      <c r="D141" s="38" t="s">
        <v>39</v>
      </c>
      <c r="E141" s="49" t="s">
        <v>123</v>
      </c>
      <c r="F141" s="49">
        <v>0</v>
      </c>
      <c r="G141" s="87">
        <v>0</v>
      </c>
      <c r="H141" s="87">
        <v>0</v>
      </c>
      <c r="I141" s="49" t="s">
        <v>29</v>
      </c>
      <c r="J141" s="49" t="s">
        <v>181</v>
      </c>
    </row>
    <row r="142" spans="1:10" x14ac:dyDescent="0.2">
      <c r="A142" s="90">
        <v>127</v>
      </c>
      <c r="B142" s="90">
        <v>58</v>
      </c>
      <c r="C142" s="90">
        <v>59</v>
      </c>
      <c r="D142" s="38" t="s">
        <v>39</v>
      </c>
      <c r="E142" s="49" t="s">
        <v>123</v>
      </c>
      <c r="F142" s="49">
        <v>0</v>
      </c>
      <c r="G142" s="87">
        <v>0</v>
      </c>
      <c r="H142" s="87">
        <v>0</v>
      </c>
      <c r="I142" s="49" t="s">
        <v>29</v>
      </c>
      <c r="J142" s="49" t="s">
        <v>181</v>
      </c>
    </row>
    <row r="143" spans="1:10" x14ac:dyDescent="0.2">
      <c r="A143" s="90">
        <v>128</v>
      </c>
      <c r="B143" s="90">
        <v>59</v>
      </c>
      <c r="C143" s="90">
        <v>60</v>
      </c>
      <c r="D143" s="38" t="s">
        <v>39</v>
      </c>
      <c r="E143" s="49" t="s">
        <v>123</v>
      </c>
      <c r="F143" s="49">
        <v>0</v>
      </c>
      <c r="G143" s="87">
        <v>0</v>
      </c>
      <c r="H143" s="87">
        <v>0</v>
      </c>
      <c r="I143" s="49" t="s">
        <v>29</v>
      </c>
      <c r="J143" s="49" t="s">
        <v>181</v>
      </c>
    </row>
    <row r="144" spans="1:10" x14ac:dyDescent="0.2">
      <c r="A144" s="90">
        <v>129</v>
      </c>
      <c r="B144" s="90">
        <v>61</v>
      </c>
      <c r="C144" s="90">
        <v>62</v>
      </c>
      <c r="D144" s="38" t="s">
        <v>39</v>
      </c>
      <c r="E144" s="49" t="s">
        <v>123</v>
      </c>
      <c r="F144" s="49">
        <v>0</v>
      </c>
      <c r="G144" s="87">
        <v>0</v>
      </c>
      <c r="H144" s="87">
        <v>0</v>
      </c>
      <c r="I144" s="49" t="s">
        <v>29</v>
      </c>
      <c r="J144" s="49" t="s">
        <v>181</v>
      </c>
    </row>
    <row r="145" spans="1:10" x14ac:dyDescent="0.2">
      <c r="A145" s="90">
        <v>130</v>
      </c>
      <c r="B145" s="90">
        <v>62</v>
      </c>
      <c r="C145" s="90">
        <v>63</v>
      </c>
      <c r="D145" s="38" t="s">
        <v>39</v>
      </c>
      <c r="E145" s="49" t="s">
        <v>123</v>
      </c>
      <c r="F145" s="49">
        <v>0</v>
      </c>
      <c r="G145" s="87">
        <v>0</v>
      </c>
      <c r="H145" s="87">
        <v>0</v>
      </c>
      <c r="I145" s="49" t="s">
        <v>29</v>
      </c>
      <c r="J145" s="49" t="s">
        <v>181</v>
      </c>
    </row>
    <row r="146" spans="1:10" x14ac:dyDescent="0.2">
      <c r="A146" s="90">
        <v>131</v>
      </c>
      <c r="B146" s="90">
        <v>63</v>
      </c>
      <c r="C146" s="90">
        <v>64</v>
      </c>
      <c r="D146" s="38" t="s">
        <v>39</v>
      </c>
      <c r="E146" s="49" t="s">
        <v>123</v>
      </c>
      <c r="F146" s="49">
        <v>0</v>
      </c>
      <c r="G146" s="87">
        <v>0</v>
      </c>
      <c r="H146" s="87">
        <v>0</v>
      </c>
      <c r="I146" s="49" t="s">
        <v>29</v>
      </c>
      <c r="J146" s="49" t="s">
        <v>181</v>
      </c>
    </row>
    <row r="147" spans="1:10" x14ac:dyDescent="0.2">
      <c r="A147" s="90">
        <v>132</v>
      </c>
      <c r="B147" s="90">
        <v>64</v>
      </c>
      <c r="C147" s="90">
        <v>65</v>
      </c>
      <c r="D147" s="38" t="s">
        <v>39</v>
      </c>
      <c r="E147" s="49" t="s">
        <v>123</v>
      </c>
      <c r="F147" s="49">
        <v>0</v>
      </c>
      <c r="G147" s="87">
        <v>0</v>
      </c>
      <c r="H147" s="87">
        <v>0</v>
      </c>
      <c r="I147" s="49" t="s">
        <v>29</v>
      </c>
      <c r="J147" s="49" t="s">
        <v>181</v>
      </c>
    </row>
    <row r="148" spans="1:10" x14ac:dyDescent="0.2">
      <c r="A148" s="90">
        <v>133</v>
      </c>
      <c r="B148" s="90">
        <v>66</v>
      </c>
      <c r="C148" s="90">
        <v>67</v>
      </c>
      <c r="D148" s="38" t="s">
        <v>39</v>
      </c>
      <c r="E148" s="49" t="s">
        <v>123</v>
      </c>
      <c r="F148" s="49">
        <v>0</v>
      </c>
      <c r="G148" s="87">
        <v>0</v>
      </c>
      <c r="H148" s="87">
        <v>0</v>
      </c>
      <c r="I148" s="49" t="s">
        <v>29</v>
      </c>
      <c r="J148" s="49" t="s">
        <v>181</v>
      </c>
    </row>
    <row r="149" spans="1:10" x14ac:dyDescent="0.2">
      <c r="A149" s="90">
        <v>134</v>
      </c>
      <c r="B149" s="90">
        <v>67</v>
      </c>
      <c r="C149" s="90">
        <v>68</v>
      </c>
      <c r="D149" s="38" t="s">
        <v>39</v>
      </c>
      <c r="E149" s="49" t="s">
        <v>123</v>
      </c>
      <c r="F149" s="49">
        <v>0</v>
      </c>
      <c r="G149" s="87">
        <v>0</v>
      </c>
      <c r="H149" s="87">
        <v>0</v>
      </c>
      <c r="I149" s="49" t="s">
        <v>29</v>
      </c>
      <c r="J149" s="49" t="s">
        <v>181</v>
      </c>
    </row>
    <row r="150" spans="1:10" x14ac:dyDescent="0.2">
      <c r="A150" s="90">
        <v>135</v>
      </c>
      <c r="B150" s="90">
        <v>68</v>
      </c>
      <c r="C150" s="90">
        <v>69</v>
      </c>
      <c r="D150" s="38" t="s">
        <v>39</v>
      </c>
      <c r="E150" s="49" t="s">
        <v>123</v>
      </c>
      <c r="F150" s="49">
        <v>0</v>
      </c>
      <c r="G150" s="87">
        <v>0</v>
      </c>
      <c r="H150" s="87">
        <v>0</v>
      </c>
      <c r="I150" s="49" t="s">
        <v>29</v>
      </c>
      <c r="J150" s="49" t="s">
        <v>181</v>
      </c>
    </row>
    <row r="151" spans="1:10" x14ac:dyDescent="0.2">
      <c r="A151" s="90">
        <v>136</v>
      </c>
      <c r="B151" s="90">
        <v>69</v>
      </c>
      <c r="C151" s="90">
        <v>70</v>
      </c>
      <c r="D151" s="38" t="s">
        <v>39</v>
      </c>
      <c r="E151" s="49" t="s">
        <v>123</v>
      </c>
      <c r="F151" s="49">
        <v>0</v>
      </c>
      <c r="G151" s="87">
        <v>0</v>
      </c>
      <c r="H151" s="87">
        <v>0</v>
      </c>
      <c r="I151" s="49" t="s">
        <v>29</v>
      </c>
      <c r="J151" s="49" t="s">
        <v>181</v>
      </c>
    </row>
    <row r="152" spans="1:10" x14ac:dyDescent="0.2">
      <c r="A152" s="90">
        <v>137</v>
      </c>
      <c r="B152" s="90">
        <v>71</v>
      </c>
      <c r="C152" s="90">
        <v>72</v>
      </c>
      <c r="D152" s="38" t="s">
        <v>39</v>
      </c>
      <c r="E152" s="49" t="s">
        <v>123</v>
      </c>
      <c r="F152" s="49">
        <v>0</v>
      </c>
      <c r="G152" s="87">
        <v>0</v>
      </c>
      <c r="H152" s="87">
        <v>0</v>
      </c>
      <c r="I152" s="49" t="s">
        <v>29</v>
      </c>
      <c r="J152" s="49" t="s">
        <v>181</v>
      </c>
    </row>
    <row r="153" spans="1:10" x14ac:dyDescent="0.2">
      <c r="A153" s="90">
        <v>138</v>
      </c>
      <c r="B153" s="90">
        <v>72</v>
      </c>
      <c r="C153" s="90">
        <v>73</v>
      </c>
      <c r="D153" s="38" t="s">
        <v>39</v>
      </c>
      <c r="E153" s="49" t="s">
        <v>123</v>
      </c>
      <c r="F153" s="49">
        <v>0</v>
      </c>
      <c r="G153" s="87">
        <v>0</v>
      </c>
      <c r="H153" s="87">
        <v>0</v>
      </c>
      <c r="I153" s="49" t="s">
        <v>29</v>
      </c>
      <c r="J153" s="49" t="s">
        <v>181</v>
      </c>
    </row>
    <row r="154" spans="1:10" x14ac:dyDescent="0.2">
      <c r="A154" s="90">
        <v>139</v>
      </c>
      <c r="B154" s="90">
        <v>73</v>
      </c>
      <c r="C154" s="90">
        <v>74</v>
      </c>
      <c r="D154" s="38" t="s">
        <v>39</v>
      </c>
      <c r="E154" s="49" t="s">
        <v>123</v>
      </c>
      <c r="F154" s="49">
        <v>0</v>
      </c>
      <c r="G154" s="87">
        <v>0</v>
      </c>
      <c r="H154" s="87">
        <v>0</v>
      </c>
      <c r="I154" s="49" t="s">
        <v>29</v>
      </c>
      <c r="J154" s="49" t="s">
        <v>181</v>
      </c>
    </row>
    <row r="155" spans="1:10" x14ac:dyDescent="0.2">
      <c r="A155" s="90">
        <v>140</v>
      </c>
      <c r="B155" s="90">
        <v>74</v>
      </c>
      <c r="C155" s="90">
        <v>75</v>
      </c>
      <c r="D155" s="38" t="s">
        <v>39</v>
      </c>
      <c r="E155" s="49" t="s">
        <v>123</v>
      </c>
      <c r="F155" s="49">
        <v>0</v>
      </c>
      <c r="G155" s="87">
        <v>0</v>
      </c>
      <c r="H155" s="87">
        <v>0</v>
      </c>
      <c r="I155" s="49" t="s">
        <v>29</v>
      </c>
      <c r="J155" s="49" t="s">
        <v>181</v>
      </c>
    </row>
    <row r="156" spans="1:10" x14ac:dyDescent="0.2">
      <c r="A156" s="90">
        <v>141</v>
      </c>
      <c r="B156" s="90">
        <v>76</v>
      </c>
      <c r="C156" s="90">
        <v>77</v>
      </c>
      <c r="D156" s="38" t="s">
        <v>39</v>
      </c>
      <c r="E156" s="49" t="s">
        <v>123</v>
      </c>
      <c r="F156" s="49">
        <v>0</v>
      </c>
      <c r="G156" s="87">
        <v>0</v>
      </c>
      <c r="H156" s="87">
        <v>0</v>
      </c>
      <c r="I156" s="49" t="s">
        <v>29</v>
      </c>
      <c r="J156" s="49" t="s">
        <v>181</v>
      </c>
    </row>
    <row r="157" spans="1:10" x14ac:dyDescent="0.2">
      <c r="A157" s="90">
        <v>142</v>
      </c>
      <c r="B157" s="90">
        <v>77</v>
      </c>
      <c r="C157" s="90">
        <v>78</v>
      </c>
      <c r="D157" s="38" t="s">
        <v>39</v>
      </c>
      <c r="E157" s="49" t="s">
        <v>123</v>
      </c>
      <c r="F157" s="49">
        <v>0</v>
      </c>
      <c r="G157" s="87">
        <v>0</v>
      </c>
      <c r="H157" s="87">
        <v>0</v>
      </c>
      <c r="I157" s="49" t="s">
        <v>29</v>
      </c>
      <c r="J157" s="49" t="s">
        <v>181</v>
      </c>
    </row>
    <row r="158" spans="1:10" x14ac:dyDescent="0.2">
      <c r="A158" s="90">
        <v>143</v>
      </c>
      <c r="B158" s="90">
        <v>78</v>
      </c>
      <c r="C158" s="90">
        <v>79</v>
      </c>
      <c r="D158" s="38" t="s">
        <v>39</v>
      </c>
      <c r="E158" s="49" t="s">
        <v>123</v>
      </c>
      <c r="F158" s="49">
        <v>0</v>
      </c>
      <c r="G158" s="87">
        <v>0</v>
      </c>
      <c r="H158" s="87">
        <v>0</v>
      </c>
      <c r="I158" s="49" t="s">
        <v>29</v>
      </c>
      <c r="J158" s="49" t="s">
        <v>181</v>
      </c>
    </row>
    <row r="159" spans="1:10" x14ac:dyDescent="0.2">
      <c r="A159" s="90">
        <v>144</v>
      </c>
      <c r="B159" s="90">
        <v>79</v>
      </c>
      <c r="C159" s="90">
        <v>80</v>
      </c>
      <c r="D159" s="38" t="s">
        <v>39</v>
      </c>
      <c r="E159" s="49" t="s">
        <v>123</v>
      </c>
      <c r="F159" s="49">
        <v>0</v>
      </c>
      <c r="G159" s="87">
        <v>0</v>
      </c>
      <c r="H159" s="87">
        <v>0</v>
      </c>
      <c r="I159" s="49" t="s">
        <v>29</v>
      </c>
      <c r="J159" s="49" t="s">
        <v>181</v>
      </c>
    </row>
    <row r="160" spans="1:10" x14ac:dyDescent="0.2">
      <c r="A160" s="90">
        <v>145</v>
      </c>
      <c r="B160" s="90">
        <v>81</v>
      </c>
      <c r="C160" s="90">
        <v>82</v>
      </c>
      <c r="D160" s="38" t="s">
        <v>39</v>
      </c>
      <c r="E160" s="49" t="s">
        <v>123</v>
      </c>
      <c r="F160" s="49">
        <v>0</v>
      </c>
      <c r="G160" s="87">
        <v>0</v>
      </c>
      <c r="H160" s="87">
        <v>0</v>
      </c>
      <c r="I160" s="49" t="s">
        <v>29</v>
      </c>
      <c r="J160" s="49" t="s">
        <v>181</v>
      </c>
    </row>
    <row r="161" spans="1:10" x14ac:dyDescent="0.2">
      <c r="A161" s="90">
        <v>146</v>
      </c>
      <c r="B161" s="90">
        <v>82</v>
      </c>
      <c r="C161" s="90">
        <v>83</v>
      </c>
      <c r="D161" s="38" t="s">
        <v>39</v>
      </c>
      <c r="E161" s="49" t="s">
        <v>123</v>
      </c>
      <c r="F161" s="49">
        <v>0</v>
      </c>
      <c r="G161" s="87">
        <v>0</v>
      </c>
      <c r="H161" s="87">
        <v>0</v>
      </c>
      <c r="I161" s="49" t="s">
        <v>29</v>
      </c>
      <c r="J161" s="49" t="s">
        <v>181</v>
      </c>
    </row>
    <row r="162" spans="1:10" x14ac:dyDescent="0.2">
      <c r="A162" s="90">
        <v>147</v>
      </c>
      <c r="B162" s="90">
        <v>83</v>
      </c>
      <c r="C162" s="90">
        <v>84</v>
      </c>
      <c r="D162" s="38" t="s">
        <v>39</v>
      </c>
      <c r="E162" s="49" t="s">
        <v>123</v>
      </c>
      <c r="F162" s="49">
        <v>0</v>
      </c>
      <c r="G162" s="87">
        <v>0</v>
      </c>
      <c r="H162" s="87">
        <v>0</v>
      </c>
      <c r="I162" s="49" t="s">
        <v>29</v>
      </c>
      <c r="J162" s="49" t="s">
        <v>181</v>
      </c>
    </row>
    <row r="163" spans="1:10" x14ac:dyDescent="0.2">
      <c r="A163" s="90">
        <v>148</v>
      </c>
      <c r="B163" s="90">
        <v>84</v>
      </c>
      <c r="C163" s="90">
        <v>85</v>
      </c>
      <c r="D163" s="38" t="s">
        <v>39</v>
      </c>
      <c r="E163" s="49" t="s">
        <v>123</v>
      </c>
      <c r="F163" s="49">
        <v>0</v>
      </c>
      <c r="G163" s="87">
        <v>0</v>
      </c>
      <c r="H163" s="87">
        <v>0</v>
      </c>
      <c r="I163" s="49" t="s">
        <v>29</v>
      </c>
      <c r="J163" s="49" t="s">
        <v>181</v>
      </c>
    </row>
    <row r="164" spans="1:10" x14ac:dyDescent="0.2">
      <c r="A164" s="90">
        <v>149</v>
      </c>
      <c r="B164" s="90">
        <v>86</v>
      </c>
      <c r="C164" s="90">
        <v>87</v>
      </c>
      <c r="D164" s="38" t="s">
        <v>39</v>
      </c>
      <c r="E164" s="49" t="s">
        <v>123</v>
      </c>
      <c r="F164" s="49">
        <v>0</v>
      </c>
      <c r="G164" s="87">
        <v>0</v>
      </c>
      <c r="H164" s="87">
        <v>0</v>
      </c>
      <c r="I164" s="49" t="s">
        <v>29</v>
      </c>
      <c r="J164" s="49" t="s">
        <v>181</v>
      </c>
    </row>
    <row r="165" spans="1:10" x14ac:dyDescent="0.2">
      <c r="A165" s="90">
        <v>150</v>
      </c>
      <c r="B165" s="90">
        <v>87</v>
      </c>
      <c r="C165" s="90">
        <v>88</v>
      </c>
      <c r="D165" s="38" t="s">
        <v>39</v>
      </c>
      <c r="E165" s="49" t="s">
        <v>123</v>
      </c>
      <c r="F165" s="49">
        <v>0</v>
      </c>
      <c r="G165" s="87">
        <v>0</v>
      </c>
      <c r="H165" s="87">
        <v>0</v>
      </c>
      <c r="I165" s="49" t="s">
        <v>29</v>
      </c>
      <c r="J165" s="49" t="s">
        <v>181</v>
      </c>
    </row>
    <row r="166" spans="1:10" x14ac:dyDescent="0.2">
      <c r="A166" s="90">
        <v>151</v>
      </c>
      <c r="B166" s="90">
        <v>88</v>
      </c>
      <c r="C166" s="90">
        <v>89</v>
      </c>
      <c r="D166" s="38" t="s">
        <v>39</v>
      </c>
      <c r="E166" s="49" t="s">
        <v>123</v>
      </c>
      <c r="F166" s="49">
        <v>0</v>
      </c>
      <c r="G166" s="87">
        <v>0</v>
      </c>
      <c r="H166" s="87">
        <v>0</v>
      </c>
      <c r="I166" s="49" t="s">
        <v>29</v>
      </c>
      <c r="J166" s="49" t="s">
        <v>181</v>
      </c>
    </row>
    <row r="167" spans="1:10" x14ac:dyDescent="0.2">
      <c r="A167" s="90">
        <v>152</v>
      </c>
      <c r="B167" s="90">
        <v>89</v>
      </c>
      <c r="C167" s="90">
        <v>90</v>
      </c>
      <c r="D167" s="38" t="s">
        <v>39</v>
      </c>
      <c r="E167" s="49" t="s">
        <v>123</v>
      </c>
      <c r="F167" s="49">
        <v>0</v>
      </c>
      <c r="G167" s="87">
        <v>0</v>
      </c>
      <c r="H167" s="87">
        <v>0</v>
      </c>
      <c r="I167" s="49" t="s">
        <v>29</v>
      </c>
      <c r="J167" s="49" t="s">
        <v>181</v>
      </c>
    </row>
    <row r="168" spans="1:10" x14ac:dyDescent="0.2">
      <c r="A168" s="90">
        <v>153</v>
      </c>
      <c r="B168" s="90">
        <v>91</v>
      </c>
      <c r="C168" s="90">
        <v>92</v>
      </c>
      <c r="D168" s="38" t="s">
        <v>39</v>
      </c>
      <c r="E168" s="49" t="s">
        <v>123</v>
      </c>
      <c r="F168" s="49">
        <v>0</v>
      </c>
      <c r="G168" s="87">
        <v>0</v>
      </c>
      <c r="H168" s="87">
        <v>0</v>
      </c>
      <c r="I168" s="49" t="s">
        <v>29</v>
      </c>
      <c r="J168" s="49" t="s">
        <v>181</v>
      </c>
    </row>
    <row r="169" spans="1:10" x14ac:dyDescent="0.2">
      <c r="A169" s="90">
        <v>154</v>
      </c>
      <c r="B169" s="90">
        <v>92</v>
      </c>
      <c r="C169" s="90">
        <v>93</v>
      </c>
      <c r="D169" s="38" t="s">
        <v>39</v>
      </c>
      <c r="E169" s="49" t="s">
        <v>123</v>
      </c>
      <c r="F169" s="49">
        <v>0</v>
      </c>
      <c r="G169" s="87">
        <v>0</v>
      </c>
      <c r="H169" s="87">
        <v>0</v>
      </c>
      <c r="I169" s="49" t="s">
        <v>29</v>
      </c>
      <c r="J169" s="49" t="s">
        <v>181</v>
      </c>
    </row>
    <row r="170" spans="1:10" x14ac:dyDescent="0.2">
      <c r="A170" s="90">
        <v>155</v>
      </c>
      <c r="B170" s="90">
        <v>93</v>
      </c>
      <c r="C170" s="90">
        <v>94</v>
      </c>
      <c r="D170" s="38" t="s">
        <v>39</v>
      </c>
      <c r="E170" s="49" t="s">
        <v>123</v>
      </c>
      <c r="F170" s="49">
        <v>0</v>
      </c>
      <c r="G170" s="87">
        <v>0</v>
      </c>
      <c r="H170" s="87">
        <v>0</v>
      </c>
      <c r="I170" s="49" t="s">
        <v>29</v>
      </c>
      <c r="J170" s="49" t="s">
        <v>181</v>
      </c>
    </row>
    <row r="171" spans="1:10" x14ac:dyDescent="0.2">
      <c r="A171" s="90">
        <v>156</v>
      </c>
      <c r="B171" s="90">
        <v>94</v>
      </c>
      <c r="C171" s="90">
        <v>95</v>
      </c>
      <c r="D171" s="38" t="s">
        <v>39</v>
      </c>
      <c r="E171" s="49" t="s">
        <v>123</v>
      </c>
      <c r="F171" s="49">
        <v>0</v>
      </c>
      <c r="G171" s="87">
        <v>0</v>
      </c>
      <c r="H171" s="87">
        <v>0</v>
      </c>
      <c r="I171" s="49" t="s">
        <v>29</v>
      </c>
      <c r="J171" s="49" t="s">
        <v>181</v>
      </c>
    </row>
    <row r="172" spans="1:10" x14ac:dyDescent="0.2">
      <c r="A172" s="90">
        <v>157</v>
      </c>
      <c r="B172" s="90">
        <v>96</v>
      </c>
      <c r="C172" s="90">
        <v>97</v>
      </c>
      <c r="D172" s="38" t="s">
        <v>39</v>
      </c>
      <c r="E172" s="49" t="s">
        <v>123</v>
      </c>
      <c r="F172" s="49">
        <v>0</v>
      </c>
      <c r="G172" s="87">
        <v>0</v>
      </c>
      <c r="H172" s="87">
        <v>0</v>
      </c>
      <c r="I172" s="49" t="s">
        <v>29</v>
      </c>
      <c r="J172" s="49" t="s">
        <v>181</v>
      </c>
    </row>
    <row r="173" spans="1:10" x14ac:dyDescent="0.2">
      <c r="A173" s="90">
        <v>158</v>
      </c>
      <c r="B173" s="90">
        <v>97</v>
      </c>
      <c r="C173" s="90">
        <v>98</v>
      </c>
      <c r="D173" s="38" t="s">
        <v>39</v>
      </c>
      <c r="E173" s="49" t="s">
        <v>123</v>
      </c>
      <c r="F173" s="49">
        <v>0</v>
      </c>
      <c r="G173" s="87">
        <v>0</v>
      </c>
      <c r="H173" s="87">
        <v>0</v>
      </c>
      <c r="I173" s="49" t="s">
        <v>29</v>
      </c>
      <c r="J173" s="49" t="s">
        <v>181</v>
      </c>
    </row>
    <row r="174" spans="1:10" x14ac:dyDescent="0.2">
      <c r="A174" s="90">
        <v>159</v>
      </c>
      <c r="B174" s="90">
        <v>98</v>
      </c>
      <c r="C174" s="90">
        <v>99</v>
      </c>
      <c r="D174" s="38" t="s">
        <v>39</v>
      </c>
      <c r="E174" s="49" t="s">
        <v>123</v>
      </c>
      <c r="F174" s="49">
        <v>0</v>
      </c>
      <c r="G174" s="87">
        <v>0</v>
      </c>
      <c r="H174" s="87">
        <v>0</v>
      </c>
      <c r="I174" s="49" t="s">
        <v>29</v>
      </c>
      <c r="J174" s="49" t="s">
        <v>181</v>
      </c>
    </row>
    <row r="175" spans="1:10" x14ac:dyDescent="0.2">
      <c r="A175" s="90">
        <v>160</v>
      </c>
      <c r="B175" s="90">
        <v>99</v>
      </c>
      <c r="C175" s="90">
        <v>100</v>
      </c>
      <c r="D175" s="38" t="s">
        <v>39</v>
      </c>
      <c r="E175" s="49" t="s">
        <v>123</v>
      </c>
      <c r="F175" s="49">
        <v>0</v>
      </c>
      <c r="G175" s="87">
        <v>0</v>
      </c>
      <c r="H175" s="87">
        <v>0</v>
      </c>
      <c r="I175" s="49" t="s">
        <v>29</v>
      </c>
      <c r="J175" s="49" t="s">
        <v>181</v>
      </c>
    </row>
    <row r="176" spans="1:10" x14ac:dyDescent="0.2">
      <c r="A176" s="90">
        <v>161</v>
      </c>
      <c r="B176" s="90">
        <v>101</v>
      </c>
      <c r="C176" s="90">
        <v>102</v>
      </c>
      <c r="D176" s="38" t="s">
        <v>39</v>
      </c>
      <c r="E176" s="49" t="s">
        <v>123</v>
      </c>
      <c r="F176" s="49">
        <v>0</v>
      </c>
      <c r="G176" s="87">
        <v>0</v>
      </c>
      <c r="H176" s="87">
        <v>0</v>
      </c>
      <c r="I176" s="49" t="s">
        <v>29</v>
      </c>
      <c r="J176" s="49" t="s">
        <v>181</v>
      </c>
    </row>
    <row r="177" spans="1:10" x14ac:dyDescent="0.2">
      <c r="A177" s="90">
        <v>162</v>
      </c>
      <c r="B177" s="90">
        <v>102</v>
      </c>
      <c r="C177" s="90">
        <v>103</v>
      </c>
      <c r="D177" s="38" t="s">
        <v>39</v>
      </c>
      <c r="E177" s="49" t="s">
        <v>123</v>
      </c>
      <c r="F177" s="49">
        <v>0</v>
      </c>
      <c r="G177" s="87">
        <v>0</v>
      </c>
      <c r="H177" s="87">
        <v>0</v>
      </c>
      <c r="I177" s="49" t="s">
        <v>29</v>
      </c>
      <c r="J177" s="49" t="s">
        <v>181</v>
      </c>
    </row>
    <row r="178" spans="1:10" x14ac:dyDescent="0.2">
      <c r="A178" s="90">
        <v>163</v>
      </c>
      <c r="B178" s="90">
        <v>103</v>
      </c>
      <c r="C178" s="90">
        <v>104</v>
      </c>
      <c r="D178" s="38" t="s">
        <v>39</v>
      </c>
      <c r="E178" s="49" t="s">
        <v>123</v>
      </c>
      <c r="F178" s="49">
        <v>0</v>
      </c>
      <c r="G178" s="87">
        <v>0</v>
      </c>
      <c r="H178" s="87">
        <v>0</v>
      </c>
      <c r="I178" s="49" t="s">
        <v>29</v>
      </c>
      <c r="J178" s="49" t="s">
        <v>181</v>
      </c>
    </row>
    <row r="179" spans="1:10" x14ac:dyDescent="0.2">
      <c r="A179" s="90">
        <v>164</v>
      </c>
      <c r="B179" s="90">
        <v>104</v>
      </c>
      <c r="C179" s="90">
        <v>105</v>
      </c>
      <c r="D179" s="38" t="s">
        <v>39</v>
      </c>
      <c r="E179" s="49" t="s">
        <v>123</v>
      </c>
      <c r="F179" s="49">
        <v>0</v>
      </c>
      <c r="G179" s="87">
        <v>0</v>
      </c>
      <c r="H179" s="87">
        <v>0</v>
      </c>
      <c r="I179" s="49" t="s">
        <v>29</v>
      </c>
      <c r="J179" s="49" t="s">
        <v>181</v>
      </c>
    </row>
    <row r="180" spans="1:10" x14ac:dyDescent="0.2">
      <c r="A180" s="90">
        <v>165</v>
      </c>
      <c r="B180" s="90">
        <v>106</v>
      </c>
      <c r="C180" s="90">
        <v>107</v>
      </c>
      <c r="D180" s="38" t="s">
        <v>39</v>
      </c>
      <c r="E180" s="49" t="s">
        <v>123</v>
      </c>
      <c r="F180" s="49">
        <v>0</v>
      </c>
      <c r="G180" s="87">
        <v>0</v>
      </c>
      <c r="H180" s="87">
        <v>0</v>
      </c>
      <c r="I180" s="49" t="s">
        <v>29</v>
      </c>
      <c r="J180" s="49" t="s">
        <v>181</v>
      </c>
    </row>
    <row r="181" spans="1:10" x14ac:dyDescent="0.2">
      <c r="A181" s="90">
        <v>166</v>
      </c>
      <c r="B181" s="90">
        <v>107</v>
      </c>
      <c r="C181" s="90">
        <v>108</v>
      </c>
      <c r="D181" s="38" t="s">
        <v>39</v>
      </c>
      <c r="E181" s="49" t="s">
        <v>123</v>
      </c>
      <c r="F181" s="49">
        <v>0</v>
      </c>
      <c r="G181" s="87">
        <v>0</v>
      </c>
      <c r="H181" s="87">
        <v>0</v>
      </c>
      <c r="I181" s="49" t="s">
        <v>29</v>
      </c>
      <c r="J181" s="49" t="s">
        <v>181</v>
      </c>
    </row>
    <row r="182" spans="1:10" x14ac:dyDescent="0.2">
      <c r="A182" s="90">
        <v>167</v>
      </c>
      <c r="B182" s="90">
        <v>108</v>
      </c>
      <c r="C182" s="90">
        <v>109</v>
      </c>
      <c r="D182" s="38" t="s">
        <v>39</v>
      </c>
      <c r="E182" s="49" t="s">
        <v>123</v>
      </c>
      <c r="F182" s="49">
        <v>0</v>
      </c>
      <c r="G182" s="87">
        <v>0</v>
      </c>
      <c r="H182" s="87">
        <v>0</v>
      </c>
      <c r="I182" s="49" t="s">
        <v>29</v>
      </c>
      <c r="J182" s="49" t="s">
        <v>181</v>
      </c>
    </row>
    <row r="183" spans="1:10" x14ac:dyDescent="0.2">
      <c r="A183" s="90">
        <v>168</v>
      </c>
      <c r="B183" s="90">
        <v>109</v>
      </c>
      <c r="C183" s="90">
        <v>110</v>
      </c>
      <c r="D183" s="38" t="s">
        <v>39</v>
      </c>
      <c r="E183" s="49" t="s">
        <v>123</v>
      </c>
      <c r="F183" s="49">
        <v>0</v>
      </c>
      <c r="G183" s="87">
        <v>0</v>
      </c>
      <c r="H183" s="87">
        <v>0</v>
      </c>
      <c r="I183" s="49" t="s">
        <v>29</v>
      </c>
      <c r="J183" s="49" t="s">
        <v>181</v>
      </c>
    </row>
    <row r="184" spans="1:10" x14ac:dyDescent="0.2">
      <c r="A184" s="90">
        <v>169</v>
      </c>
      <c r="B184" s="90">
        <v>111</v>
      </c>
      <c r="C184" s="90">
        <v>112</v>
      </c>
      <c r="D184" s="38" t="s">
        <v>39</v>
      </c>
      <c r="E184" s="49" t="s">
        <v>123</v>
      </c>
      <c r="F184" s="49">
        <v>0</v>
      </c>
      <c r="G184" s="87">
        <v>0</v>
      </c>
      <c r="H184" s="87">
        <v>0</v>
      </c>
      <c r="I184" s="49" t="s">
        <v>29</v>
      </c>
      <c r="J184" s="49" t="s">
        <v>181</v>
      </c>
    </row>
    <row r="185" spans="1:10" x14ac:dyDescent="0.2">
      <c r="A185" s="90">
        <v>170</v>
      </c>
      <c r="B185" s="90">
        <v>112</v>
      </c>
      <c r="C185" s="90">
        <v>113</v>
      </c>
      <c r="D185" s="38" t="s">
        <v>39</v>
      </c>
      <c r="E185" s="49" t="s">
        <v>123</v>
      </c>
      <c r="F185" s="49">
        <v>0</v>
      </c>
      <c r="G185" s="87">
        <v>0</v>
      </c>
      <c r="H185" s="87">
        <v>0</v>
      </c>
      <c r="I185" s="49" t="s">
        <v>29</v>
      </c>
      <c r="J185" s="49" t="s">
        <v>181</v>
      </c>
    </row>
    <row r="186" spans="1:10" x14ac:dyDescent="0.2">
      <c r="A186" s="90">
        <v>171</v>
      </c>
      <c r="B186" s="90">
        <v>113</v>
      </c>
      <c r="C186" s="90">
        <v>114</v>
      </c>
      <c r="D186" s="38" t="s">
        <v>39</v>
      </c>
      <c r="E186" s="49" t="s">
        <v>123</v>
      </c>
      <c r="F186" s="49">
        <v>0</v>
      </c>
      <c r="G186" s="87">
        <v>0</v>
      </c>
      <c r="H186" s="87">
        <v>0</v>
      </c>
      <c r="I186" s="49" t="s">
        <v>29</v>
      </c>
      <c r="J186" s="49" t="s">
        <v>181</v>
      </c>
    </row>
    <row r="187" spans="1:10" x14ac:dyDescent="0.2">
      <c r="A187" s="90">
        <v>172</v>
      </c>
      <c r="B187" s="90">
        <v>114</v>
      </c>
      <c r="C187" s="90">
        <v>115</v>
      </c>
      <c r="D187" s="38" t="s">
        <v>39</v>
      </c>
      <c r="E187" s="49" t="s">
        <v>123</v>
      </c>
      <c r="F187" s="49">
        <v>0</v>
      </c>
      <c r="G187" s="87">
        <v>0</v>
      </c>
      <c r="H187" s="87">
        <v>0</v>
      </c>
      <c r="I187" s="49" t="s">
        <v>29</v>
      </c>
      <c r="J187" s="49" t="s">
        <v>181</v>
      </c>
    </row>
    <row r="188" spans="1:10" x14ac:dyDescent="0.2">
      <c r="A188" s="90">
        <v>173</v>
      </c>
      <c r="B188" s="90">
        <v>116</v>
      </c>
      <c r="C188" s="90">
        <v>117</v>
      </c>
      <c r="D188" s="38" t="s">
        <v>39</v>
      </c>
      <c r="E188" s="49" t="s">
        <v>123</v>
      </c>
      <c r="F188" s="49">
        <v>0</v>
      </c>
      <c r="G188" s="87">
        <v>0</v>
      </c>
      <c r="H188" s="87">
        <v>0</v>
      </c>
      <c r="I188" s="49" t="s">
        <v>29</v>
      </c>
      <c r="J188" s="49" t="s">
        <v>181</v>
      </c>
    </row>
    <row r="189" spans="1:10" x14ac:dyDescent="0.2">
      <c r="A189" s="90">
        <v>174</v>
      </c>
      <c r="B189" s="90">
        <v>117</v>
      </c>
      <c r="C189" s="90">
        <v>118</v>
      </c>
      <c r="D189" s="38" t="s">
        <v>39</v>
      </c>
      <c r="E189" s="49" t="s">
        <v>123</v>
      </c>
      <c r="F189" s="49">
        <v>0</v>
      </c>
      <c r="G189" s="87">
        <v>0</v>
      </c>
      <c r="H189" s="87">
        <v>0</v>
      </c>
      <c r="I189" s="49" t="s">
        <v>29</v>
      </c>
      <c r="J189" s="49" t="s">
        <v>181</v>
      </c>
    </row>
    <row r="190" spans="1:10" x14ac:dyDescent="0.2">
      <c r="A190" s="90">
        <v>175</v>
      </c>
      <c r="B190" s="90">
        <v>118</v>
      </c>
      <c r="C190" s="90">
        <v>119</v>
      </c>
      <c r="D190" s="38" t="s">
        <v>39</v>
      </c>
      <c r="E190" s="49" t="s">
        <v>123</v>
      </c>
      <c r="F190" s="49">
        <v>0</v>
      </c>
      <c r="G190" s="87">
        <v>0</v>
      </c>
      <c r="H190" s="87">
        <v>0</v>
      </c>
      <c r="I190" s="49" t="s">
        <v>29</v>
      </c>
      <c r="J190" s="49" t="s">
        <v>181</v>
      </c>
    </row>
    <row r="191" spans="1:10" x14ac:dyDescent="0.2">
      <c r="A191" s="90">
        <v>176</v>
      </c>
      <c r="B191" s="90">
        <v>119</v>
      </c>
      <c r="C191" s="90">
        <v>120</v>
      </c>
      <c r="D191" s="38" t="s">
        <v>39</v>
      </c>
      <c r="E191" s="49" t="s">
        <v>123</v>
      </c>
      <c r="F191" s="49">
        <v>0</v>
      </c>
      <c r="G191" s="87">
        <v>0</v>
      </c>
      <c r="H191" s="87">
        <v>0</v>
      </c>
      <c r="I191" s="49" t="s">
        <v>29</v>
      </c>
      <c r="J191" s="49" t="s">
        <v>181</v>
      </c>
    </row>
    <row r="192" spans="1:10" x14ac:dyDescent="0.2">
      <c r="A192" s="90">
        <v>177</v>
      </c>
      <c r="B192" s="90">
        <v>121</v>
      </c>
      <c r="C192" s="90">
        <v>122</v>
      </c>
      <c r="D192" s="38" t="s">
        <v>39</v>
      </c>
      <c r="E192" s="49" t="s">
        <v>123</v>
      </c>
      <c r="F192" s="49">
        <v>0</v>
      </c>
      <c r="G192" s="87">
        <v>0</v>
      </c>
      <c r="H192" s="87">
        <v>0</v>
      </c>
      <c r="I192" s="49" t="s">
        <v>29</v>
      </c>
      <c r="J192" s="49" t="s">
        <v>181</v>
      </c>
    </row>
    <row r="193" spans="1:10" x14ac:dyDescent="0.2">
      <c r="A193" s="90">
        <v>178</v>
      </c>
      <c r="B193" s="90">
        <v>122</v>
      </c>
      <c r="C193" s="90">
        <v>123</v>
      </c>
      <c r="D193" s="38" t="s">
        <v>39</v>
      </c>
      <c r="E193" s="49" t="s">
        <v>123</v>
      </c>
      <c r="F193" s="49">
        <v>0</v>
      </c>
      <c r="G193" s="87">
        <v>0</v>
      </c>
      <c r="H193" s="87">
        <v>0</v>
      </c>
      <c r="I193" s="49" t="s">
        <v>29</v>
      </c>
      <c r="J193" s="49" t="s">
        <v>181</v>
      </c>
    </row>
    <row r="194" spans="1:10" x14ac:dyDescent="0.2">
      <c r="A194" s="90">
        <v>179</v>
      </c>
      <c r="B194" s="90">
        <v>123</v>
      </c>
      <c r="C194" s="90">
        <v>124</v>
      </c>
      <c r="D194" s="38" t="s">
        <v>39</v>
      </c>
      <c r="E194" s="49" t="s">
        <v>123</v>
      </c>
      <c r="F194" s="49">
        <v>0</v>
      </c>
      <c r="G194" s="87">
        <v>0</v>
      </c>
      <c r="H194" s="87">
        <v>0</v>
      </c>
      <c r="I194" s="49" t="s">
        <v>29</v>
      </c>
      <c r="J194" s="49" t="s">
        <v>181</v>
      </c>
    </row>
    <row r="195" spans="1:10" x14ac:dyDescent="0.2">
      <c r="A195" s="90">
        <v>180</v>
      </c>
      <c r="B195" s="90">
        <v>124</v>
      </c>
      <c r="C195" s="90">
        <v>125</v>
      </c>
      <c r="D195" s="38" t="s">
        <v>39</v>
      </c>
      <c r="E195" s="49" t="s">
        <v>123</v>
      </c>
      <c r="F195" s="49">
        <v>0</v>
      </c>
      <c r="G195" s="87">
        <v>0</v>
      </c>
      <c r="H195" s="87">
        <v>0</v>
      </c>
      <c r="I195" s="49" t="s">
        <v>29</v>
      </c>
      <c r="J195" s="49" t="s">
        <v>181</v>
      </c>
    </row>
    <row r="196" spans="1:10" x14ac:dyDescent="0.2">
      <c r="A196" s="90">
        <v>181</v>
      </c>
      <c r="B196" s="90">
        <v>26</v>
      </c>
      <c r="C196" s="90">
        <v>31</v>
      </c>
      <c r="D196" s="38" t="s">
        <v>39</v>
      </c>
      <c r="E196" s="49" t="s">
        <v>123</v>
      </c>
      <c r="F196" s="49">
        <v>0</v>
      </c>
      <c r="G196" s="87">
        <v>0</v>
      </c>
      <c r="H196" s="87">
        <v>0</v>
      </c>
      <c r="I196" s="49" t="s">
        <v>29</v>
      </c>
      <c r="J196" s="49" t="s">
        <v>181</v>
      </c>
    </row>
    <row r="197" spans="1:10" x14ac:dyDescent="0.2">
      <c r="A197" s="90">
        <v>182</v>
      </c>
      <c r="B197" s="90">
        <v>27</v>
      </c>
      <c r="C197" s="90">
        <v>32</v>
      </c>
      <c r="D197" s="38" t="s">
        <v>39</v>
      </c>
      <c r="E197" s="49" t="s">
        <v>123</v>
      </c>
      <c r="F197" s="49">
        <v>0</v>
      </c>
      <c r="G197" s="87">
        <v>0</v>
      </c>
      <c r="H197" s="87">
        <v>0</v>
      </c>
      <c r="I197" s="49" t="s">
        <v>29</v>
      </c>
      <c r="J197" s="49" t="s">
        <v>181</v>
      </c>
    </row>
    <row r="198" spans="1:10" x14ac:dyDescent="0.2">
      <c r="A198" s="90">
        <v>183</v>
      </c>
      <c r="B198" s="90">
        <v>28</v>
      </c>
      <c r="C198" s="90">
        <v>33</v>
      </c>
      <c r="D198" s="38" t="s">
        <v>39</v>
      </c>
      <c r="E198" s="49" t="s">
        <v>123</v>
      </c>
      <c r="F198" s="49">
        <v>0</v>
      </c>
      <c r="G198" s="87">
        <v>0</v>
      </c>
      <c r="H198" s="87">
        <v>0</v>
      </c>
      <c r="I198" s="49" t="s">
        <v>29</v>
      </c>
      <c r="J198" s="49" t="s">
        <v>181</v>
      </c>
    </row>
    <row r="199" spans="1:10" x14ac:dyDescent="0.2">
      <c r="A199" s="90">
        <v>184</v>
      </c>
      <c r="B199" s="90">
        <v>29</v>
      </c>
      <c r="C199" s="90">
        <v>34</v>
      </c>
      <c r="D199" s="38" t="s">
        <v>39</v>
      </c>
      <c r="E199" s="49" t="s">
        <v>123</v>
      </c>
      <c r="F199" s="49">
        <v>0</v>
      </c>
      <c r="G199" s="87">
        <v>0</v>
      </c>
      <c r="H199" s="87">
        <v>0</v>
      </c>
      <c r="I199" s="49" t="s">
        <v>29</v>
      </c>
      <c r="J199" s="49" t="s">
        <v>181</v>
      </c>
    </row>
    <row r="200" spans="1:10" x14ac:dyDescent="0.2">
      <c r="A200" s="90">
        <v>185</v>
      </c>
      <c r="B200" s="90">
        <v>30</v>
      </c>
      <c r="C200" s="90">
        <v>35</v>
      </c>
      <c r="D200" s="38" t="s">
        <v>39</v>
      </c>
      <c r="E200" s="49" t="s">
        <v>123</v>
      </c>
      <c r="F200" s="49">
        <v>0</v>
      </c>
      <c r="G200" s="87">
        <v>0</v>
      </c>
      <c r="H200" s="87">
        <v>0</v>
      </c>
      <c r="I200" s="49" t="s">
        <v>29</v>
      </c>
      <c r="J200" s="49" t="s">
        <v>181</v>
      </c>
    </row>
    <row r="201" spans="1:10" x14ac:dyDescent="0.2">
      <c r="A201" s="90">
        <v>186</v>
      </c>
      <c r="B201" s="90">
        <v>31</v>
      </c>
      <c r="C201" s="90">
        <v>36</v>
      </c>
      <c r="D201" s="38" t="s">
        <v>39</v>
      </c>
      <c r="E201" s="49" t="s">
        <v>123</v>
      </c>
      <c r="F201" s="49">
        <v>0</v>
      </c>
      <c r="G201" s="87">
        <v>0</v>
      </c>
      <c r="H201" s="87">
        <v>0</v>
      </c>
      <c r="I201" s="49" t="s">
        <v>29</v>
      </c>
      <c r="J201" s="49" t="s">
        <v>181</v>
      </c>
    </row>
    <row r="202" spans="1:10" x14ac:dyDescent="0.2">
      <c r="A202" s="90">
        <v>187</v>
      </c>
      <c r="B202" s="90">
        <v>32</v>
      </c>
      <c r="C202" s="90">
        <v>37</v>
      </c>
      <c r="D202" s="38" t="s">
        <v>39</v>
      </c>
      <c r="E202" s="49" t="s">
        <v>123</v>
      </c>
      <c r="F202" s="49">
        <v>0</v>
      </c>
      <c r="G202" s="87">
        <v>0</v>
      </c>
      <c r="H202" s="87">
        <v>0</v>
      </c>
      <c r="I202" s="49" t="s">
        <v>29</v>
      </c>
      <c r="J202" s="49" t="s">
        <v>181</v>
      </c>
    </row>
    <row r="203" spans="1:10" x14ac:dyDescent="0.2">
      <c r="A203" s="90">
        <v>188</v>
      </c>
      <c r="B203" s="90">
        <v>33</v>
      </c>
      <c r="C203" s="90">
        <v>38</v>
      </c>
      <c r="D203" s="38" t="s">
        <v>39</v>
      </c>
      <c r="E203" s="49" t="s">
        <v>123</v>
      </c>
      <c r="F203" s="49">
        <v>0</v>
      </c>
      <c r="G203" s="87">
        <v>0</v>
      </c>
      <c r="H203" s="87">
        <v>0</v>
      </c>
      <c r="I203" s="49" t="s">
        <v>29</v>
      </c>
      <c r="J203" s="49" t="s">
        <v>181</v>
      </c>
    </row>
    <row r="204" spans="1:10" x14ac:dyDescent="0.2">
      <c r="A204" s="90">
        <v>189</v>
      </c>
      <c r="B204" s="90">
        <v>34</v>
      </c>
      <c r="C204" s="90">
        <v>39</v>
      </c>
      <c r="D204" s="38" t="s">
        <v>39</v>
      </c>
      <c r="E204" s="49" t="s">
        <v>123</v>
      </c>
      <c r="F204" s="49">
        <v>0</v>
      </c>
      <c r="G204" s="87">
        <v>0</v>
      </c>
      <c r="H204" s="87">
        <v>0</v>
      </c>
      <c r="I204" s="49" t="s">
        <v>29</v>
      </c>
      <c r="J204" s="49" t="s">
        <v>181</v>
      </c>
    </row>
    <row r="205" spans="1:10" x14ac:dyDescent="0.2">
      <c r="A205" s="90">
        <v>190</v>
      </c>
      <c r="B205" s="90">
        <v>35</v>
      </c>
      <c r="C205" s="90">
        <v>40</v>
      </c>
      <c r="D205" s="38" t="s">
        <v>39</v>
      </c>
      <c r="E205" s="49" t="s">
        <v>123</v>
      </c>
      <c r="F205" s="49">
        <v>0</v>
      </c>
      <c r="G205" s="87">
        <v>0</v>
      </c>
      <c r="H205" s="87">
        <v>0</v>
      </c>
      <c r="I205" s="49" t="s">
        <v>29</v>
      </c>
      <c r="J205" s="49" t="s">
        <v>181</v>
      </c>
    </row>
    <row r="206" spans="1:10" x14ac:dyDescent="0.2">
      <c r="A206" s="90">
        <v>191</v>
      </c>
      <c r="B206" s="90">
        <v>36</v>
      </c>
      <c r="C206" s="90">
        <v>41</v>
      </c>
      <c r="D206" s="38" t="s">
        <v>39</v>
      </c>
      <c r="E206" s="49" t="s">
        <v>123</v>
      </c>
      <c r="F206" s="49">
        <v>0</v>
      </c>
      <c r="G206" s="87">
        <v>0</v>
      </c>
      <c r="H206" s="87">
        <v>0</v>
      </c>
      <c r="I206" s="49" t="s">
        <v>29</v>
      </c>
      <c r="J206" s="49" t="s">
        <v>181</v>
      </c>
    </row>
    <row r="207" spans="1:10" x14ac:dyDescent="0.2">
      <c r="A207" s="90">
        <v>192</v>
      </c>
      <c r="B207" s="90">
        <v>37</v>
      </c>
      <c r="C207" s="90">
        <v>42</v>
      </c>
      <c r="D207" s="38" t="s">
        <v>39</v>
      </c>
      <c r="E207" s="49" t="s">
        <v>123</v>
      </c>
      <c r="F207" s="49">
        <v>0</v>
      </c>
      <c r="G207" s="87">
        <v>0</v>
      </c>
      <c r="H207" s="87">
        <v>0</v>
      </c>
      <c r="I207" s="49" t="s">
        <v>29</v>
      </c>
      <c r="J207" s="49" t="s">
        <v>181</v>
      </c>
    </row>
    <row r="208" spans="1:10" x14ac:dyDescent="0.2">
      <c r="A208" s="90">
        <v>193</v>
      </c>
      <c r="B208" s="90">
        <v>38</v>
      </c>
      <c r="C208" s="90">
        <v>43</v>
      </c>
      <c r="D208" s="38" t="s">
        <v>39</v>
      </c>
      <c r="E208" s="49" t="s">
        <v>123</v>
      </c>
      <c r="F208" s="49">
        <v>0</v>
      </c>
      <c r="G208" s="87">
        <v>0</v>
      </c>
      <c r="H208" s="87">
        <v>0</v>
      </c>
      <c r="I208" s="49" t="s">
        <v>29</v>
      </c>
      <c r="J208" s="49" t="s">
        <v>181</v>
      </c>
    </row>
    <row r="209" spans="1:10" x14ac:dyDescent="0.2">
      <c r="A209" s="90">
        <v>194</v>
      </c>
      <c r="B209" s="90">
        <v>39</v>
      </c>
      <c r="C209" s="90">
        <v>44</v>
      </c>
      <c r="D209" s="38" t="s">
        <v>39</v>
      </c>
      <c r="E209" s="49" t="s">
        <v>123</v>
      </c>
      <c r="F209" s="49">
        <v>0</v>
      </c>
      <c r="G209" s="87">
        <v>0</v>
      </c>
      <c r="H209" s="87">
        <v>0</v>
      </c>
      <c r="I209" s="49" t="s">
        <v>29</v>
      </c>
      <c r="J209" s="49" t="s">
        <v>181</v>
      </c>
    </row>
    <row r="210" spans="1:10" x14ac:dyDescent="0.2">
      <c r="A210" s="90">
        <v>195</v>
      </c>
      <c r="B210" s="90">
        <v>40</v>
      </c>
      <c r="C210" s="90">
        <v>45</v>
      </c>
      <c r="D210" s="38" t="s">
        <v>39</v>
      </c>
      <c r="E210" s="49" t="s">
        <v>123</v>
      </c>
      <c r="F210" s="49">
        <v>0</v>
      </c>
      <c r="G210" s="87">
        <v>0</v>
      </c>
      <c r="H210" s="87">
        <v>0</v>
      </c>
      <c r="I210" s="49" t="s">
        <v>29</v>
      </c>
      <c r="J210" s="49" t="s">
        <v>181</v>
      </c>
    </row>
    <row r="211" spans="1:10" x14ac:dyDescent="0.2">
      <c r="A211" s="90">
        <v>196</v>
      </c>
      <c r="B211" s="90">
        <v>41</v>
      </c>
      <c r="C211" s="90">
        <v>46</v>
      </c>
      <c r="D211" s="38" t="s">
        <v>39</v>
      </c>
      <c r="E211" s="49" t="s">
        <v>123</v>
      </c>
      <c r="F211" s="49">
        <v>0</v>
      </c>
      <c r="G211" s="87">
        <v>0</v>
      </c>
      <c r="H211" s="87">
        <v>0</v>
      </c>
      <c r="I211" s="49" t="s">
        <v>29</v>
      </c>
      <c r="J211" s="49" t="s">
        <v>181</v>
      </c>
    </row>
    <row r="212" spans="1:10" x14ac:dyDescent="0.2">
      <c r="A212" s="90">
        <v>197</v>
      </c>
      <c r="B212" s="90">
        <v>42</v>
      </c>
      <c r="C212" s="90">
        <v>47</v>
      </c>
      <c r="D212" s="38" t="s">
        <v>39</v>
      </c>
      <c r="E212" s="49" t="s">
        <v>123</v>
      </c>
      <c r="F212" s="49">
        <v>0</v>
      </c>
      <c r="G212" s="87">
        <v>0</v>
      </c>
      <c r="H212" s="87">
        <v>0</v>
      </c>
      <c r="I212" s="49" t="s">
        <v>29</v>
      </c>
      <c r="J212" s="49" t="s">
        <v>181</v>
      </c>
    </row>
    <row r="213" spans="1:10" x14ac:dyDescent="0.2">
      <c r="A213" s="90">
        <v>198</v>
      </c>
      <c r="B213" s="90">
        <v>43</v>
      </c>
      <c r="C213" s="90">
        <v>48</v>
      </c>
      <c r="D213" s="38" t="s">
        <v>39</v>
      </c>
      <c r="E213" s="49" t="s">
        <v>123</v>
      </c>
      <c r="F213" s="49">
        <v>0</v>
      </c>
      <c r="G213" s="87">
        <v>0</v>
      </c>
      <c r="H213" s="87">
        <v>0</v>
      </c>
      <c r="I213" s="49" t="s">
        <v>29</v>
      </c>
      <c r="J213" s="49" t="s">
        <v>181</v>
      </c>
    </row>
    <row r="214" spans="1:10" x14ac:dyDescent="0.2">
      <c r="A214" s="90">
        <v>199</v>
      </c>
      <c r="B214" s="90">
        <v>44</v>
      </c>
      <c r="C214" s="90">
        <v>49</v>
      </c>
      <c r="D214" s="38" t="s">
        <v>39</v>
      </c>
      <c r="E214" s="49" t="s">
        <v>123</v>
      </c>
      <c r="F214" s="49">
        <v>0</v>
      </c>
      <c r="G214" s="87">
        <v>0</v>
      </c>
      <c r="H214" s="87">
        <v>0</v>
      </c>
      <c r="I214" s="49" t="s">
        <v>29</v>
      </c>
      <c r="J214" s="49" t="s">
        <v>181</v>
      </c>
    </row>
    <row r="215" spans="1:10" x14ac:dyDescent="0.2">
      <c r="A215" s="90">
        <v>200</v>
      </c>
      <c r="B215" s="90">
        <v>45</v>
      </c>
      <c r="C215" s="90">
        <v>50</v>
      </c>
      <c r="D215" s="38" t="s">
        <v>39</v>
      </c>
      <c r="E215" s="49" t="s">
        <v>123</v>
      </c>
      <c r="F215" s="49">
        <v>0</v>
      </c>
      <c r="G215" s="87">
        <v>0</v>
      </c>
      <c r="H215" s="87">
        <v>0</v>
      </c>
      <c r="I215" s="49" t="s">
        <v>29</v>
      </c>
      <c r="J215" s="49" t="s">
        <v>181</v>
      </c>
    </row>
    <row r="216" spans="1:10" x14ac:dyDescent="0.2">
      <c r="A216" s="90">
        <v>201</v>
      </c>
      <c r="B216" s="90">
        <v>51</v>
      </c>
      <c r="C216" s="90">
        <v>56</v>
      </c>
      <c r="D216" s="38" t="s">
        <v>39</v>
      </c>
      <c r="E216" s="49" t="s">
        <v>123</v>
      </c>
      <c r="F216" s="49">
        <v>0</v>
      </c>
      <c r="G216" s="87">
        <v>0</v>
      </c>
      <c r="H216" s="87">
        <v>0</v>
      </c>
      <c r="I216" s="49" t="s">
        <v>29</v>
      </c>
      <c r="J216" s="49" t="s">
        <v>181</v>
      </c>
    </row>
    <row r="217" spans="1:10" x14ac:dyDescent="0.2">
      <c r="A217" s="90">
        <v>202</v>
      </c>
      <c r="B217" s="90">
        <v>52</v>
      </c>
      <c r="C217" s="90">
        <v>57</v>
      </c>
      <c r="D217" s="38" t="s">
        <v>39</v>
      </c>
      <c r="E217" s="49" t="s">
        <v>123</v>
      </c>
      <c r="F217" s="49">
        <v>0</v>
      </c>
      <c r="G217" s="87">
        <v>0</v>
      </c>
      <c r="H217" s="87">
        <v>0</v>
      </c>
      <c r="I217" s="49" t="s">
        <v>29</v>
      </c>
      <c r="J217" s="49" t="s">
        <v>181</v>
      </c>
    </row>
    <row r="218" spans="1:10" x14ac:dyDescent="0.2">
      <c r="A218" s="90">
        <v>203</v>
      </c>
      <c r="B218" s="90">
        <v>53</v>
      </c>
      <c r="C218" s="90">
        <v>58</v>
      </c>
      <c r="D218" s="38" t="s">
        <v>39</v>
      </c>
      <c r="E218" s="49" t="s">
        <v>123</v>
      </c>
      <c r="F218" s="49">
        <v>0</v>
      </c>
      <c r="G218" s="87">
        <v>0</v>
      </c>
      <c r="H218" s="87">
        <v>0</v>
      </c>
      <c r="I218" s="49" t="s">
        <v>29</v>
      </c>
      <c r="J218" s="49" t="s">
        <v>181</v>
      </c>
    </row>
    <row r="219" spans="1:10" x14ac:dyDescent="0.2">
      <c r="A219" s="90">
        <v>204</v>
      </c>
      <c r="B219" s="90">
        <v>54</v>
      </c>
      <c r="C219" s="90">
        <v>59</v>
      </c>
      <c r="D219" s="38" t="s">
        <v>39</v>
      </c>
      <c r="E219" s="49" t="s">
        <v>123</v>
      </c>
      <c r="F219" s="49">
        <v>0</v>
      </c>
      <c r="G219" s="87">
        <v>0</v>
      </c>
      <c r="H219" s="87">
        <v>0</v>
      </c>
      <c r="I219" s="49" t="s">
        <v>29</v>
      </c>
      <c r="J219" s="49" t="s">
        <v>181</v>
      </c>
    </row>
    <row r="220" spans="1:10" x14ac:dyDescent="0.2">
      <c r="A220" s="90">
        <v>205</v>
      </c>
      <c r="B220" s="90">
        <v>55</v>
      </c>
      <c r="C220" s="90">
        <v>60</v>
      </c>
      <c r="D220" s="38" t="s">
        <v>39</v>
      </c>
      <c r="E220" s="49" t="s">
        <v>123</v>
      </c>
      <c r="F220" s="49">
        <v>0</v>
      </c>
      <c r="G220" s="87">
        <v>0</v>
      </c>
      <c r="H220" s="87">
        <v>0</v>
      </c>
      <c r="I220" s="49" t="s">
        <v>29</v>
      </c>
      <c r="J220" s="49" t="s">
        <v>181</v>
      </c>
    </row>
    <row r="221" spans="1:10" x14ac:dyDescent="0.2">
      <c r="A221" s="90">
        <v>206</v>
      </c>
      <c r="B221" s="90">
        <v>56</v>
      </c>
      <c r="C221" s="90">
        <v>61</v>
      </c>
      <c r="D221" s="38" t="s">
        <v>39</v>
      </c>
      <c r="E221" s="49" t="s">
        <v>123</v>
      </c>
      <c r="F221" s="49">
        <v>0</v>
      </c>
      <c r="G221" s="87">
        <v>0</v>
      </c>
      <c r="H221" s="87">
        <v>0</v>
      </c>
      <c r="I221" s="49" t="s">
        <v>29</v>
      </c>
      <c r="J221" s="49" t="s">
        <v>181</v>
      </c>
    </row>
    <row r="222" spans="1:10" x14ac:dyDescent="0.2">
      <c r="A222" s="90">
        <v>207</v>
      </c>
      <c r="B222" s="90">
        <v>57</v>
      </c>
      <c r="C222" s="90">
        <v>62</v>
      </c>
      <c r="D222" s="38" t="s">
        <v>39</v>
      </c>
      <c r="E222" s="49" t="s">
        <v>123</v>
      </c>
      <c r="F222" s="49">
        <v>0</v>
      </c>
      <c r="G222" s="87">
        <v>0</v>
      </c>
      <c r="H222" s="87">
        <v>0</v>
      </c>
      <c r="I222" s="49" t="s">
        <v>29</v>
      </c>
      <c r="J222" s="49" t="s">
        <v>181</v>
      </c>
    </row>
    <row r="223" spans="1:10" x14ac:dyDescent="0.2">
      <c r="A223" s="90">
        <v>208</v>
      </c>
      <c r="B223" s="90">
        <v>58</v>
      </c>
      <c r="C223" s="90">
        <v>63</v>
      </c>
      <c r="D223" s="38" t="s">
        <v>39</v>
      </c>
      <c r="E223" s="49" t="s">
        <v>123</v>
      </c>
      <c r="F223" s="49">
        <v>0</v>
      </c>
      <c r="G223" s="87">
        <v>0</v>
      </c>
      <c r="H223" s="87">
        <v>0</v>
      </c>
      <c r="I223" s="49" t="s">
        <v>29</v>
      </c>
      <c r="J223" s="49" t="s">
        <v>181</v>
      </c>
    </row>
    <row r="224" spans="1:10" x14ac:dyDescent="0.2">
      <c r="A224" s="90">
        <v>209</v>
      </c>
      <c r="B224" s="90">
        <v>59</v>
      </c>
      <c r="C224" s="90">
        <v>64</v>
      </c>
      <c r="D224" s="38" t="s">
        <v>39</v>
      </c>
      <c r="E224" s="49" t="s">
        <v>123</v>
      </c>
      <c r="F224" s="49">
        <v>0</v>
      </c>
      <c r="G224" s="87">
        <v>0</v>
      </c>
      <c r="H224" s="87">
        <v>0</v>
      </c>
      <c r="I224" s="49" t="s">
        <v>29</v>
      </c>
      <c r="J224" s="49" t="s">
        <v>181</v>
      </c>
    </row>
    <row r="225" spans="1:10" x14ac:dyDescent="0.2">
      <c r="A225" s="90">
        <v>210</v>
      </c>
      <c r="B225" s="90">
        <v>60</v>
      </c>
      <c r="C225" s="90">
        <v>65</v>
      </c>
      <c r="D225" s="38" t="s">
        <v>39</v>
      </c>
      <c r="E225" s="49" t="s">
        <v>123</v>
      </c>
      <c r="F225" s="49">
        <v>0</v>
      </c>
      <c r="G225" s="87">
        <v>0</v>
      </c>
      <c r="H225" s="87">
        <v>0</v>
      </c>
      <c r="I225" s="49" t="s">
        <v>29</v>
      </c>
      <c r="J225" s="49" t="s">
        <v>181</v>
      </c>
    </row>
    <row r="226" spans="1:10" x14ac:dyDescent="0.2">
      <c r="A226" s="90">
        <v>211</v>
      </c>
      <c r="B226" s="90">
        <v>61</v>
      </c>
      <c r="C226" s="90">
        <v>66</v>
      </c>
      <c r="D226" s="38" t="s">
        <v>39</v>
      </c>
      <c r="E226" s="49" t="s">
        <v>123</v>
      </c>
      <c r="F226" s="49">
        <v>0</v>
      </c>
      <c r="G226" s="87">
        <v>0</v>
      </c>
      <c r="H226" s="87">
        <v>0</v>
      </c>
      <c r="I226" s="49" t="s">
        <v>29</v>
      </c>
      <c r="J226" s="49" t="s">
        <v>181</v>
      </c>
    </row>
    <row r="227" spans="1:10" x14ac:dyDescent="0.2">
      <c r="A227" s="90">
        <v>212</v>
      </c>
      <c r="B227" s="90">
        <v>62</v>
      </c>
      <c r="C227" s="90">
        <v>67</v>
      </c>
      <c r="D227" s="38" t="s">
        <v>39</v>
      </c>
      <c r="E227" s="49" t="s">
        <v>123</v>
      </c>
      <c r="F227" s="49">
        <v>0</v>
      </c>
      <c r="G227" s="87">
        <v>0</v>
      </c>
      <c r="H227" s="87">
        <v>0</v>
      </c>
      <c r="I227" s="49" t="s">
        <v>29</v>
      </c>
      <c r="J227" s="49" t="s">
        <v>181</v>
      </c>
    </row>
    <row r="228" spans="1:10" x14ac:dyDescent="0.2">
      <c r="A228" s="90">
        <v>213</v>
      </c>
      <c r="B228" s="90">
        <v>63</v>
      </c>
      <c r="C228" s="90">
        <v>68</v>
      </c>
      <c r="D228" s="38" t="s">
        <v>39</v>
      </c>
      <c r="E228" s="49" t="s">
        <v>123</v>
      </c>
      <c r="F228" s="49">
        <v>0</v>
      </c>
      <c r="G228" s="87">
        <v>0</v>
      </c>
      <c r="H228" s="87">
        <v>0</v>
      </c>
      <c r="I228" s="49" t="s">
        <v>29</v>
      </c>
      <c r="J228" s="49" t="s">
        <v>181</v>
      </c>
    </row>
    <row r="229" spans="1:10" x14ac:dyDescent="0.2">
      <c r="A229" s="90">
        <v>214</v>
      </c>
      <c r="B229" s="90">
        <v>64</v>
      </c>
      <c r="C229" s="90">
        <v>69</v>
      </c>
      <c r="D229" s="38" t="s">
        <v>39</v>
      </c>
      <c r="E229" s="49" t="s">
        <v>123</v>
      </c>
      <c r="F229" s="49">
        <v>0</v>
      </c>
      <c r="G229" s="87">
        <v>0</v>
      </c>
      <c r="H229" s="87">
        <v>0</v>
      </c>
      <c r="I229" s="49" t="s">
        <v>29</v>
      </c>
      <c r="J229" s="49" t="s">
        <v>181</v>
      </c>
    </row>
    <row r="230" spans="1:10" x14ac:dyDescent="0.2">
      <c r="A230" s="90">
        <v>215</v>
      </c>
      <c r="B230" s="90">
        <v>65</v>
      </c>
      <c r="C230" s="90">
        <v>70</v>
      </c>
      <c r="D230" s="38" t="s">
        <v>39</v>
      </c>
      <c r="E230" s="49" t="s">
        <v>123</v>
      </c>
      <c r="F230" s="49">
        <v>0</v>
      </c>
      <c r="G230" s="87">
        <v>0</v>
      </c>
      <c r="H230" s="87">
        <v>0</v>
      </c>
      <c r="I230" s="49" t="s">
        <v>29</v>
      </c>
      <c r="J230" s="49" t="s">
        <v>181</v>
      </c>
    </row>
    <row r="231" spans="1:10" x14ac:dyDescent="0.2">
      <c r="A231" s="90">
        <v>216</v>
      </c>
      <c r="B231" s="90">
        <v>66</v>
      </c>
      <c r="C231" s="90">
        <v>71</v>
      </c>
      <c r="D231" s="38" t="s">
        <v>39</v>
      </c>
      <c r="E231" s="49" t="s">
        <v>123</v>
      </c>
      <c r="F231" s="49">
        <v>0</v>
      </c>
      <c r="G231" s="87">
        <v>0</v>
      </c>
      <c r="H231" s="87">
        <v>0</v>
      </c>
      <c r="I231" s="49" t="s">
        <v>29</v>
      </c>
      <c r="J231" s="49" t="s">
        <v>181</v>
      </c>
    </row>
    <row r="232" spans="1:10" x14ac:dyDescent="0.2">
      <c r="A232" s="90">
        <v>217</v>
      </c>
      <c r="B232" s="90">
        <v>67</v>
      </c>
      <c r="C232" s="90">
        <v>72</v>
      </c>
      <c r="D232" s="38" t="s">
        <v>39</v>
      </c>
      <c r="E232" s="49" t="s">
        <v>123</v>
      </c>
      <c r="F232" s="49">
        <v>0</v>
      </c>
      <c r="G232" s="87">
        <v>0</v>
      </c>
      <c r="H232" s="87">
        <v>0</v>
      </c>
      <c r="I232" s="49" t="s">
        <v>29</v>
      </c>
      <c r="J232" s="49" t="s">
        <v>181</v>
      </c>
    </row>
    <row r="233" spans="1:10" x14ac:dyDescent="0.2">
      <c r="A233" s="90">
        <v>218</v>
      </c>
      <c r="B233" s="90">
        <v>68</v>
      </c>
      <c r="C233" s="90">
        <v>73</v>
      </c>
      <c r="D233" s="38" t="s">
        <v>39</v>
      </c>
      <c r="E233" s="49" t="s">
        <v>123</v>
      </c>
      <c r="F233" s="49">
        <v>0</v>
      </c>
      <c r="G233" s="87">
        <v>0</v>
      </c>
      <c r="H233" s="87">
        <v>0</v>
      </c>
      <c r="I233" s="49" t="s">
        <v>29</v>
      </c>
      <c r="J233" s="49" t="s">
        <v>181</v>
      </c>
    </row>
    <row r="234" spans="1:10" x14ac:dyDescent="0.2">
      <c r="A234" s="90">
        <v>219</v>
      </c>
      <c r="B234" s="90">
        <v>69</v>
      </c>
      <c r="C234" s="90">
        <v>74</v>
      </c>
      <c r="D234" s="38" t="s">
        <v>39</v>
      </c>
      <c r="E234" s="49" t="s">
        <v>123</v>
      </c>
      <c r="F234" s="49">
        <v>0</v>
      </c>
      <c r="G234" s="87">
        <v>0</v>
      </c>
      <c r="H234" s="87">
        <v>0</v>
      </c>
      <c r="I234" s="49" t="s">
        <v>29</v>
      </c>
      <c r="J234" s="49" t="s">
        <v>181</v>
      </c>
    </row>
    <row r="235" spans="1:10" x14ac:dyDescent="0.2">
      <c r="A235" s="90">
        <v>220</v>
      </c>
      <c r="B235" s="90">
        <v>70</v>
      </c>
      <c r="C235" s="90">
        <v>75</v>
      </c>
      <c r="D235" s="38" t="s">
        <v>39</v>
      </c>
      <c r="E235" s="49" t="s">
        <v>123</v>
      </c>
      <c r="F235" s="49">
        <v>0</v>
      </c>
      <c r="G235" s="87">
        <v>0</v>
      </c>
      <c r="H235" s="87">
        <v>0</v>
      </c>
      <c r="I235" s="49" t="s">
        <v>29</v>
      </c>
      <c r="J235" s="49" t="s">
        <v>181</v>
      </c>
    </row>
    <row r="236" spans="1:10" x14ac:dyDescent="0.2">
      <c r="A236" s="90">
        <v>221</v>
      </c>
      <c r="B236" s="90">
        <v>76</v>
      </c>
      <c r="C236" s="90">
        <v>81</v>
      </c>
      <c r="D236" s="38" t="s">
        <v>39</v>
      </c>
      <c r="E236" s="49" t="s">
        <v>123</v>
      </c>
      <c r="F236" s="49">
        <v>0</v>
      </c>
      <c r="G236" s="87">
        <v>0</v>
      </c>
      <c r="H236" s="87">
        <v>0</v>
      </c>
      <c r="I236" s="49" t="s">
        <v>29</v>
      </c>
      <c r="J236" s="49" t="s">
        <v>181</v>
      </c>
    </row>
    <row r="237" spans="1:10" x14ac:dyDescent="0.2">
      <c r="A237" s="90">
        <v>222</v>
      </c>
      <c r="B237" s="90">
        <v>77</v>
      </c>
      <c r="C237" s="90">
        <v>82</v>
      </c>
      <c r="D237" s="38" t="s">
        <v>39</v>
      </c>
      <c r="E237" s="49" t="s">
        <v>123</v>
      </c>
      <c r="F237" s="49">
        <v>0</v>
      </c>
      <c r="G237" s="87">
        <v>0</v>
      </c>
      <c r="H237" s="87">
        <v>0</v>
      </c>
      <c r="I237" s="49" t="s">
        <v>29</v>
      </c>
      <c r="J237" s="49" t="s">
        <v>181</v>
      </c>
    </row>
    <row r="238" spans="1:10" x14ac:dyDescent="0.2">
      <c r="A238" s="90">
        <v>223</v>
      </c>
      <c r="B238" s="90">
        <v>78</v>
      </c>
      <c r="C238" s="90">
        <v>83</v>
      </c>
      <c r="D238" s="38" t="s">
        <v>39</v>
      </c>
      <c r="E238" s="49" t="s">
        <v>123</v>
      </c>
      <c r="F238" s="49">
        <v>0</v>
      </c>
      <c r="G238" s="87">
        <v>0</v>
      </c>
      <c r="H238" s="87">
        <v>0</v>
      </c>
      <c r="I238" s="49" t="s">
        <v>29</v>
      </c>
      <c r="J238" s="49" t="s">
        <v>181</v>
      </c>
    </row>
    <row r="239" spans="1:10" x14ac:dyDescent="0.2">
      <c r="A239" s="90">
        <v>224</v>
      </c>
      <c r="B239" s="90">
        <v>79</v>
      </c>
      <c r="C239" s="90">
        <v>84</v>
      </c>
      <c r="D239" s="38" t="s">
        <v>39</v>
      </c>
      <c r="E239" s="49" t="s">
        <v>123</v>
      </c>
      <c r="F239" s="49">
        <v>0</v>
      </c>
      <c r="G239" s="87">
        <v>0</v>
      </c>
      <c r="H239" s="87">
        <v>0</v>
      </c>
      <c r="I239" s="49" t="s">
        <v>29</v>
      </c>
      <c r="J239" s="49" t="s">
        <v>181</v>
      </c>
    </row>
    <row r="240" spans="1:10" x14ac:dyDescent="0.2">
      <c r="A240" s="90">
        <v>225</v>
      </c>
      <c r="B240" s="90">
        <v>80</v>
      </c>
      <c r="C240" s="90">
        <v>85</v>
      </c>
      <c r="D240" s="38" t="s">
        <v>39</v>
      </c>
      <c r="E240" s="49" t="s">
        <v>123</v>
      </c>
      <c r="F240" s="49">
        <v>0</v>
      </c>
      <c r="G240" s="87">
        <v>0</v>
      </c>
      <c r="H240" s="87">
        <v>0</v>
      </c>
      <c r="I240" s="49" t="s">
        <v>29</v>
      </c>
      <c r="J240" s="49" t="s">
        <v>181</v>
      </c>
    </row>
    <row r="241" spans="1:10" x14ac:dyDescent="0.2">
      <c r="A241" s="90">
        <v>226</v>
      </c>
      <c r="B241" s="90">
        <v>81</v>
      </c>
      <c r="C241" s="90">
        <v>86</v>
      </c>
      <c r="D241" s="38" t="s">
        <v>39</v>
      </c>
      <c r="E241" s="49" t="s">
        <v>123</v>
      </c>
      <c r="F241" s="49">
        <v>0</v>
      </c>
      <c r="G241" s="87">
        <v>0</v>
      </c>
      <c r="H241" s="87">
        <v>0</v>
      </c>
      <c r="I241" s="49" t="s">
        <v>29</v>
      </c>
      <c r="J241" s="49" t="s">
        <v>181</v>
      </c>
    </row>
    <row r="242" spans="1:10" x14ac:dyDescent="0.2">
      <c r="A242" s="90">
        <v>227</v>
      </c>
      <c r="B242" s="90">
        <v>82</v>
      </c>
      <c r="C242" s="90">
        <v>87</v>
      </c>
      <c r="D242" s="38" t="s">
        <v>39</v>
      </c>
      <c r="E242" s="49" t="s">
        <v>123</v>
      </c>
      <c r="F242" s="49">
        <v>0</v>
      </c>
      <c r="G242" s="87">
        <v>0</v>
      </c>
      <c r="H242" s="87">
        <v>0</v>
      </c>
      <c r="I242" s="49" t="s">
        <v>29</v>
      </c>
      <c r="J242" s="49" t="s">
        <v>181</v>
      </c>
    </row>
    <row r="243" spans="1:10" x14ac:dyDescent="0.2">
      <c r="A243" s="90">
        <v>228</v>
      </c>
      <c r="B243" s="90">
        <v>83</v>
      </c>
      <c r="C243" s="90">
        <v>88</v>
      </c>
      <c r="D243" s="38" t="s">
        <v>39</v>
      </c>
      <c r="E243" s="49" t="s">
        <v>123</v>
      </c>
      <c r="F243" s="49">
        <v>0</v>
      </c>
      <c r="G243" s="87">
        <v>0</v>
      </c>
      <c r="H243" s="87">
        <v>0</v>
      </c>
      <c r="I243" s="49" t="s">
        <v>29</v>
      </c>
      <c r="J243" s="49" t="s">
        <v>181</v>
      </c>
    </row>
    <row r="244" spans="1:10" x14ac:dyDescent="0.2">
      <c r="A244" s="90">
        <v>229</v>
      </c>
      <c r="B244" s="90">
        <v>84</v>
      </c>
      <c r="C244" s="90">
        <v>89</v>
      </c>
      <c r="D244" s="38" t="s">
        <v>39</v>
      </c>
      <c r="E244" s="49" t="s">
        <v>123</v>
      </c>
      <c r="F244" s="49">
        <v>0</v>
      </c>
      <c r="G244" s="87">
        <v>0</v>
      </c>
      <c r="H244" s="87">
        <v>0</v>
      </c>
      <c r="I244" s="49" t="s">
        <v>29</v>
      </c>
      <c r="J244" s="49" t="s">
        <v>181</v>
      </c>
    </row>
    <row r="245" spans="1:10" x14ac:dyDescent="0.2">
      <c r="A245" s="90">
        <v>230</v>
      </c>
      <c r="B245" s="90">
        <v>85</v>
      </c>
      <c r="C245" s="90">
        <v>90</v>
      </c>
      <c r="D245" s="38" t="s">
        <v>39</v>
      </c>
      <c r="E245" s="49" t="s">
        <v>123</v>
      </c>
      <c r="F245" s="49">
        <v>0</v>
      </c>
      <c r="G245" s="87">
        <v>0</v>
      </c>
      <c r="H245" s="87">
        <v>0</v>
      </c>
      <c r="I245" s="49" t="s">
        <v>29</v>
      </c>
      <c r="J245" s="49" t="s">
        <v>181</v>
      </c>
    </row>
    <row r="246" spans="1:10" x14ac:dyDescent="0.2">
      <c r="A246" s="90">
        <v>231</v>
      </c>
      <c r="B246" s="90">
        <v>86</v>
      </c>
      <c r="C246" s="90">
        <v>91</v>
      </c>
      <c r="D246" s="38" t="s">
        <v>39</v>
      </c>
      <c r="E246" s="49" t="s">
        <v>123</v>
      </c>
      <c r="F246" s="49">
        <v>0</v>
      </c>
      <c r="G246" s="87">
        <v>0</v>
      </c>
      <c r="H246" s="87">
        <v>0</v>
      </c>
      <c r="I246" s="49" t="s">
        <v>29</v>
      </c>
      <c r="J246" s="49" t="s">
        <v>181</v>
      </c>
    </row>
    <row r="247" spans="1:10" x14ac:dyDescent="0.2">
      <c r="A247" s="90">
        <v>232</v>
      </c>
      <c r="B247" s="90">
        <v>87</v>
      </c>
      <c r="C247" s="90">
        <v>92</v>
      </c>
      <c r="D247" s="38" t="s">
        <v>39</v>
      </c>
      <c r="E247" s="49" t="s">
        <v>123</v>
      </c>
      <c r="F247" s="49">
        <v>0</v>
      </c>
      <c r="G247" s="87">
        <v>0</v>
      </c>
      <c r="H247" s="87">
        <v>0</v>
      </c>
      <c r="I247" s="49" t="s">
        <v>29</v>
      </c>
      <c r="J247" s="49" t="s">
        <v>181</v>
      </c>
    </row>
    <row r="248" spans="1:10" x14ac:dyDescent="0.2">
      <c r="A248" s="90">
        <v>233</v>
      </c>
      <c r="B248" s="90">
        <v>88</v>
      </c>
      <c r="C248" s="90">
        <v>93</v>
      </c>
      <c r="D248" s="38" t="s">
        <v>39</v>
      </c>
      <c r="E248" s="49" t="s">
        <v>123</v>
      </c>
      <c r="F248" s="49">
        <v>0</v>
      </c>
      <c r="G248" s="87">
        <v>0</v>
      </c>
      <c r="H248" s="87">
        <v>0</v>
      </c>
      <c r="I248" s="49" t="s">
        <v>29</v>
      </c>
      <c r="J248" s="49" t="s">
        <v>181</v>
      </c>
    </row>
    <row r="249" spans="1:10" x14ac:dyDescent="0.2">
      <c r="A249" s="90">
        <v>234</v>
      </c>
      <c r="B249" s="90">
        <v>89</v>
      </c>
      <c r="C249" s="90">
        <v>94</v>
      </c>
      <c r="D249" s="38" t="s">
        <v>39</v>
      </c>
      <c r="E249" s="49" t="s">
        <v>123</v>
      </c>
      <c r="F249" s="49">
        <v>0</v>
      </c>
      <c r="G249" s="87">
        <v>0</v>
      </c>
      <c r="H249" s="87">
        <v>0</v>
      </c>
      <c r="I249" s="49" t="s">
        <v>29</v>
      </c>
      <c r="J249" s="49" t="s">
        <v>181</v>
      </c>
    </row>
    <row r="250" spans="1:10" x14ac:dyDescent="0.2">
      <c r="A250" s="90">
        <v>235</v>
      </c>
      <c r="B250" s="90">
        <v>90</v>
      </c>
      <c r="C250" s="90">
        <v>95</v>
      </c>
      <c r="D250" s="38" t="s">
        <v>39</v>
      </c>
      <c r="E250" s="49" t="s">
        <v>123</v>
      </c>
      <c r="F250" s="49">
        <v>0</v>
      </c>
      <c r="G250" s="87">
        <v>0</v>
      </c>
      <c r="H250" s="87">
        <v>0</v>
      </c>
      <c r="I250" s="49" t="s">
        <v>29</v>
      </c>
      <c r="J250" s="49" t="s">
        <v>181</v>
      </c>
    </row>
    <row r="251" spans="1:10" x14ac:dyDescent="0.2">
      <c r="A251" s="90">
        <v>236</v>
      </c>
      <c r="B251" s="90">
        <v>91</v>
      </c>
      <c r="C251" s="90">
        <v>96</v>
      </c>
      <c r="D251" s="38" t="s">
        <v>39</v>
      </c>
      <c r="E251" s="49" t="s">
        <v>123</v>
      </c>
      <c r="F251" s="49">
        <v>0</v>
      </c>
      <c r="G251" s="87">
        <v>0</v>
      </c>
      <c r="H251" s="87">
        <v>0</v>
      </c>
      <c r="I251" s="49" t="s">
        <v>29</v>
      </c>
      <c r="J251" s="49" t="s">
        <v>181</v>
      </c>
    </row>
    <row r="252" spans="1:10" x14ac:dyDescent="0.2">
      <c r="A252" s="90">
        <v>237</v>
      </c>
      <c r="B252" s="90">
        <v>92</v>
      </c>
      <c r="C252" s="90">
        <v>97</v>
      </c>
      <c r="D252" s="38" t="s">
        <v>39</v>
      </c>
      <c r="E252" s="49" t="s">
        <v>123</v>
      </c>
      <c r="F252" s="49">
        <v>0</v>
      </c>
      <c r="G252" s="87">
        <v>0</v>
      </c>
      <c r="H252" s="87">
        <v>0</v>
      </c>
      <c r="I252" s="49" t="s">
        <v>29</v>
      </c>
      <c r="J252" s="49" t="s">
        <v>181</v>
      </c>
    </row>
    <row r="253" spans="1:10" x14ac:dyDescent="0.2">
      <c r="A253" s="90">
        <v>238</v>
      </c>
      <c r="B253" s="90">
        <v>93</v>
      </c>
      <c r="C253" s="90">
        <v>98</v>
      </c>
      <c r="D253" s="38" t="s">
        <v>39</v>
      </c>
      <c r="E253" s="49" t="s">
        <v>123</v>
      </c>
      <c r="F253" s="49">
        <v>0</v>
      </c>
      <c r="G253" s="87">
        <v>0</v>
      </c>
      <c r="H253" s="87">
        <v>0</v>
      </c>
      <c r="I253" s="49" t="s">
        <v>29</v>
      </c>
      <c r="J253" s="49" t="s">
        <v>181</v>
      </c>
    </row>
    <row r="254" spans="1:10" x14ac:dyDescent="0.2">
      <c r="A254" s="90">
        <v>239</v>
      </c>
      <c r="B254" s="90">
        <v>94</v>
      </c>
      <c r="C254" s="90">
        <v>99</v>
      </c>
      <c r="D254" s="38" t="s">
        <v>39</v>
      </c>
      <c r="E254" s="49" t="s">
        <v>123</v>
      </c>
      <c r="F254" s="49">
        <v>0</v>
      </c>
      <c r="G254" s="87">
        <v>0</v>
      </c>
      <c r="H254" s="87">
        <v>0</v>
      </c>
      <c r="I254" s="49" t="s">
        <v>29</v>
      </c>
      <c r="J254" s="49" t="s">
        <v>181</v>
      </c>
    </row>
    <row r="255" spans="1:10" x14ac:dyDescent="0.2">
      <c r="A255" s="90">
        <v>240</v>
      </c>
      <c r="B255" s="90">
        <v>95</v>
      </c>
      <c r="C255" s="90">
        <v>100</v>
      </c>
      <c r="D255" s="38" t="s">
        <v>39</v>
      </c>
      <c r="E255" s="49" t="s">
        <v>123</v>
      </c>
      <c r="F255" s="49">
        <v>0</v>
      </c>
      <c r="G255" s="87">
        <v>0</v>
      </c>
      <c r="H255" s="87">
        <v>0</v>
      </c>
      <c r="I255" s="49" t="s">
        <v>29</v>
      </c>
      <c r="J255" s="49" t="s">
        <v>181</v>
      </c>
    </row>
    <row r="256" spans="1:10" x14ac:dyDescent="0.2">
      <c r="A256" s="90">
        <v>241</v>
      </c>
      <c r="B256" s="90">
        <v>101</v>
      </c>
      <c r="C256" s="90">
        <v>106</v>
      </c>
      <c r="D256" s="38" t="s">
        <v>39</v>
      </c>
      <c r="E256" s="49" t="s">
        <v>123</v>
      </c>
      <c r="F256" s="49">
        <v>0</v>
      </c>
      <c r="G256" s="87">
        <v>0</v>
      </c>
      <c r="H256" s="87">
        <v>0</v>
      </c>
      <c r="I256" s="49" t="s">
        <v>29</v>
      </c>
      <c r="J256" s="49" t="s">
        <v>181</v>
      </c>
    </row>
    <row r="257" spans="1:10" x14ac:dyDescent="0.2">
      <c r="A257" s="90">
        <v>242</v>
      </c>
      <c r="B257" s="90">
        <v>102</v>
      </c>
      <c r="C257" s="90">
        <v>107</v>
      </c>
      <c r="D257" s="38" t="s">
        <v>39</v>
      </c>
      <c r="E257" s="49" t="s">
        <v>123</v>
      </c>
      <c r="F257" s="49">
        <v>0</v>
      </c>
      <c r="G257" s="87">
        <v>0</v>
      </c>
      <c r="H257" s="87">
        <v>0</v>
      </c>
      <c r="I257" s="49" t="s">
        <v>29</v>
      </c>
      <c r="J257" s="49" t="s">
        <v>181</v>
      </c>
    </row>
    <row r="258" spans="1:10" x14ac:dyDescent="0.2">
      <c r="A258" s="90">
        <v>243</v>
      </c>
      <c r="B258" s="90">
        <v>103</v>
      </c>
      <c r="C258" s="90">
        <v>108</v>
      </c>
      <c r="D258" s="38" t="s">
        <v>39</v>
      </c>
      <c r="E258" s="49" t="s">
        <v>123</v>
      </c>
      <c r="F258" s="49">
        <v>0</v>
      </c>
      <c r="G258" s="87">
        <v>0</v>
      </c>
      <c r="H258" s="87">
        <v>0</v>
      </c>
      <c r="I258" s="49" t="s">
        <v>29</v>
      </c>
      <c r="J258" s="49" t="s">
        <v>181</v>
      </c>
    </row>
    <row r="259" spans="1:10" x14ac:dyDescent="0.2">
      <c r="A259" s="90">
        <v>244</v>
      </c>
      <c r="B259" s="90">
        <v>104</v>
      </c>
      <c r="C259" s="90">
        <v>109</v>
      </c>
      <c r="D259" s="38" t="s">
        <v>39</v>
      </c>
      <c r="E259" s="49" t="s">
        <v>123</v>
      </c>
      <c r="F259" s="49">
        <v>0</v>
      </c>
      <c r="G259" s="87">
        <v>0</v>
      </c>
      <c r="H259" s="87">
        <v>0</v>
      </c>
      <c r="I259" s="49" t="s">
        <v>29</v>
      </c>
      <c r="J259" s="49" t="s">
        <v>181</v>
      </c>
    </row>
    <row r="260" spans="1:10" x14ac:dyDescent="0.2">
      <c r="A260" s="90">
        <v>245</v>
      </c>
      <c r="B260" s="90">
        <v>105</v>
      </c>
      <c r="C260" s="90">
        <v>110</v>
      </c>
      <c r="D260" s="38" t="s">
        <v>39</v>
      </c>
      <c r="E260" s="49" t="s">
        <v>123</v>
      </c>
      <c r="F260" s="49">
        <v>0</v>
      </c>
      <c r="G260" s="87">
        <v>0</v>
      </c>
      <c r="H260" s="87">
        <v>0</v>
      </c>
      <c r="I260" s="49" t="s">
        <v>29</v>
      </c>
      <c r="J260" s="49" t="s">
        <v>181</v>
      </c>
    </row>
    <row r="261" spans="1:10" x14ac:dyDescent="0.2">
      <c r="A261" s="90">
        <v>246</v>
      </c>
      <c r="B261" s="90">
        <v>106</v>
      </c>
      <c r="C261" s="90">
        <v>111</v>
      </c>
      <c r="D261" s="38" t="s">
        <v>39</v>
      </c>
      <c r="E261" s="49" t="s">
        <v>123</v>
      </c>
      <c r="F261" s="49">
        <v>0</v>
      </c>
      <c r="G261" s="87">
        <v>0</v>
      </c>
      <c r="H261" s="87">
        <v>0</v>
      </c>
      <c r="I261" s="49" t="s">
        <v>29</v>
      </c>
      <c r="J261" s="49" t="s">
        <v>181</v>
      </c>
    </row>
    <row r="262" spans="1:10" x14ac:dyDescent="0.2">
      <c r="A262" s="90">
        <v>247</v>
      </c>
      <c r="B262" s="90">
        <v>107</v>
      </c>
      <c r="C262" s="90">
        <v>112</v>
      </c>
      <c r="D262" s="38" t="s">
        <v>39</v>
      </c>
      <c r="E262" s="49" t="s">
        <v>123</v>
      </c>
      <c r="F262" s="49">
        <v>0</v>
      </c>
      <c r="G262" s="87">
        <v>0</v>
      </c>
      <c r="H262" s="87">
        <v>0</v>
      </c>
      <c r="I262" s="49" t="s">
        <v>29</v>
      </c>
      <c r="J262" s="49" t="s">
        <v>181</v>
      </c>
    </row>
    <row r="263" spans="1:10" x14ac:dyDescent="0.2">
      <c r="A263" s="90">
        <v>248</v>
      </c>
      <c r="B263" s="90">
        <v>108</v>
      </c>
      <c r="C263" s="90">
        <v>113</v>
      </c>
      <c r="D263" s="38" t="s">
        <v>39</v>
      </c>
      <c r="E263" s="49" t="s">
        <v>123</v>
      </c>
      <c r="F263" s="49">
        <v>0</v>
      </c>
      <c r="G263" s="87">
        <v>0</v>
      </c>
      <c r="H263" s="87">
        <v>0</v>
      </c>
      <c r="I263" s="49" t="s">
        <v>29</v>
      </c>
      <c r="J263" s="49" t="s">
        <v>181</v>
      </c>
    </row>
    <row r="264" spans="1:10" x14ac:dyDescent="0.2">
      <c r="A264" s="90">
        <v>249</v>
      </c>
      <c r="B264" s="90">
        <v>109</v>
      </c>
      <c r="C264" s="90">
        <v>114</v>
      </c>
      <c r="D264" s="38" t="s">
        <v>39</v>
      </c>
      <c r="E264" s="49" t="s">
        <v>123</v>
      </c>
      <c r="F264" s="49">
        <v>0</v>
      </c>
      <c r="G264" s="87">
        <v>0</v>
      </c>
      <c r="H264" s="87">
        <v>0</v>
      </c>
      <c r="I264" s="49" t="s">
        <v>29</v>
      </c>
      <c r="J264" s="49" t="s">
        <v>181</v>
      </c>
    </row>
    <row r="265" spans="1:10" x14ac:dyDescent="0.2">
      <c r="A265" s="90">
        <v>250</v>
      </c>
      <c r="B265" s="90">
        <v>110</v>
      </c>
      <c r="C265" s="90">
        <v>115</v>
      </c>
      <c r="D265" s="38" t="s">
        <v>39</v>
      </c>
      <c r="E265" s="49" t="s">
        <v>123</v>
      </c>
      <c r="F265" s="49">
        <v>0</v>
      </c>
      <c r="G265" s="87">
        <v>0</v>
      </c>
      <c r="H265" s="87">
        <v>0</v>
      </c>
      <c r="I265" s="49" t="s">
        <v>29</v>
      </c>
      <c r="J265" s="49" t="s">
        <v>181</v>
      </c>
    </row>
    <row r="266" spans="1:10" x14ac:dyDescent="0.2">
      <c r="A266" s="90">
        <v>251</v>
      </c>
      <c r="B266" s="90">
        <v>111</v>
      </c>
      <c r="C266" s="90">
        <v>116</v>
      </c>
      <c r="D266" s="38" t="s">
        <v>39</v>
      </c>
      <c r="E266" s="49" t="s">
        <v>123</v>
      </c>
      <c r="F266" s="49">
        <v>0</v>
      </c>
      <c r="G266" s="87">
        <v>0</v>
      </c>
      <c r="H266" s="87">
        <v>0</v>
      </c>
      <c r="I266" s="49" t="s">
        <v>29</v>
      </c>
      <c r="J266" s="49" t="s">
        <v>181</v>
      </c>
    </row>
    <row r="267" spans="1:10" x14ac:dyDescent="0.2">
      <c r="A267" s="90">
        <v>252</v>
      </c>
      <c r="B267" s="90">
        <v>112</v>
      </c>
      <c r="C267" s="90">
        <v>117</v>
      </c>
      <c r="D267" s="38" t="s">
        <v>39</v>
      </c>
      <c r="E267" s="49" t="s">
        <v>123</v>
      </c>
      <c r="F267" s="49">
        <v>0</v>
      </c>
      <c r="G267" s="87">
        <v>0</v>
      </c>
      <c r="H267" s="87">
        <v>0</v>
      </c>
      <c r="I267" s="49" t="s">
        <v>29</v>
      </c>
      <c r="J267" s="49" t="s">
        <v>181</v>
      </c>
    </row>
    <row r="268" spans="1:10" x14ac:dyDescent="0.2">
      <c r="A268" s="90">
        <v>253</v>
      </c>
      <c r="B268" s="90">
        <v>113</v>
      </c>
      <c r="C268" s="90">
        <v>118</v>
      </c>
      <c r="D268" s="38" t="s">
        <v>39</v>
      </c>
      <c r="E268" s="49" t="s">
        <v>123</v>
      </c>
      <c r="F268" s="49">
        <v>0</v>
      </c>
      <c r="G268" s="87">
        <v>0</v>
      </c>
      <c r="H268" s="87">
        <v>0</v>
      </c>
      <c r="I268" s="49" t="s">
        <v>29</v>
      </c>
      <c r="J268" s="49" t="s">
        <v>181</v>
      </c>
    </row>
    <row r="269" spans="1:10" x14ac:dyDescent="0.2">
      <c r="A269" s="90">
        <v>254</v>
      </c>
      <c r="B269" s="90">
        <v>114</v>
      </c>
      <c r="C269" s="90">
        <v>119</v>
      </c>
      <c r="D269" s="38" t="s">
        <v>39</v>
      </c>
      <c r="E269" s="49" t="s">
        <v>123</v>
      </c>
      <c r="F269" s="49">
        <v>0</v>
      </c>
      <c r="G269" s="87">
        <v>0</v>
      </c>
      <c r="H269" s="87">
        <v>0</v>
      </c>
      <c r="I269" s="49" t="s">
        <v>29</v>
      </c>
      <c r="J269" s="49" t="s">
        <v>181</v>
      </c>
    </row>
    <row r="270" spans="1:10" x14ac:dyDescent="0.2">
      <c r="A270" s="90">
        <v>255</v>
      </c>
      <c r="B270" s="90">
        <v>115</v>
      </c>
      <c r="C270" s="90">
        <v>120</v>
      </c>
      <c r="D270" s="38" t="s">
        <v>39</v>
      </c>
      <c r="E270" s="49" t="s">
        <v>123</v>
      </c>
      <c r="F270" s="49">
        <v>0</v>
      </c>
      <c r="G270" s="87">
        <v>0</v>
      </c>
      <c r="H270" s="87">
        <v>0</v>
      </c>
      <c r="I270" s="49" t="s">
        <v>29</v>
      </c>
      <c r="J270" s="49" t="s">
        <v>181</v>
      </c>
    </row>
    <row r="271" spans="1:10" x14ac:dyDescent="0.2">
      <c r="A271" s="90">
        <v>256</v>
      </c>
      <c r="B271" s="90">
        <v>116</v>
      </c>
      <c r="C271" s="90">
        <v>121</v>
      </c>
      <c r="D271" s="38" t="s">
        <v>39</v>
      </c>
      <c r="E271" s="49" t="s">
        <v>123</v>
      </c>
      <c r="F271" s="49">
        <v>0</v>
      </c>
      <c r="G271" s="87">
        <v>0</v>
      </c>
      <c r="H271" s="87">
        <v>0</v>
      </c>
      <c r="I271" s="49" t="s">
        <v>29</v>
      </c>
      <c r="J271" s="49" t="s">
        <v>181</v>
      </c>
    </row>
    <row r="272" spans="1:10" x14ac:dyDescent="0.2">
      <c r="A272" s="90">
        <v>257</v>
      </c>
      <c r="B272" s="90">
        <v>117</v>
      </c>
      <c r="C272" s="90">
        <v>122</v>
      </c>
      <c r="D272" s="38" t="s">
        <v>39</v>
      </c>
      <c r="E272" s="49" t="s">
        <v>123</v>
      </c>
      <c r="F272" s="49">
        <v>0</v>
      </c>
      <c r="G272" s="87">
        <v>0</v>
      </c>
      <c r="H272" s="87">
        <v>0</v>
      </c>
      <c r="I272" s="49" t="s">
        <v>29</v>
      </c>
      <c r="J272" s="49" t="s">
        <v>181</v>
      </c>
    </row>
    <row r="273" spans="1:10" x14ac:dyDescent="0.2">
      <c r="A273" s="90">
        <v>258</v>
      </c>
      <c r="B273" s="90">
        <v>118</v>
      </c>
      <c r="C273" s="90">
        <v>123</v>
      </c>
      <c r="D273" s="38" t="s">
        <v>39</v>
      </c>
      <c r="E273" s="49" t="s">
        <v>123</v>
      </c>
      <c r="F273" s="49">
        <v>0</v>
      </c>
      <c r="G273" s="87">
        <v>0</v>
      </c>
      <c r="H273" s="87">
        <v>0</v>
      </c>
      <c r="I273" s="49" t="s">
        <v>29</v>
      </c>
      <c r="J273" s="49" t="s">
        <v>181</v>
      </c>
    </row>
    <row r="274" spans="1:10" x14ac:dyDescent="0.2">
      <c r="A274" s="90">
        <v>259</v>
      </c>
      <c r="B274" s="90">
        <v>119</v>
      </c>
      <c r="C274" s="90">
        <v>124</v>
      </c>
      <c r="D274" s="38" t="s">
        <v>39</v>
      </c>
      <c r="E274" s="49" t="s">
        <v>123</v>
      </c>
      <c r="F274" s="49">
        <v>0</v>
      </c>
      <c r="G274" s="87">
        <v>0</v>
      </c>
      <c r="H274" s="87">
        <v>0</v>
      </c>
      <c r="I274" s="49" t="s">
        <v>29</v>
      </c>
      <c r="J274" s="49" t="s">
        <v>181</v>
      </c>
    </row>
    <row r="275" spans="1:10" x14ac:dyDescent="0.2">
      <c r="A275" s="90">
        <v>260</v>
      </c>
      <c r="B275" s="90">
        <v>120</v>
      </c>
      <c r="C275" s="90">
        <v>125</v>
      </c>
      <c r="D275" s="38" t="s">
        <v>39</v>
      </c>
      <c r="E275" s="49" t="s">
        <v>123</v>
      </c>
      <c r="F275" s="49">
        <v>0</v>
      </c>
      <c r="G275" s="87">
        <v>0</v>
      </c>
      <c r="H275" s="87">
        <v>0</v>
      </c>
      <c r="I275" s="49" t="s">
        <v>29</v>
      </c>
      <c r="J275" s="49" t="s">
        <v>181</v>
      </c>
    </row>
  </sheetData>
  <phoneticPr fontId="14" type="noConversion"/>
  <conditionalFormatting sqref="G16:G1048576">
    <cfRule type="expression" dxfId="36" priority="2">
      <formula>OR(E16="Auto from Connectivity")</formula>
    </cfRule>
  </conditionalFormatting>
  <conditionalFormatting sqref="H16:H1048576">
    <cfRule type="expression" dxfId="35" priority="1">
      <formula>OR(E16="Auto from Connectivity")</formula>
    </cfRule>
  </conditionalFormatting>
  <dataValidations count="8">
    <dataValidation type="list" allowBlank="1" showInputMessage="1" showErrorMessage="1" errorTitle="Invalid Input" error="Choose from the list" sqref="E16:E1048576" xr:uid="{292F2153-E1A4-4116-8FC6-530459C71CFD}">
      <formula1>"Auto from Connectivity, User specified"</formula1>
    </dataValidation>
    <dataValidation type="decimal" allowBlank="1" showInputMessage="1" showErrorMessage="1" errorTitle="Invalid Input" error="Please enter a float value only." sqref="G16:H1048576" xr:uid="{04C9CBC8-894C-4389-ABC1-FC3DDBC12E33}">
      <formula1>0</formula1>
      <formula2>1000000000000</formula2>
    </dataValidation>
    <dataValidation type="list" allowBlank="1" showInputMessage="1" showErrorMessage="1" sqref="B16:C1048576" xr:uid="{23A4FE82-C565-41AF-A5F1-1B2903F2D25E}">
      <formula1>Node_ID</formula1>
    </dataValidation>
    <dataValidation type="textLength" allowBlank="1" showInputMessage="1" showErrorMessage="1" errorTitle="Invalid Input" error="Please enter maximum 15 characters only." sqref="A16:A1048576" xr:uid="{5C403C17-AAB3-46FC-8FB3-F24BBD3E45E0}">
      <formula1>1</formula1>
      <formula2>12</formula2>
    </dataValidation>
    <dataValidation type="list" showInputMessage="1" showErrorMessage="1" errorTitle="Invalid Input" error="Choose from the list" sqref="I16:I1048576" xr:uid="{A1BC0883-745F-4F4B-B08F-81B6466820E2}">
      <formula1>Sec_Name</formula1>
    </dataValidation>
    <dataValidation type="list" showInputMessage="1" showErrorMessage="1" errorTitle="Invalid Input" error="Choose from the list" sqref="J16:J1048576" xr:uid="{CAEC77BB-5E83-41A9-92D4-7F6A5C80709A}">
      <formula1>"Yes, No"</formula1>
    </dataValidation>
    <dataValidation type="list" showInputMessage="1" showErrorMessage="1" errorTitle="Invalid Input" error="Choose from the list" sqref="D16:D1048576" xr:uid="{8FFF8FA0-B13C-1843-8905-149E9ADC17D0}">
      <formula1>Ele_Type</formula1>
    </dataValidation>
    <dataValidation type="decimal" allowBlank="1" showInputMessage="1" showErrorMessage="1" errorTitle="Invalid Input" error="Choose from the list" sqref="F16:F1048576" xr:uid="{3AA5FC2E-EF1C-44C9-A0CD-831B5CD97FE3}">
      <formula1>0</formula1>
      <formula2>1</formula2>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9065-E8C9-4242-BC46-0BDEE7F540A4}">
  <sheetPr codeName="Sheet25"/>
  <dimension ref="A1:J74"/>
  <sheetViews>
    <sheetView zoomScale="130" zoomScaleNormal="130" workbookViewId="0">
      <selection activeCell="E16" sqref="E16"/>
    </sheetView>
  </sheetViews>
  <sheetFormatPr baseColWidth="10" defaultColWidth="10.83203125" defaultRowHeight="16" x14ac:dyDescent="0.2"/>
  <cols>
    <col min="1" max="1" width="15.6640625" style="90" customWidth="1"/>
    <col min="2" max="5" width="10.6640625" style="90" customWidth="1"/>
    <col min="6" max="6" width="20.6640625" style="90" customWidth="1"/>
    <col min="7" max="10" width="10.6640625" style="49" customWidth="1"/>
    <col min="11" max="16384" width="10.83203125" style="78"/>
  </cols>
  <sheetData>
    <row r="1" spans="1:10" x14ac:dyDescent="0.2">
      <c r="A1" s="91" t="s">
        <v>101</v>
      </c>
      <c r="B1" s="75"/>
      <c r="C1" s="75"/>
      <c r="D1" s="75"/>
      <c r="E1" s="75"/>
      <c r="F1" s="75"/>
      <c r="G1" s="76"/>
      <c r="H1" s="76"/>
      <c r="I1" s="76"/>
      <c r="J1" s="77"/>
    </row>
    <row r="2" spans="1:10" x14ac:dyDescent="0.2">
      <c r="A2" s="216" t="s">
        <v>325</v>
      </c>
      <c r="B2" s="79"/>
      <c r="C2" s="79"/>
      <c r="D2" s="79"/>
      <c r="E2" s="79"/>
      <c r="F2" s="79"/>
      <c r="G2" s="80"/>
      <c r="H2" s="80"/>
      <c r="I2" s="80"/>
      <c r="J2" s="81"/>
    </row>
    <row r="3" spans="1:10" x14ac:dyDescent="0.2">
      <c r="A3" s="222" t="s">
        <v>343</v>
      </c>
      <c r="B3" s="79"/>
      <c r="C3" s="79"/>
      <c r="D3" s="79"/>
      <c r="E3" s="79"/>
      <c r="F3" s="79"/>
      <c r="G3" s="80"/>
      <c r="H3" s="80"/>
      <c r="I3" s="80"/>
      <c r="J3" s="81"/>
    </row>
    <row r="4" spans="1:10" x14ac:dyDescent="0.2">
      <c r="A4" s="222" t="s">
        <v>344</v>
      </c>
      <c r="B4" s="79"/>
      <c r="C4" s="79"/>
      <c r="D4" s="79"/>
      <c r="E4" s="79"/>
      <c r="F4" s="79"/>
      <c r="G4" s="80"/>
      <c r="H4" s="80"/>
      <c r="I4" s="80"/>
      <c r="J4" s="81"/>
    </row>
    <row r="5" spans="1:10" x14ac:dyDescent="0.2">
      <c r="A5" s="222" t="s">
        <v>345</v>
      </c>
      <c r="B5" s="79"/>
      <c r="C5" s="79"/>
      <c r="D5" s="79"/>
      <c r="E5" s="79"/>
      <c r="F5" s="79"/>
      <c r="G5" s="80"/>
      <c r="H5" s="80"/>
      <c r="I5" s="80"/>
      <c r="J5" s="81"/>
    </row>
    <row r="6" spans="1:10" x14ac:dyDescent="0.2">
      <c r="A6" s="222" t="s">
        <v>346</v>
      </c>
      <c r="B6" s="79"/>
      <c r="C6" s="79"/>
      <c r="D6" s="79"/>
      <c r="E6" s="79"/>
      <c r="F6" s="79"/>
      <c r="G6" s="80"/>
      <c r="H6" s="80"/>
      <c r="I6" s="80"/>
      <c r="J6" s="81"/>
    </row>
    <row r="7" spans="1:10" x14ac:dyDescent="0.2">
      <c r="A7" s="113" t="s">
        <v>172</v>
      </c>
      <c r="B7" s="79"/>
      <c r="C7" s="79"/>
      <c r="D7" s="79"/>
      <c r="E7" s="79"/>
      <c r="F7" s="79"/>
      <c r="G7" s="80"/>
      <c r="H7" s="80"/>
      <c r="I7" s="80"/>
      <c r="J7" s="81"/>
    </row>
    <row r="8" spans="1:10" x14ac:dyDescent="0.2">
      <c r="A8" s="218" t="s">
        <v>326</v>
      </c>
      <c r="B8" s="85"/>
      <c r="C8" s="85"/>
      <c r="D8" s="85"/>
      <c r="E8" s="85"/>
      <c r="F8" s="85"/>
      <c r="G8" s="92"/>
      <c r="H8" s="92"/>
      <c r="I8" s="92"/>
      <c r="J8" s="93"/>
    </row>
    <row r="9" spans="1:10" x14ac:dyDescent="0.2">
      <c r="A9" s="88"/>
      <c r="B9" s="49"/>
      <c r="C9" s="49"/>
      <c r="D9" s="49"/>
      <c r="E9" s="49"/>
      <c r="F9" s="49"/>
      <c r="G9" s="78"/>
      <c r="H9" s="78"/>
      <c r="I9" s="78"/>
      <c r="J9" s="78"/>
    </row>
    <row r="10" spans="1:10" s="6" customFormat="1" x14ac:dyDescent="0.2">
      <c r="A10" s="72" t="s">
        <v>184</v>
      </c>
      <c r="B10" s="10" t="s">
        <v>96</v>
      </c>
      <c r="C10" s="10" t="s">
        <v>97</v>
      </c>
      <c r="D10" s="10" t="s">
        <v>98</v>
      </c>
      <c r="E10" s="10" t="s">
        <v>99</v>
      </c>
      <c r="F10" s="72" t="s">
        <v>37</v>
      </c>
      <c r="G10" s="72" t="s">
        <v>186</v>
      </c>
      <c r="H10" s="49"/>
      <c r="I10" s="49"/>
      <c r="J10" s="49"/>
    </row>
    <row r="11" spans="1:10" x14ac:dyDescent="0.2">
      <c r="A11" s="90">
        <v>1</v>
      </c>
      <c r="B11" s="90">
        <v>101</v>
      </c>
      <c r="C11" s="90">
        <v>182</v>
      </c>
      <c r="D11" s="90">
        <v>105</v>
      </c>
      <c r="E11" s="90">
        <v>181</v>
      </c>
      <c r="F11" s="90" t="s">
        <v>210</v>
      </c>
      <c r="G11" s="49" t="s">
        <v>33</v>
      </c>
    </row>
    <row r="12" spans="1:10" x14ac:dyDescent="0.2">
      <c r="A12" s="90">
        <v>2</v>
      </c>
      <c r="B12" s="90">
        <v>102</v>
      </c>
      <c r="C12" s="90">
        <v>183</v>
      </c>
      <c r="D12" s="90">
        <v>106</v>
      </c>
      <c r="E12" s="90">
        <v>182</v>
      </c>
      <c r="F12" s="90" t="s">
        <v>210</v>
      </c>
      <c r="G12" s="49" t="s">
        <v>33</v>
      </c>
    </row>
    <row r="13" spans="1:10" x14ac:dyDescent="0.2">
      <c r="A13" s="90">
        <v>3</v>
      </c>
      <c r="B13" s="90">
        <v>103</v>
      </c>
      <c r="C13" s="90">
        <v>184</v>
      </c>
      <c r="D13" s="90">
        <v>107</v>
      </c>
      <c r="E13" s="90">
        <v>183</v>
      </c>
      <c r="F13" s="90" t="s">
        <v>210</v>
      </c>
      <c r="G13" s="49" t="s">
        <v>33</v>
      </c>
    </row>
    <row r="14" spans="1:10" x14ac:dyDescent="0.2">
      <c r="A14" s="90">
        <v>4</v>
      </c>
      <c r="B14" s="90">
        <v>104</v>
      </c>
      <c r="C14" s="90">
        <v>185</v>
      </c>
      <c r="D14" s="90">
        <v>108</v>
      </c>
      <c r="E14" s="90">
        <v>184</v>
      </c>
      <c r="F14" s="90" t="s">
        <v>210</v>
      </c>
      <c r="G14" s="49" t="s">
        <v>33</v>
      </c>
    </row>
    <row r="15" spans="1:10" x14ac:dyDescent="0.2">
      <c r="A15" s="90">
        <v>5</v>
      </c>
      <c r="B15" s="90">
        <v>105</v>
      </c>
      <c r="C15" s="90">
        <v>187</v>
      </c>
      <c r="D15" s="90">
        <v>109</v>
      </c>
      <c r="E15" s="90">
        <v>186</v>
      </c>
      <c r="F15" s="90" t="s">
        <v>210</v>
      </c>
      <c r="G15" s="49" t="s">
        <v>33</v>
      </c>
    </row>
    <row r="16" spans="1:10" x14ac:dyDescent="0.2">
      <c r="A16" s="90">
        <v>6</v>
      </c>
      <c r="B16" s="90">
        <v>106</v>
      </c>
      <c r="C16" s="90">
        <v>188</v>
      </c>
      <c r="D16" s="90">
        <v>110</v>
      </c>
      <c r="E16" s="90">
        <v>187</v>
      </c>
      <c r="F16" s="90" t="s">
        <v>210</v>
      </c>
      <c r="G16" s="49" t="s">
        <v>33</v>
      </c>
    </row>
    <row r="17" spans="1:7" x14ac:dyDescent="0.2">
      <c r="A17" s="90">
        <v>7</v>
      </c>
      <c r="B17" s="90">
        <v>107</v>
      </c>
      <c r="C17" s="90">
        <v>189</v>
      </c>
      <c r="D17" s="90">
        <v>111</v>
      </c>
      <c r="E17" s="90">
        <v>188</v>
      </c>
      <c r="F17" s="90" t="s">
        <v>210</v>
      </c>
      <c r="G17" s="49" t="s">
        <v>33</v>
      </c>
    </row>
    <row r="18" spans="1:7" x14ac:dyDescent="0.2">
      <c r="A18" s="90">
        <v>8</v>
      </c>
      <c r="B18" s="90">
        <v>108</v>
      </c>
      <c r="C18" s="90">
        <v>190</v>
      </c>
      <c r="D18" s="90">
        <v>112</v>
      </c>
      <c r="E18" s="90">
        <v>189</v>
      </c>
      <c r="F18" s="90" t="s">
        <v>210</v>
      </c>
      <c r="G18" s="49" t="s">
        <v>33</v>
      </c>
    </row>
    <row r="19" spans="1:7" x14ac:dyDescent="0.2">
      <c r="A19" s="90">
        <v>9</v>
      </c>
      <c r="B19" s="90">
        <v>109</v>
      </c>
      <c r="C19" s="90">
        <v>192</v>
      </c>
      <c r="D19" s="90">
        <v>113</v>
      </c>
      <c r="E19" s="90">
        <v>191</v>
      </c>
      <c r="F19" s="90" t="s">
        <v>210</v>
      </c>
      <c r="G19" s="49" t="s">
        <v>33</v>
      </c>
    </row>
    <row r="20" spans="1:7" x14ac:dyDescent="0.2">
      <c r="A20" s="90">
        <v>10</v>
      </c>
      <c r="B20" s="90">
        <v>110</v>
      </c>
      <c r="C20" s="90">
        <v>193</v>
      </c>
      <c r="D20" s="90">
        <v>114</v>
      </c>
      <c r="E20" s="90">
        <v>192</v>
      </c>
      <c r="F20" s="90" t="s">
        <v>210</v>
      </c>
      <c r="G20" s="49" t="s">
        <v>33</v>
      </c>
    </row>
    <row r="21" spans="1:7" x14ac:dyDescent="0.2">
      <c r="A21" s="90">
        <v>11</v>
      </c>
      <c r="B21" s="90">
        <v>111</v>
      </c>
      <c r="C21" s="90">
        <v>194</v>
      </c>
      <c r="D21" s="90">
        <v>115</v>
      </c>
      <c r="E21" s="90">
        <v>193</v>
      </c>
      <c r="F21" s="90" t="s">
        <v>210</v>
      </c>
      <c r="G21" s="49" t="s">
        <v>33</v>
      </c>
    </row>
    <row r="22" spans="1:7" x14ac:dyDescent="0.2">
      <c r="A22" s="90">
        <v>12</v>
      </c>
      <c r="B22" s="90">
        <v>112</v>
      </c>
      <c r="C22" s="90">
        <v>195</v>
      </c>
      <c r="D22" s="90">
        <v>116</v>
      </c>
      <c r="E22" s="90">
        <v>194</v>
      </c>
      <c r="F22" s="90" t="s">
        <v>210</v>
      </c>
      <c r="G22" s="49" t="s">
        <v>33</v>
      </c>
    </row>
    <row r="23" spans="1:7" x14ac:dyDescent="0.2">
      <c r="A23" s="90">
        <v>13</v>
      </c>
      <c r="B23" s="90">
        <v>113</v>
      </c>
      <c r="C23" s="90">
        <v>197</v>
      </c>
      <c r="D23" s="90">
        <v>117</v>
      </c>
      <c r="E23" s="90">
        <v>196</v>
      </c>
      <c r="F23" s="90" t="s">
        <v>210</v>
      </c>
      <c r="G23" s="49" t="s">
        <v>33</v>
      </c>
    </row>
    <row r="24" spans="1:7" x14ac:dyDescent="0.2">
      <c r="A24" s="90">
        <v>14</v>
      </c>
      <c r="B24" s="90">
        <v>114</v>
      </c>
      <c r="C24" s="90">
        <v>198</v>
      </c>
      <c r="D24" s="90">
        <v>118</v>
      </c>
      <c r="E24" s="90">
        <v>197</v>
      </c>
      <c r="F24" s="90" t="s">
        <v>210</v>
      </c>
      <c r="G24" s="49" t="s">
        <v>33</v>
      </c>
    </row>
    <row r="25" spans="1:7" x14ac:dyDescent="0.2">
      <c r="A25" s="90">
        <v>15</v>
      </c>
      <c r="B25" s="90">
        <v>115</v>
      </c>
      <c r="C25" s="90">
        <v>199</v>
      </c>
      <c r="D25" s="90">
        <v>119</v>
      </c>
      <c r="E25" s="90">
        <v>198</v>
      </c>
      <c r="F25" s="90" t="s">
        <v>210</v>
      </c>
      <c r="G25" s="49" t="s">
        <v>33</v>
      </c>
    </row>
    <row r="26" spans="1:7" x14ac:dyDescent="0.2">
      <c r="A26" s="90">
        <v>16</v>
      </c>
      <c r="B26" s="90">
        <v>116</v>
      </c>
      <c r="C26" s="90">
        <v>200</v>
      </c>
      <c r="D26" s="90">
        <v>120</v>
      </c>
      <c r="E26" s="90">
        <v>199</v>
      </c>
      <c r="F26" s="90" t="s">
        <v>210</v>
      </c>
      <c r="G26" s="49" t="s">
        <v>33</v>
      </c>
    </row>
    <row r="27" spans="1:7" x14ac:dyDescent="0.2">
      <c r="A27" s="90">
        <v>17</v>
      </c>
      <c r="B27" s="90">
        <v>121</v>
      </c>
      <c r="C27" s="90">
        <v>202</v>
      </c>
      <c r="D27" s="90">
        <v>125</v>
      </c>
      <c r="E27" s="90">
        <v>201</v>
      </c>
      <c r="F27" s="90" t="s">
        <v>210</v>
      </c>
      <c r="G27" s="49" t="s">
        <v>33</v>
      </c>
    </row>
    <row r="28" spans="1:7" x14ac:dyDescent="0.2">
      <c r="A28" s="90">
        <v>18</v>
      </c>
      <c r="B28" s="90">
        <v>122</v>
      </c>
      <c r="C28" s="90">
        <v>203</v>
      </c>
      <c r="D28" s="90">
        <v>126</v>
      </c>
      <c r="E28" s="90">
        <v>202</v>
      </c>
      <c r="F28" s="90" t="s">
        <v>210</v>
      </c>
      <c r="G28" s="49" t="s">
        <v>33</v>
      </c>
    </row>
    <row r="29" spans="1:7" x14ac:dyDescent="0.2">
      <c r="A29" s="90">
        <v>19</v>
      </c>
      <c r="B29" s="90">
        <v>123</v>
      </c>
      <c r="C29" s="90">
        <v>204</v>
      </c>
      <c r="D29" s="90">
        <v>127</v>
      </c>
      <c r="E29" s="90">
        <v>203</v>
      </c>
      <c r="F29" s="90" t="s">
        <v>210</v>
      </c>
      <c r="G29" s="49" t="s">
        <v>33</v>
      </c>
    </row>
    <row r="30" spans="1:7" x14ac:dyDescent="0.2">
      <c r="A30" s="90">
        <v>20</v>
      </c>
      <c r="B30" s="90">
        <v>124</v>
      </c>
      <c r="C30" s="90">
        <v>205</v>
      </c>
      <c r="D30" s="90">
        <v>128</v>
      </c>
      <c r="E30" s="90">
        <v>204</v>
      </c>
      <c r="F30" s="90" t="s">
        <v>210</v>
      </c>
      <c r="G30" s="49" t="s">
        <v>33</v>
      </c>
    </row>
    <row r="31" spans="1:7" x14ac:dyDescent="0.2">
      <c r="A31" s="90">
        <v>21</v>
      </c>
      <c r="B31" s="90">
        <v>125</v>
      </c>
      <c r="C31" s="90">
        <v>207</v>
      </c>
      <c r="D31" s="90">
        <v>129</v>
      </c>
      <c r="E31" s="90">
        <v>206</v>
      </c>
      <c r="F31" s="90" t="s">
        <v>210</v>
      </c>
      <c r="G31" s="49" t="s">
        <v>33</v>
      </c>
    </row>
    <row r="32" spans="1:7" x14ac:dyDescent="0.2">
      <c r="A32" s="90">
        <v>22</v>
      </c>
      <c r="B32" s="90">
        <v>126</v>
      </c>
      <c r="C32" s="90">
        <v>208</v>
      </c>
      <c r="D32" s="90">
        <v>130</v>
      </c>
      <c r="E32" s="90">
        <v>207</v>
      </c>
      <c r="F32" s="90" t="s">
        <v>210</v>
      </c>
      <c r="G32" s="49" t="s">
        <v>33</v>
      </c>
    </row>
    <row r="33" spans="1:7" x14ac:dyDescent="0.2">
      <c r="A33" s="90">
        <v>23</v>
      </c>
      <c r="B33" s="90">
        <v>127</v>
      </c>
      <c r="C33" s="90">
        <v>209</v>
      </c>
      <c r="D33" s="90">
        <v>131</v>
      </c>
      <c r="E33" s="90">
        <v>208</v>
      </c>
      <c r="F33" s="90" t="s">
        <v>210</v>
      </c>
      <c r="G33" s="49" t="s">
        <v>33</v>
      </c>
    </row>
    <row r="34" spans="1:7" x14ac:dyDescent="0.2">
      <c r="A34" s="90">
        <v>24</v>
      </c>
      <c r="B34" s="90">
        <v>128</v>
      </c>
      <c r="C34" s="90">
        <v>210</v>
      </c>
      <c r="D34" s="90">
        <v>132</v>
      </c>
      <c r="E34" s="90">
        <v>209</v>
      </c>
      <c r="F34" s="90" t="s">
        <v>210</v>
      </c>
      <c r="G34" s="49" t="s">
        <v>33</v>
      </c>
    </row>
    <row r="35" spans="1:7" x14ac:dyDescent="0.2">
      <c r="A35" s="90">
        <v>25</v>
      </c>
      <c r="B35" s="90">
        <v>129</v>
      </c>
      <c r="C35" s="90">
        <v>212</v>
      </c>
      <c r="D35" s="90">
        <v>133</v>
      </c>
      <c r="E35" s="90">
        <v>211</v>
      </c>
      <c r="F35" s="90" t="s">
        <v>210</v>
      </c>
      <c r="G35" s="49" t="s">
        <v>33</v>
      </c>
    </row>
    <row r="36" spans="1:7" x14ac:dyDescent="0.2">
      <c r="A36" s="90">
        <v>26</v>
      </c>
      <c r="B36" s="90">
        <v>130</v>
      </c>
      <c r="C36" s="90">
        <v>213</v>
      </c>
      <c r="D36" s="90">
        <v>134</v>
      </c>
      <c r="E36" s="90">
        <v>212</v>
      </c>
      <c r="F36" s="90" t="s">
        <v>210</v>
      </c>
      <c r="G36" s="49" t="s">
        <v>33</v>
      </c>
    </row>
    <row r="37" spans="1:7" x14ac:dyDescent="0.2">
      <c r="A37" s="90">
        <v>27</v>
      </c>
      <c r="B37" s="90">
        <v>131</v>
      </c>
      <c r="C37" s="90">
        <v>214</v>
      </c>
      <c r="D37" s="90">
        <v>135</v>
      </c>
      <c r="E37" s="90">
        <v>213</v>
      </c>
      <c r="F37" s="90" t="s">
        <v>210</v>
      </c>
      <c r="G37" s="49" t="s">
        <v>33</v>
      </c>
    </row>
    <row r="38" spans="1:7" x14ac:dyDescent="0.2">
      <c r="A38" s="90">
        <v>28</v>
      </c>
      <c r="B38" s="90">
        <v>132</v>
      </c>
      <c r="C38" s="90">
        <v>215</v>
      </c>
      <c r="D38" s="90">
        <v>136</v>
      </c>
      <c r="E38" s="90">
        <v>214</v>
      </c>
      <c r="F38" s="90" t="s">
        <v>210</v>
      </c>
      <c r="G38" s="49" t="s">
        <v>33</v>
      </c>
    </row>
    <row r="39" spans="1:7" x14ac:dyDescent="0.2">
      <c r="A39" s="90">
        <v>29</v>
      </c>
      <c r="B39" s="90">
        <v>133</v>
      </c>
      <c r="C39" s="90">
        <v>217</v>
      </c>
      <c r="D39" s="90">
        <v>137</v>
      </c>
      <c r="E39" s="90">
        <v>216</v>
      </c>
      <c r="F39" s="90" t="s">
        <v>210</v>
      </c>
      <c r="G39" s="49" t="s">
        <v>33</v>
      </c>
    </row>
    <row r="40" spans="1:7" x14ac:dyDescent="0.2">
      <c r="A40" s="90">
        <v>30</v>
      </c>
      <c r="B40" s="90">
        <v>134</v>
      </c>
      <c r="C40" s="90">
        <v>218</v>
      </c>
      <c r="D40" s="90">
        <v>138</v>
      </c>
      <c r="E40" s="90">
        <v>217</v>
      </c>
      <c r="F40" s="90" t="s">
        <v>210</v>
      </c>
      <c r="G40" s="49" t="s">
        <v>33</v>
      </c>
    </row>
    <row r="41" spans="1:7" x14ac:dyDescent="0.2">
      <c r="A41" s="90">
        <v>31</v>
      </c>
      <c r="B41" s="90">
        <v>135</v>
      </c>
      <c r="C41" s="90">
        <v>219</v>
      </c>
      <c r="D41" s="90">
        <v>139</v>
      </c>
      <c r="E41" s="90">
        <v>218</v>
      </c>
      <c r="F41" s="90" t="s">
        <v>210</v>
      </c>
      <c r="G41" s="49" t="s">
        <v>33</v>
      </c>
    </row>
    <row r="42" spans="1:7" x14ac:dyDescent="0.2">
      <c r="A42" s="90">
        <v>32</v>
      </c>
      <c r="B42" s="90">
        <v>136</v>
      </c>
      <c r="C42" s="90">
        <v>220</v>
      </c>
      <c r="D42" s="90">
        <v>140</v>
      </c>
      <c r="E42" s="90">
        <v>219</v>
      </c>
      <c r="F42" s="90" t="s">
        <v>210</v>
      </c>
      <c r="G42" s="49" t="s">
        <v>33</v>
      </c>
    </row>
    <row r="43" spans="1:7" x14ac:dyDescent="0.2">
      <c r="A43" s="90">
        <v>33</v>
      </c>
      <c r="B43" s="90">
        <v>141</v>
      </c>
      <c r="C43" s="90">
        <v>222</v>
      </c>
      <c r="D43" s="90">
        <v>145</v>
      </c>
      <c r="E43" s="90">
        <v>221</v>
      </c>
      <c r="F43" s="90" t="s">
        <v>210</v>
      </c>
      <c r="G43" s="49" t="s">
        <v>33</v>
      </c>
    </row>
    <row r="44" spans="1:7" x14ac:dyDescent="0.2">
      <c r="A44" s="90">
        <v>34</v>
      </c>
      <c r="B44" s="90">
        <v>142</v>
      </c>
      <c r="C44" s="90">
        <v>223</v>
      </c>
      <c r="D44" s="90">
        <v>146</v>
      </c>
      <c r="E44" s="90">
        <v>222</v>
      </c>
      <c r="F44" s="90" t="s">
        <v>210</v>
      </c>
      <c r="G44" s="49" t="s">
        <v>33</v>
      </c>
    </row>
    <row r="45" spans="1:7" x14ac:dyDescent="0.2">
      <c r="A45" s="90">
        <v>35</v>
      </c>
      <c r="B45" s="90">
        <v>143</v>
      </c>
      <c r="C45" s="90">
        <v>224</v>
      </c>
      <c r="D45" s="90">
        <v>147</v>
      </c>
      <c r="E45" s="90">
        <v>223</v>
      </c>
      <c r="F45" s="90" t="s">
        <v>210</v>
      </c>
      <c r="G45" s="49" t="s">
        <v>33</v>
      </c>
    </row>
    <row r="46" spans="1:7" x14ac:dyDescent="0.2">
      <c r="A46" s="90">
        <v>36</v>
      </c>
      <c r="B46" s="90">
        <v>144</v>
      </c>
      <c r="C46" s="90">
        <v>225</v>
      </c>
      <c r="D46" s="90">
        <v>148</v>
      </c>
      <c r="E46" s="90">
        <v>224</v>
      </c>
      <c r="F46" s="90" t="s">
        <v>210</v>
      </c>
      <c r="G46" s="49" t="s">
        <v>33</v>
      </c>
    </row>
    <row r="47" spans="1:7" x14ac:dyDescent="0.2">
      <c r="A47" s="90">
        <v>37</v>
      </c>
      <c r="B47" s="90">
        <v>145</v>
      </c>
      <c r="C47" s="90">
        <v>227</v>
      </c>
      <c r="D47" s="90">
        <v>149</v>
      </c>
      <c r="E47" s="90">
        <v>226</v>
      </c>
      <c r="F47" s="90" t="s">
        <v>210</v>
      </c>
      <c r="G47" s="49" t="s">
        <v>33</v>
      </c>
    </row>
    <row r="48" spans="1:7" x14ac:dyDescent="0.2">
      <c r="A48" s="90">
        <v>38</v>
      </c>
      <c r="B48" s="90">
        <v>146</v>
      </c>
      <c r="C48" s="90">
        <v>228</v>
      </c>
      <c r="D48" s="90">
        <v>150</v>
      </c>
      <c r="E48" s="90">
        <v>227</v>
      </c>
      <c r="F48" s="90" t="s">
        <v>210</v>
      </c>
      <c r="G48" s="49" t="s">
        <v>33</v>
      </c>
    </row>
    <row r="49" spans="1:7" x14ac:dyDescent="0.2">
      <c r="A49" s="90">
        <v>39</v>
      </c>
      <c r="B49" s="90">
        <v>147</v>
      </c>
      <c r="C49" s="90">
        <v>229</v>
      </c>
      <c r="D49" s="90">
        <v>151</v>
      </c>
      <c r="E49" s="90">
        <v>228</v>
      </c>
      <c r="F49" s="90" t="s">
        <v>210</v>
      </c>
      <c r="G49" s="49" t="s">
        <v>33</v>
      </c>
    </row>
    <row r="50" spans="1:7" x14ac:dyDescent="0.2">
      <c r="A50" s="90">
        <v>40</v>
      </c>
      <c r="B50" s="90">
        <v>148</v>
      </c>
      <c r="C50" s="90">
        <v>230</v>
      </c>
      <c r="D50" s="90">
        <v>152</v>
      </c>
      <c r="E50" s="90">
        <v>229</v>
      </c>
      <c r="F50" s="90" t="s">
        <v>210</v>
      </c>
      <c r="G50" s="49" t="s">
        <v>33</v>
      </c>
    </row>
    <row r="51" spans="1:7" x14ac:dyDescent="0.2">
      <c r="A51" s="90">
        <v>41</v>
      </c>
      <c r="B51" s="90">
        <v>149</v>
      </c>
      <c r="C51" s="90">
        <v>232</v>
      </c>
      <c r="D51" s="90">
        <v>153</v>
      </c>
      <c r="E51" s="90">
        <v>231</v>
      </c>
      <c r="F51" s="90" t="s">
        <v>210</v>
      </c>
      <c r="G51" s="49" t="s">
        <v>33</v>
      </c>
    </row>
    <row r="52" spans="1:7" x14ac:dyDescent="0.2">
      <c r="A52" s="90">
        <v>42</v>
      </c>
      <c r="B52" s="90">
        <v>150</v>
      </c>
      <c r="C52" s="90">
        <v>233</v>
      </c>
      <c r="D52" s="90">
        <v>154</v>
      </c>
      <c r="E52" s="90">
        <v>232</v>
      </c>
      <c r="F52" s="90" t="s">
        <v>210</v>
      </c>
      <c r="G52" s="49" t="s">
        <v>33</v>
      </c>
    </row>
    <row r="53" spans="1:7" x14ac:dyDescent="0.2">
      <c r="A53" s="90">
        <v>43</v>
      </c>
      <c r="B53" s="90">
        <v>151</v>
      </c>
      <c r="C53" s="90">
        <v>234</v>
      </c>
      <c r="D53" s="90">
        <v>155</v>
      </c>
      <c r="E53" s="90">
        <v>233</v>
      </c>
      <c r="F53" s="90" t="s">
        <v>210</v>
      </c>
      <c r="G53" s="49" t="s">
        <v>33</v>
      </c>
    </row>
    <row r="54" spans="1:7" x14ac:dyDescent="0.2">
      <c r="A54" s="90">
        <v>44</v>
      </c>
      <c r="B54" s="90">
        <v>152</v>
      </c>
      <c r="C54" s="90">
        <v>235</v>
      </c>
      <c r="D54" s="90">
        <v>156</v>
      </c>
      <c r="E54" s="90">
        <v>234</v>
      </c>
      <c r="F54" s="90" t="s">
        <v>210</v>
      </c>
      <c r="G54" s="49" t="s">
        <v>33</v>
      </c>
    </row>
    <row r="55" spans="1:7" x14ac:dyDescent="0.2">
      <c r="A55" s="90">
        <v>45</v>
      </c>
      <c r="B55" s="90">
        <v>153</v>
      </c>
      <c r="C55" s="90">
        <v>237</v>
      </c>
      <c r="D55" s="90">
        <v>157</v>
      </c>
      <c r="E55" s="90">
        <v>236</v>
      </c>
      <c r="F55" s="90" t="s">
        <v>210</v>
      </c>
      <c r="G55" s="49" t="s">
        <v>33</v>
      </c>
    </row>
    <row r="56" spans="1:7" x14ac:dyDescent="0.2">
      <c r="A56" s="90">
        <v>46</v>
      </c>
      <c r="B56" s="90">
        <v>154</v>
      </c>
      <c r="C56" s="90">
        <v>238</v>
      </c>
      <c r="D56" s="90">
        <v>158</v>
      </c>
      <c r="E56" s="90">
        <v>237</v>
      </c>
      <c r="F56" s="90" t="s">
        <v>210</v>
      </c>
      <c r="G56" s="49" t="s">
        <v>33</v>
      </c>
    </row>
    <row r="57" spans="1:7" x14ac:dyDescent="0.2">
      <c r="A57" s="90">
        <v>47</v>
      </c>
      <c r="B57" s="90">
        <v>155</v>
      </c>
      <c r="C57" s="90">
        <v>239</v>
      </c>
      <c r="D57" s="90">
        <v>159</v>
      </c>
      <c r="E57" s="90">
        <v>238</v>
      </c>
      <c r="F57" s="90" t="s">
        <v>210</v>
      </c>
      <c r="G57" s="49" t="s">
        <v>33</v>
      </c>
    </row>
    <row r="58" spans="1:7" x14ac:dyDescent="0.2">
      <c r="A58" s="90">
        <v>48</v>
      </c>
      <c r="B58" s="90">
        <v>156</v>
      </c>
      <c r="C58" s="90">
        <v>240</v>
      </c>
      <c r="D58" s="90">
        <v>160</v>
      </c>
      <c r="E58" s="90">
        <v>239</v>
      </c>
      <c r="F58" s="90" t="s">
        <v>210</v>
      </c>
      <c r="G58" s="49" t="s">
        <v>33</v>
      </c>
    </row>
    <row r="59" spans="1:7" x14ac:dyDescent="0.2">
      <c r="A59" s="90">
        <v>49</v>
      </c>
      <c r="B59" s="90">
        <v>161</v>
      </c>
      <c r="C59" s="90">
        <v>242</v>
      </c>
      <c r="D59" s="90">
        <v>165</v>
      </c>
      <c r="E59" s="90">
        <v>241</v>
      </c>
      <c r="F59" s="90" t="s">
        <v>210</v>
      </c>
      <c r="G59" s="49" t="s">
        <v>33</v>
      </c>
    </row>
    <row r="60" spans="1:7" x14ac:dyDescent="0.2">
      <c r="A60" s="90">
        <v>50</v>
      </c>
      <c r="B60" s="90">
        <v>162</v>
      </c>
      <c r="C60" s="90">
        <v>243</v>
      </c>
      <c r="D60" s="90">
        <v>166</v>
      </c>
      <c r="E60" s="90">
        <v>242</v>
      </c>
      <c r="F60" s="90" t="s">
        <v>210</v>
      </c>
      <c r="G60" s="49" t="s">
        <v>33</v>
      </c>
    </row>
    <row r="61" spans="1:7" x14ac:dyDescent="0.2">
      <c r="A61" s="90">
        <v>51</v>
      </c>
      <c r="B61" s="90">
        <v>163</v>
      </c>
      <c r="C61" s="90">
        <v>244</v>
      </c>
      <c r="D61" s="90">
        <v>167</v>
      </c>
      <c r="E61" s="90">
        <v>243</v>
      </c>
      <c r="F61" s="90" t="s">
        <v>210</v>
      </c>
      <c r="G61" s="49" t="s">
        <v>33</v>
      </c>
    </row>
    <row r="62" spans="1:7" x14ac:dyDescent="0.2">
      <c r="A62" s="90">
        <v>52</v>
      </c>
      <c r="B62" s="90">
        <v>164</v>
      </c>
      <c r="C62" s="90">
        <v>245</v>
      </c>
      <c r="D62" s="90">
        <v>168</v>
      </c>
      <c r="E62" s="90">
        <v>244</v>
      </c>
      <c r="F62" s="90" t="s">
        <v>210</v>
      </c>
      <c r="G62" s="49" t="s">
        <v>33</v>
      </c>
    </row>
    <row r="63" spans="1:7" x14ac:dyDescent="0.2">
      <c r="A63" s="90">
        <v>53</v>
      </c>
      <c r="B63" s="90">
        <v>165</v>
      </c>
      <c r="C63" s="90">
        <v>247</v>
      </c>
      <c r="D63" s="90">
        <v>169</v>
      </c>
      <c r="E63" s="90">
        <v>246</v>
      </c>
      <c r="F63" s="90" t="s">
        <v>210</v>
      </c>
      <c r="G63" s="49" t="s">
        <v>33</v>
      </c>
    </row>
    <row r="64" spans="1:7" x14ac:dyDescent="0.2">
      <c r="A64" s="90">
        <v>54</v>
      </c>
      <c r="B64" s="90">
        <v>166</v>
      </c>
      <c r="C64" s="90">
        <v>248</v>
      </c>
      <c r="D64" s="90">
        <v>170</v>
      </c>
      <c r="E64" s="90">
        <v>247</v>
      </c>
      <c r="F64" s="90" t="s">
        <v>210</v>
      </c>
      <c r="G64" s="49" t="s">
        <v>33</v>
      </c>
    </row>
    <row r="65" spans="1:7" x14ac:dyDescent="0.2">
      <c r="A65" s="90">
        <v>55</v>
      </c>
      <c r="B65" s="90">
        <v>167</v>
      </c>
      <c r="C65" s="90">
        <v>249</v>
      </c>
      <c r="D65" s="90">
        <v>171</v>
      </c>
      <c r="E65" s="90">
        <v>248</v>
      </c>
      <c r="F65" s="90" t="s">
        <v>210</v>
      </c>
      <c r="G65" s="49" t="s">
        <v>33</v>
      </c>
    </row>
    <row r="66" spans="1:7" x14ac:dyDescent="0.2">
      <c r="A66" s="90">
        <v>56</v>
      </c>
      <c r="B66" s="90">
        <v>168</v>
      </c>
      <c r="C66" s="90">
        <v>250</v>
      </c>
      <c r="D66" s="90">
        <v>172</v>
      </c>
      <c r="E66" s="90">
        <v>249</v>
      </c>
      <c r="F66" s="90" t="s">
        <v>210</v>
      </c>
      <c r="G66" s="49" t="s">
        <v>33</v>
      </c>
    </row>
    <row r="67" spans="1:7" x14ac:dyDescent="0.2">
      <c r="A67" s="90">
        <v>57</v>
      </c>
      <c r="B67" s="90">
        <v>169</v>
      </c>
      <c r="C67" s="90">
        <v>252</v>
      </c>
      <c r="D67" s="90">
        <v>173</v>
      </c>
      <c r="E67" s="90">
        <v>251</v>
      </c>
      <c r="F67" s="90" t="s">
        <v>210</v>
      </c>
      <c r="G67" s="49" t="s">
        <v>33</v>
      </c>
    </row>
    <row r="68" spans="1:7" x14ac:dyDescent="0.2">
      <c r="A68" s="90">
        <v>58</v>
      </c>
      <c r="B68" s="90">
        <v>170</v>
      </c>
      <c r="C68" s="90">
        <v>253</v>
      </c>
      <c r="D68" s="90">
        <v>174</v>
      </c>
      <c r="E68" s="90">
        <v>252</v>
      </c>
      <c r="F68" s="90" t="s">
        <v>210</v>
      </c>
      <c r="G68" s="49" t="s">
        <v>33</v>
      </c>
    </row>
    <row r="69" spans="1:7" x14ac:dyDescent="0.2">
      <c r="A69" s="90">
        <v>59</v>
      </c>
      <c r="B69" s="90">
        <v>171</v>
      </c>
      <c r="C69" s="90">
        <v>254</v>
      </c>
      <c r="D69" s="90">
        <v>175</v>
      </c>
      <c r="E69" s="90">
        <v>253</v>
      </c>
      <c r="F69" s="90" t="s">
        <v>210</v>
      </c>
      <c r="G69" s="49" t="s">
        <v>33</v>
      </c>
    </row>
    <row r="70" spans="1:7" x14ac:dyDescent="0.2">
      <c r="A70" s="90">
        <v>60</v>
      </c>
      <c r="B70" s="90">
        <v>172</v>
      </c>
      <c r="C70" s="90">
        <v>255</v>
      </c>
      <c r="D70" s="90">
        <v>176</v>
      </c>
      <c r="E70" s="90">
        <v>254</v>
      </c>
      <c r="F70" s="90" t="s">
        <v>210</v>
      </c>
      <c r="G70" s="49" t="s">
        <v>33</v>
      </c>
    </row>
    <row r="71" spans="1:7" x14ac:dyDescent="0.2">
      <c r="A71" s="90">
        <v>61</v>
      </c>
      <c r="B71" s="90">
        <v>173</v>
      </c>
      <c r="C71" s="90">
        <v>257</v>
      </c>
      <c r="D71" s="90">
        <v>177</v>
      </c>
      <c r="E71" s="90">
        <v>256</v>
      </c>
      <c r="F71" s="90" t="s">
        <v>210</v>
      </c>
      <c r="G71" s="49" t="s">
        <v>33</v>
      </c>
    </row>
    <row r="72" spans="1:7" x14ac:dyDescent="0.2">
      <c r="A72" s="90">
        <v>62</v>
      </c>
      <c r="B72" s="90">
        <v>174</v>
      </c>
      <c r="C72" s="90">
        <v>258</v>
      </c>
      <c r="D72" s="90">
        <v>178</v>
      </c>
      <c r="E72" s="90">
        <v>257</v>
      </c>
      <c r="F72" s="90" t="s">
        <v>210</v>
      </c>
      <c r="G72" s="49" t="s">
        <v>33</v>
      </c>
    </row>
    <row r="73" spans="1:7" x14ac:dyDescent="0.2">
      <c r="A73" s="90">
        <v>63</v>
      </c>
      <c r="B73" s="90">
        <v>175</v>
      </c>
      <c r="C73" s="90">
        <v>259</v>
      </c>
      <c r="D73" s="90">
        <v>179</v>
      </c>
      <c r="E73" s="90">
        <v>258</v>
      </c>
      <c r="F73" s="90" t="s">
        <v>210</v>
      </c>
      <c r="G73" s="49" t="s">
        <v>33</v>
      </c>
    </row>
    <row r="74" spans="1:7" x14ac:dyDescent="0.2">
      <c r="A74" s="90">
        <v>64</v>
      </c>
      <c r="B74" s="90">
        <v>176</v>
      </c>
      <c r="C74" s="90">
        <v>260</v>
      </c>
      <c r="D74" s="90">
        <v>180</v>
      </c>
      <c r="E74" s="90">
        <v>259</v>
      </c>
      <c r="F74" s="90" t="s">
        <v>210</v>
      </c>
      <c r="G74" s="49" t="s">
        <v>33</v>
      </c>
    </row>
  </sheetData>
  <dataConsolidate/>
  <phoneticPr fontId="14" type="noConversion"/>
  <dataValidations count="4">
    <dataValidation type="list" allowBlank="1" showInputMessage="1" showErrorMessage="1" sqref="B11:E1048576" xr:uid="{2D2B40EF-3959-1546-B90E-585F3B0C8E8B}">
      <formula1>Element_ID</formula1>
    </dataValidation>
    <dataValidation type="textLength" allowBlank="1" showInputMessage="1" showErrorMessage="1" errorTitle="Invalid Input" error="Please enter maximum 15 characters only." sqref="A11:A1048576" xr:uid="{6E127076-62AF-4999-82FA-49A3F9B1A689}">
      <formula1>1</formula1>
      <formula2>12</formula2>
    </dataValidation>
    <dataValidation type="list" showInputMessage="1" showErrorMessage="1" errorTitle="Invalid Input" error="Choose from the list" sqref="G11:G1048576" xr:uid="{807FD145-CB18-4AA0-A036-A79F366A0216}">
      <formula1>Slab_Sec</formula1>
    </dataValidation>
    <dataValidation type="list" showInputMessage="1" showErrorMessage="1" errorTitle="Invalid Input" error="Choose from the list" sqref="F11:F1048576" xr:uid="{37F96865-3907-43D8-94D1-459D406C1734}">
      <formula1>Ele_Type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9970-6793-2341-90F0-27B7AA76C867}">
  <sheetPr codeName="Sheet18"/>
  <dimension ref="A1:I35"/>
  <sheetViews>
    <sheetView zoomScale="130" zoomScaleNormal="130" workbookViewId="0">
      <selection activeCell="A13" sqref="A13"/>
    </sheetView>
  </sheetViews>
  <sheetFormatPr baseColWidth="10" defaultColWidth="10.83203125" defaultRowHeight="16" x14ac:dyDescent="0.2"/>
  <cols>
    <col min="1" max="1" width="15.6640625" style="1" customWidth="1"/>
    <col min="2" max="7" width="10.6640625" style="1" customWidth="1"/>
    <col min="8" max="16384" width="10.83203125" style="2"/>
  </cols>
  <sheetData>
    <row r="1" spans="1:9" x14ac:dyDescent="0.2">
      <c r="A1" s="26" t="s">
        <v>101</v>
      </c>
      <c r="B1" s="32"/>
      <c r="C1" s="32"/>
      <c r="D1" s="32"/>
      <c r="E1" s="32"/>
      <c r="F1" s="32"/>
      <c r="G1" s="32"/>
      <c r="H1" s="108"/>
      <c r="I1" s="33"/>
    </row>
    <row r="2" spans="1:9" x14ac:dyDescent="0.2">
      <c r="A2" s="217" t="s">
        <v>320</v>
      </c>
      <c r="B2" s="34"/>
      <c r="C2" s="34"/>
      <c r="D2" s="34"/>
      <c r="E2" s="34"/>
      <c r="F2" s="34"/>
      <c r="G2" s="34"/>
      <c r="H2" s="107"/>
      <c r="I2" s="35"/>
    </row>
    <row r="3" spans="1:9" x14ac:dyDescent="0.2">
      <c r="A3" s="117" t="s">
        <v>191</v>
      </c>
      <c r="B3" s="34"/>
      <c r="C3" s="34"/>
      <c r="D3" s="34"/>
      <c r="E3" s="34"/>
      <c r="F3" s="34"/>
      <c r="G3" s="34"/>
      <c r="H3" s="107"/>
      <c r="I3" s="35"/>
    </row>
    <row r="4" spans="1:9" x14ac:dyDescent="0.2">
      <c r="A4" s="117" t="s">
        <v>192</v>
      </c>
      <c r="B4" s="34"/>
      <c r="C4" s="34"/>
      <c r="D4" s="34"/>
      <c r="E4" s="34"/>
      <c r="F4" s="34"/>
      <c r="G4" s="34"/>
      <c r="H4" s="107"/>
      <c r="I4" s="35"/>
    </row>
    <row r="5" spans="1:9" x14ac:dyDescent="0.2">
      <c r="A5" s="117" t="s">
        <v>193</v>
      </c>
      <c r="B5" s="34"/>
      <c r="C5" s="34"/>
      <c r="D5" s="34"/>
      <c r="E5" s="34"/>
      <c r="F5" s="34"/>
      <c r="G5" s="34"/>
      <c r="H5" s="107"/>
      <c r="I5" s="35"/>
    </row>
    <row r="6" spans="1:9" x14ac:dyDescent="0.2">
      <c r="A6" s="117" t="s">
        <v>194</v>
      </c>
      <c r="B6" s="34"/>
      <c r="C6" s="34"/>
      <c r="D6" s="34"/>
      <c r="E6" s="34"/>
      <c r="F6" s="34"/>
      <c r="G6" s="34"/>
      <c r="H6" s="107"/>
      <c r="I6" s="35"/>
    </row>
    <row r="7" spans="1:9" x14ac:dyDescent="0.2">
      <c r="A7" s="117" t="s">
        <v>195</v>
      </c>
      <c r="B7" s="34"/>
      <c r="C7" s="34"/>
      <c r="D7" s="34"/>
      <c r="E7" s="34"/>
      <c r="F7" s="34"/>
      <c r="G7" s="34"/>
      <c r="H7" s="107"/>
      <c r="I7" s="35"/>
    </row>
    <row r="8" spans="1:9" x14ac:dyDescent="0.2">
      <c r="A8" s="118" t="s">
        <v>196</v>
      </c>
      <c r="B8" s="36"/>
      <c r="C8" s="36"/>
      <c r="D8" s="36"/>
      <c r="E8" s="36"/>
      <c r="F8" s="36"/>
      <c r="G8" s="36"/>
      <c r="H8" s="109"/>
      <c r="I8" s="37"/>
    </row>
    <row r="9" spans="1:9" x14ac:dyDescent="0.2">
      <c r="A9" s="27"/>
    </row>
    <row r="10" spans="1:9" s="4" customFormat="1" x14ac:dyDescent="0.2">
      <c r="A10" s="24" t="s">
        <v>319</v>
      </c>
      <c r="B10" s="25" t="s">
        <v>40</v>
      </c>
      <c r="C10" s="25" t="s">
        <v>41</v>
      </c>
      <c r="D10" s="25" t="s">
        <v>42</v>
      </c>
      <c r="E10" s="25" t="s">
        <v>43</v>
      </c>
      <c r="F10" s="25" t="s">
        <v>44</v>
      </c>
      <c r="G10" s="25" t="s">
        <v>45</v>
      </c>
    </row>
    <row r="11" spans="1:9" x14ac:dyDescent="0.2">
      <c r="A11" s="1">
        <v>1</v>
      </c>
      <c r="B11" s="1">
        <v>1</v>
      </c>
      <c r="C11" s="1">
        <v>1</v>
      </c>
      <c r="D11" s="1">
        <v>1</v>
      </c>
      <c r="E11" s="1">
        <v>1</v>
      </c>
      <c r="F11" s="1">
        <v>1</v>
      </c>
      <c r="G11" s="1">
        <v>1</v>
      </c>
    </row>
    <row r="12" spans="1:9" x14ac:dyDescent="0.2">
      <c r="A12" s="1">
        <v>2</v>
      </c>
      <c r="B12" s="1">
        <v>1</v>
      </c>
      <c r="C12" s="1">
        <v>1</v>
      </c>
      <c r="D12" s="1">
        <v>1</v>
      </c>
      <c r="E12" s="1">
        <v>1</v>
      </c>
      <c r="F12" s="1">
        <v>1</v>
      </c>
      <c r="G12" s="1">
        <v>1</v>
      </c>
    </row>
    <row r="13" spans="1:9" x14ac:dyDescent="0.2">
      <c r="A13" s="1">
        <v>3</v>
      </c>
      <c r="B13" s="1">
        <v>1</v>
      </c>
      <c r="C13" s="1">
        <v>1</v>
      </c>
      <c r="D13" s="1">
        <v>1</v>
      </c>
      <c r="E13" s="1">
        <v>1</v>
      </c>
      <c r="F13" s="1">
        <v>1</v>
      </c>
      <c r="G13" s="1">
        <v>1</v>
      </c>
    </row>
    <row r="14" spans="1:9" x14ac:dyDescent="0.2">
      <c r="A14" s="1">
        <v>4</v>
      </c>
      <c r="B14" s="1">
        <v>1</v>
      </c>
      <c r="C14" s="1">
        <v>1</v>
      </c>
      <c r="D14" s="1">
        <v>1</v>
      </c>
      <c r="E14" s="1">
        <v>1</v>
      </c>
      <c r="F14" s="1">
        <v>1</v>
      </c>
      <c r="G14" s="1">
        <v>1</v>
      </c>
    </row>
    <row r="15" spans="1:9" x14ac:dyDescent="0.2">
      <c r="A15" s="1">
        <v>5</v>
      </c>
      <c r="B15" s="1">
        <v>1</v>
      </c>
      <c r="C15" s="1">
        <v>1</v>
      </c>
      <c r="D15" s="1">
        <v>1</v>
      </c>
      <c r="E15" s="1">
        <v>1</v>
      </c>
      <c r="F15" s="1">
        <v>1</v>
      </c>
      <c r="G15" s="1">
        <v>1</v>
      </c>
    </row>
    <row r="16" spans="1:9" x14ac:dyDescent="0.2">
      <c r="A16" s="1">
        <v>6</v>
      </c>
      <c r="B16" s="1">
        <v>1</v>
      </c>
      <c r="C16" s="1">
        <v>1</v>
      </c>
      <c r="D16" s="1">
        <v>1</v>
      </c>
      <c r="E16" s="1">
        <v>1</v>
      </c>
      <c r="F16" s="1">
        <v>1</v>
      </c>
      <c r="G16" s="1">
        <v>1</v>
      </c>
    </row>
    <row r="17" spans="1:7" x14ac:dyDescent="0.2">
      <c r="A17" s="1">
        <v>7</v>
      </c>
      <c r="B17" s="1">
        <v>1</v>
      </c>
      <c r="C17" s="1">
        <v>1</v>
      </c>
      <c r="D17" s="1">
        <v>1</v>
      </c>
      <c r="E17" s="1">
        <v>1</v>
      </c>
      <c r="F17" s="1">
        <v>1</v>
      </c>
      <c r="G17" s="1">
        <v>1</v>
      </c>
    </row>
    <row r="18" spans="1:7" x14ac:dyDescent="0.2">
      <c r="A18" s="1">
        <v>8</v>
      </c>
      <c r="B18" s="1">
        <v>1</v>
      </c>
      <c r="C18" s="1">
        <v>1</v>
      </c>
      <c r="D18" s="1">
        <v>1</v>
      </c>
      <c r="E18" s="1">
        <v>1</v>
      </c>
      <c r="F18" s="1">
        <v>1</v>
      </c>
      <c r="G18" s="1">
        <v>1</v>
      </c>
    </row>
    <row r="19" spans="1:7" x14ac:dyDescent="0.2">
      <c r="A19" s="1">
        <v>9</v>
      </c>
      <c r="B19" s="1">
        <v>1</v>
      </c>
      <c r="C19" s="1">
        <v>1</v>
      </c>
      <c r="D19" s="1">
        <v>1</v>
      </c>
      <c r="E19" s="1">
        <v>1</v>
      </c>
      <c r="F19" s="1">
        <v>1</v>
      </c>
      <c r="G19" s="1">
        <v>1</v>
      </c>
    </row>
    <row r="20" spans="1:7" x14ac:dyDescent="0.2">
      <c r="A20" s="1">
        <v>10</v>
      </c>
      <c r="B20" s="1">
        <v>1</v>
      </c>
      <c r="C20" s="1">
        <v>1</v>
      </c>
      <c r="D20" s="1">
        <v>1</v>
      </c>
      <c r="E20" s="1">
        <v>1</v>
      </c>
      <c r="F20" s="1">
        <v>1</v>
      </c>
      <c r="G20" s="1">
        <v>1</v>
      </c>
    </row>
    <row r="21" spans="1:7" x14ac:dyDescent="0.2">
      <c r="A21" s="1">
        <v>11</v>
      </c>
      <c r="B21" s="1">
        <v>1</v>
      </c>
      <c r="C21" s="1">
        <v>1</v>
      </c>
      <c r="D21" s="1">
        <v>1</v>
      </c>
      <c r="E21" s="1">
        <v>1</v>
      </c>
      <c r="F21" s="1">
        <v>1</v>
      </c>
      <c r="G21" s="1">
        <v>1</v>
      </c>
    </row>
    <row r="22" spans="1:7" x14ac:dyDescent="0.2">
      <c r="A22" s="1">
        <v>12</v>
      </c>
      <c r="B22" s="1">
        <v>1</v>
      </c>
      <c r="C22" s="1">
        <v>1</v>
      </c>
      <c r="D22" s="1">
        <v>1</v>
      </c>
      <c r="E22" s="1">
        <v>1</v>
      </c>
      <c r="F22" s="1">
        <v>1</v>
      </c>
      <c r="G22" s="1">
        <v>1</v>
      </c>
    </row>
    <row r="23" spans="1:7" x14ac:dyDescent="0.2">
      <c r="A23" s="1">
        <v>13</v>
      </c>
      <c r="B23" s="1">
        <v>1</v>
      </c>
      <c r="C23" s="1">
        <v>1</v>
      </c>
      <c r="D23" s="1">
        <v>1</v>
      </c>
      <c r="E23" s="1">
        <v>1</v>
      </c>
      <c r="F23" s="1">
        <v>1</v>
      </c>
      <c r="G23" s="1">
        <v>1</v>
      </c>
    </row>
    <row r="24" spans="1:7" x14ac:dyDescent="0.2">
      <c r="A24" s="1">
        <v>14</v>
      </c>
      <c r="B24" s="1">
        <v>1</v>
      </c>
      <c r="C24" s="1">
        <v>1</v>
      </c>
      <c r="D24" s="1">
        <v>1</v>
      </c>
      <c r="E24" s="1">
        <v>1</v>
      </c>
      <c r="F24" s="1">
        <v>1</v>
      </c>
      <c r="G24" s="1">
        <v>1</v>
      </c>
    </row>
    <row r="25" spans="1:7" x14ac:dyDescent="0.2">
      <c r="A25" s="1">
        <v>15</v>
      </c>
      <c r="B25" s="1">
        <v>1</v>
      </c>
      <c r="C25" s="1">
        <v>1</v>
      </c>
      <c r="D25" s="1">
        <v>1</v>
      </c>
      <c r="E25" s="1">
        <v>1</v>
      </c>
      <c r="F25" s="1">
        <v>1</v>
      </c>
      <c r="G25" s="1">
        <v>1</v>
      </c>
    </row>
    <row r="26" spans="1:7" x14ac:dyDescent="0.2">
      <c r="A26" s="1">
        <v>16</v>
      </c>
      <c r="B26" s="1">
        <v>1</v>
      </c>
      <c r="C26" s="1">
        <v>1</v>
      </c>
      <c r="D26" s="1">
        <v>1</v>
      </c>
      <c r="E26" s="1">
        <v>1</v>
      </c>
      <c r="F26" s="1">
        <v>1</v>
      </c>
      <c r="G26" s="1">
        <v>1</v>
      </c>
    </row>
    <row r="27" spans="1:7" x14ac:dyDescent="0.2">
      <c r="A27" s="1">
        <v>17</v>
      </c>
      <c r="B27" s="1">
        <v>1</v>
      </c>
      <c r="C27" s="1">
        <v>1</v>
      </c>
      <c r="D27" s="1">
        <v>1</v>
      </c>
      <c r="E27" s="1">
        <v>1</v>
      </c>
      <c r="F27" s="1">
        <v>1</v>
      </c>
      <c r="G27" s="1">
        <v>1</v>
      </c>
    </row>
    <row r="28" spans="1:7" x14ac:dyDescent="0.2">
      <c r="A28" s="1">
        <v>18</v>
      </c>
      <c r="B28" s="1">
        <v>1</v>
      </c>
      <c r="C28" s="1">
        <v>1</v>
      </c>
      <c r="D28" s="1">
        <v>1</v>
      </c>
      <c r="E28" s="1">
        <v>1</v>
      </c>
      <c r="F28" s="1">
        <v>1</v>
      </c>
      <c r="G28" s="1">
        <v>1</v>
      </c>
    </row>
    <row r="29" spans="1:7" x14ac:dyDescent="0.2">
      <c r="A29" s="1">
        <v>19</v>
      </c>
      <c r="B29" s="1">
        <v>1</v>
      </c>
      <c r="C29" s="1">
        <v>1</v>
      </c>
      <c r="D29" s="1">
        <v>1</v>
      </c>
      <c r="E29" s="1">
        <v>1</v>
      </c>
      <c r="F29" s="1">
        <v>1</v>
      </c>
      <c r="G29" s="1">
        <v>1</v>
      </c>
    </row>
    <row r="30" spans="1:7" x14ac:dyDescent="0.2">
      <c r="A30" s="1">
        <v>20</v>
      </c>
      <c r="B30" s="1">
        <v>1</v>
      </c>
      <c r="C30" s="1">
        <v>1</v>
      </c>
      <c r="D30" s="1">
        <v>1</v>
      </c>
      <c r="E30" s="1">
        <v>1</v>
      </c>
      <c r="F30" s="1">
        <v>1</v>
      </c>
      <c r="G30" s="1">
        <v>1</v>
      </c>
    </row>
    <row r="31" spans="1:7" x14ac:dyDescent="0.2">
      <c r="A31" s="1">
        <v>21</v>
      </c>
      <c r="B31" s="1">
        <v>1</v>
      </c>
      <c r="C31" s="1">
        <v>1</v>
      </c>
      <c r="D31" s="1">
        <v>1</v>
      </c>
      <c r="E31" s="1">
        <v>1</v>
      </c>
      <c r="F31" s="1">
        <v>1</v>
      </c>
      <c r="G31" s="1">
        <v>1</v>
      </c>
    </row>
    <row r="32" spans="1:7" x14ac:dyDescent="0.2">
      <c r="A32" s="1">
        <v>22</v>
      </c>
      <c r="B32" s="1">
        <v>1</v>
      </c>
      <c r="C32" s="1">
        <v>1</v>
      </c>
      <c r="D32" s="1">
        <v>1</v>
      </c>
      <c r="E32" s="1">
        <v>1</v>
      </c>
      <c r="F32" s="1">
        <v>1</v>
      </c>
      <c r="G32" s="1">
        <v>1</v>
      </c>
    </row>
    <row r="33" spans="1:7" x14ac:dyDescent="0.2">
      <c r="A33" s="1">
        <v>23</v>
      </c>
      <c r="B33" s="1">
        <v>1</v>
      </c>
      <c r="C33" s="1">
        <v>1</v>
      </c>
      <c r="D33" s="1">
        <v>1</v>
      </c>
      <c r="E33" s="1">
        <v>1</v>
      </c>
      <c r="F33" s="1">
        <v>1</v>
      </c>
      <c r="G33" s="1">
        <v>1</v>
      </c>
    </row>
    <row r="34" spans="1:7" x14ac:dyDescent="0.2">
      <c r="A34" s="1">
        <v>24</v>
      </c>
      <c r="B34" s="1">
        <v>1</v>
      </c>
      <c r="C34" s="1">
        <v>1</v>
      </c>
      <c r="D34" s="1">
        <v>1</v>
      </c>
      <c r="E34" s="1">
        <v>1</v>
      </c>
      <c r="F34" s="1">
        <v>1</v>
      </c>
      <c r="G34" s="1">
        <v>1</v>
      </c>
    </row>
    <row r="35" spans="1:7" x14ac:dyDescent="0.2">
      <c r="A35" s="1">
        <v>25</v>
      </c>
      <c r="B35" s="1">
        <v>1</v>
      </c>
      <c r="C35" s="1">
        <v>1</v>
      </c>
      <c r="D35" s="1">
        <v>1</v>
      </c>
      <c r="E35" s="1">
        <v>1</v>
      </c>
      <c r="F35" s="1">
        <v>1</v>
      </c>
      <c r="G35" s="1">
        <v>1</v>
      </c>
    </row>
  </sheetData>
  <dataValidations count="2">
    <dataValidation type="list" showInputMessage="1" showErrorMessage="1" errorTitle="Invalid Input" sqref="B11:G1048576" xr:uid="{B53EB0B5-C7FA-5143-A6E6-7FC2A72F9ACA}">
      <formula1>"0,1"</formula1>
    </dataValidation>
    <dataValidation type="list" showInputMessage="1" showErrorMessage="1" errorTitle="Invalid Input" error="Choose from the list" sqref="A11:A1048576" xr:uid="{B3117207-44C7-4501-B7E2-0771817857E0}">
      <formula1>Node_ID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F8F5-8B72-4F82-8AD5-2105268CD711}">
  <dimension ref="A1:H16"/>
  <sheetViews>
    <sheetView zoomScale="130" zoomScaleNormal="130" workbookViewId="0">
      <selection activeCell="I16" sqref="I16"/>
    </sheetView>
  </sheetViews>
  <sheetFormatPr baseColWidth="10" defaultColWidth="9.1640625" defaultRowHeight="16" x14ac:dyDescent="0.2"/>
  <cols>
    <col min="1" max="2" width="15.6640625" style="136" customWidth="1"/>
    <col min="3" max="8" width="10.6640625" style="137" customWidth="1"/>
    <col min="9" max="16384" width="9.1640625" style="125"/>
  </cols>
  <sheetData>
    <row r="1" spans="1:8" x14ac:dyDescent="0.2">
      <c r="A1" s="127" t="s">
        <v>101</v>
      </c>
      <c r="B1" s="128"/>
      <c r="C1" s="128"/>
      <c r="D1" s="128"/>
      <c r="E1" s="128"/>
      <c r="F1" s="128"/>
      <c r="G1" s="128"/>
      <c r="H1" s="129"/>
    </row>
    <row r="2" spans="1:8" x14ac:dyDescent="0.2">
      <c r="A2" s="204" t="s">
        <v>327</v>
      </c>
      <c r="B2" s="131"/>
      <c r="C2" s="131"/>
      <c r="D2" s="131"/>
      <c r="E2" s="131"/>
      <c r="F2" s="131"/>
      <c r="G2" s="131"/>
      <c r="H2" s="132"/>
    </row>
    <row r="3" spans="1:8" x14ac:dyDescent="0.2">
      <c r="A3" s="204" t="s">
        <v>328</v>
      </c>
      <c r="B3" s="131"/>
      <c r="C3" s="131"/>
      <c r="D3" s="131"/>
      <c r="E3" s="131"/>
      <c r="F3" s="131"/>
      <c r="G3" s="131"/>
      <c r="H3" s="132"/>
    </row>
    <row r="4" spans="1:8" x14ac:dyDescent="0.2">
      <c r="A4" s="130" t="str">
        <f>"- FX: Force along global X-axis (Input as Float) ("&amp;'User Defined Units'!$B$10&amp;")"</f>
        <v>- FX: Force along global X-axis (Input as Float) (kN)</v>
      </c>
      <c r="B4" s="131"/>
      <c r="C4" s="131"/>
      <c r="D4" s="131"/>
      <c r="E4" s="131"/>
      <c r="F4" s="131"/>
      <c r="G4" s="131"/>
      <c r="H4" s="132"/>
    </row>
    <row r="5" spans="1:8" x14ac:dyDescent="0.2">
      <c r="A5" s="130" t="str">
        <f>"- FY: Force along global Y-axis (Input as Float) ("&amp;'User Defined Units'!$B$10&amp;")"</f>
        <v>- FY: Force along global Y-axis (Input as Float) (kN)</v>
      </c>
      <c r="B5" s="131"/>
      <c r="C5" s="131"/>
      <c r="D5" s="131"/>
      <c r="E5" s="131"/>
      <c r="F5" s="131"/>
      <c r="G5" s="131"/>
      <c r="H5" s="132"/>
    </row>
    <row r="6" spans="1:8" x14ac:dyDescent="0.2">
      <c r="A6" s="130" t="str">
        <f>"- FZ: Force along global Z-axis (Input as Float) ("&amp;'User Defined Units'!$B$10&amp;")"</f>
        <v>- FZ: Force along global Z-axis (Input as Float) (kN)</v>
      </c>
      <c r="B6" s="131"/>
      <c r="C6" s="131"/>
      <c r="D6" s="131"/>
      <c r="E6" s="131"/>
      <c r="F6" s="131"/>
      <c r="G6" s="131"/>
      <c r="H6" s="132"/>
    </row>
    <row r="7" spans="1:8" x14ac:dyDescent="0.2">
      <c r="A7" s="130" t="str">
        <f>"- MX: Moment about global X-axis (Input as Float) ("&amp;'User Defined Units'!$B$10&amp;"-"&amp;'User Defined Units'!$B$11&amp;")"</f>
        <v>- MX: Moment about global X-axis (Input as Float) (kN-m)</v>
      </c>
      <c r="B7" s="131"/>
      <c r="C7" s="131"/>
      <c r="D7" s="131"/>
      <c r="E7" s="131"/>
      <c r="F7" s="131"/>
      <c r="G7" s="131"/>
      <c r="H7" s="132"/>
    </row>
    <row r="8" spans="1:8" x14ac:dyDescent="0.2">
      <c r="A8" s="130" t="str">
        <f>"- MY: Moment about global Y-axis (Input as Float) ("&amp;'User Defined Units'!$B$10&amp;"-"&amp;'User Defined Units'!$B$11&amp;")"</f>
        <v>- MY: Moment about global Y-axis (Input as Float) (kN-m)</v>
      </c>
      <c r="B8" s="131"/>
      <c r="C8" s="131"/>
      <c r="D8" s="131"/>
      <c r="E8" s="131"/>
      <c r="F8" s="131"/>
      <c r="G8" s="131"/>
      <c r="H8" s="132"/>
    </row>
    <row r="9" spans="1:8" x14ac:dyDescent="0.2">
      <c r="A9" s="133" t="str">
        <f>"- MZ: Moment about global Z-axis (Input as Float) ("&amp;'User Defined Units'!$B$10&amp;"-"&amp;'User Defined Units'!$B$11&amp;")"</f>
        <v>- MZ: Moment about global Z-axis (Input as Float) (kN-m)</v>
      </c>
      <c r="B9" s="134"/>
      <c r="C9" s="134"/>
      <c r="D9" s="134"/>
      <c r="E9" s="134"/>
      <c r="F9" s="134"/>
      <c r="G9" s="134"/>
      <c r="H9" s="135"/>
    </row>
    <row r="10" spans="1:8" x14ac:dyDescent="0.2">
      <c r="A10" s="125"/>
      <c r="B10" s="125"/>
      <c r="C10" s="125"/>
      <c r="D10" s="125"/>
      <c r="E10" s="125"/>
      <c r="F10" s="125"/>
      <c r="G10" s="125"/>
      <c r="H10" s="125"/>
    </row>
    <row r="11" spans="1:8" s="121" customFormat="1" x14ac:dyDescent="0.2">
      <c r="A11" s="126" t="s">
        <v>319</v>
      </c>
      <c r="B11" s="126" t="s">
        <v>221</v>
      </c>
      <c r="C11" s="126" t="s">
        <v>215</v>
      </c>
      <c r="D11" s="126" t="s">
        <v>216</v>
      </c>
      <c r="E11" s="126" t="s">
        <v>217</v>
      </c>
      <c r="F11" s="126" t="s">
        <v>218</v>
      </c>
      <c r="G11" s="126" t="s">
        <v>219</v>
      </c>
      <c r="H11" s="126" t="s">
        <v>220</v>
      </c>
    </row>
    <row r="12" spans="1:8" x14ac:dyDescent="0.2">
      <c r="A12" s="136">
        <v>101</v>
      </c>
      <c r="B12" s="136" t="s">
        <v>314</v>
      </c>
      <c r="C12" s="137">
        <v>-100</v>
      </c>
      <c r="D12" s="137">
        <v>-30</v>
      </c>
    </row>
    <row r="13" spans="1:8" x14ac:dyDescent="0.2">
      <c r="A13" s="136">
        <v>106</v>
      </c>
      <c r="B13" s="136" t="s">
        <v>314</v>
      </c>
      <c r="C13" s="137">
        <v>100</v>
      </c>
      <c r="D13" s="137">
        <v>30</v>
      </c>
    </row>
    <row r="14" spans="1:8" x14ac:dyDescent="0.2">
      <c r="A14" s="136">
        <v>111</v>
      </c>
      <c r="B14" s="136" t="s">
        <v>314</v>
      </c>
      <c r="C14" s="137">
        <v>100</v>
      </c>
      <c r="D14" s="137">
        <v>30</v>
      </c>
    </row>
    <row r="15" spans="1:8" x14ac:dyDescent="0.2">
      <c r="A15" s="136">
        <v>116</v>
      </c>
      <c r="B15" s="136" t="s">
        <v>314</v>
      </c>
      <c r="C15" s="137">
        <v>100</v>
      </c>
      <c r="D15" s="137">
        <v>30</v>
      </c>
    </row>
    <row r="16" spans="1:8" x14ac:dyDescent="0.2">
      <c r="A16" s="136">
        <v>121</v>
      </c>
      <c r="B16" s="136" t="s">
        <v>314</v>
      </c>
      <c r="C16" s="137">
        <v>100</v>
      </c>
      <c r="D16" s="137">
        <v>30</v>
      </c>
    </row>
  </sheetData>
  <dataValidations count="3">
    <dataValidation type="list" showInputMessage="1" showErrorMessage="1" errorTitle="Invalid Input" error="Choose from the list" sqref="A12:A1048576" xr:uid="{EA426CEF-76D2-46B7-BCF5-9565E78F0EB2}">
      <formula1>Node_ID</formula1>
    </dataValidation>
    <dataValidation type="decimal" allowBlank="1" showInputMessage="1" showErrorMessage="1" errorTitle="Invalid Input" error="Please enter a float value only." sqref="C12:H1048576" xr:uid="{FF595AA7-A6E3-4769-9683-1BD41C8B25C0}">
      <formula1>-1000000000000</formula1>
      <formula2>1000000000000</formula2>
    </dataValidation>
    <dataValidation type="list" showInputMessage="1" showErrorMessage="1" errorTitle="Invalid Input" error="Choose from the list" sqref="B12:B1048576" xr:uid="{E93D2070-1536-4868-9F08-ED7C2E7CB253}">
      <formula1>LC_Type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F277-1F6A-492D-8E1A-EC3101EF3425}">
  <dimension ref="A1:K16"/>
  <sheetViews>
    <sheetView zoomScale="130" zoomScaleNormal="130" workbookViewId="0">
      <selection activeCell="A20" sqref="A20"/>
    </sheetView>
  </sheetViews>
  <sheetFormatPr baseColWidth="10" defaultColWidth="9.1640625" defaultRowHeight="16" x14ac:dyDescent="0.2"/>
  <cols>
    <col min="1" max="3" width="15.6640625" style="136" customWidth="1"/>
    <col min="4" max="11" width="10.6640625" style="137" customWidth="1"/>
    <col min="12" max="16384" width="9.1640625" style="125"/>
  </cols>
  <sheetData>
    <row r="1" spans="1:11" x14ac:dyDescent="0.2">
      <c r="A1" s="127" t="s">
        <v>101</v>
      </c>
      <c r="B1" s="128"/>
      <c r="C1" s="128"/>
      <c r="D1" s="128"/>
      <c r="E1" s="128"/>
      <c r="F1" s="128"/>
      <c r="G1" s="128"/>
      <c r="H1" s="128"/>
      <c r="I1" s="128"/>
      <c r="J1" s="128"/>
      <c r="K1" s="129"/>
    </row>
    <row r="2" spans="1:11" x14ac:dyDescent="0.2">
      <c r="A2" s="204" t="s">
        <v>330</v>
      </c>
      <c r="B2" s="131"/>
      <c r="C2" s="131"/>
      <c r="D2" s="131"/>
      <c r="E2" s="131"/>
      <c r="F2" s="131"/>
      <c r="G2" s="131"/>
      <c r="H2" s="131"/>
      <c r="I2" s="131"/>
      <c r="J2" s="131"/>
      <c r="K2" s="132"/>
    </row>
    <row r="3" spans="1:11" x14ac:dyDescent="0.2">
      <c r="A3" s="204" t="s">
        <v>331</v>
      </c>
      <c r="B3" s="131"/>
      <c r="C3" s="131"/>
      <c r="D3" s="131"/>
      <c r="E3" s="131"/>
      <c r="F3" s="131"/>
      <c r="G3" s="131"/>
      <c r="H3" s="131"/>
      <c r="I3" s="131"/>
      <c r="J3" s="131"/>
      <c r="K3" s="132"/>
    </row>
    <row r="4" spans="1:11" x14ac:dyDescent="0.2">
      <c r="A4" s="204" t="s">
        <v>332</v>
      </c>
      <c r="B4" s="131"/>
      <c r="C4" s="131"/>
      <c r="D4" s="131"/>
      <c r="E4" s="131"/>
      <c r="F4" s="131"/>
      <c r="G4" s="131"/>
      <c r="H4" s="131"/>
      <c r="I4" s="131"/>
      <c r="J4" s="131"/>
      <c r="K4" s="132"/>
    </row>
    <row r="5" spans="1:11" x14ac:dyDescent="0.2">
      <c r="A5" s="130" t="str">
        <f>"- Load 1: Value of subjected elemental point load 1 (Input as Float) ("&amp;'User Defined Units'!$B$10&amp;")"</f>
        <v>- Load 1: Value of subjected elemental point load 1 (Input as Float) (kN)</v>
      </c>
      <c r="B5" s="131"/>
      <c r="C5" s="131"/>
      <c r="D5" s="131"/>
      <c r="E5" s="131"/>
      <c r="F5" s="131"/>
      <c r="G5" s="131"/>
      <c r="H5" s="131"/>
      <c r="I5" s="131"/>
      <c r="J5" s="131"/>
      <c r="K5" s="132"/>
    </row>
    <row r="6" spans="1:11" x14ac:dyDescent="0.2">
      <c r="A6" s="130" t="str">
        <f>"- Location 1: Location of subjected elemental point load 1 (Input as Float) ("&amp;'User Defined Units'!$B$11&amp;")"</f>
        <v>- Location 1: Location of subjected elemental point load 1 (Input as Float) (m)</v>
      </c>
      <c r="B6" s="131"/>
      <c r="C6" s="131"/>
      <c r="D6" s="131"/>
      <c r="E6" s="131"/>
      <c r="F6" s="131"/>
      <c r="G6" s="131"/>
      <c r="H6" s="131"/>
      <c r="I6" s="131"/>
      <c r="J6" s="131"/>
      <c r="K6" s="132"/>
    </row>
    <row r="7" spans="1:11" x14ac:dyDescent="0.2">
      <c r="A7" s="130" t="str">
        <f>"- Load 2: Value of subjected elemental point load 2 (Input as Float) ("&amp;'User Defined Units'!$B$10&amp;")"</f>
        <v>- Load 2: Value of subjected elemental point load 2 (Input as Float) (kN)</v>
      </c>
      <c r="B7" s="131"/>
      <c r="C7" s="131"/>
      <c r="D7" s="131"/>
      <c r="E7" s="131"/>
      <c r="F7" s="131"/>
      <c r="G7" s="131"/>
      <c r="H7" s="131"/>
      <c r="I7" s="131"/>
      <c r="J7" s="131"/>
      <c r="K7" s="132"/>
    </row>
    <row r="8" spans="1:11" x14ac:dyDescent="0.2">
      <c r="A8" s="130" t="str">
        <f>"- Location 2: Location of subjected elemental point load 2 (Input as Float) ("&amp;'User Defined Units'!$B$11&amp;")"</f>
        <v>- Location 2: Location of subjected elemental point load 2 (Input as Float) (m)</v>
      </c>
      <c r="B8" s="131"/>
      <c r="C8" s="131"/>
      <c r="D8" s="131"/>
      <c r="E8" s="131"/>
      <c r="F8" s="131"/>
      <c r="G8" s="131"/>
      <c r="H8" s="131"/>
      <c r="I8" s="131"/>
      <c r="J8" s="131"/>
      <c r="K8" s="132"/>
    </row>
    <row r="9" spans="1:11" x14ac:dyDescent="0.2">
      <c r="A9" s="130" t="str">
        <f>"- Load 3: Value of subjected elemental point load 3 (Input as Float) ("&amp;'User Defined Units'!$B$10&amp;")"</f>
        <v>- Load 3: Value of subjected elemental point load 3 (Input as Float) (kN)</v>
      </c>
      <c r="B9" s="131"/>
      <c r="C9" s="131"/>
      <c r="D9" s="131"/>
      <c r="E9" s="131"/>
      <c r="F9" s="131"/>
      <c r="G9" s="131"/>
      <c r="H9" s="131"/>
      <c r="I9" s="131"/>
      <c r="J9" s="131"/>
      <c r="K9" s="132"/>
    </row>
    <row r="10" spans="1:11" x14ac:dyDescent="0.2">
      <c r="A10" s="130" t="str">
        <f>"- Location 3: Location of subjected elemental point load 3 (Input as Float) ("&amp;'User Defined Units'!$B$11&amp;")"</f>
        <v>- Location 3: Location of subjected elemental point load 3 (Input as Float) (m)</v>
      </c>
      <c r="B10" s="131"/>
      <c r="C10" s="131"/>
      <c r="D10" s="131"/>
      <c r="E10" s="131"/>
      <c r="F10" s="131"/>
      <c r="G10" s="131"/>
      <c r="H10" s="131"/>
      <c r="I10" s="131"/>
      <c r="J10" s="131"/>
      <c r="K10" s="132"/>
    </row>
    <row r="11" spans="1:11" x14ac:dyDescent="0.2">
      <c r="A11" s="130" t="str">
        <f>"- Load 4: Value of subjected elemental point load 4 (Input as Float) ("&amp;'User Defined Units'!$B$10&amp;")"</f>
        <v>- Load 4: Value of subjected elemental point load 4 (Input as Float) (kN)</v>
      </c>
      <c r="B11" s="131"/>
      <c r="C11" s="131"/>
      <c r="D11" s="131"/>
      <c r="E11" s="131"/>
      <c r="F11" s="131"/>
      <c r="G11" s="131"/>
      <c r="H11" s="131"/>
      <c r="I11" s="131"/>
      <c r="J11" s="131"/>
      <c r="K11" s="132"/>
    </row>
    <row r="12" spans="1:11" x14ac:dyDescent="0.2">
      <c r="A12" s="133" t="str">
        <f>"- Location 4: Location of subjected elemental point load 4 (Input as Float) ("&amp;'User Defined Units'!$B$11&amp;")"</f>
        <v>- Location 4: Location of subjected elemental point load 4 (Input as Float) (m)</v>
      </c>
      <c r="B12" s="134"/>
      <c r="C12" s="134"/>
      <c r="D12" s="134"/>
      <c r="E12" s="134"/>
      <c r="F12" s="134"/>
      <c r="G12" s="134"/>
      <c r="H12" s="134"/>
      <c r="I12" s="134"/>
      <c r="J12" s="134"/>
      <c r="K12" s="135"/>
    </row>
    <row r="13" spans="1:11" x14ac:dyDescent="0.2">
      <c r="A13" s="125"/>
      <c r="B13" s="125"/>
      <c r="C13" s="125"/>
      <c r="D13" s="125"/>
      <c r="E13" s="125"/>
      <c r="F13" s="125"/>
      <c r="G13" s="125"/>
      <c r="H13" s="125"/>
      <c r="I13" s="125"/>
      <c r="J13" s="125"/>
      <c r="K13" s="125"/>
    </row>
    <row r="14" spans="1:11" s="121" customFormat="1" x14ac:dyDescent="0.2">
      <c r="A14" s="126" t="s">
        <v>329</v>
      </c>
      <c r="B14" s="126" t="s">
        <v>221</v>
      </c>
      <c r="C14" s="126" t="s">
        <v>223</v>
      </c>
      <c r="D14" s="126" t="s">
        <v>225</v>
      </c>
      <c r="E14" s="126" t="s">
        <v>229</v>
      </c>
      <c r="F14" s="126" t="s">
        <v>226</v>
      </c>
      <c r="G14" s="126" t="s">
        <v>230</v>
      </c>
      <c r="H14" s="126" t="s">
        <v>227</v>
      </c>
      <c r="I14" s="126" t="s">
        <v>231</v>
      </c>
      <c r="J14" s="126" t="s">
        <v>228</v>
      </c>
      <c r="K14" s="126" t="s">
        <v>232</v>
      </c>
    </row>
    <row r="15" spans="1:11" x14ac:dyDescent="0.2">
      <c r="A15" s="136">
        <v>101</v>
      </c>
      <c r="B15" s="136" t="s">
        <v>312</v>
      </c>
      <c r="C15" s="136" t="s">
        <v>222</v>
      </c>
      <c r="D15" s="137">
        <v>-100</v>
      </c>
      <c r="E15" s="137">
        <v>4</v>
      </c>
    </row>
    <row r="16" spans="1:11" x14ac:dyDescent="0.2">
      <c r="A16" s="136">
        <v>102</v>
      </c>
      <c r="B16" s="136" t="s">
        <v>312</v>
      </c>
      <c r="C16" s="136" t="s">
        <v>222</v>
      </c>
      <c r="D16" s="137">
        <v>-75</v>
      </c>
      <c r="E16" s="137">
        <v>4</v>
      </c>
    </row>
  </sheetData>
  <dataValidations count="4">
    <dataValidation type="list" showInputMessage="1" showErrorMessage="1" errorTitle="Invalid Input" error="Choose from the list" sqref="B15:B1048576" xr:uid="{8399D4E5-15D3-44EB-BAF5-D4D9376E21A9}">
      <formula1>LC_Type</formula1>
    </dataValidation>
    <dataValidation type="list" showInputMessage="1" showErrorMessage="1" errorTitle="Invalid Input" error="Choose from the list" sqref="A15:A1048576" xr:uid="{E806BA54-F03E-4170-B409-665005B7362E}">
      <formula1>Element_ID</formula1>
    </dataValidation>
    <dataValidation type="decimal" allowBlank="1" showInputMessage="1" showErrorMessage="1" errorTitle="Invalid Input" error="Please enter a float value only." sqref="D15:K1048576" xr:uid="{6DEDB52A-6E32-4CDB-9BBB-C36A5BFBDF1F}">
      <formula1>-1000000000000</formula1>
      <formula2>1000000000000</formula2>
    </dataValidation>
    <dataValidation type="list" showInputMessage="1" showErrorMessage="1" errorTitle="Invalid Input" error="Choose from the list" sqref="C15:C1048576" xr:uid="{C69DB190-B0B4-41DC-BB24-EADCC7640530}">
      <formula1>"Global-X, Global-Y, Gravity, Local-x, Local-y, Local-z"</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727D-5FF3-4C5E-99AD-1C31CEAF2053}">
  <dimension ref="A1:L79"/>
  <sheetViews>
    <sheetView zoomScale="130" zoomScaleNormal="130" workbookViewId="0">
      <selection activeCell="A14" sqref="A14"/>
    </sheetView>
  </sheetViews>
  <sheetFormatPr baseColWidth="10" defaultColWidth="9.1640625" defaultRowHeight="16" x14ac:dyDescent="0.2"/>
  <cols>
    <col min="1" max="3" width="15.6640625" style="136" customWidth="1"/>
    <col min="4" max="4" width="15.6640625" style="137" customWidth="1"/>
    <col min="5" max="12" width="10.6640625" style="137" customWidth="1"/>
    <col min="13" max="16384" width="9.1640625" style="125"/>
  </cols>
  <sheetData>
    <row r="1" spans="1:12" x14ac:dyDescent="0.2">
      <c r="A1" s="127" t="s">
        <v>101</v>
      </c>
      <c r="B1" s="128"/>
      <c r="C1" s="128"/>
      <c r="D1" s="128"/>
      <c r="E1" s="128"/>
      <c r="F1" s="128"/>
      <c r="G1" s="128"/>
      <c r="H1" s="128"/>
      <c r="I1" s="128"/>
      <c r="J1" s="128"/>
      <c r="K1" s="128"/>
      <c r="L1" s="129"/>
    </row>
    <row r="2" spans="1:12" x14ac:dyDescent="0.2">
      <c r="A2" s="204" t="s">
        <v>333</v>
      </c>
      <c r="B2" s="131"/>
      <c r="C2" s="131"/>
      <c r="D2" s="131"/>
      <c r="E2" s="131"/>
      <c r="F2" s="131"/>
      <c r="G2" s="131"/>
      <c r="H2" s="131"/>
      <c r="I2" s="131"/>
      <c r="J2" s="131"/>
      <c r="K2" s="131"/>
      <c r="L2" s="132"/>
    </row>
    <row r="3" spans="1:12" x14ac:dyDescent="0.2">
      <c r="A3" s="204" t="s">
        <v>334</v>
      </c>
      <c r="B3" s="131"/>
      <c r="C3" s="131"/>
      <c r="D3" s="131"/>
      <c r="E3" s="131"/>
      <c r="F3" s="131"/>
      <c r="G3" s="131"/>
      <c r="H3" s="131"/>
      <c r="I3" s="131"/>
      <c r="J3" s="131"/>
      <c r="K3" s="131"/>
      <c r="L3" s="132"/>
    </row>
    <row r="4" spans="1:12" x14ac:dyDescent="0.2">
      <c r="A4" s="204" t="s">
        <v>335</v>
      </c>
      <c r="B4" s="131"/>
      <c r="C4" s="131"/>
      <c r="D4" s="131"/>
      <c r="E4" s="131"/>
      <c r="F4" s="131"/>
      <c r="G4" s="131"/>
      <c r="H4" s="131"/>
      <c r="I4" s="131"/>
      <c r="J4" s="131"/>
      <c r="K4" s="131"/>
      <c r="L4" s="132"/>
    </row>
    <row r="5" spans="1:12" x14ac:dyDescent="0.2">
      <c r="A5" s="130" t="str">
        <f>"- Uniform Load: Value of subjected uniform distributed elemental load (Input as Float) ("&amp;'User Defined Units'!$B$10&amp;"/"&amp;'User Defined Units'!$B$11&amp;")"</f>
        <v>- Uniform Load: Value of subjected uniform distributed elemental load (Input as Float) (kN/m)</v>
      </c>
      <c r="B5" s="131"/>
      <c r="C5" s="131"/>
      <c r="D5" s="131"/>
      <c r="E5" s="131"/>
      <c r="F5" s="131"/>
      <c r="G5" s="131"/>
      <c r="H5" s="131"/>
      <c r="I5" s="131"/>
      <c r="J5" s="131"/>
      <c r="K5" s="131"/>
      <c r="L5" s="132"/>
    </row>
    <row r="6" spans="1:12" x14ac:dyDescent="0.2">
      <c r="A6" s="130" t="str">
        <f>"- Load 1: Value of subjected distributed elemental load 1 (Input as Float) ("&amp;'User Defined Units'!$B$10&amp;"/"&amp;'User Defined Units'!$B$11&amp;")"</f>
        <v>- Load 1: Value of subjected distributed elemental load 1 (Input as Float) (kN/m)</v>
      </c>
      <c r="B6" s="131"/>
      <c r="C6" s="131"/>
      <c r="D6" s="131"/>
      <c r="E6" s="131"/>
      <c r="F6" s="131"/>
      <c r="G6" s="131"/>
      <c r="H6" s="131"/>
      <c r="I6" s="131"/>
      <c r="J6" s="131"/>
      <c r="K6" s="131"/>
      <c r="L6" s="132"/>
    </row>
    <row r="7" spans="1:12" x14ac:dyDescent="0.2">
      <c r="A7" s="130" t="str">
        <f>"- Location 1: Location of subjected distributed elemental load 1 (Input as Float) ("&amp;'User Defined Units'!$B$11&amp;")"</f>
        <v>- Location 1: Location of subjected distributed elemental load 1 (Input as Float) (m)</v>
      </c>
      <c r="B7" s="131"/>
      <c r="C7" s="131"/>
      <c r="D7" s="131"/>
      <c r="E7" s="131"/>
      <c r="F7" s="131"/>
      <c r="G7" s="131"/>
      <c r="H7" s="131"/>
      <c r="I7" s="131"/>
      <c r="J7" s="131"/>
      <c r="K7" s="131"/>
      <c r="L7" s="132"/>
    </row>
    <row r="8" spans="1:12" x14ac:dyDescent="0.2">
      <c r="A8" s="130" t="str">
        <f>"- Load 2: Value of subjected distributed elemental load 2 (Input as Float) ("&amp;'User Defined Units'!$B$10&amp;"/"&amp;'User Defined Units'!$B$11&amp;")"</f>
        <v>- Load 2: Value of subjected distributed elemental load 2 (Input as Float) (kN/m)</v>
      </c>
      <c r="B8" s="131"/>
      <c r="C8" s="131"/>
      <c r="D8" s="131"/>
      <c r="E8" s="131"/>
      <c r="F8" s="131"/>
      <c r="G8" s="131"/>
      <c r="H8" s="131"/>
      <c r="I8" s="131"/>
      <c r="J8" s="131"/>
      <c r="K8" s="131"/>
      <c r="L8" s="132"/>
    </row>
    <row r="9" spans="1:12" x14ac:dyDescent="0.2">
      <c r="A9" s="130" t="str">
        <f>"- Location 2: Location of subjected distributed elemental load 2 (Input as Float) ("&amp;'User Defined Units'!$B$11&amp;")"</f>
        <v>- Location 2: Location of subjected distributed elemental load 2 (Input as Float) (m)</v>
      </c>
      <c r="B9" s="131"/>
      <c r="C9" s="131"/>
      <c r="D9" s="131"/>
      <c r="E9" s="131"/>
      <c r="F9" s="131"/>
      <c r="G9" s="131"/>
      <c r="H9" s="131"/>
      <c r="I9" s="131"/>
      <c r="J9" s="131"/>
      <c r="K9" s="131"/>
      <c r="L9" s="132"/>
    </row>
    <row r="10" spans="1:12" x14ac:dyDescent="0.2">
      <c r="A10" s="130" t="str">
        <f>"- Load 3: Value of subjected distributed elemental load 3 (Input as Float) ("&amp;'User Defined Units'!$B$10&amp;"/"&amp;'User Defined Units'!$B$11&amp;")"</f>
        <v>- Load 3: Value of subjected distributed elemental load 3 (Input as Float) (kN/m)</v>
      </c>
      <c r="B10" s="131"/>
      <c r="C10" s="131"/>
      <c r="D10" s="131"/>
      <c r="E10" s="131"/>
      <c r="F10" s="131"/>
      <c r="G10" s="131"/>
      <c r="H10" s="131"/>
      <c r="I10" s="131"/>
      <c r="J10" s="131"/>
      <c r="K10" s="131"/>
      <c r="L10" s="132"/>
    </row>
    <row r="11" spans="1:12" x14ac:dyDescent="0.2">
      <c r="A11" s="130" t="str">
        <f>"- Location 3: Location of subjected distributed elemental load 3 (Input as Float) ("&amp;'User Defined Units'!$B$11&amp;")"</f>
        <v>- Location 3: Location of subjected distributed elemental load 3 (Input as Float) (m)</v>
      </c>
      <c r="B11" s="131"/>
      <c r="C11" s="131"/>
      <c r="D11" s="131"/>
      <c r="E11" s="131"/>
      <c r="F11" s="131"/>
      <c r="G11" s="131"/>
      <c r="H11" s="131"/>
      <c r="I11" s="131"/>
      <c r="J11" s="131"/>
      <c r="K11" s="131"/>
      <c r="L11" s="132"/>
    </row>
    <row r="12" spans="1:12" x14ac:dyDescent="0.2">
      <c r="A12" s="130" t="str">
        <f>"- Load 4: Value of subjected distributed elemental load 4 (Input as Float) ("&amp;'User Defined Units'!$B$10&amp;"/"&amp;'User Defined Units'!$B$11&amp;")"</f>
        <v>- Load 4: Value of subjected distributed elemental load 4 (Input as Float) (kN/m)</v>
      </c>
      <c r="B12" s="131"/>
      <c r="C12" s="131"/>
      <c r="D12" s="131"/>
      <c r="E12" s="131"/>
      <c r="F12" s="131"/>
      <c r="G12" s="131"/>
      <c r="H12" s="131"/>
      <c r="I12" s="131"/>
      <c r="J12" s="131"/>
      <c r="K12" s="131"/>
      <c r="L12" s="132"/>
    </row>
    <row r="13" spans="1:12" x14ac:dyDescent="0.2">
      <c r="A13" s="133" t="str">
        <f>"- Location 4: Location of subjected distributed elemental load 4 (Input as Float) ("&amp;'User Defined Units'!$B$11&amp;")"</f>
        <v>- Location 4: Location of subjected distributed elemental load 4 (Input as Float) (m)</v>
      </c>
      <c r="B13" s="134"/>
      <c r="C13" s="134"/>
      <c r="D13" s="134"/>
      <c r="E13" s="134"/>
      <c r="F13" s="134"/>
      <c r="G13" s="134"/>
      <c r="H13" s="134"/>
      <c r="I13" s="134"/>
      <c r="J13" s="134"/>
      <c r="K13" s="134"/>
      <c r="L13" s="135"/>
    </row>
    <row r="14" spans="1:12" x14ac:dyDescent="0.2">
      <c r="A14" s="125"/>
      <c r="B14" s="125"/>
      <c r="C14" s="125"/>
      <c r="D14" s="125"/>
      <c r="E14" s="125"/>
      <c r="F14" s="125"/>
      <c r="G14" s="125"/>
      <c r="H14" s="125"/>
      <c r="I14" s="125"/>
      <c r="J14" s="125"/>
      <c r="K14" s="125"/>
      <c r="L14" s="125"/>
    </row>
    <row r="15" spans="1:12" s="121" customFormat="1" x14ac:dyDescent="0.2">
      <c r="A15" s="126" t="s">
        <v>329</v>
      </c>
      <c r="B15" s="126" t="s">
        <v>221</v>
      </c>
      <c r="C15" s="126" t="s">
        <v>223</v>
      </c>
      <c r="D15" s="126" t="s">
        <v>233</v>
      </c>
      <c r="E15" s="126" t="s">
        <v>225</v>
      </c>
      <c r="F15" s="126" t="s">
        <v>229</v>
      </c>
      <c r="G15" s="126" t="s">
        <v>226</v>
      </c>
      <c r="H15" s="126" t="s">
        <v>230</v>
      </c>
      <c r="I15" s="126" t="s">
        <v>227</v>
      </c>
      <c r="J15" s="126" t="s">
        <v>231</v>
      </c>
      <c r="K15" s="126" t="s">
        <v>228</v>
      </c>
      <c r="L15" s="126" t="s">
        <v>232</v>
      </c>
    </row>
    <row r="16" spans="1:12" x14ac:dyDescent="0.2">
      <c r="A16" s="136">
        <v>101</v>
      </c>
      <c r="B16" s="136" t="s">
        <v>312</v>
      </c>
      <c r="C16" s="136" t="s">
        <v>222</v>
      </c>
      <c r="D16" s="137">
        <v>7.04</v>
      </c>
    </row>
    <row r="17" spans="1:4" x14ac:dyDescent="0.2">
      <c r="A17" s="136">
        <v>102</v>
      </c>
      <c r="B17" s="136" t="s">
        <v>312</v>
      </c>
      <c r="C17" s="136" t="s">
        <v>222</v>
      </c>
      <c r="D17" s="137">
        <v>7.04</v>
      </c>
    </row>
    <row r="18" spans="1:4" x14ac:dyDescent="0.2">
      <c r="A18" s="136">
        <v>103</v>
      </c>
      <c r="B18" s="136" t="s">
        <v>312</v>
      </c>
      <c r="C18" s="136" t="s">
        <v>222</v>
      </c>
      <c r="D18" s="137">
        <v>7.04</v>
      </c>
    </row>
    <row r="19" spans="1:4" x14ac:dyDescent="0.2">
      <c r="A19" s="136">
        <v>104</v>
      </c>
      <c r="B19" s="136" t="s">
        <v>312</v>
      </c>
      <c r="C19" s="136" t="s">
        <v>222</v>
      </c>
      <c r="D19" s="137">
        <v>7.04</v>
      </c>
    </row>
    <row r="20" spans="1:4" x14ac:dyDescent="0.2">
      <c r="A20" s="136">
        <v>117</v>
      </c>
      <c r="B20" s="136" t="s">
        <v>312</v>
      </c>
      <c r="C20" s="136" t="s">
        <v>222</v>
      </c>
      <c r="D20" s="137">
        <v>7.04</v>
      </c>
    </row>
    <row r="21" spans="1:4" x14ac:dyDescent="0.2">
      <c r="A21" s="136">
        <v>118</v>
      </c>
      <c r="B21" s="136" t="s">
        <v>312</v>
      </c>
      <c r="C21" s="136" t="s">
        <v>222</v>
      </c>
      <c r="D21" s="137">
        <v>7.04</v>
      </c>
    </row>
    <row r="22" spans="1:4" x14ac:dyDescent="0.2">
      <c r="A22" s="136">
        <v>119</v>
      </c>
      <c r="B22" s="136" t="s">
        <v>312</v>
      </c>
      <c r="C22" s="136" t="s">
        <v>222</v>
      </c>
      <c r="D22" s="137">
        <v>7.04</v>
      </c>
    </row>
    <row r="23" spans="1:4" x14ac:dyDescent="0.2">
      <c r="A23" s="136">
        <v>120</v>
      </c>
      <c r="B23" s="136" t="s">
        <v>312</v>
      </c>
      <c r="C23" s="136" t="s">
        <v>222</v>
      </c>
      <c r="D23" s="137">
        <v>7.04</v>
      </c>
    </row>
    <row r="24" spans="1:4" x14ac:dyDescent="0.2">
      <c r="A24" s="136">
        <v>181</v>
      </c>
      <c r="B24" s="136" t="s">
        <v>312</v>
      </c>
      <c r="C24" s="136" t="s">
        <v>222</v>
      </c>
      <c r="D24" s="137">
        <v>7.04</v>
      </c>
    </row>
    <row r="25" spans="1:4" x14ac:dyDescent="0.2">
      <c r="A25" s="136">
        <v>185</v>
      </c>
      <c r="B25" s="136" t="s">
        <v>312</v>
      </c>
      <c r="C25" s="136" t="s">
        <v>222</v>
      </c>
      <c r="D25" s="137">
        <v>7.04</v>
      </c>
    </row>
    <row r="26" spans="1:4" x14ac:dyDescent="0.2">
      <c r="A26" s="136">
        <v>186</v>
      </c>
      <c r="B26" s="136" t="s">
        <v>312</v>
      </c>
      <c r="C26" s="136" t="s">
        <v>222</v>
      </c>
      <c r="D26" s="137">
        <v>7.04</v>
      </c>
    </row>
    <row r="27" spans="1:4" x14ac:dyDescent="0.2">
      <c r="A27" s="136">
        <v>190</v>
      </c>
      <c r="B27" s="136" t="s">
        <v>312</v>
      </c>
      <c r="C27" s="136" t="s">
        <v>222</v>
      </c>
      <c r="D27" s="137">
        <v>7.04</v>
      </c>
    </row>
    <row r="28" spans="1:4" x14ac:dyDescent="0.2">
      <c r="A28" s="136">
        <v>191</v>
      </c>
      <c r="B28" s="136" t="s">
        <v>312</v>
      </c>
      <c r="C28" s="136" t="s">
        <v>222</v>
      </c>
      <c r="D28" s="137">
        <v>7.04</v>
      </c>
    </row>
    <row r="29" spans="1:4" x14ac:dyDescent="0.2">
      <c r="A29" s="136">
        <v>195</v>
      </c>
      <c r="B29" s="136" t="s">
        <v>312</v>
      </c>
      <c r="C29" s="136" t="s">
        <v>222</v>
      </c>
      <c r="D29" s="137">
        <v>7.04</v>
      </c>
    </row>
    <row r="30" spans="1:4" x14ac:dyDescent="0.2">
      <c r="A30" s="136">
        <v>196</v>
      </c>
      <c r="B30" s="136" t="s">
        <v>312</v>
      </c>
      <c r="C30" s="136" t="s">
        <v>222</v>
      </c>
      <c r="D30" s="137">
        <v>7.04</v>
      </c>
    </row>
    <row r="31" spans="1:4" x14ac:dyDescent="0.2">
      <c r="A31" s="136">
        <v>200</v>
      </c>
      <c r="B31" s="136" t="s">
        <v>312</v>
      </c>
      <c r="C31" s="136" t="s">
        <v>222</v>
      </c>
      <c r="D31" s="137">
        <v>7.04</v>
      </c>
    </row>
    <row r="32" spans="1:4" x14ac:dyDescent="0.2">
      <c r="A32" s="136">
        <v>121</v>
      </c>
      <c r="B32" s="136" t="s">
        <v>312</v>
      </c>
      <c r="C32" s="136" t="s">
        <v>222</v>
      </c>
      <c r="D32" s="137">
        <v>7.04</v>
      </c>
    </row>
    <row r="33" spans="1:4" x14ac:dyDescent="0.2">
      <c r="A33" s="136">
        <v>122</v>
      </c>
      <c r="B33" s="136" t="s">
        <v>312</v>
      </c>
      <c r="C33" s="136" t="s">
        <v>222</v>
      </c>
      <c r="D33" s="137">
        <v>7.04</v>
      </c>
    </row>
    <row r="34" spans="1:4" x14ac:dyDescent="0.2">
      <c r="A34" s="136">
        <v>123</v>
      </c>
      <c r="B34" s="136" t="s">
        <v>312</v>
      </c>
      <c r="C34" s="136" t="s">
        <v>222</v>
      </c>
      <c r="D34" s="137">
        <v>7.04</v>
      </c>
    </row>
    <row r="35" spans="1:4" x14ac:dyDescent="0.2">
      <c r="A35" s="136">
        <v>124</v>
      </c>
      <c r="B35" s="136" t="s">
        <v>312</v>
      </c>
      <c r="C35" s="136" t="s">
        <v>222</v>
      </c>
      <c r="D35" s="137">
        <v>7.04</v>
      </c>
    </row>
    <row r="36" spans="1:4" x14ac:dyDescent="0.2">
      <c r="A36" s="136">
        <v>137</v>
      </c>
      <c r="B36" s="136" t="s">
        <v>312</v>
      </c>
      <c r="C36" s="136" t="s">
        <v>222</v>
      </c>
      <c r="D36" s="137">
        <v>7.04</v>
      </c>
    </row>
    <row r="37" spans="1:4" x14ac:dyDescent="0.2">
      <c r="A37" s="136">
        <v>138</v>
      </c>
      <c r="B37" s="136" t="s">
        <v>312</v>
      </c>
      <c r="C37" s="136" t="s">
        <v>222</v>
      </c>
      <c r="D37" s="137">
        <v>7.04</v>
      </c>
    </row>
    <row r="38" spans="1:4" x14ac:dyDescent="0.2">
      <c r="A38" s="136">
        <v>139</v>
      </c>
      <c r="B38" s="136" t="s">
        <v>312</v>
      </c>
      <c r="C38" s="136" t="s">
        <v>222</v>
      </c>
      <c r="D38" s="137">
        <v>7.04</v>
      </c>
    </row>
    <row r="39" spans="1:4" x14ac:dyDescent="0.2">
      <c r="A39" s="136">
        <v>140</v>
      </c>
      <c r="B39" s="136" t="s">
        <v>312</v>
      </c>
      <c r="C39" s="136" t="s">
        <v>222</v>
      </c>
      <c r="D39" s="137">
        <v>7.04</v>
      </c>
    </row>
    <row r="40" spans="1:4" x14ac:dyDescent="0.2">
      <c r="A40" s="136">
        <v>201</v>
      </c>
      <c r="B40" s="136" t="s">
        <v>312</v>
      </c>
      <c r="C40" s="136" t="s">
        <v>222</v>
      </c>
      <c r="D40" s="137">
        <v>7.04</v>
      </c>
    </row>
    <row r="41" spans="1:4" x14ac:dyDescent="0.2">
      <c r="A41" s="136">
        <v>205</v>
      </c>
      <c r="B41" s="136" t="s">
        <v>312</v>
      </c>
      <c r="C41" s="136" t="s">
        <v>222</v>
      </c>
      <c r="D41" s="137">
        <v>7.04</v>
      </c>
    </row>
    <row r="42" spans="1:4" x14ac:dyDescent="0.2">
      <c r="A42" s="136">
        <v>206</v>
      </c>
      <c r="B42" s="136" t="s">
        <v>312</v>
      </c>
      <c r="C42" s="136" t="s">
        <v>222</v>
      </c>
      <c r="D42" s="137">
        <v>7.04</v>
      </c>
    </row>
    <row r="43" spans="1:4" x14ac:dyDescent="0.2">
      <c r="A43" s="136">
        <v>210</v>
      </c>
      <c r="B43" s="136" t="s">
        <v>312</v>
      </c>
      <c r="C43" s="136" t="s">
        <v>222</v>
      </c>
      <c r="D43" s="137">
        <v>7.04</v>
      </c>
    </row>
    <row r="44" spans="1:4" x14ac:dyDescent="0.2">
      <c r="A44" s="136">
        <v>211</v>
      </c>
      <c r="B44" s="136" t="s">
        <v>312</v>
      </c>
      <c r="C44" s="136" t="s">
        <v>222</v>
      </c>
      <c r="D44" s="137">
        <v>7.04</v>
      </c>
    </row>
    <row r="45" spans="1:4" x14ac:dyDescent="0.2">
      <c r="A45" s="136">
        <v>215</v>
      </c>
      <c r="B45" s="136" t="s">
        <v>312</v>
      </c>
      <c r="C45" s="136" t="s">
        <v>222</v>
      </c>
      <c r="D45" s="137">
        <v>7.04</v>
      </c>
    </row>
    <row r="46" spans="1:4" x14ac:dyDescent="0.2">
      <c r="A46" s="136">
        <v>216</v>
      </c>
      <c r="B46" s="136" t="s">
        <v>312</v>
      </c>
      <c r="C46" s="136" t="s">
        <v>222</v>
      </c>
      <c r="D46" s="137">
        <v>7.04</v>
      </c>
    </row>
    <row r="47" spans="1:4" x14ac:dyDescent="0.2">
      <c r="A47" s="136">
        <v>220</v>
      </c>
      <c r="B47" s="136" t="s">
        <v>312</v>
      </c>
      <c r="C47" s="136" t="s">
        <v>222</v>
      </c>
      <c r="D47" s="137">
        <v>7.04</v>
      </c>
    </row>
    <row r="48" spans="1:4" x14ac:dyDescent="0.2">
      <c r="A48" s="136">
        <v>141</v>
      </c>
      <c r="B48" s="136" t="s">
        <v>312</v>
      </c>
      <c r="C48" s="136" t="s">
        <v>222</v>
      </c>
      <c r="D48" s="137">
        <v>7.04</v>
      </c>
    </row>
    <row r="49" spans="1:4" x14ac:dyDescent="0.2">
      <c r="A49" s="136">
        <v>142</v>
      </c>
      <c r="B49" s="136" t="s">
        <v>312</v>
      </c>
      <c r="C49" s="136" t="s">
        <v>222</v>
      </c>
      <c r="D49" s="137">
        <v>7.04</v>
      </c>
    </row>
    <row r="50" spans="1:4" x14ac:dyDescent="0.2">
      <c r="A50" s="136">
        <v>143</v>
      </c>
      <c r="B50" s="136" t="s">
        <v>312</v>
      </c>
      <c r="C50" s="136" t="s">
        <v>222</v>
      </c>
      <c r="D50" s="137">
        <v>7.04</v>
      </c>
    </row>
    <row r="51" spans="1:4" x14ac:dyDescent="0.2">
      <c r="A51" s="136">
        <v>144</v>
      </c>
      <c r="B51" s="136" t="s">
        <v>312</v>
      </c>
      <c r="C51" s="136" t="s">
        <v>222</v>
      </c>
      <c r="D51" s="137">
        <v>7.04</v>
      </c>
    </row>
    <row r="52" spans="1:4" x14ac:dyDescent="0.2">
      <c r="A52" s="136">
        <v>157</v>
      </c>
      <c r="B52" s="136" t="s">
        <v>312</v>
      </c>
      <c r="C52" s="136" t="s">
        <v>222</v>
      </c>
      <c r="D52" s="137">
        <v>7.04</v>
      </c>
    </row>
    <row r="53" spans="1:4" x14ac:dyDescent="0.2">
      <c r="A53" s="136">
        <v>158</v>
      </c>
      <c r="B53" s="136" t="s">
        <v>312</v>
      </c>
      <c r="C53" s="136" t="s">
        <v>222</v>
      </c>
      <c r="D53" s="137">
        <v>7.04</v>
      </c>
    </row>
    <row r="54" spans="1:4" x14ac:dyDescent="0.2">
      <c r="A54" s="136">
        <v>159</v>
      </c>
      <c r="B54" s="136" t="s">
        <v>312</v>
      </c>
      <c r="C54" s="136" t="s">
        <v>222</v>
      </c>
      <c r="D54" s="137">
        <v>7.04</v>
      </c>
    </row>
    <row r="55" spans="1:4" x14ac:dyDescent="0.2">
      <c r="A55" s="136">
        <v>160</v>
      </c>
      <c r="B55" s="136" t="s">
        <v>312</v>
      </c>
      <c r="C55" s="136" t="s">
        <v>222</v>
      </c>
      <c r="D55" s="137">
        <v>7.04</v>
      </c>
    </row>
    <row r="56" spans="1:4" x14ac:dyDescent="0.2">
      <c r="A56" s="136">
        <v>221</v>
      </c>
      <c r="B56" s="136" t="s">
        <v>312</v>
      </c>
      <c r="C56" s="136" t="s">
        <v>222</v>
      </c>
      <c r="D56" s="137">
        <v>7.04</v>
      </c>
    </row>
    <row r="57" spans="1:4" x14ac:dyDescent="0.2">
      <c r="A57" s="136">
        <v>225</v>
      </c>
      <c r="B57" s="136" t="s">
        <v>312</v>
      </c>
      <c r="C57" s="136" t="s">
        <v>222</v>
      </c>
      <c r="D57" s="137">
        <v>7.04</v>
      </c>
    </row>
    <row r="58" spans="1:4" x14ac:dyDescent="0.2">
      <c r="A58" s="136">
        <v>226</v>
      </c>
      <c r="B58" s="136" t="s">
        <v>312</v>
      </c>
      <c r="C58" s="136" t="s">
        <v>222</v>
      </c>
      <c r="D58" s="137">
        <v>7.04</v>
      </c>
    </row>
    <row r="59" spans="1:4" x14ac:dyDescent="0.2">
      <c r="A59" s="136">
        <v>230</v>
      </c>
      <c r="B59" s="136" t="s">
        <v>312</v>
      </c>
      <c r="C59" s="136" t="s">
        <v>222</v>
      </c>
      <c r="D59" s="137">
        <v>7.04</v>
      </c>
    </row>
    <row r="60" spans="1:4" x14ac:dyDescent="0.2">
      <c r="A60" s="136">
        <v>231</v>
      </c>
      <c r="B60" s="136" t="s">
        <v>312</v>
      </c>
      <c r="C60" s="136" t="s">
        <v>222</v>
      </c>
      <c r="D60" s="137">
        <v>7.04</v>
      </c>
    </row>
    <row r="61" spans="1:4" x14ac:dyDescent="0.2">
      <c r="A61" s="136">
        <v>235</v>
      </c>
      <c r="B61" s="136" t="s">
        <v>312</v>
      </c>
      <c r="C61" s="136" t="s">
        <v>222</v>
      </c>
      <c r="D61" s="137">
        <v>7.04</v>
      </c>
    </row>
    <row r="62" spans="1:4" x14ac:dyDescent="0.2">
      <c r="A62" s="136">
        <v>236</v>
      </c>
      <c r="B62" s="136" t="s">
        <v>312</v>
      </c>
      <c r="C62" s="136" t="s">
        <v>222</v>
      </c>
      <c r="D62" s="137">
        <v>7.04</v>
      </c>
    </row>
    <row r="63" spans="1:4" x14ac:dyDescent="0.2">
      <c r="A63" s="136">
        <v>240</v>
      </c>
      <c r="B63" s="136" t="s">
        <v>312</v>
      </c>
      <c r="C63" s="136" t="s">
        <v>222</v>
      </c>
      <c r="D63" s="137">
        <v>7.04</v>
      </c>
    </row>
    <row r="64" spans="1:4" x14ac:dyDescent="0.2">
      <c r="A64" s="136">
        <v>161</v>
      </c>
      <c r="B64" s="136" t="s">
        <v>312</v>
      </c>
      <c r="C64" s="136" t="s">
        <v>222</v>
      </c>
      <c r="D64" s="137">
        <v>2.41</v>
      </c>
    </row>
    <row r="65" spans="1:4" x14ac:dyDescent="0.2">
      <c r="A65" s="136">
        <v>162</v>
      </c>
      <c r="B65" s="136" t="s">
        <v>312</v>
      </c>
      <c r="C65" s="136" t="s">
        <v>222</v>
      </c>
      <c r="D65" s="137">
        <v>2.41</v>
      </c>
    </row>
    <row r="66" spans="1:4" x14ac:dyDescent="0.2">
      <c r="A66" s="136">
        <v>163</v>
      </c>
      <c r="B66" s="136" t="s">
        <v>312</v>
      </c>
      <c r="C66" s="136" t="s">
        <v>222</v>
      </c>
      <c r="D66" s="137">
        <v>2.41</v>
      </c>
    </row>
    <row r="67" spans="1:4" x14ac:dyDescent="0.2">
      <c r="A67" s="136">
        <v>164</v>
      </c>
      <c r="B67" s="136" t="s">
        <v>312</v>
      </c>
      <c r="C67" s="136" t="s">
        <v>222</v>
      </c>
      <c r="D67" s="137">
        <v>2.41</v>
      </c>
    </row>
    <row r="68" spans="1:4" x14ac:dyDescent="0.2">
      <c r="A68" s="136">
        <v>177</v>
      </c>
      <c r="B68" s="136" t="s">
        <v>312</v>
      </c>
      <c r="C68" s="136" t="s">
        <v>222</v>
      </c>
      <c r="D68" s="137">
        <v>2.41</v>
      </c>
    </row>
    <row r="69" spans="1:4" x14ac:dyDescent="0.2">
      <c r="A69" s="136">
        <v>178</v>
      </c>
      <c r="B69" s="136" t="s">
        <v>312</v>
      </c>
      <c r="C69" s="136" t="s">
        <v>222</v>
      </c>
      <c r="D69" s="137">
        <v>2.41</v>
      </c>
    </row>
    <row r="70" spans="1:4" x14ac:dyDescent="0.2">
      <c r="A70" s="136">
        <v>179</v>
      </c>
      <c r="B70" s="136" t="s">
        <v>312</v>
      </c>
      <c r="C70" s="136" t="s">
        <v>222</v>
      </c>
      <c r="D70" s="137">
        <v>2.41</v>
      </c>
    </row>
    <row r="71" spans="1:4" x14ac:dyDescent="0.2">
      <c r="A71" s="136">
        <v>180</v>
      </c>
      <c r="B71" s="136" t="s">
        <v>312</v>
      </c>
      <c r="C71" s="136" t="s">
        <v>222</v>
      </c>
      <c r="D71" s="137">
        <v>2.41</v>
      </c>
    </row>
    <row r="72" spans="1:4" x14ac:dyDescent="0.2">
      <c r="A72" s="136">
        <v>241</v>
      </c>
      <c r="B72" s="136" t="s">
        <v>312</v>
      </c>
      <c r="C72" s="136" t="s">
        <v>222</v>
      </c>
      <c r="D72" s="137">
        <v>2.41</v>
      </c>
    </row>
    <row r="73" spans="1:4" x14ac:dyDescent="0.2">
      <c r="A73" s="136">
        <v>245</v>
      </c>
      <c r="B73" s="136" t="s">
        <v>312</v>
      </c>
      <c r="C73" s="136" t="s">
        <v>222</v>
      </c>
      <c r="D73" s="137">
        <v>2.41</v>
      </c>
    </row>
    <row r="74" spans="1:4" x14ac:dyDescent="0.2">
      <c r="A74" s="136">
        <v>246</v>
      </c>
      <c r="B74" s="136" t="s">
        <v>312</v>
      </c>
      <c r="C74" s="136" t="s">
        <v>222</v>
      </c>
      <c r="D74" s="137">
        <v>2.41</v>
      </c>
    </row>
    <row r="75" spans="1:4" x14ac:dyDescent="0.2">
      <c r="A75" s="136">
        <v>250</v>
      </c>
      <c r="B75" s="136" t="s">
        <v>312</v>
      </c>
      <c r="C75" s="136" t="s">
        <v>222</v>
      </c>
      <c r="D75" s="137">
        <v>2.41</v>
      </c>
    </row>
    <row r="76" spans="1:4" x14ac:dyDescent="0.2">
      <c r="A76" s="136">
        <v>251</v>
      </c>
      <c r="B76" s="136" t="s">
        <v>312</v>
      </c>
      <c r="C76" s="136" t="s">
        <v>222</v>
      </c>
      <c r="D76" s="137">
        <v>2.41</v>
      </c>
    </row>
    <row r="77" spans="1:4" x14ac:dyDescent="0.2">
      <c r="A77" s="136">
        <v>255</v>
      </c>
      <c r="B77" s="136" t="s">
        <v>312</v>
      </c>
      <c r="C77" s="136" t="s">
        <v>222</v>
      </c>
      <c r="D77" s="137">
        <v>2.41</v>
      </c>
    </row>
    <row r="78" spans="1:4" x14ac:dyDescent="0.2">
      <c r="A78" s="136">
        <v>256</v>
      </c>
      <c r="B78" s="136" t="s">
        <v>312</v>
      </c>
      <c r="C78" s="136" t="s">
        <v>222</v>
      </c>
      <c r="D78" s="137">
        <v>2.41</v>
      </c>
    </row>
    <row r="79" spans="1:4" x14ac:dyDescent="0.2">
      <c r="A79" s="136">
        <v>260</v>
      </c>
      <c r="B79" s="136" t="s">
        <v>312</v>
      </c>
      <c r="C79" s="136" t="s">
        <v>222</v>
      </c>
      <c r="D79" s="137">
        <v>2.41</v>
      </c>
    </row>
  </sheetData>
  <dataValidations count="4">
    <dataValidation type="list" showInputMessage="1" showErrorMessage="1" errorTitle="Invalid Input" error="Choose from the list" sqref="C16:C1048576" xr:uid="{A06960A0-574A-4091-89DC-3EAC93A1B00B}">
      <formula1>"Global-X, Global-Y, Gravity, Local-x, Local-y, Local-z"</formula1>
    </dataValidation>
    <dataValidation type="decimal" allowBlank="1" showInputMessage="1" showErrorMessage="1" errorTitle="Invalid Input" error="Please enter a float value only." sqref="D16:L1048576" xr:uid="{DF4D0C80-0563-4CC2-B0A8-6B52582B452C}">
      <formula1>-1000000000000</formula1>
      <formula2>1000000000000</formula2>
    </dataValidation>
    <dataValidation type="list" showInputMessage="1" showErrorMessage="1" errorTitle="Invalid Input" error="Choose from the list" sqref="A16:A1048576" xr:uid="{CFFEC136-BD4D-41A8-9172-2C735BE136D8}">
      <formula1>Element_ID</formula1>
    </dataValidation>
    <dataValidation type="list" showInputMessage="1" showErrorMessage="1" errorTitle="Invalid Input" error="Choose from the list" sqref="B16:B1048576" xr:uid="{E3D690A9-3459-485B-9D38-6E5066FAA865}">
      <formula1>LC_Type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4173-8D21-44EB-9119-A6BC046B304C}">
  <dimension ref="A1:F135"/>
  <sheetViews>
    <sheetView zoomScale="130" zoomScaleNormal="130" workbookViewId="0">
      <selection activeCell="A6" sqref="A6"/>
    </sheetView>
  </sheetViews>
  <sheetFormatPr baseColWidth="10" defaultColWidth="9.1640625" defaultRowHeight="16" x14ac:dyDescent="0.2"/>
  <cols>
    <col min="1" max="3" width="15.6640625" style="136" customWidth="1"/>
    <col min="4" max="4" width="15.6640625" style="137" customWidth="1"/>
    <col min="5" max="16384" width="9.1640625" style="125"/>
  </cols>
  <sheetData>
    <row r="1" spans="1:6" x14ac:dyDescent="0.2">
      <c r="A1" s="127" t="s">
        <v>101</v>
      </c>
      <c r="B1" s="128"/>
      <c r="C1" s="128"/>
      <c r="D1" s="128"/>
      <c r="E1" s="128"/>
      <c r="F1" s="129"/>
    </row>
    <row r="2" spans="1:6" x14ac:dyDescent="0.2">
      <c r="A2" s="204" t="s">
        <v>337</v>
      </c>
      <c r="B2" s="131"/>
      <c r="C2" s="131"/>
      <c r="D2" s="131"/>
      <c r="E2" s="131"/>
      <c r="F2" s="132"/>
    </row>
    <row r="3" spans="1:6" x14ac:dyDescent="0.2">
      <c r="A3" s="204" t="s">
        <v>338</v>
      </c>
      <c r="B3" s="131"/>
      <c r="C3" s="131"/>
      <c r="D3" s="131"/>
      <c r="E3" s="131"/>
      <c r="F3" s="132"/>
    </row>
    <row r="4" spans="1:6" x14ac:dyDescent="0.2">
      <c r="A4" s="204" t="s">
        <v>339</v>
      </c>
      <c r="B4" s="131"/>
      <c r="C4" s="131"/>
      <c r="D4" s="131"/>
      <c r="E4" s="131"/>
      <c r="F4" s="132"/>
    </row>
    <row r="5" spans="1:6" x14ac:dyDescent="0.2">
      <c r="A5" s="133" t="str">
        <f>"- Load: Value of subjected shell to elemental load (Input as Float) ("&amp;'User Defined Units'!$B$10&amp;"/"&amp;'User Defined Units'!$B$11&amp;"2)"</f>
        <v>- Load: Value of subjected shell to elemental load (Input as Float) (kN/m2)</v>
      </c>
      <c r="B5" s="134"/>
      <c r="C5" s="134"/>
      <c r="D5" s="134"/>
      <c r="E5" s="134"/>
      <c r="F5" s="135"/>
    </row>
    <row r="6" spans="1:6" x14ac:dyDescent="0.2">
      <c r="A6" s="125"/>
      <c r="B6" s="125"/>
      <c r="C6" s="125"/>
      <c r="D6" s="125"/>
    </row>
    <row r="7" spans="1:6" s="121" customFormat="1" x14ac:dyDescent="0.2">
      <c r="A7" s="126" t="s">
        <v>336</v>
      </c>
      <c r="B7" s="126" t="s">
        <v>221</v>
      </c>
      <c r="C7" s="126" t="s">
        <v>223</v>
      </c>
      <c r="D7" s="126" t="s">
        <v>224</v>
      </c>
    </row>
    <row r="8" spans="1:6" x14ac:dyDescent="0.2">
      <c r="A8" s="136">
        <v>1</v>
      </c>
      <c r="B8" s="136" t="s">
        <v>312</v>
      </c>
      <c r="C8" s="136" t="s">
        <v>222</v>
      </c>
      <c r="D8" s="137">
        <v>1.1100000000000001</v>
      </c>
    </row>
    <row r="9" spans="1:6" x14ac:dyDescent="0.2">
      <c r="A9" s="136">
        <v>2</v>
      </c>
      <c r="B9" s="136" t="s">
        <v>312</v>
      </c>
      <c r="C9" s="136" t="s">
        <v>222</v>
      </c>
      <c r="D9" s="137">
        <v>1.1100000000000001</v>
      </c>
    </row>
    <row r="10" spans="1:6" x14ac:dyDescent="0.2">
      <c r="A10" s="136">
        <v>3</v>
      </c>
      <c r="B10" s="136" t="s">
        <v>312</v>
      </c>
      <c r="C10" s="136" t="s">
        <v>222</v>
      </c>
      <c r="D10" s="137">
        <v>1.1100000000000001</v>
      </c>
    </row>
    <row r="11" spans="1:6" x14ac:dyDescent="0.2">
      <c r="A11" s="136">
        <v>4</v>
      </c>
      <c r="B11" s="136" t="s">
        <v>312</v>
      </c>
      <c r="C11" s="136" t="s">
        <v>222</v>
      </c>
      <c r="D11" s="137">
        <v>1.1100000000000001</v>
      </c>
    </row>
    <row r="12" spans="1:6" x14ac:dyDescent="0.2">
      <c r="A12" s="136">
        <v>5</v>
      </c>
      <c r="B12" s="136" t="s">
        <v>312</v>
      </c>
      <c r="C12" s="136" t="s">
        <v>222</v>
      </c>
      <c r="D12" s="137">
        <v>1.1100000000000001</v>
      </c>
    </row>
    <row r="13" spans="1:6" x14ac:dyDescent="0.2">
      <c r="A13" s="136">
        <v>6</v>
      </c>
      <c r="B13" s="136" t="s">
        <v>312</v>
      </c>
      <c r="C13" s="136" t="s">
        <v>222</v>
      </c>
      <c r="D13" s="137">
        <v>1.1100000000000001</v>
      </c>
    </row>
    <row r="14" spans="1:6" x14ac:dyDescent="0.2">
      <c r="A14" s="136">
        <v>7</v>
      </c>
      <c r="B14" s="136" t="s">
        <v>312</v>
      </c>
      <c r="C14" s="136" t="s">
        <v>222</v>
      </c>
      <c r="D14" s="137">
        <v>1.1100000000000001</v>
      </c>
    </row>
    <row r="15" spans="1:6" x14ac:dyDescent="0.2">
      <c r="A15" s="136">
        <v>8</v>
      </c>
      <c r="B15" s="136" t="s">
        <v>312</v>
      </c>
      <c r="C15" s="136" t="s">
        <v>222</v>
      </c>
      <c r="D15" s="137">
        <v>1.1100000000000001</v>
      </c>
    </row>
    <row r="16" spans="1:6" x14ac:dyDescent="0.2">
      <c r="A16" s="136">
        <v>9</v>
      </c>
      <c r="B16" s="136" t="s">
        <v>312</v>
      </c>
      <c r="C16" s="136" t="s">
        <v>222</v>
      </c>
      <c r="D16" s="137">
        <v>1.1100000000000001</v>
      </c>
    </row>
    <row r="17" spans="1:4" x14ac:dyDescent="0.2">
      <c r="A17" s="136">
        <v>10</v>
      </c>
      <c r="B17" s="136" t="s">
        <v>312</v>
      </c>
      <c r="C17" s="136" t="s">
        <v>222</v>
      </c>
      <c r="D17" s="137">
        <v>1.1100000000000001</v>
      </c>
    </row>
    <row r="18" spans="1:4" x14ac:dyDescent="0.2">
      <c r="A18" s="136">
        <v>11</v>
      </c>
      <c r="B18" s="136" t="s">
        <v>312</v>
      </c>
      <c r="C18" s="136" t="s">
        <v>222</v>
      </c>
      <c r="D18" s="137">
        <v>1.1100000000000001</v>
      </c>
    </row>
    <row r="19" spans="1:4" x14ac:dyDescent="0.2">
      <c r="A19" s="136">
        <v>12</v>
      </c>
      <c r="B19" s="136" t="s">
        <v>312</v>
      </c>
      <c r="C19" s="136" t="s">
        <v>222</v>
      </c>
      <c r="D19" s="137">
        <v>1.1100000000000001</v>
      </c>
    </row>
    <row r="20" spans="1:4" x14ac:dyDescent="0.2">
      <c r="A20" s="136">
        <v>13</v>
      </c>
      <c r="B20" s="136" t="s">
        <v>312</v>
      </c>
      <c r="C20" s="136" t="s">
        <v>222</v>
      </c>
      <c r="D20" s="137">
        <v>1.1100000000000001</v>
      </c>
    </row>
    <row r="21" spans="1:4" x14ac:dyDescent="0.2">
      <c r="A21" s="136">
        <v>14</v>
      </c>
      <c r="B21" s="136" t="s">
        <v>312</v>
      </c>
      <c r="C21" s="136" t="s">
        <v>222</v>
      </c>
      <c r="D21" s="137">
        <v>1.1100000000000001</v>
      </c>
    </row>
    <row r="22" spans="1:4" x14ac:dyDescent="0.2">
      <c r="A22" s="136">
        <v>15</v>
      </c>
      <c r="B22" s="136" t="s">
        <v>312</v>
      </c>
      <c r="C22" s="136" t="s">
        <v>222</v>
      </c>
      <c r="D22" s="137">
        <v>1.1100000000000001</v>
      </c>
    </row>
    <row r="23" spans="1:4" x14ac:dyDescent="0.2">
      <c r="A23" s="136">
        <v>16</v>
      </c>
      <c r="B23" s="136" t="s">
        <v>312</v>
      </c>
      <c r="C23" s="136" t="s">
        <v>222</v>
      </c>
      <c r="D23" s="137">
        <v>1.1100000000000001</v>
      </c>
    </row>
    <row r="24" spans="1:4" x14ac:dyDescent="0.2">
      <c r="A24" s="136">
        <v>17</v>
      </c>
      <c r="B24" s="136" t="s">
        <v>312</v>
      </c>
      <c r="C24" s="136" t="s">
        <v>222</v>
      </c>
      <c r="D24" s="137">
        <v>1.1100000000000001</v>
      </c>
    </row>
    <row r="25" spans="1:4" x14ac:dyDescent="0.2">
      <c r="A25" s="136">
        <v>18</v>
      </c>
      <c r="B25" s="136" t="s">
        <v>312</v>
      </c>
      <c r="C25" s="136" t="s">
        <v>222</v>
      </c>
      <c r="D25" s="137">
        <v>1.1100000000000001</v>
      </c>
    </row>
    <row r="26" spans="1:4" x14ac:dyDescent="0.2">
      <c r="A26" s="136">
        <v>19</v>
      </c>
      <c r="B26" s="136" t="s">
        <v>312</v>
      </c>
      <c r="C26" s="136" t="s">
        <v>222</v>
      </c>
      <c r="D26" s="137">
        <v>1.1100000000000001</v>
      </c>
    </row>
    <row r="27" spans="1:4" x14ac:dyDescent="0.2">
      <c r="A27" s="136">
        <v>20</v>
      </c>
      <c r="B27" s="136" t="s">
        <v>312</v>
      </c>
      <c r="C27" s="136" t="s">
        <v>222</v>
      </c>
      <c r="D27" s="137">
        <v>1.1100000000000001</v>
      </c>
    </row>
    <row r="28" spans="1:4" x14ac:dyDescent="0.2">
      <c r="A28" s="136">
        <v>21</v>
      </c>
      <c r="B28" s="136" t="s">
        <v>312</v>
      </c>
      <c r="C28" s="136" t="s">
        <v>222</v>
      </c>
      <c r="D28" s="137">
        <v>1.1100000000000001</v>
      </c>
    </row>
    <row r="29" spans="1:4" x14ac:dyDescent="0.2">
      <c r="A29" s="136">
        <v>22</v>
      </c>
      <c r="B29" s="136" t="s">
        <v>312</v>
      </c>
      <c r="C29" s="136" t="s">
        <v>222</v>
      </c>
      <c r="D29" s="137">
        <v>1.1100000000000001</v>
      </c>
    </row>
    <row r="30" spans="1:4" x14ac:dyDescent="0.2">
      <c r="A30" s="136">
        <v>23</v>
      </c>
      <c r="B30" s="136" t="s">
        <v>312</v>
      </c>
      <c r="C30" s="136" t="s">
        <v>222</v>
      </c>
      <c r="D30" s="137">
        <v>1.1100000000000001</v>
      </c>
    </row>
    <row r="31" spans="1:4" x14ac:dyDescent="0.2">
      <c r="A31" s="136">
        <v>24</v>
      </c>
      <c r="B31" s="136" t="s">
        <v>312</v>
      </c>
      <c r="C31" s="136" t="s">
        <v>222</v>
      </c>
      <c r="D31" s="137">
        <v>1.1100000000000001</v>
      </c>
    </row>
    <row r="32" spans="1:4" x14ac:dyDescent="0.2">
      <c r="A32" s="136">
        <v>25</v>
      </c>
      <c r="B32" s="136" t="s">
        <v>312</v>
      </c>
      <c r="C32" s="136" t="s">
        <v>222</v>
      </c>
      <c r="D32" s="137">
        <v>1.1100000000000001</v>
      </c>
    </row>
    <row r="33" spans="1:4" x14ac:dyDescent="0.2">
      <c r="A33" s="136">
        <v>26</v>
      </c>
      <c r="B33" s="136" t="s">
        <v>312</v>
      </c>
      <c r="C33" s="136" t="s">
        <v>222</v>
      </c>
      <c r="D33" s="137">
        <v>1.1100000000000001</v>
      </c>
    </row>
    <row r="34" spans="1:4" x14ac:dyDescent="0.2">
      <c r="A34" s="136">
        <v>27</v>
      </c>
      <c r="B34" s="136" t="s">
        <v>312</v>
      </c>
      <c r="C34" s="136" t="s">
        <v>222</v>
      </c>
      <c r="D34" s="137">
        <v>1.1100000000000001</v>
      </c>
    </row>
    <row r="35" spans="1:4" x14ac:dyDescent="0.2">
      <c r="A35" s="136">
        <v>28</v>
      </c>
      <c r="B35" s="136" t="s">
        <v>312</v>
      </c>
      <c r="C35" s="136" t="s">
        <v>222</v>
      </c>
      <c r="D35" s="137">
        <v>1.1100000000000001</v>
      </c>
    </row>
    <row r="36" spans="1:4" x14ac:dyDescent="0.2">
      <c r="A36" s="136">
        <v>29</v>
      </c>
      <c r="B36" s="136" t="s">
        <v>312</v>
      </c>
      <c r="C36" s="136" t="s">
        <v>222</v>
      </c>
      <c r="D36" s="137">
        <v>1.1100000000000001</v>
      </c>
    </row>
    <row r="37" spans="1:4" x14ac:dyDescent="0.2">
      <c r="A37" s="136">
        <v>30</v>
      </c>
      <c r="B37" s="136" t="s">
        <v>312</v>
      </c>
      <c r="C37" s="136" t="s">
        <v>222</v>
      </c>
      <c r="D37" s="137">
        <v>1.1100000000000001</v>
      </c>
    </row>
    <row r="38" spans="1:4" x14ac:dyDescent="0.2">
      <c r="A38" s="136">
        <v>31</v>
      </c>
      <c r="B38" s="136" t="s">
        <v>312</v>
      </c>
      <c r="C38" s="136" t="s">
        <v>222</v>
      </c>
      <c r="D38" s="137">
        <v>1.1100000000000001</v>
      </c>
    </row>
    <row r="39" spans="1:4" x14ac:dyDescent="0.2">
      <c r="A39" s="136">
        <v>32</v>
      </c>
      <c r="B39" s="136" t="s">
        <v>312</v>
      </c>
      <c r="C39" s="136" t="s">
        <v>222</v>
      </c>
      <c r="D39" s="137">
        <v>1.1100000000000001</v>
      </c>
    </row>
    <row r="40" spans="1:4" x14ac:dyDescent="0.2">
      <c r="A40" s="136">
        <v>33</v>
      </c>
      <c r="B40" s="136" t="s">
        <v>312</v>
      </c>
      <c r="C40" s="136" t="s">
        <v>222</v>
      </c>
      <c r="D40" s="137">
        <v>1.1100000000000001</v>
      </c>
    </row>
    <row r="41" spans="1:4" x14ac:dyDescent="0.2">
      <c r="A41" s="136">
        <v>34</v>
      </c>
      <c r="B41" s="136" t="s">
        <v>312</v>
      </c>
      <c r="C41" s="136" t="s">
        <v>222</v>
      </c>
      <c r="D41" s="137">
        <v>1.1100000000000001</v>
      </c>
    </row>
    <row r="42" spans="1:4" x14ac:dyDescent="0.2">
      <c r="A42" s="136">
        <v>35</v>
      </c>
      <c r="B42" s="136" t="s">
        <v>312</v>
      </c>
      <c r="C42" s="136" t="s">
        <v>222</v>
      </c>
      <c r="D42" s="137">
        <v>1.1100000000000001</v>
      </c>
    </row>
    <row r="43" spans="1:4" x14ac:dyDescent="0.2">
      <c r="A43" s="136">
        <v>36</v>
      </c>
      <c r="B43" s="136" t="s">
        <v>312</v>
      </c>
      <c r="C43" s="136" t="s">
        <v>222</v>
      </c>
      <c r="D43" s="137">
        <v>1.1100000000000001</v>
      </c>
    </row>
    <row r="44" spans="1:4" x14ac:dyDescent="0.2">
      <c r="A44" s="136">
        <v>37</v>
      </c>
      <c r="B44" s="136" t="s">
        <v>312</v>
      </c>
      <c r="C44" s="136" t="s">
        <v>222</v>
      </c>
      <c r="D44" s="137">
        <v>1.1100000000000001</v>
      </c>
    </row>
    <row r="45" spans="1:4" x14ac:dyDescent="0.2">
      <c r="A45" s="136">
        <v>38</v>
      </c>
      <c r="B45" s="136" t="s">
        <v>312</v>
      </c>
      <c r="C45" s="136" t="s">
        <v>222</v>
      </c>
      <c r="D45" s="137">
        <v>1.1100000000000001</v>
      </c>
    </row>
    <row r="46" spans="1:4" x14ac:dyDescent="0.2">
      <c r="A46" s="136">
        <v>39</v>
      </c>
      <c r="B46" s="136" t="s">
        <v>312</v>
      </c>
      <c r="C46" s="136" t="s">
        <v>222</v>
      </c>
      <c r="D46" s="137">
        <v>1.1100000000000001</v>
      </c>
    </row>
    <row r="47" spans="1:4" x14ac:dyDescent="0.2">
      <c r="A47" s="136">
        <v>40</v>
      </c>
      <c r="B47" s="136" t="s">
        <v>312</v>
      </c>
      <c r="C47" s="136" t="s">
        <v>222</v>
      </c>
      <c r="D47" s="137">
        <v>1.1100000000000001</v>
      </c>
    </row>
    <row r="48" spans="1:4" x14ac:dyDescent="0.2">
      <c r="A48" s="136">
        <v>41</v>
      </c>
      <c r="B48" s="136" t="s">
        <v>312</v>
      </c>
      <c r="C48" s="136" t="s">
        <v>222</v>
      </c>
      <c r="D48" s="137">
        <v>1.1100000000000001</v>
      </c>
    </row>
    <row r="49" spans="1:4" x14ac:dyDescent="0.2">
      <c r="A49" s="136">
        <v>42</v>
      </c>
      <c r="B49" s="136" t="s">
        <v>312</v>
      </c>
      <c r="C49" s="136" t="s">
        <v>222</v>
      </c>
      <c r="D49" s="137">
        <v>1.1100000000000001</v>
      </c>
    </row>
    <row r="50" spans="1:4" x14ac:dyDescent="0.2">
      <c r="A50" s="136">
        <v>43</v>
      </c>
      <c r="B50" s="136" t="s">
        <v>312</v>
      </c>
      <c r="C50" s="136" t="s">
        <v>222</v>
      </c>
      <c r="D50" s="137">
        <v>1.1100000000000001</v>
      </c>
    </row>
    <row r="51" spans="1:4" x14ac:dyDescent="0.2">
      <c r="A51" s="136">
        <v>44</v>
      </c>
      <c r="B51" s="136" t="s">
        <v>312</v>
      </c>
      <c r="C51" s="136" t="s">
        <v>222</v>
      </c>
      <c r="D51" s="137">
        <v>1.1100000000000001</v>
      </c>
    </row>
    <row r="52" spans="1:4" x14ac:dyDescent="0.2">
      <c r="A52" s="136">
        <v>45</v>
      </c>
      <c r="B52" s="136" t="s">
        <v>312</v>
      </c>
      <c r="C52" s="136" t="s">
        <v>222</v>
      </c>
      <c r="D52" s="137">
        <v>1.1100000000000001</v>
      </c>
    </row>
    <row r="53" spans="1:4" x14ac:dyDescent="0.2">
      <c r="A53" s="136">
        <v>46</v>
      </c>
      <c r="B53" s="136" t="s">
        <v>312</v>
      </c>
      <c r="C53" s="136" t="s">
        <v>222</v>
      </c>
      <c r="D53" s="137">
        <v>1.1100000000000001</v>
      </c>
    </row>
    <row r="54" spans="1:4" x14ac:dyDescent="0.2">
      <c r="A54" s="136">
        <v>47</v>
      </c>
      <c r="B54" s="136" t="s">
        <v>312</v>
      </c>
      <c r="C54" s="136" t="s">
        <v>222</v>
      </c>
      <c r="D54" s="137">
        <v>1.1100000000000001</v>
      </c>
    </row>
    <row r="55" spans="1:4" x14ac:dyDescent="0.2">
      <c r="A55" s="136">
        <v>48</v>
      </c>
      <c r="B55" s="136" t="s">
        <v>312</v>
      </c>
      <c r="C55" s="136" t="s">
        <v>222</v>
      </c>
      <c r="D55" s="137">
        <v>1.1100000000000001</v>
      </c>
    </row>
    <row r="56" spans="1:4" x14ac:dyDescent="0.2">
      <c r="A56" s="136">
        <v>49</v>
      </c>
      <c r="B56" s="136" t="s">
        <v>312</v>
      </c>
      <c r="C56" s="136" t="s">
        <v>222</v>
      </c>
      <c r="D56" s="137">
        <v>0.41</v>
      </c>
    </row>
    <row r="57" spans="1:4" x14ac:dyDescent="0.2">
      <c r="A57" s="136">
        <v>50</v>
      </c>
      <c r="B57" s="136" t="s">
        <v>312</v>
      </c>
      <c r="C57" s="136" t="s">
        <v>222</v>
      </c>
      <c r="D57" s="137">
        <v>0.41</v>
      </c>
    </row>
    <row r="58" spans="1:4" x14ac:dyDescent="0.2">
      <c r="A58" s="136">
        <v>51</v>
      </c>
      <c r="B58" s="136" t="s">
        <v>312</v>
      </c>
      <c r="C58" s="136" t="s">
        <v>222</v>
      </c>
      <c r="D58" s="137">
        <v>0.41</v>
      </c>
    </row>
    <row r="59" spans="1:4" x14ac:dyDescent="0.2">
      <c r="A59" s="136">
        <v>52</v>
      </c>
      <c r="B59" s="136" t="s">
        <v>312</v>
      </c>
      <c r="C59" s="136" t="s">
        <v>222</v>
      </c>
      <c r="D59" s="137">
        <v>0.41</v>
      </c>
    </row>
    <row r="60" spans="1:4" x14ac:dyDescent="0.2">
      <c r="A60" s="136">
        <v>53</v>
      </c>
      <c r="B60" s="136" t="s">
        <v>312</v>
      </c>
      <c r="C60" s="136" t="s">
        <v>222</v>
      </c>
      <c r="D60" s="137">
        <v>0.41</v>
      </c>
    </row>
    <row r="61" spans="1:4" x14ac:dyDescent="0.2">
      <c r="A61" s="136">
        <v>54</v>
      </c>
      <c r="B61" s="136" t="s">
        <v>312</v>
      </c>
      <c r="C61" s="136" t="s">
        <v>222</v>
      </c>
      <c r="D61" s="137">
        <v>0.41</v>
      </c>
    </row>
    <row r="62" spans="1:4" x14ac:dyDescent="0.2">
      <c r="A62" s="136">
        <v>55</v>
      </c>
      <c r="B62" s="136" t="s">
        <v>312</v>
      </c>
      <c r="C62" s="136" t="s">
        <v>222</v>
      </c>
      <c r="D62" s="137">
        <v>0.41</v>
      </c>
    </row>
    <row r="63" spans="1:4" x14ac:dyDescent="0.2">
      <c r="A63" s="136">
        <v>56</v>
      </c>
      <c r="B63" s="136" t="s">
        <v>312</v>
      </c>
      <c r="C63" s="136" t="s">
        <v>222</v>
      </c>
      <c r="D63" s="137">
        <v>0.41</v>
      </c>
    </row>
    <row r="64" spans="1:4" x14ac:dyDescent="0.2">
      <c r="A64" s="136">
        <v>57</v>
      </c>
      <c r="B64" s="136" t="s">
        <v>312</v>
      </c>
      <c r="C64" s="136" t="s">
        <v>222</v>
      </c>
      <c r="D64" s="137">
        <v>0.41</v>
      </c>
    </row>
    <row r="65" spans="1:4" x14ac:dyDescent="0.2">
      <c r="A65" s="136">
        <v>58</v>
      </c>
      <c r="B65" s="136" t="s">
        <v>312</v>
      </c>
      <c r="C65" s="136" t="s">
        <v>222</v>
      </c>
      <c r="D65" s="137">
        <v>0.41</v>
      </c>
    </row>
    <row r="66" spans="1:4" x14ac:dyDescent="0.2">
      <c r="A66" s="136">
        <v>59</v>
      </c>
      <c r="B66" s="136" t="s">
        <v>312</v>
      </c>
      <c r="C66" s="136" t="s">
        <v>222</v>
      </c>
      <c r="D66" s="137">
        <v>0.41</v>
      </c>
    </row>
    <row r="67" spans="1:4" x14ac:dyDescent="0.2">
      <c r="A67" s="136">
        <v>60</v>
      </c>
      <c r="B67" s="136" t="s">
        <v>312</v>
      </c>
      <c r="C67" s="136" t="s">
        <v>222</v>
      </c>
      <c r="D67" s="137">
        <v>0.41</v>
      </c>
    </row>
    <row r="68" spans="1:4" x14ac:dyDescent="0.2">
      <c r="A68" s="136">
        <v>61</v>
      </c>
      <c r="B68" s="136" t="s">
        <v>312</v>
      </c>
      <c r="C68" s="136" t="s">
        <v>222</v>
      </c>
      <c r="D68" s="137">
        <v>0.41</v>
      </c>
    </row>
    <row r="69" spans="1:4" x14ac:dyDescent="0.2">
      <c r="A69" s="136">
        <v>62</v>
      </c>
      <c r="B69" s="136" t="s">
        <v>312</v>
      </c>
      <c r="C69" s="136" t="s">
        <v>222</v>
      </c>
      <c r="D69" s="137">
        <v>0.41</v>
      </c>
    </row>
    <row r="70" spans="1:4" x14ac:dyDescent="0.2">
      <c r="A70" s="136">
        <v>63</v>
      </c>
      <c r="B70" s="136" t="s">
        <v>312</v>
      </c>
      <c r="C70" s="136" t="s">
        <v>222</v>
      </c>
      <c r="D70" s="137">
        <v>0.41</v>
      </c>
    </row>
    <row r="71" spans="1:4" x14ac:dyDescent="0.2">
      <c r="A71" s="136">
        <v>64</v>
      </c>
      <c r="B71" s="136" t="s">
        <v>312</v>
      </c>
      <c r="C71" s="136" t="s">
        <v>222</v>
      </c>
      <c r="D71" s="137">
        <v>0.41</v>
      </c>
    </row>
    <row r="72" spans="1:4" x14ac:dyDescent="0.2">
      <c r="A72" s="136">
        <v>1</v>
      </c>
      <c r="B72" s="136" t="s">
        <v>313</v>
      </c>
      <c r="C72" s="136" t="s">
        <v>222</v>
      </c>
      <c r="D72" s="137">
        <v>2.69</v>
      </c>
    </row>
    <row r="73" spans="1:4" x14ac:dyDescent="0.2">
      <c r="A73" s="136">
        <v>2</v>
      </c>
      <c r="B73" s="136" t="s">
        <v>313</v>
      </c>
      <c r="C73" s="136" t="s">
        <v>222</v>
      </c>
      <c r="D73" s="137">
        <v>2.69</v>
      </c>
    </row>
    <row r="74" spans="1:4" x14ac:dyDescent="0.2">
      <c r="A74" s="136">
        <v>3</v>
      </c>
      <c r="B74" s="136" t="s">
        <v>313</v>
      </c>
      <c r="C74" s="136" t="s">
        <v>222</v>
      </c>
      <c r="D74" s="137">
        <v>2.69</v>
      </c>
    </row>
    <row r="75" spans="1:4" x14ac:dyDescent="0.2">
      <c r="A75" s="136">
        <v>4</v>
      </c>
      <c r="B75" s="136" t="s">
        <v>313</v>
      </c>
      <c r="C75" s="136" t="s">
        <v>222</v>
      </c>
      <c r="D75" s="137">
        <v>2.69</v>
      </c>
    </row>
    <row r="76" spans="1:4" x14ac:dyDescent="0.2">
      <c r="A76" s="136">
        <v>5</v>
      </c>
      <c r="B76" s="136" t="s">
        <v>313</v>
      </c>
      <c r="C76" s="136" t="s">
        <v>222</v>
      </c>
      <c r="D76" s="137">
        <v>2.69</v>
      </c>
    </row>
    <row r="77" spans="1:4" x14ac:dyDescent="0.2">
      <c r="A77" s="136">
        <v>6</v>
      </c>
      <c r="B77" s="136" t="s">
        <v>313</v>
      </c>
      <c r="C77" s="136" t="s">
        <v>222</v>
      </c>
      <c r="D77" s="137">
        <v>2.69</v>
      </c>
    </row>
    <row r="78" spans="1:4" x14ac:dyDescent="0.2">
      <c r="A78" s="136">
        <v>7</v>
      </c>
      <c r="B78" s="136" t="s">
        <v>313</v>
      </c>
      <c r="C78" s="136" t="s">
        <v>222</v>
      </c>
      <c r="D78" s="137">
        <v>2.69</v>
      </c>
    </row>
    <row r="79" spans="1:4" x14ac:dyDescent="0.2">
      <c r="A79" s="136">
        <v>8</v>
      </c>
      <c r="B79" s="136" t="s">
        <v>313</v>
      </c>
      <c r="C79" s="136" t="s">
        <v>222</v>
      </c>
      <c r="D79" s="137">
        <v>2.69</v>
      </c>
    </row>
    <row r="80" spans="1:4" x14ac:dyDescent="0.2">
      <c r="A80" s="136">
        <v>9</v>
      </c>
      <c r="B80" s="136" t="s">
        <v>313</v>
      </c>
      <c r="C80" s="136" t="s">
        <v>222</v>
      </c>
      <c r="D80" s="137">
        <v>2.69</v>
      </c>
    </row>
    <row r="81" spans="1:4" x14ac:dyDescent="0.2">
      <c r="A81" s="136">
        <v>10</v>
      </c>
      <c r="B81" s="136" t="s">
        <v>313</v>
      </c>
      <c r="C81" s="136" t="s">
        <v>222</v>
      </c>
      <c r="D81" s="137">
        <v>2.69</v>
      </c>
    </row>
    <row r="82" spans="1:4" x14ac:dyDescent="0.2">
      <c r="A82" s="136">
        <v>11</v>
      </c>
      <c r="B82" s="136" t="s">
        <v>313</v>
      </c>
      <c r="C82" s="136" t="s">
        <v>222</v>
      </c>
      <c r="D82" s="137">
        <v>2.69</v>
      </c>
    </row>
    <row r="83" spans="1:4" x14ac:dyDescent="0.2">
      <c r="A83" s="136">
        <v>12</v>
      </c>
      <c r="B83" s="136" t="s">
        <v>313</v>
      </c>
      <c r="C83" s="136" t="s">
        <v>222</v>
      </c>
      <c r="D83" s="137">
        <v>2.69</v>
      </c>
    </row>
    <row r="84" spans="1:4" x14ac:dyDescent="0.2">
      <c r="A84" s="136">
        <v>13</v>
      </c>
      <c r="B84" s="136" t="s">
        <v>313</v>
      </c>
      <c r="C84" s="136" t="s">
        <v>222</v>
      </c>
      <c r="D84" s="137">
        <v>2.69</v>
      </c>
    </row>
    <row r="85" spans="1:4" x14ac:dyDescent="0.2">
      <c r="A85" s="136">
        <v>14</v>
      </c>
      <c r="B85" s="136" t="s">
        <v>313</v>
      </c>
      <c r="C85" s="136" t="s">
        <v>222</v>
      </c>
      <c r="D85" s="137">
        <v>2.69</v>
      </c>
    </row>
    <row r="86" spans="1:4" x14ac:dyDescent="0.2">
      <c r="A86" s="136">
        <v>15</v>
      </c>
      <c r="B86" s="136" t="s">
        <v>313</v>
      </c>
      <c r="C86" s="136" t="s">
        <v>222</v>
      </c>
      <c r="D86" s="137">
        <v>2.69</v>
      </c>
    </row>
    <row r="87" spans="1:4" x14ac:dyDescent="0.2">
      <c r="A87" s="136">
        <v>16</v>
      </c>
      <c r="B87" s="136" t="s">
        <v>313</v>
      </c>
      <c r="C87" s="136" t="s">
        <v>222</v>
      </c>
      <c r="D87" s="137">
        <v>2.69</v>
      </c>
    </row>
    <row r="88" spans="1:4" x14ac:dyDescent="0.2">
      <c r="A88" s="136">
        <v>17</v>
      </c>
      <c r="B88" s="136" t="s">
        <v>313</v>
      </c>
      <c r="C88" s="136" t="s">
        <v>222</v>
      </c>
      <c r="D88" s="137">
        <v>2.69</v>
      </c>
    </row>
    <row r="89" spans="1:4" x14ac:dyDescent="0.2">
      <c r="A89" s="136">
        <v>18</v>
      </c>
      <c r="B89" s="136" t="s">
        <v>313</v>
      </c>
      <c r="C89" s="136" t="s">
        <v>222</v>
      </c>
      <c r="D89" s="137">
        <v>2.69</v>
      </c>
    </row>
    <row r="90" spans="1:4" x14ac:dyDescent="0.2">
      <c r="A90" s="136">
        <v>19</v>
      </c>
      <c r="B90" s="136" t="s">
        <v>313</v>
      </c>
      <c r="C90" s="136" t="s">
        <v>222</v>
      </c>
      <c r="D90" s="137">
        <v>2.69</v>
      </c>
    </row>
    <row r="91" spans="1:4" x14ac:dyDescent="0.2">
      <c r="A91" s="136">
        <v>20</v>
      </c>
      <c r="B91" s="136" t="s">
        <v>313</v>
      </c>
      <c r="C91" s="136" t="s">
        <v>222</v>
      </c>
      <c r="D91" s="137">
        <v>2.69</v>
      </c>
    </row>
    <row r="92" spans="1:4" x14ac:dyDescent="0.2">
      <c r="A92" s="136">
        <v>21</v>
      </c>
      <c r="B92" s="136" t="s">
        <v>313</v>
      </c>
      <c r="C92" s="136" t="s">
        <v>222</v>
      </c>
      <c r="D92" s="137">
        <v>2.69</v>
      </c>
    </row>
    <row r="93" spans="1:4" x14ac:dyDescent="0.2">
      <c r="A93" s="136">
        <v>22</v>
      </c>
      <c r="B93" s="136" t="s">
        <v>313</v>
      </c>
      <c r="C93" s="136" t="s">
        <v>222</v>
      </c>
      <c r="D93" s="137">
        <v>2.69</v>
      </c>
    </row>
    <row r="94" spans="1:4" x14ac:dyDescent="0.2">
      <c r="A94" s="136">
        <v>23</v>
      </c>
      <c r="B94" s="136" t="s">
        <v>313</v>
      </c>
      <c r="C94" s="136" t="s">
        <v>222</v>
      </c>
      <c r="D94" s="137">
        <v>2.69</v>
      </c>
    </row>
    <row r="95" spans="1:4" x14ac:dyDescent="0.2">
      <c r="A95" s="136">
        <v>24</v>
      </c>
      <c r="B95" s="136" t="s">
        <v>313</v>
      </c>
      <c r="C95" s="136" t="s">
        <v>222</v>
      </c>
      <c r="D95" s="137">
        <v>2.69</v>
      </c>
    </row>
    <row r="96" spans="1:4" x14ac:dyDescent="0.2">
      <c r="A96" s="136">
        <v>25</v>
      </c>
      <c r="B96" s="136" t="s">
        <v>313</v>
      </c>
      <c r="C96" s="136" t="s">
        <v>222</v>
      </c>
      <c r="D96" s="137">
        <v>2.69</v>
      </c>
    </row>
    <row r="97" spans="1:4" x14ac:dyDescent="0.2">
      <c r="A97" s="136">
        <v>26</v>
      </c>
      <c r="B97" s="136" t="s">
        <v>313</v>
      </c>
      <c r="C97" s="136" t="s">
        <v>222</v>
      </c>
      <c r="D97" s="137">
        <v>2.69</v>
      </c>
    </row>
    <row r="98" spans="1:4" x14ac:dyDescent="0.2">
      <c r="A98" s="136">
        <v>27</v>
      </c>
      <c r="B98" s="136" t="s">
        <v>313</v>
      </c>
      <c r="C98" s="136" t="s">
        <v>222</v>
      </c>
      <c r="D98" s="137">
        <v>2.69</v>
      </c>
    </row>
    <row r="99" spans="1:4" x14ac:dyDescent="0.2">
      <c r="A99" s="136">
        <v>28</v>
      </c>
      <c r="B99" s="136" t="s">
        <v>313</v>
      </c>
      <c r="C99" s="136" t="s">
        <v>222</v>
      </c>
      <c r="D99" s="137">
        <v>2.69</v>
      </c>
    </row>
    <row r="100" spans="1:4" x14ac:dyDescent="0.2">
      <c r="A100" s="136">
        <v>29</v>
      </c>
      <c r="B100" s="136" t="s">
        <v>313</v>
      </c>
      <c r="C100" s="136" t="s">
        <v>222</v>
      </c>
      <c r="D100" s="137">
        <v>2.69</v>
      </c>
    </row>
    <row r="101" spans="1:4" x14ac:dyDescent="0.2">
      <c r="A101" s="136">
        <v>30</v>
      </c>
      <c r="B101" s="136" t="s">
        <v>313</v>
      </c>
      <c r="C101" s="136" t="s">
        <v>222</v>
      </c>
      <c r="D101" s="137">
        <v>2.69</v>
      </c>
    </row>
    <row r="102" spans="1:4" x14ac:dyDescent="0.2">
      <c r="A102" s="136">
        <v>31</v>
      </c>
      <c r="B102" s="136" t="s">
        <v>313</v>
      </c>
      <c r="C102" s="136" t="s">
        <v>222</v>
      </c>
      <c r="D102" s="137">
        <v>2.69</v>
      </c>
    </row>
    <row r="103" spans="1:4" x14ac:dyDescent="0.2">
      <c r="A103" s="136">
        <v>32</v>
      </c>
      <c r="B103" s="136" t="s">
        <v>313</v>
      </c>
      <c r="C103" s="136" t="s">
        <v>222</v>
      </c>
      <c r="D103" s="137">
        <v>2.69</v>
      </c>
    </row>
    <row r="104" spans="1:4" x14ac:dyDescent="0.2">
      <c r="A104" s="136">
        <v>33</v>
      </c>
      <c r="B104" s="136" t="s">
        <v>313</v>
      </c>
      <c r="C104" s="136" t="s">
        <v>222</v>
      </c>
      <c r="D104" s="137">
        <v>2.69</v>
      </c>
    </row>
    <row r="105" spans="1:4" x14ac:dyDescent="0.2">
      <c r="A105" s="136">
        <v>34</v>
      </c>
      <c r="B105" s="136" t="s">
        <v>313</v>
      </c>
      <c r="C105" s="136" t="s">
        <v>222</v>
      </c>
      <c r="D105" s="137">
        <v>2.69</v>
      </c>
    </row>
    <row r="106" spans="1:4" x14ac:dyDescent="0.2">
      <c r="A106" s="136">
        <v>35</v>
      </c>
      <c r="B106" s="136" t="s">
        <v>313</v>
      </c>
      <c r="C106" s="136" t="s">
        <v>222</v>
      </c>
      <c r="D106" s="137">
        <v>2.69</v>
      </c>
    </row>
    <row r="107" spans="1:4" x14ac:dyDescent="0.2">
      <c r="A107" s="136">
        <v>36</v>
      </c>
      <c r="B107" s="136" t="s">
        <v>313</v>
      </c>
      <c r="C107" s="136" t="s">
        <v>222</v>
      </c>
      <c r="D107" s="137">
        <v>2.69</v>
      </c>
    </row>
    <row r="108" spans="1:4" x14ac:dyDescent="0.2">
      <c r="A108" s="136">
        <v>37</v>
      </c>
      <c r="B108" s="136" t="s">
        <v>313</v>
      </c>
      <c r="C108" s="136" t="s">
        <v>222</v>
      </c>
      <c r="D108" s="137">
        <v>2.69</v>
      </c>
    </row>
    <row r="109" spans="1:4" x14ac:dyDescent="0.2">
      <c r="A109" s="136">
        <v>38</v>
      </c>
      <c r="B109" s="136" t="s">
        <v>313</v>
      </c>
      <c r="C109" s="136" t="s">
        <v>222</v>
      </c>
      <c r="D109" s="137">
        <v>2.69</v>
      </c>
    </row>
    <row r="110" spans="1:4" x14ac:dyDescent="0.2">
      <c r="A110" s="136">
        <v>39</v>
      </c>
      <c r="B110" s="136" t="s">
        <v>313</v>
      </c>
      <c r="C110" s="136" t="s">
        <v>222</v>
      </c>
      <c r="D110" s="137">
        <v>2.69</v>
      </c>
    </row>
    <row r="111" spans="1:4" x14ac:dyDescent="0.2">
      <c r="A111" s="136">
        <v>40</v>
      </c>
      <c r="B111" s="136" t="s">
        <v>313</v>
      </c>
      <c r="C111" s="136" t="s">
        <v>222</v>
      </c>
      <c r="D111" s="137">
        <v>2.69</v>
      </c>
    </row>
    <row r="112" spans="1:4" x14ac:dyDescent="0.2">
      <c r="A112" s="136">
        <v>41</v>
      </c>
      <c r="B112" s="136" t="s">
        <v>313</v>
      </c>
      <c r="C112" s="136" t="s">
        <v>222</v>
      </c>
      <c r="D112" s="137">
        <v>2.69</v>
      </c>
    </row>
    <row r="113" spans="1:4" x14ac:dyDescent="0.2">
      <c r="A113" s="136">
        <v>42</v>
      </c>
      <c r="B113" s="136" t="s">
        <v>313</v>
      </c>
      <c r="C113" s="136" t="s">
        <v>222</v>
      </c>
      <c r="D113" s="137">
        <v>2.69</v>
      </c>
    </row>
    <row r="114" spans="1:4" x14ac:dyDescent="0.2">
      <c r="A114" s="136">
        <v>43</v>
      </c>
      <c r="B114" s="136" t="s">
        <v>313</v>
      </c>
      <c r="C114" s="136" t="s">
        <v>222</v>
      </c>
      <c r="D114" s="137">
        <v>2.69</v>
      </c>
    </row>
    <row r="115" spans="1:4" x14ac:dyDescent="0.2">
      <c r="A115" s="136">
        <v>44</v>
      </c>
      <c r="B115" s="136" t="s">
        <v>313</v>
      </c>
      <c r="C115" s="136" t="s">
        <v>222</v>
      </c>
      <c r="D115" s="137">
        <v>2.69</v>
      </c>
    </row>
    <row r="116" spans="1:4" x14ac:dyDescent="0.2">
      <c r="A116" s="136">
        <v>45</v>
      </c>
      <c r="B116" s="136" t="s">
        <v>313</v>
      </c>
      <c r="C116" s="136" t="s">
        <v>222</v>
      </c>
      <c r="D116" s="137">
        <v>2.69</v>
      </c>
    </row>
    <row r="117" spans="1:4" x14ac:dyDescent="0.2">
      <c r="A117" s="136">
        <v>46</v>
      </c>
      <c r="B117" s="136" t="s">
        <v>313</v>
      </c>
      <c r="C117" s="136" t="s">
        <v>222</v>
      </c>
      <c r="D117" s="137">
        <v>2.69</v>
      </c>
    </row>
    <row r="118" spans="1:4" x14ac:dyDescent="0.2">
      <c r="A118" s="136">
        <v>47</v>
      </c>
      <c r="B118" s="136" t="s">
        <v>313</v>
      </c>
      <c r="C118" s="136" t="s">
        <v>222</v>
      </c>
      <c r="D118" s="137">
        <v>2.69</v>
      </c>
    </row>
    <row r="119" spans="1:4" x14ac:dyDescent="0.2">
      <c r="A119" s="136">
        <v>48</v>
      </c>
      <c r="B119" s="136" t="s">
        <v>313</v>
      </c>
      <c r="C119" s="136" t="s">
        <v>222</v>
      </c>
      <c r="D119" s="137">
        <v>2.69</v>
      </c>
    </row>
    <row r="120" spans="1:4" x14ac:dyDescent="0.2">
      <c r="A120" s="136">
        <v>49</v>
      </c>
      <c r="B120" s="136" t="s">
        <v>46</v>
      </c>
      <c r="C120" s="136" t="s">
        <v>222</v>
      </c>
      <c r="D120" s="137">
        <v>0.57999999999999996</v>
      </c>
    </row>
    <row r="121" spans="1:4" x14ac:dyDescent="0.2">
      <c r="A121" s="136">
        <v>50</v>
      </c>
      <c r="B121" s="136" t="s">
        <v>46</v>
      </c>
      <c r="C121" s="136" t="s">
        <v>222</v>
      </c>
      <c r="D121" s="137">
        <v>0.57999999999999996</v>
      </c>
    </row>
    <row r="122" spans="1:4" x14ac:dyDescent="0.2">
      <c r="A122" s="136">
        <v>51</v>
      </c>
      <c r="B122" s="136" t="s">
        <v>46</v>
      </c>
      <c r="C122" s="136" t="s">
        <v>222</v>
      </c>
      <c r="D122" s="137">
        <v>0.57999999999999996</v>
      </c>
    </row>
    <row r="123" spans="1:4" x14ac:dyDescent="0.2">
      <c r="A123" s="136">
        <v>52</v>
      </c>
      <c r="B123" s="136" t="s">
        <v>46</v>
      </c>
      <c r="C123" s="136" t="s">
        <v>222</v>
      </c>
      <c r="D123" s="137">
        <v>0.57999999999999996</v>
      </c>
    </row>
    <row r="124" spans="1:4" x14ac:dyDescent="0.2">
      <c r="A124" s="136">
        <v>53</v>
      </c>
      <c r="B124" s="136" t="s">
        <v>46</v>
      </c>
      <c r="C124" s="136" t="s">
        <v>222</v>
      </c>
      <c r="D124" s="137">
        <v>0.57999999999999996</v>
      </c>
    </row>
    <row r="125" spans="1:4" x14ac:dyDescent="0.2">
      <c r="A125" s="136">
        <v>54</v>
      </c>
      <c r="B125" s="136" t="s">
        <v>46</v>
      </c>
      <c r="C125" s="136" t="s">
        <v>222</v>
      </c>
      <c r="D125" s="137">
        <v>0.57999999999999996</v>
      </c>
    </row>
    <row r="126" spans="1:4" x14ac:dyDescent="0.2">
      <c r="A126" s="136">
        <v>55</v>
      </c>
      <c r="B126" s="136" t="s">
        <v>46</v>
      </c>
      <c r="C126" s="136" t="s">
        <v>222</v>
      </c>
      <c r="D126" s="137">
        <v>0.57999999999999996</v>
      </c>
    </row>
    <row r="127" spans="1:4" x14ac:dyDescent="0.2">
      <c r="A127" s="136">
        <v>56</v>
      </c>
      <c r="B127" s="136" t="s">
        <v>46</v>
      </c>
      <c r="C127" s="136" t="s">
        <v>222</v>
      </c>
      <c r="D127" s="137">
        <v>0.57999999999999996</v>
      </c>
    </row>
    <row r="128" spans="1:4" x14ac:dyDescent="0.2">
      <c r="A128" s="136">
        <v>57</v>
      </c>
      <c r="B128" s="136" t="s">
        <v>46</v>
      </c>
      <c r="C128" s="136" t="s">
        <v>222</v>
      </c>
      <c r="D128" s="137">
        <v>0.57999999999999996</v>
      </c>
    </row>
    <row r="129" spans="1:4" x14ac:dyDescent="0.2">
      <c r="A129" s="136">
        <v>58</v>
      </c>
      <c r="B129" s="136" t="s">
        <v>46</v>
      </c>
      <c r="C129" s="136" t="s">
        <v>222</v>
      </c>
      <c r="D129" s="137">
        <v>0.57999999999999996</v>
      </c>
    </row>
    <row r="130" spans="1:4" x14ac:dyDescent="0.2">
      <c r="A130" s="136">
        <v>59</v>
      </c>
      <c r="B130" s="136" t="s">
        <v>46</v>
      </c>
      <c r="C130" s="136" t="s">
        <v>222</v>
      </c>
      <c r="D130" s="137">
        <v>0.57999999999999996</v>
      </c>
    </row>
    <row r="131" spans="1:4" x14ac:dyDescent="0.2">
      <c r="A131" s="136">
        <v>60</v>
      </c>
      <c r="B131" s="136" t="s">
        <v>46</v>
      </c>
      <c r="C131" s="136" t="s">
        <v>222</v>
      </c>
      <c r="D131" s="137">
        <v>0.57999999999999996</v>
      </c>
    </row>
    <row r="132" spans="1:4" x14ac:dyDescent="0.2">
      <c r="A132" s="136">
        <v>61</v>
      </c>
      <c r="B132" s="136" t="s">
        <v>46</v>
      </c>
      <c r="C132" s="136" t="s">
        <v>222</v>
      </c>
      <c r="D132" s="137">
        <v>0.57999999999999996</v>
      </c>
    </row>
    <row r="133" spans="1:4" x14ac:dyDescent="0.2">
      <c r="A133" s="136">
        <v>62</v>
      </c>
      <c r="B133" s="136" t="s">
        <v>46</v>
      </c>
      <c r="C133" s="136" t="s">
        <v>222</v>
      </c>
      <c r="D133" s="137">
        <v>0.57999999999999996</v>
      </c>
    </row>
    <row r="134" spans="1:4" x14ac:dyDescent="0.2">
      <c r="A134" s="136">
        <v>63</v>
      </c>
      <c r="B134" s="136" t="s">
        <v>46</v>
      </c>
      <c r="C134" s="136" t="s">
        <v>222</v>
      </c>
      <c r="D134" s="137">
        <v>0.57999999999999996</v>
      </c>
    </row>
    <row r="135" spans="1:4" x14ac:dyDescent="0.2">
      <c r="A135" s="136">
        <v>64</v>
      </c>
      <c r="B135" s="136" t="s">
        <v>46</v>
      </c>
      <c r="C135" s="136" t="s">
        <v>222</v>
      </c>
      <c r="D135" s="137">
        <v>0.57999999999999996</v>
      </c>
    </row>
  </sheetData>
  <dataValidations count="4">
    <dataValidation type="list" showInputMessage="1" showErrorMessage="1" errorTitle="Invalid Input" error="Choose from the list" sqref="B8:B1048576" xr:uid="{1512AF2D-8ABF-408B-A5A3-341A7F908033}">
      <formula1>LC_Type</formula1>
    </dataValidation>
    <dataValidation type="list" showInputMessage="1" showErrorMessage="1" errorTitle="Invalid Input" error="Choose from the list" sqref="A8:A1048576" xr:uid="{0FB351FE-4722-4B30-B2C7-F77C6F4CB4C8}">
      <formula1>Shell_ID</formula1>
    </dataValidation>
    <dataValidation type="decimal" allowBlank="1" showInputMessage="1" showErrorMessage="1" errorTitle="Invalid Input" error="Please enter a float value only." sqref="D8:D1048576" xr:uid="{5938BB6D-6A18-4E94-99C8-7CE9A4B4114A}">
      <formula1>-1000000000000</formula1>
      <formula2>1000000000000</formula2>
    </dataValidation>
    <dataValidation type="list" showInputMessage="1" showErrorMessage="1" errorTitle="Invalid Input" error="Choose from the list" sqref="C8:C1048576" xr:uid="{A58E8B81-98B3-44AB-B60D-4C93D87E3A91}">
      <formula1>"Global-X, Global-Y, Gravity, Local-x, Local-y, Local-z"</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33</vt:i4>
      </vt:variant>
    </vt:vector>
  </HeadingPairs>
  <TitlesOfParts>
    <vt:vector size="50" baseType="lpstr">
      <vt:lpstr>Design Preferences</vt:lpstr>
      <vt:lpstr>ListDB</vt:lpstr>
      <vt:lpstr>Instructions</vt:lpstr>
      <vt:lpstr>Project Information</vt:lpstr>
      <vt:lpstr>User Defined Units</vt:lpstr>
      <vt:lpstr>Analysis Preferences</vt:lpstr>
      <vt:lpstr>Materials</vt:lpstr>
      <vt:lpstr>Frame Sections</vt:lpstr>
      <vt:lpstr>Slab Sections</vt:lpstr>
      <vt:lpstr>Node Objects</vt:lpstr>
      <vt:lpstr>Element Objects</vt:lpstr>
      <vt:lpstr>Shell Objects</vt:lpstr>
      <vt:lpstr>Restraints</vt:lpstr>
      <vt:lpstr>Nodal Loads</vt:lpstr>
      <vt:lpstr>Concentrated Elemental Loads</vt:lpstr>
      <vt:lpstr>Distributed Elemental Loads</vt:lpstr>
      <vt:lpstr>Shell to Elemental Loads</vt:lpstr>
      <vt:lpstr>Base_Sec</vt:lpstr>
      <vt:lpstr>Blank</vt:lpstr>
      <vt:lpstr>Elastic_Mat_Name</vt:lpstr>
      <vt:lpstr>Ele_Type</vt:lpstr>
      <vt:lpstr>Element_ID</vt:lpstr>
      <vt:lpstr>Int_Type</vt:lpstr>
      <vt:lpstr>Int_Type_Con</vt:lpstr>
      <vt:lpstr>Int_Type_Dist</vt:lpstr>
      <vt:lpstr>LC_Type</vt:lpstr>
      <vt:lpstr>Mat_Concrete</vt:lpstr>
      <vt:lpstr>Mat_Model_Agg</vt:lpstr>
      <vt:lpstr>Mat_Model_Concrete</vt:lpstr>
      <vt:lpstr>Mat_Model_Hysteretic</vt:lpstr>
      <vt:lpstr>Mat_Model_Steel</vt:lpstr>
      <vt:lpstr>Mat_Name</vt:lpstr>
      <vt:lpstr>Mat_Steel</vt:lpstr>
      <vt:lpstr>Mat_Type</vt:lpstr>
      <vt:lpstr>NL_Mat_Name</vt:lpstr>
      <vt:lpstr>Node_ID</vt:lpstr>
      <vt:lpstr>Sec_Model</vt:lpstr>
      <vt:lpstr>Sec_Name</vt:lpstr>
      <vt:lpstr>Sec_name_wo_agg</vt:lpstr>
      <vt:lpstr>Sec_Shape</vt:lpstr>
      <vt:lpstr>SecDB</vt:lpstr>
      <vt:lpstr>Shell_ID</vt:lpstr>
      <vt:lpstr>Slab_Sec</vt:lpstr>
      <vt:lpstr>Spring_Mat_Name</vt:lpstr>
      <vt:lpstr>Unit_Angle</vt:lpstr>
      <vt:lpstr>Unit_Force</vt:lpstr>
      <vt:lpstr>Unit_Length</vt:lpstr>
      <vt:lpstr>Unit_Mass</vt:lpstr>
      <vt:lpstr>Unit_Stress</vt:lpstr>
      <vt:lpstr>Unit_Time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Input file for modelling Revision 0.1</dc:title>
  <dc:creator>Wiciardo, Julian</dc:creator>
  <cp:keywords/>
  <cp:lastModifiedBy>Julian Wiciardo</cp:lastModifiedBy>
  <dcterms:created xsi:type="dcterms:W3CDTF">2026-05-20T13:34:35Z</dcterms:created>
  <dcterms:modified xsi:type="dcterms:W3CDTF">2026-08-21T08:00:59Z</dcterms:modified>
</cp:coreProperties>
</file>