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D:\Projects\SadProPy\src\sadpropy\io\input\"/>
    </mc:Choice>
  </mc:AlternateContent>
  <xr:revisionPtr revIDLastSave="0" documentId="13_ncr:1_{7310929F-285F-4785-AE52-051DCD45415F}" xr6:coauthVersionLast="47" xr6:coauthVersionMax="47" xr10:uidLastSave="{00000000-0000-0000-0000-000000000000}"/>
  <bookViews>
    <workbookView xWindow="30" yWindow="30" windowWidth="28770" windowHeight="15450" activeTab="4" xr2:uid="{59A5497E-26E6-41F2-97A3-F930024339A4}"/>
  </bookViews>
  <sheets>
    <sheet name="Design Preferences" sheetId="25" r:id="rId1"/>
    <sheet name="ListDB" sheetId="1" r:id="rId2"/>
    <sheet name="Instructions" sheetId="30" r:id="rId3"/>
    <sheet name="Project Information" sheetId="20" r:id="rId4"/>
    <sheet name="User Defined Units" sheetId="27" r:id="rId5"/>
    <sheet name="Analysis Preferences" sheetId="24" r:id="rId6"/>
    <sheet name="Materials" sheetId="5" r:id="rId7"/>
    <sheet name="Mat_Concrete04" sheetId="6" r:id="rId8"/>
    <sheet name="Mat_Steel02" sheetId="7" r:id="rId9"/>
    <sheet name="Mat_MinMax" sheetId="8" r:id="rId10"/>
    <sheet name="Mat_IMK" sheetId="9" r:id="rId11"/>
    <sheet name="Frame Sections" sheetId="10" r:id="rId12"/>
    <sheet name="Sec_Fiber" sheetId="11" r:id="rId13"/>
    <sheet name="Sec_Aggregator" sheetId="12" r:id="rId14"/>
    <sheet name="Slab Sections" sheetId="13" r:id="rId15"/>
    <sheet name="Point Objects" sheetId="26" r:id="rId16"/>
    <sheet name="Line Objects" sheetId="28" r:id="rId17"/>
    <sheet name="Surface Objects" sheetId="29" r:id="rId18"/>
    <sheet name="Restraints" sheetId="18" r:id="rId19"/>
    <sheet name="Loads" sheetId="19" r:id="rId20"/>
    <sheet name="Element Offset" sheetId="16" r:id="rId21"/>
  </sheets>
  <definedNames>
    <definedName name="Base_Mat">Materials!$A$14:$A$1013</definedName>
    <definedName name="Base_Mat_Conc">ListDB!$D$2:$D$1001</definedName>
    <definedName name="Base_Mat_Steel">ListDB!$E$2:$E$1001</definedName>
    <definedName name="Base_Sec">'Frame Sections'!$A$17:$A$1016</definedName>
    <definedName name="Int_Type_Con">ListDB!$H$2:$H$1001</definedName>
    <definedName name="Int_Type_Dist">ListDB!$G$2:$G$1001</definedName>
    <definedName name="LC_Type">ListDB!$K$2:$K$1001</definedName>
    <definedName name="Line_ID">'Line Objects'!$A$14:$A$1048576</definedName>
    <definedName name="Mat_Name">ListDB!$C$2:$C$1001</definedName>
    <definedName name="Mat_Type">ListDB!$B$2:$B$1001</definedName>
    <definedName name="MatDB">Materials!$A$14:$E$1013</definedName>
    <definedName name="NL_Mat_Name">ListDB!$F$2:$F$1001</definedName>
    <definedName name="Point_ID">'Point Objects'!$A$8:$A$1048576</definedName>
    <definedName name="Sec_Name">ListDB!$J$2:$J$1001</definedName>
    <definedName name="Sec_Shape">ListDB!$I$2:$I$1001</definedName>
    <definedName name="SecDB">'Frame Sections'!$A$17:$M$1016</definedName>
    <definedName name="SecFiberDB">Sec_Fiber!$A$19:$O$1018</definedName>
    <definedName name="Slab_Sec">'Slab Sections'!$A$7:$A$1006</definedName>
    <definedName name="Surface_ID">'Surface Objects'!$A$10:$A$1048576</definedName>
    <definedName name="Unit_Angle">ListDB!$Q$2:$Q$3</definedName>
    <definedName name="Unit_Force">ListDB!$L$2:$L$8</definedName>
    <definedName name="Unit_Length">ListDB!$M$2:$M$6</definedName>
    <definedName name="Unit_Mass">ListDB!$N$2:$N$6</definedName>
    <definedName name="Unit_Stress">ListDB!$O$2:$O$9</definedName>
    <definedName name="Unit_Time">ListDB!$P$2:$P$3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 i="26" l="1"/>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9" i="12"/>
  <c r="A10" i="9"/>
  <c r="A9" i="9"/>
  <c r="A8" i="9"/>
  <c r="A7" i="9"/>
  <c r="A4" i="9"/>
  <c r="A4" i="13" l="1"/>
  <c r="A16" i="11"/>
  <c r="A15" i="11"/>
  <c r="A14" i="11"/>
  <c r="A13" i="11"/>
  <c r="A8" i="10"/>
  <c r="A7" i="10"/>
  <c r="A16" i="7"/>
  <c r="A6" i="7"/>
  <c r="A5" i="7"/>
  <c r="A8" i="6"/>
  <c r="A5" i="6"/>
  <c r="A6" i="5"/>
  <c r="A9" i="5"/>
  <c r="A8" i="5"/>
  <c r="A7" i="5"/>
  <c r="A4" i="5"/>
  <c r="A7" i="28"/>
  <c r="A6" i="28"/>
  <c r="A4" i="26"/>
  <c r="A3" i="26"/>
  <c r="E19" i="7" l="1"/>
  <c r="D19" i="7"/>
  <c r="D14" i="6"/>
  <c r="D13" i="6"/>
  <c r="G14" i="6" s="1"/>
  <c r="C15" i="5"/>
  <c r="E15" i="5"/>
  <c r="H15" i="5"/>
  <c r="G15" i="5"/>
  <c r="F14" i="5"/>
  <c r="C14" i="5" s="1"/>
  <c r="G13" i="6" l="1"/>
  <c r="E2" i="1" a="1"/>
  <c r="E2" i="1" s="1"/>
  <c r="D2" i="1" a="1"/>
  <c r="D2" i="1" s="1"/>
  <c r="C2" i="1" a="1"/>
  <c r="C2" i="1" s="1"/>
  <c r="B292" i="16" l="1"/>
  <c r="A3" i="16"/>
  <c r="A4" i="16"/>
  <c r="B4" i="16" s="1"/>
  <c r="A5" i="16"/>
  <c r="B5" i="16" s="1"/>
  <c r="A6" i="16"/>
  <c r="B6" i="16" s="1"/>
  <c r="A7" i="16"/>
  <c r="B7" i="16" s="1"/>
  <c r="A8" i="16"/>
  <c r="B8" i="16" s="1"/>
  <c r="A9" i="16"/>
  <c r="B9" i="16" s="1"/>
  <c r="A10" i="16"/>
  <c r="B10" i="16" s="1"/>
  <c r="A11" i="16"/>
  <c r="B11" i="16" s="1"/>
  <c r="A12" i="16"/>
  <c r="B12" i="16" s="1"/>
  <c r="A13" i="16"/>
  <c r="B13" i="16" s="1"/>
  <c r="A14" i="16"/>
  <c r="B14" i="16" s="1"/>
  <c r="A15" i="16"/>
  <c r="B15" i="16" s="1"/>
  <c r="A16" i="16"/>
  <c r="B16" i="16" s="1"/>
  <c r="A17" i="16"/>
  <c r="B17" i="16" s="1"/>
  <c r="A18" i="16"/>
  <c r="B18" i="16" s="1"/>
  <c r="A19" i="16"/>
  <c r="B19" i="16" s="1"/>
  <c r="A20" i="16"/>
  <c r="B20" i="16" s="1"/>
  <c r="A21" i="16"/>
  <c r="B21" i="16" s="1"/>
  <c r="A22" i="16"/>
  <c r="B22" i="16" s="1"/>
  <c r="A23" i="16"/>
  <c r="B23" i="16" s="1"/>
  <c r="A24" i="16"/>
  <c r="B24" i="16" s="1"/>
  <c r="A25" i="16"/>
  <c r="B25" i="16" s="1"/>
  <c r="A26" i="16"/>
  <c r="B26" i="16" s="1"/>
  <c r="A27" i="16"/>
  <c r="B27" i="16" s="1"/>
  <c r="A28" i="16"/>
  <c r="B28" i="16" s="1"/>
  <c r="A29" i="16"/>
  <c r="B29" i="16" s="1"/>
  <c r="A30" i="16"/>
  <c r="B30" i="16" s="1"/>
  <c r="A31" i="16"/>
  <c r="B31" i="16" s="1"/>
  <c r="A32" i="16"/>
  <c r="B32" i="16" s="1"/>
  <c r="A33" i="16"/>
  <c r="B33" i="16" s="1"/>
  <c r="A34" i="16"/>
  <c r="B34" i="16" s="1"/>
  <c r="A35" i="16"/>
  <c r="B35" i="16" s="1"/>
  <c r="A36" i="16"/>
  <c r="B36" i="16" s="1"/>
  <c r="A37" i="16"/>
  <c r="B37" i="16" s="1"/>
  <c r="A38" i="16"/>
  <c r="B38" i="16" s="1"/>
  <c r="A39" i="16"/>
  <c r="B39" i="16" s="1"/>
  <c r="A40" i="16"/>
  <c r="B40" i="16" s="1"/>
  <c r="A41" i="16"/>
  <c r="B41" i="16" s="1"/>
  <c r="A42" i="16"/>
  <c r="B42" i="16" s="1"/>
  <c r="A43" i="16"/>
  <c r="B43" i="16" s="1"/>
  <c r="A44" i="16"/>
  <c r="B44" i="16" s="1"/>
  <c r="A45" i="16"/>
  <c r="B45" i="16" s="1"/>
  <c r="A46" i="16"/>
  <c r="B46" i="16" s="1"/>
  <c r="A47" i="16"/>
  <c r="B47" i="16" s="1"/>
  <c r="A48" i="16"/>
  <c r="B48" i="16" s="1"/>
  <c r="A49" i="16"/>
  <c r="B49" i="16" s="1"/>
  <c r="A50" i="16"/>
  <c r="B50" i="16" s="1"/>
  <c r="A51" i="16"/>
  <c r="B51" i="16" s="1"/>
  <c r="A52" i="16"/>
  <c r="B52" i="16" s="1"/>
  <c r="A53" i="16"/>
  <c r="B53" i="16" s="1"/>
  <c r="A54" i="16"/>
  <c r="B54" i="16" s="1"/>
  <c r="A55" i="16"/>
  <c r="B55" i="16" s="1"/>
  <c r="A56" i="16"/>
  <c r="B56" i="16" s="1"/>
  <c r="A57" i="16"/>
  <c r="B57" i="16" s="1"/>
  <c r="A58" i="16"/>
  <c r="B58" i="16" s="1"/>
  <c r="A59" i="16"/>
  <c r="B59" i="16" s="1"/>
  <c r="A60" i="16"/>
  <c r="B60" i="16" s="1"/>
  <c r="A61" i="16"/>
  <c r="B61" i="16" s="1"/>
  <c r="A62" i="16"/>
  <c r="B62" i="16" s="1"/>
  <c r="A63" i="16"/>
  <c r="B63" i="16" s="1"/>
  <c r="A64" i="16"/>
  <c r="B64" i="16" s="1"/>
  <c r="A65" i="16"/>
  <c r="B65" i="16" s="1"/>
  <c r="A66" i="16"/>
  <c r="B66" i="16" s="1"/>
  <c r="A67" i="16"/>
  <c r="B67" i="16" s="1"/>
  <c r="A68" i="16"/>
  <c r="B68" i="16" s="1"/>
  <c r="A69" i="16"/>
  <c r="B69" i="16" s="1"/>
  <c r="A70" i="16"/>
  <c r="B70" i="16" s="1"/>
  <c r="A71" i="16"/>
  <c r="B71" i="16" s="1"/>
  <c r="A72" i="16"/>
  <c r="B72" i="16" s="1"/>
  <c r="A73" i="16"/>
  <c r="B73" i="16" s="1"/>
  <c r="A74" i="16"/>
  <c r="B74" i="16" s="1"/>
  <c r="A75" i="16"/>
  <c r="B75" i="16" s="1"/>
  <c r="A76" i="16"/>
  <c r="B76" i="16" s="1"/>
  <c r="A77" i="16"/>
  <c r="B77" i="16" s="1"/>
  <c r="A78" i="16"/>
  <c r="B78" i="16" s="1"/>
  <c r="A79" i="16"/>
  <c r="B79" i="16" s="1"/>
  <c r="A80" i="16"/>
  <c r="B80" i="16" s="1"/>
  <c r="A81" i="16"/>
  <c r="B81" i="16" s="1"/>
  <c r="A82" i="16"/>
  <c r="B82" i="16" s="1"/>
  <c r="A83" i="16"/>
  <c r="B83" i="16" s="1"/>
  <c r="A84" i="16"/>
  <c r="B84" i="16" s="1"/>
  <c r="A85" i="16"/>
  <c r="B85" i="16" s="1"/>
  <c r="A86" i="16"/>
  <c r="B86" i="16" s="1"/>
  <c r="A87" i="16"/>
  <c r="B87" i="16" s="1"/>
  <c r="A88" i="16"/>
  <c r="B88" i="16" s="1"/>
  <c r="A89" i="16"/>
  <c r="B89" i="16" s="1"/>
  <c r="A90" i="16"/>
  <c r="B90" i="16" s="1"/>
  <c r="A91" i="16"/>
  <c r="B91" i="16" s="1"/>
  <c r="A92" i="16"/>
  <c r="B92" i="16" s="1"/>
  <c r="A93" i="16"/>
  <c r="B93" i="16" s="1"/>
  <c r="A94" i="16"/>
  <c r="B94" i="16" s="1"/>
  <c r="A95" i="16"/>
  <c r="B95" i="16" s="1"/>
  <c r="A96" i="16"/>
  <c r="B96" i="16" s="1"/>
  <c r="A97" i="16"/>
  <c r="B97" i="16" s="1"/>
  <c r="A98" i="16"/>
  <c r="B98" i="16" s="1"/>
  <c r="A99" i="16"/>
  <c r="B99" i="16" s="1"/>
  <c r="A100" i="16"/>
  <c r="B100" i="16" s="1"/>
  <c r="A101" i="16"/>
  <c r="B101" i="16" s="1"/>
  <c r="A102" i="16"/>
  <c r="B102" i="16" s="1"/>
  <c r="A103" i="16"/>
  <c r="B103" i="16" s="1"/>
  <c r="A104" i="16"/>
  <c r="B104" i="16" s="1"/>
  <c r="A105" i="16"/>
  <c r="B105" i="16" s="1"/>
  <c r="A106" i="16"/>
  <c r="B106" i="16" s="1"/>
  <c r="A107" i="16"/>
  <c r="B107" i="16" s="1"/>
  <c r="A108" i="16"/>
  <c r="B108" i="16" s="1"/>
  <c r="A109" i="16"/>
  <c r="B109" i="16" s="1"/>
  <c r="A110" i="16"/>
  <c r="B110" i="16" s="1"/>
  <c r="A111" i="16"/>
  <c r="B111" i="16" s="1"/>
  <c r="A112" i="16"/>
  <c r="B112" i="16" s="1"/>
  <c r="A113" i="16"/>
  <c r="B113" i="16" s="1"/>
  <c r="A114" i="16"/>
  <c r="B114" i="16" s="1"/>
  <c r="A115" i="16"/>
  <c r="B115" i="16" s="1"/>
  <c r="A116" i="16"/>
  <c r="B116" i="16" s="1"/>
  <c r="A117" i="16"/>
  <c r="B117" i="16" s="1"/>
  <c r="A118" i="16"/>
  <c r="B118" i="16" s="1"/>
  <c r="A119" i="16"/>
  <c r="B119" i="16" s="1"/>
  <c r="A120" i="16"/>
  <c r="B120" i="16" s="1"/>
  <c r="A121" i="16"/>
  <c r="B121" i="16" s="1"/>
  <c r="A122" i="16"/>
  <c r="B122" i="16" s="1"/>
  <c r="A123" i="16"/>
  <c r="B123" i="16" s="1"/>
  <c r="A124" i="16"/>
  <c r="B124" i="16" s="1"/>
  <c r="A125" i="16"/>
  <c r="B125" i="16" s="1"/>
  <c r="A126" i="16"/>
  <c r="B126" i="16" s="1"/>
  <c r="A127" i="16"/>
  <c r="B127" i="16" s="1"/>
  <c r="A128" i="16"/>
  <c r="B128" i="16" s="1"/>
  <c r="A129" i="16"/>
  <c r="B129" i="16" s="1"/>
  <c r="A130" i="16"/>
  <c r="B130" i="16" s="1"/>
  <c r="A131" i="16"/>
  <c r="B131" i="16" s="1"/>
  <c r="A132" i="16"/>
  <c r="B132" i="16" s="1"/>
  <c r="A133" i="16"/>
  <c r="B133" i="16" s="1"/>
  <c r="A134" i="16"/>
  <c r="B134" i="16" s="1"/>
  <c r="A135" i="16"/>
  <c r="B135" i="16" s="1"/>
  <c r="A136" i="16"/>
  <c r="B136" i="16" s="1"/>
  <c r="A137" i="16"/>
  <c r="B137" i="16" s="1"/>
  <c r="A138" i="16"/>
  <c r="B138" i="16" s="1"/>
  <c r="A139" i="16"/>
  <c r="B139" i="16" s="1"/>
  <c r="A140" i="16"/>
  <c r="B140" i="16" s="1"/>
  <c r="A141" i="16"/>
  <c r="B141" i="16" s="1"/>
  <c r="A142" i="16"/>
  <c r="B142" i="16" s="1"/>
  <c r="A143" i="16"/>
  <c r="B143" i="16" s="1"/>
  <c r="A144" i="16"/>
  <c r="B144" i="16" s="1"/>
  <c r="A145" i="16"/>
  <c r="B145" i="16" s="1"/>
  <c r="A146" i="16"/>
  <c r="B146" i="16" s="1"/>
  <c r="A147" i="16"/>
  <c r="B147" i="16" s="1"/>
  <c r="A148" i="16"/>
  <c r="B148" i="16" s="1"/>
  <c r="A149" i="16"/>
  <c r="B149" i="16" s="1"/>
  <c r="A150" i="16"/>
  <c r="B150" i="16" s="1"/>
  <c r="A151" i="16"/>
  <c r="B151" i="16" s="1"/>
  <c r="A152" i="16"/>
  <c r="B152" i="16" s="1"/>
  <c r="A153" i="16"/>
  <c r="B153" i="16" s="1"/>
  <c r="A154" i="16"/>
  <c r="B154" i="16" s="1"/>
  <c r="A155" i="16"/>
  <c r="B155" i="16" s="1"/>
  <c r="A156" i="16"/>
  <c r="B156" i="16" s="1"/>
  <c r="A157" i="16"/>
  <c r="B157" i="16" s="1"/>
  <c r="A158" i="16"/>
  <c r="B158" i="16" s="1"/>
  <c r="A159" i="16"/>
  <c r="B159" i="16" s="1"/>
  <c r="A160" i="16"/>
  <c r="B160" i="16" s="1"/>
  <c r="A161" i="16"/>
  <c r="B161" i="16" s="1"/>
  <c r="A162" i="16"/>
  <c r="B162" i="16" s="1"/>
  <c r="A163" i="16"/>
  <c r="B163" i="16" s="1"/>
  <c r="A164" i="16"/>
  <c r="B164" i="16" s="1"/>
  <c r="A165" i="16"/>
  <c r="B165" i="16" s="1"/>
  <c r="A166" i="16"/>
  <c r="B166" i="16" s="1"/>
  <c r="A167" i="16"/>
  <c r="B167" i="16" s="1"/>
  <c r="A168" i="16"/>
  <c r="B168" i="16" s="1"/>
  <c r="A169" i="16"/>
  <c r="B169" i="16" s="1"/>
  <c r="A170" i="16"/>
  <c r="B170" i="16" s="1"/>
  <c r="A171" i="16"/>
  <c r="B171" i="16" s="1"/>
  <c r="A172" i="16"/>
  <c r="B172" i="16" s="1"/>
  <c r="A173" i="16"/>
  <c r="B173" i="16" s="1"/>
  <c r="A174" i="16"/>
  <c r="B174" i="16" s="1"/>
  <c r="A175" i="16"/>
  <c r="B175" i="16" s="1"/>
  <c r="A176" i="16"/>
  <c r="B176" i="16" s="1"/>
  <c r="A177" i="16"/>
  <c r="B177" i="16" s="1"/>
  <c r="A178" i="16"/>
  <c r="B178" i="16" s="1"/>
  <c r="A179" i="16"/>
  <c r="B179" i="16" s="1"/>
  <c r="A180" i="16"/>
  <c r="B180" i="16" s="1"/>
  <c r="A181" i="16"/>
  <c r="B181" i="16" s="1"/>
  <c r="A182" i="16"/>
  <c r="B182" i="16" s="1"/>
  <c r="A183" i="16"/>
  <c r="B183" i="16" s="1"/>
  <c r="A184" i="16"/>
  <c r="B184" i="16" s="1"/>
  <c r="A185" i="16"/>
  <c r="B185" i="16" s="1"/>
  <c r="A186" i="16"/>
  <c r="B186" i="16" s="1"/>
  <c r="A187" i="16"/>
  <c r="B187" i="16" s="1"/>
  <c r="A188" i="16"/>
  <c r="B188" i="16" s="1"/>
  <c r="A189" i="16"/>
  <c r="B189" i="16" s="1"/>
  <c r="A190" i="16"/>
  <c r="B190" i="16" s="1"/>
  <c r="A191" i="16"/>
  <c r="B191" i="16" s="1"/>
  <c r="A192" i="16"/>
  <c r="B192" i="16" s="1"/>
  <c r="A193" i="16"/>
  <c r="B193" i="16" s="1"/>
  <c r="A194" i="16"/>
  <c r="B194" i="16" s="1"/>
  <c r="A195" i="16"/>
  <c r="B195" i="16" s="1"/>
  <c r="A196" i="16"/>
  <c r="B196" i="16" s="1"/>
  <c r="A197" i="16"/>
  <c r="B197" i="16" s="1"/>
  <c r="A198" i="16"/>
  <c r="B198" i="16" s="1"/>
  <c r="A199" i="16"/>
  <c r="B199" i="16" s="1"/>
  <c r="A200" i="16"/>
  <c r="B200" i="16" s="1"/>
  <c r="A201" i="16"/>
  <c r="B201" i="16" s="1"/>
  <c r="A202" i="16"/>
  <c r="B202" i="16" s="1"/>
  <c r="A203" i="16"/>
  <c r="B203" i="16" s="1"/>
  <c r="A204" i="16"/>
  <c r="B204" i="16" s="1"/>
  <c r="A205" i="16"/>
  <c r="B205" i="16" s="1"/>
  <c r="A206" i="16"/>
  <c r="B206" i="16" s="1"/>
  <c r="A207" i="16"/>
  <c r="B207" i="16" s="1"/>
  <c r="A208" i="16"/>
  <c r="B208" i="16" s="1"/>
  <c r="A209" i="16"/>
  <c r="B209" i="16" s="1"/>
  <c r="A210" i="16"/>
  <c r="B210" i="16" s="1"/>
  <c r="A211" i="16"/>
  <c r="B211" i="16" s="1"/>
  <c r="A212" i="16"/>
  <c r="B212" i="16" s="1"/>
  <c r="A213" i="16"/>
  <c r="B213" i="16" s="1"/>
  <c r="A214" i="16"/>
  <c r="B214" i="16" s="1"/>
  <c r="A215" i="16"/>
  <c r="B215" i="16" s="1"/>
  <c r="A216" i="16"/>
  <c r="B216" i="16" s="1"/>
  <c r="A217" i="16"/>
  <c r="B217" i="16" s="1"/>
  <c r="A218" i="16"/>
  <c r="B218" i="16" s="1"/>
  <c r="A219" i="16"/>
  <c r="B219" i="16" s="1"/>
  <c r="A220" i="16"/>
  <c r="B220" i="16" s="1"/>
  <c r="A221" i="16"/>
  <c r="B221" i="16" s="1"/>
  <c r="A222" i="16"/>
  <c r="B222" i="16" s="1"/>
  <c r="A223" i="16"/>
  <c r="B223" i="16" s="1"/>
  <c r="A224" i="16"/>
  <c r="B224" i="16" s="1"/>
  <c r="A225" i="16"/>
  <c r="B225" i="16" s="1"/>
  <c r="A226" i="16"/>
  <c r="B226" i="16" s="1"/>
  <c r="A227" i="16"/>
  <c r="B227" i="16" s="1"/>
  <c r="A228" i="16"/>
  <c r="B228" i="16" s="1"/>
  <c r="A229" i="16"/>
  <c r="B229" i="16" s="1"/>
  <c r="A230" i="16"/>
  <c r="B230" i="16" s="1"/>
  <c r="A231" i="16"/>
  <c r="B231" i="16" s="1"/>
  <c r="A232" i="16"/>
  <c r="B232" i="16" s="1"/>
  <c r="A233" i="16"/>
  <c r="B233" i="16" s="1"/>
  <c r="A234" i="16"/>
  <c r="B234" i="16" s="1"/>
  <c r="A235" i="16"/>
  <c r="B235" i="16" s="1"/>
  <c r="A236" i="16"/>
  <c r="B236" i="16" s="1"/>
  <c r="A237" i="16"/>
  <c r="B237" i="16" s="1"/>
  <c r="A238" i="16"/>
  <c r="B238" i="16" s="1"/>
  <c r="A239" i="16"/>
  <c r="B239" i="16" s="1"/>
  <c r="A240" i="16"/>
  <c r="B240" i="16" s="1"/>
  <c r="A241" i="16"/>
  <c r="B241" i="16" s="1"/>
  <c r="A242" i="16"/>
  <c r="B242" i="16" s="1"/>
  <c r="A243" i="16"/>
  <c r="B243" i="16" s="1"/>
  <c r="A244" i="16"/>
  <c r="B244" i="16" s="1"/>
  <c r="A245" i="16"/>
  <c r="B245" i="16" s="1"/>
  <c r="A246" i="16"/>
  <c r="B246" i="16" s="1"/>
  <c r="A247" i="16"/>
  <c r="B247" i="16" s="1"/>
  <c r="A248" i="16"/>
  <c r="B248" i="16" s="1"/>
  <c r="A249" i="16"/>
  <c r="B249" i="16" s="1"/>
  <c r="A250" i="16"/>
  <c r="B250" i="16" s="1"/>
  <c r="A251" i="16"/>
  <c r="B251" i="16" s="1"/>
  <c r="A252" i="16"/>
  <c r="B252" i="16" s="1"/>
  <c r="A253" i="16"/>
  <c r="B253" i="16" s="1"/>
  <c r="A254" i="16"/>
  <c r="B254" i="16" s="1"/>
  <c r="A255" i="16"/>
  <c r="B255" i="16" s="1"/>
  <c r="A256" i="16"/>
  <c r="B256" i="16" s="1"/>
  <c r="A257" i="16"/>
  <c r="B257" i="16" s="1"/>
  <c r="A258" i="16"/>
  <c r="B258" i="16" s="1"/>
  <c r="A259" i="16"/>
  <c r="B259" i="16" s="1"/>
  <c r="A260" i="16"/>
  <c r="B260" i="16" s="1"/>
  <c r="A261" i="16"/>
  <c r="B261" i="16" s="1"/>
  <c r="A262" i="16"/>
  <c r="B262" i="16" s="1"/>
  <c r="A263" i="16"/>
  <c r="B263" i="16" s="1"/>
  <c r="A264" i="16"/>
  <c r="B264" i="16" s="1"/>
  <c r="A265" i="16"/>
  <c r="B265" i="16" s="1"/>
  <c r="A266" i="16"/>
  <c r="B266" i="16" s="1"/>
  <c r="A267" i="16"/>
  <c r="B267" i="16" s="1"/>
  <c r="A268" i="16"/>
  <c r="B268" i="16" s="1"/>
  <c r="A269" i="16"/>
  <c r="B269" i="16" s="1"/>
  <c r="A270" i="16"/>
  <c r="B270" i="16" s="1"/>
  <c r="A271" i="16"/>
  <c r="B271" i="16" s="1"/>
  <c r="A272" i="16"/>
  <c r="B272" i="16" s="1"/>
  <c r="A273" i="16"/>
  <c r="B273" i="16" s="1"/>
  <c r="A274" i="16"/>
  <c r="B274" i="16" s="1"/>
  <c r="A275" i="16"/>
  <c r="B275" i="16" s="1"/>
  <c r="A276" i="16"/>
  <c r="B276" i="16" s="1"/>
  <c r="A277" i="16"/>
  <c r="B277" i="16" s="1"/>
  <c r="A278" i="16"/>
  <c r="B278" i="16" s="1"/>
  <c r="A279" i="16"/>
  <c r="B279" i="16" s="1"/>
  <c r="A280" i="16"/>
  <c r="B280" i="16" s="1"/>
  <c r="A281" i="16"/>
  <c r="B281" i="16" s="1"/>
  <c r="A282" i="16"/>
  <c r="B282" i="16" s="1"/>
  <c r="A283" i="16"/>
  <c r="B283" i="16" s="1"/>
  <c r="A284" i="16"/>
  <c r="B284" i="16" s="1"/>
  <c r="A285" i="16"/>
  <c r="B285" i="16" s="1"/>
  <c r="A286" i="16"/>
  <c r="B286" i="16" s="1"/>
  <c r="A287" i="16"/>
  <c r="B287" i="16" s="1"/>
  <c r="A288" i="16"/>
  <c r="B288" i="16" s="1"/>
  <c r="A289" i="16"/>
  <c r="B289" i="16" s="1"/>
  <c r="A290" i="16"/>
  <c r="B290" i="16" s="1"/>
  <c r="A291" i="16"/>
  <c r="B291" i="16" s="1"/>
  <c r="A292" i="16"/>
  <c r="A293" i="16"/>
  <c r="B293" i="16" s="1"/>
  <c r="A294" i="16"/>
  <c r="B294" i="16" s="1"/>
  <c r="A295" i="16"/>
  <c r="B295" i="16" s="1"/>
  <c r="A296" i="16"/>
  <c r="B296" i="16" s="1"/>
  <c r="A297" i="16"/>
  <c r="B297" i="16" s="1"/>
  <c r="A298" i="16"/>
  <c r="B298" i="16" s="1"/>
  <c r="A299" i="16"/>
  <c r="B299" i="16" s="1"/>
  <c r="A300" i="16"/>
  <c r="B300" i="16" s="1"/>
  <c r="A301" i="16"/>
  <c r="B301" i="16" s="1"/>
  <c r="A302" i="16"/>
  <c r="B302" i="16" s="1"/>
  <c r="A303" i="16"/>
  <c r="B303" i="16" s="1"/>
  <c r="A304" i="16"/>
  <c r="B304" i="16" s="1"/>
  <c r="A305" i="16"/>
  <c r="B305" i="16" s="1"/>
  <c r="A306" i="16"/>
  <c r="B306" i="16" s="1"/>
  <c r="A307" i="16"/>
  <c r="B307" i="16" s="1"/>
  <c r="A308" i="16"/>
  <c r="B308" i="16" s="1"/>
  <c r="A309" i="16"/>
  <c r="B309" i="16" s="1"/>
  <c r="A310" i="16"/>
  <c r="B310" i="16" s="1"/>
  <c r="A311" i="16"/>
  <c r="B311" i="16" s="1"/>
  <c r="A312" i="16"/>
  <c r="B312" i="16" s="1"/>
  <c r="A313" i="16"/>
  <c r="B313" i="16" s="1"/>
  <c r="A314" i="16"/>
  <c r="B314" i="16" s="1"/>
  <c r="A315" i="16"/>
  <c r="B315" i="16" s="1"/>
  <c r="A316" i="16"/>
  <c r="B316" i="16" s="1"/>
  <c r="A317" i="16"/>
  <c r="B317" i="16" s="1"/>
  <c r="A318" i="16"/>
  <c r="B318" i="16" s="1"/>
  <c r="A319" i="16"/>
  <c r="B319" i="16" s="1"/>
  <c r="A320" i="16"/>
  <c r="B320" i="16" s="1"/>
  <c r="A321" i="16"/>
  <c r="B321" i="16" s="1"/>
  <c r="A322" i="16"/>
  <c r="B322" i="16" s="1"/>
  <c r="A323" i="16"/>
  <c r="B323" i="16" s="1"/>
  <c r="A324" i="16"/>
  <c r="B324" i="16" s="1"/>
  <c r="A325" i="16"/>
  <c r="B325" i="16" s="1"/>
  <c r="A326" i="16"/>
  <c r="B326" i="16" s="1"/>
  <c r="A327" i="16"/>
  <c r="B327" i="16" s="1"/>
  <c r="A328" i="16"/>
  <c r="B328" i="16" s="1"/>
  <c r="A329" i="16"/>
  <c r="B329" i="16" s="1"/>
  <c r="A330" i="16"/>
  <c r="B330" i="16" s="1"/>
  <c r="A331" i="16"/>
  <c r="B331" i="16" s="1"/>
  <c r="A332" i="16"/>
  <c r="B332" i="16" s="1"/>
  <c r="A333" i="16"/>
  <c r="B333" i="16" s="1"/>
  <c r="A334" i="16"/>
  <c r="B334" i="16" s="1"/>
  <c r="A335" i="16"/>
  <c r="B335" i="16" s="1"/>
  <c r="A336" i="16"/>
  <c r="B336" i="16" s="1"/>
  <c r="A337" i="16"/>
  <c r="B337" i="16" s="1"/>
  <c r="A338" i="16"/>
  <c r="B338" i="16" s="1"/>
  <c r="A339" i="16"/>
  <c r="B339" i="16" s="1"/>
  <c r="A340" i="16"/>
  <c r="B340" i="16" s="1"/>
  <c r="A341" i="16"/>
  <c r="B341" i="16" s="1"/>
  <c r="A342" i="16"/>
  <c r="B342" i="16" s="1"/>
  <c r="A343" i="16"/>
  <c r="B343" i="16" s="1"/>
  <c r="A344" i="16"/>
  <c r="B344" i="16" s="1"/>
  <c r="A345" i="16"/>
  <c r="B345" i="16" s="1"/>
  <c r="A346" i="16"/>
  <c r="B346" i="16" s="1"/>
  <c r="A347" i="16"/>
  <c r="B347" i="16" s="1"/>
  <c r="A348" i="16"/>
  <c r="B348" i="16" s="1"/>
  <c r="A349" i="16"/>
  <c r="B349" i="16" s="1"/>
  <c r="A350" i="16"/>
  <c r="B350" i="16" s="1"/>
  <c r="A351" i="16"/>
  <c r="B351" i="16" s="1"/>
  <c r="A352" i="16"/>
  <c r="B352" i="16" s="1"/>
  <c r="A353" i="16"/>
  <c r="B353" i="16" s="1"/>
  <c r="A354" i="16"/>
  <c r="B354" i="16" s="1"/>
  <c r="A355" i="16"/>
  <c r="B355" i="16" s="1"/>
  <c r="A356" i="16"/>
  <c r="B356" i="16" s="1"/>
  <c r="A357" i="16"/>
  <c r="B357" i="16" s="1"/>
  <c r="A358" i="16"/>
  <c r="B358" i="16" s="1"/>
  <c r="A359" i="16"/>
  <c r="B359" i="16" s="1"/>
  <c r="A360" i="16"/>
  <c r="B360" i="16" s="1"/>
  <c r="A361" i="16"/>
  <c r="B361" i="16" s="1"/>
  <c r="A362" i="16"/>
  <c r="B362" i="16" s="1"/>
  <c r="A363" i="16"/>
  <c r="B363" i="16" s="1"/>
  <c r="A364" i="16"/>
  <c r="B364" i="16" s="1"/>
  <c r="A365" i="16"/>
  <c r="B365" i="16" s="1"/>
  <c r="A366" i="16"/>
  <c r="B366" i="16" s="1"/>
  <c r="A367" i="16"/>
  <c r="B367" i="16" s="1"/>
  <c r="A368" i="16"/>
  <c r="B368" i="16" s="1"/>
  <c r="A369" i="16"/>
  <c r="B369" i="16" s="1"/>
  <c r="A370" i="16"/>
  <c r="B370" i="16" s="1"/>
  <c r="A371" i="16"/>
  <c r="B371" i="16" s="1"/>
  <c r="A372" i="16"/>
  <c r="B372" i="16" s="1"/>
  <c r="A373" i="16"/>
  <c r="B373" i="16" s="1"/>
  <c r="A374" i="16"/>
  <c r="B374" i="16" s="1"/>
  <c r="A375" i="16"/>
  <c r="B375" i="16" s="1"/>
  <c r="A376" i="16"/>
  <c r="B376" i="16" s="1"/>
  <c r="A377" i="16"/>
  <c r="B377" i="16" s="1"/>
  <c r="A378" i="16"/>
  <c r="B378" i="16" s="1"/>
  <c r="A379" i="16"/>
  <c r="B379" i="16" s="1"/>
  <c r="A380" i="16"/>
  <c r="B380" i="16" s="1"/>
  <c r="A381" i="16"/>
  <c r="B381" i="16" s="1"/>
  <c r="A382" i="16"/>
  <c r="B382" i="16" s="1"/>
  <c r="A383" i="16"/>
  <c r="B383" i="16" s="1"/>
  <c r="A384" i="16"/>
  <c r="B384" i="16" s="1"/>
  <c r="A385" i="16"/>
  <c r="B385" i="16" s="1"/>
  <c r="A386" i="16"/>
  <c r="B386" i="16" s="1"/>
  <c r="A387" i="16"/>
  <c r="B387" i="16" s="1"/>
  <c r="A388" i="16"/>
  <c r="B388" i="16" s="1"/>
  <c r="A389" i="16"/>
  <c r="B389" i="16" s="1"/>
  <c r="A390" i="16"/>
  <c r="B390" i="16" s="1"/>
  <c r="A391" i="16"/>
  <c r="B391" i="16" s="1"/>
  <c r="A392" i="16"/>
  <c r="B392" i="16" s="1"/>
  <c r="A393" i="16"/>
  <c r="B393" i="16" s="1"/>
  <c r="A394" i="16"/>
  <c r="B394" i="16" s="1"/>
  <c r="A395" i="16"/>
  <c r="B395" i="16" s="1"/>
  <c r="A396" i="16"/>
  <c r="B396" i="16" s="1"/>
  <c r="A397" i="16"/>
  <c r="B397" i="16" s="1"/>
  <c r="A398" i="16"/>
  <c r="B398" i="16" s="1"/>
  <c r="A399" i="16"/>
  <c r="B399" i="16" s="1"/>
  <c r="A400" i="16"/>
  <c r="B400" i="16" s="1"/>
  <c r="A401" i="16"/>
  <c r="B401" i="16" s="1"/>
  <c r="A402" i="16"/>
  <c r="B402" i="16" s="1"/>
  <c r="A403" i="16"/>
  <c r="B403" i="16" s="1"/>
  <c r="A404" i="16"/>
  <c r="B404" i="16" s="1"/>
  <c r="A405" i="16"/>
  <c r="B405" i="16" s="1"/>
  <c r="A406" i="16"/>
  <c r="B406" i="16" s="1"/>
  <c r="A407" i="16"/>
  <c r="B407" i="16" s="1"/>
  <c r="A408" i="16"/>
  <c r="B408" i="16" s="1"/>
  <c r="A409" i="16"/>
  <c r="B409" i="16" s="1"/>
  <c r="A410" i="16"/>
  <c r="B410" i="16" s="1"/>
  <c r="A411" i="16"/>
  <c r="B411" i="16" s="1"/>
  <c r="A412" i="16"/>
  <c r="B412" i="16" s="1"/>
  <c r="A413" i="16"/>
  <c r="B413" i="16" s="1"/>
  <c r="A414" i="16"/>
  <c r="B414" i="16" s="1"/>
  <c r="A415" i="16"/>
  <c r="B415" i="16" s="1"/>
  <c r="A416" i="16"/>
  <c r="B416" i="16" s="1"/>
  <c r="A417" i="16"/>
  <c r="B417" i="16" s="1"/>
  <c r="A418" i="16"/>
  <c r="B418" i="16" s="1"/>
  <c r="A419" i="16"/>
  <c r="B419" i="16" s="1"/>
  <c r="A420" i="16"/>
  <c r="B420" i="16" s="1"/>
  <c r="A421" i="16"/>
  <c r="B421" i="16" s="1"/>
  <c r="A422" i="16"/>
  <c r="B422" i="16" s="1"/>
  <c r="A423" i="16"/>
  <c r="B423" i="16" s="1"/>
  <c r="A424" i="16"/>
  <c r="B424" i="16" s="1"/>
  <c r="A425" i="16"/>
  <c r="B425" i="16" s="1"/>
  <c r="A426" i="16"/>
  <c r="B426" i="16" s="1"/>
  <c r="A427" i="16"/>
  <c r="B427" i="16" s="1"/>
  <c r="A428" i="16"/>
  <c r="B428" i="16" s="1"/>
  <c r="A429" i="16"/>
  <c r="B429" i="16" s="1"/>
  <c r="A430" i="16"/>
  <c r="B430" i="16" s="1"/>
  <c r="A431" i="16"/>
  <c r="B431" i="16" s="1"/>
  <c r="A432" i="16"/>
  <c r="B432" i="16" s="1"/>
  <c r="A433" i="16"/>
  <c r="B433" i="16" s="1"/>
  <c r="A434" i="16"/>
  <c r="B434" i="16" s="1"/>
  <c r="A435" i="16"/>
  <c r="B435" i="16" s="1"/>
  <c r="A436" i="16"/>
  <c r="B436" i="16" s="1"/>
  <c r="A437" i="16"/>
  <c r="B437" i="16" s="1"/>
  <c r="A438" i="16"/>
  <c r="B438" i="16" s="1"/>
  <c r="A439" i="16"/>
  <c r="B439" i="16" s="1"/>
  <c r="A440" i="16"/>
  <c r="B440" i="16" s="1"/>
  <c r="A441" i="16"/>
  <c r="B441" i="16" s="1"/>
  <c r="A442" i="16"/>
  <c r="B442" i="16" s="1"/>
  <c r="A443" i="16"/>
  <c r="B443" i="16" s="1"/>
  <c r="A444" i="16"/>
  <c r="B444" i="16" s="1"/>
  <c r="A445" i="16"/>
  <c r="B445" i="16" s="1"/>
  <c r="A446" i="16"/>
  <c r="B446" i="16" s="1"/>
  <c r="A447" i="16"/>
  <c r="B447" i="16" s="1"/>
  <c r="A448" i="16"/>
  <c r="B448" i="16" s="1"/>
  <c r="A449" i="16"/>
  <c r="B449" i="16" s="1"/>
  <c r="A450" i="16"/>
  <c r="B450" i="16" s="1"/>
  <c r="A451" i="16"/>
  <c r="B451" i="16" s="1"/>
  <c r="A452" i="16"/>
  <c r="B452" i="16" s="1"/>
  <c r="A453" i="16"/>
  <c r="B453" i="16" s="1"/>
  <c r="A454" i="16"/>
  <c r="B454" i="16" s="1"/>
  <c r="A455" i="16"/>
  <c r="B455" i="16" s="1"/>
  <c r="A456" i="16"/>
  <c r="B456" i="16" s="1"/>
  <c r="A457" i="16"/>
  <c r="B457" i="16" s="1"/>
  <c r="A458" i="16"/>
  <c r="B458" i="16" s="1"/>
  <c r="A459" i="16"/>
  <c r="B459" i="16" s="1"/>
  <c r="A460" i="16"/>
  <c r="B460" i="16" s="1"/>
  <c r="A461" i="16"/>
  <c r="B461" i="16" s="1"/>
  <c r="A462" i="16"/>
  <c r="B462" i="16" s="1"/>
  <c r="A463" i="16"/>
  <c r="B463" i="16" s="1"/>
  <c r="A464" i="16"/>
  <c r="B464" i="16" s="1"/>
  <c r="A465" i="16"/>
  <c r="B465" i="16" s="1"/>
  <c r="A466" i="16"/>
  <c r="B466" i="16" s="1"/>
  <c r="A467" i="16"/>
  <c r="B467" i="16" s="1"/>
  <c r="A468" i="16"/>
  <c r="B468" i="16" s="1"/>
  <c r="A469" i="16"/>
  <c r="B469" i="16" s="1"/>
  <c r="A470" i="16"/>
  <c r="B470" i="16" s="1"/>
  <c r="A471" i="16"/>
  <c r="B471" i="16" s="1"/>
  <c r="A472" i="16"/>
  <c r="B472" i="16" s="1"/>
  <c r="A473" i="16"/>
  <c r="B473" i="16" s="1"/>
  <c r="A474" i="16"/>
  <c r="B474" i="16" s="1"/>
  <c r="A475" i="16"/>
  <c r="B475" i="16" s="1"/>
  <c r="A476" i="16"/>
  <c r="B476" i="16" s="1"/>
  <c r="A477" i="16"/>
  <c r="B477" i="16" s="1"/>
  <c r="A478" i="16"/>
  <c r="B478" i="16" s="1"/>
  <c r="A479" i="16"/>
  <c r="B479" i="16" s="1"/>
  <c r="A480" i="16"/>
  <c r="B480" i="16" s="1"/>
  <c r="A481" i="16"/>
  <c r="B481" i="16" s="1"/>
  <c r="A482" i="16"/>
  <c r="B482" i="16" s="1"/>
  <c r="A483" i="16"/>
  <c r="B483" i="16" s="1"/>
  <c r="A484" i="16"/>
  <c r="B484" i="16" s="1"/>
  <c r="A485" i="16"/>
  <c r="B485" i="16" s="1"/>
  <c r="A486" i="16"/>
  <c r="B486" i="16" s="1"/>
  <c r="A487" i="16"/>
  <c r="B487" i="16" s="1"/>
  <c r="A488" i="16"/>
  <c r="B488" i="16" s="1"/>
  <c r="A489" i="16"/>
  <c r="B489" i="16" s="1"/>
  <c r="A490" i="16"/>
  <c r="B490" i="16" s="1"/>
  <c r="A491" i="16"/>
  <c r="B491" i="16" s="1"/>
  <c r="A492" i="16"/>
  <c r="B492" i="16" s="1"/>
  <c r="A493" i="16"/>
  <c r="B493" i="16" s="1"/>
  <c r="A494" i="16"/>
  <c r="B494" i="16" s="1"/>
  <c r="A495" i="16"/>
  <c r="B495" i="16" s="1"/>
  <c r="A496" i="16"/>
  <c r="B496" i="16" s="1"/>
  <c r="A497" i="16"/>
  <c r="B497" i="16" s="1"/>
  <c r="A498" i="16"/>
  <c r="B498" i="16" s="1"/>
  <c r="A499" i="16"/>
  <c r="B499" i="16" s="1"/>
  <c r="A500" i="16"/>
  <c r="B500" i="16" s="1"/>
  <c r="A501" i="16"/>
  <c r="B501" i="16" s="1"/>
  <c r="A502" i="16"/>
  <c r="B502" i="16" s="1"/>
  <c r="A503" i="16"/>
  <c r="B503" i="16" s="1"/>
  <c r="A504" i="16"/>
  <c r="B504" i="16" s="1"/>
  <c r="A505" i="16"/>
  <c r="B505" i="16" s="1"/>
  <c r="A506" i="16"/>
  <c r="B506" i="16" s="1"/>
  <c r="A507" i="16"/>
  <c r="B507" i="16" s="1"/>
  <c r="A508" i="16"/>
  <c r="B508" i="16" s="1"/>
  <c r="A509" i="16"/>
  <c r="B509" i="16" s="1"/>
  <c r="A510" i="16"/>
  <c r="B510" i="16" s="1"/>
  <c r="A511" i="16"/>
  <c r="B511" i="16" s="1"/>
  <c r="A512" i="16"/>
  <c r="B512" i="16" s="1"/>
  <c r="A513" i="16"/>
  <c r="B513" i="16" s="1"/>
  <c r="A514" i="16"/>
  <c r="B514" i="16" s="1"/>
  <c r="A515" i="16"/>
  <c r="B515" i="16" s="1"/>
  <c r="A516" i="16"/>
  <c r="B516" i="16" s="1"/>
  <c r="A517" i="16"/>
  <c r="B517" i="16" s="1"/>
  <c r="A518" i="16"/>
  <c r="B518" i="16" s="1"/>
  <c r="A519" i="16"/>
  <c r="B519" i="16" s="1"/>
  <c r="A520" i="16"/>
  <c r="B520" i="16" s="1"/>
  <c r="A521" i="16"/>
  <c r="B521" i="16" s="1"/>
  <c r="A522" i="16"/>
  <c r="B522" i="16" s="1"/>
  <c r="A523" i="16"/>
  <c r="B523" i="16" s="1"/>
  <c r="A524" i="16"/>
  <c r="B524" i="16" s="1"/>
  <c r="A525" i="16"/>
  <c r="B525" i="16" s="1"/>
  <c r="A526" i="16"/>
  <c r="B526" i="16" s="1"/>
  <c r="A527" i="16"/>
  <c r="B527" i="16" s="1"/>
  <c r="A528" i="16"/>
  <c r="B528" i="16" s="1"/>
  <c r="A529" i="16"/>
  <c r="B529" i="16" s="1"/>
  <c r="A530" i="16"/>
  <c r="B530" i="16" s="1"/>
  <c r="A531" i="16"/>
  <c r="B531" i="16" s="1"/>
  <c r="A532" i="16"/>
  <c r="B532" i="16" s="1"/>
  <c r="A533" i="16"/>
  <c r="B533" i="16" s="1"/>
  <c r="A534" i="16"/>
  <c r="B534" i="16" s="1"/>
  <c r="A535" i="16"/>
  <c r="B535" i="16" s="1"/>
  <c r="A536" i="16"/>
  <c r="B536" i="16" s="1"/>
  <c r="A537" i="16"/>
  <c r="B537" i="16" s="1"/>
  <c r="A538" i="16"/>
  <c r="B538" i="16" s="1"/>
  <c r="A539" i="16"/>
  <c r="B539" i="16" s="1"/>
  <c r="A540" i="16"/>
  <c r="B540" i="16" s="1"/>
  <c r="A541" i="16"/>
  <c r="B541" i="16" s="1"/>
  <c r="A542" i="16"/>
  <c r="B542" i="16" s="1"/>
  <c r="A543" i="16"/>
  <c r="B543" i="16" s="1"/>
  <c r="A544" i="16"/>
  <c r="B544" i="16" s="1"/>
  <c r="A545" i="16"/>
  <c r="B545" i="16" s="1"/>
  <c r="A546" i="16"/>
  <c r="B546" i="16" s="1"/>
  <c r="A547" i="16"/>
  <c r="B547" i="16" s="1"/>
  <c r="A548" i="16"/>
  <c r="B548" i="16" s="1"/>
  <c r="A549" i="16"/>
  <c r="B549" i="16" s="1"/>
  <c r="A550" i="16"/>
  <c r="B550" i="16" s="1"/>
  <c r="A551" i="16"/>
  <c r="B551" i="16" s="1"/>
  <c r="A552" i="16"/>
  <c r="B552" i="16" s="1"/>
  <c r="A553" i="16"/>
  <c r="B553" i="16" s="1"/>
  <c r="A554" i="16"/>
  <c r="B554" i="16" s="1"/>
  <c r="A555" i="16"/>
  <c r="B555" i="16" s="1"/>
  <c r="A556" i="16"/>
  <c r="B556" i="16" s="1"/>
  <c r="A557" i="16"/>
  <c r="B557" i="16" s="1"/>
  <c r="A558" i="16"/>
  <c r="B558" i="16" s="1"/>
  <c r="A559" i="16"/>
  <c r="B559" i="16" s="1"/>
  <c r="A560" i="16"/>
  <c r="B560" i="16" s="1"/>
  <c r="A561" i="16"/>
  <c r="B561" i="16" s="1"/>
  <c r="A562" i="16"/>
  <c r="B562" i="16" s="1"/>
  <c r="A563" i="16"/>
  <c r="B563" i="16" s="1"/>
  <c r="A564" i="16"/>
  <c r="B564" i="16" s="1"/>
  <c r="A565" i="16"/>
  <c r="B565" i="16" s="1"/>
  <c r="A566" i="16"/>
  <c r="B566" i="16" s="1"/>
  <c r="A567" i="16"/>
  <c r="B567" i="16" s="1"/>
  <c r="A568" i="16"/>
  <c r="B568" i="16" s="1"/>
  <c r="A569" i="16"/>
  <c r="B569" i="16" s="1"/>
  <c r="A570" i="16"/>
  <c r="B570" i="16" s="1"/>
  <c r="A571" i="16"/>
  <c r="B571" i="16" s="1"/>
  <c r="A572" i="16"/>
  <c r="B572" i="16" s="1"/>
  <c r="A573" i="16"/>
  <c r="B573" i="16" s="1"/>
  <c r="A574" i="16"/>
  <c r="B574" i="16" s="1"/>
  <c r="A575" i="16"/>
  <c r="B575" i="16" s="1"/>
  <c r="A576" i="16"/>
  <c r="B576" i="16" s="1"/>
  <c r="A577" i="16"/>
  <c r="B577" i="16" s="1"/>
  <c r="A578" i="16"/>
  <c r="B578" i="16" s="1"/>
  <c r="A579" i="16"/>
  <c r="B579" i="16" s="1"/>
  <c r="A580" i="16"/>
  <c r="B580" i="16" s="1"/>
  <c r="A581" i="16"/>
  <c r="B581" i="16" s="1"/>
  <c r="A582" i="16"/>
  <c r="B582" i="16" s="1"/>
  <c r="A583" i="16"/>
  <c r="B583" i="16" s="1"/>
  <c r="A584" i="16"/>
  <c r="B584" i="16" s="1"/>
  <c r="A585" i="16"/>
  <c r="B585" i="16" s="1"/>
  <c r="A586" i="16"/>
  <c r="B586" i="16" s="1"/>
  <c r="A587" i="16"/>
  <c r="B587" i="16" s="1"/>
  <c r="A588" i="16"/>
  <c r="B588" i="16" s="1"/>
  <c r="A589" i="16"/>
  <c r="B589" i="16" s="1"/>
  <c r="A590" i="16"/>
  <c r="B590" i="16" s="1"/>
  <c r="A591" i="16"/>
  <c r="B591" i="16" s="1"/>
  <c r="A592" i="16"/>
  <c r="B592" i="16" s="1"/>
  <c r="A593" i="16"/>
  <c r="B593" i="16" s="1"/>
  <c r="A594" i="16"/>
  <c r="B594" i="16" s="1"/>
  <c r="A595" i="16"/>
  <c r="B595" i="16" s="1"/>
  <c r="A596" i="16"/>
  <c r="B596" i="16" s="1"/>
  <c r="A597" i="16"/>
  <c r="B597" i="16" s="1"/>
  <c r="A598" i="16"/>
  <c r="B598" i="16" s="1"/>
  <c r="A599" i="16"/>
  <c r="B599" i="16" s="1"/>
  <c r="A600" i="16"/>
  <c r="B600" i="16" s="1"/>
  <c r="A601" i="16"/>
  <c r="B601" i="16" s="1"/>
  <c r="A602" i="16"/>
  <c r="B602" i="16" s="1"/>
  <c r="A603" i="16"/>
  <c r="B603" i="16" s="1"/>
  <c r="A604" i="16"/>
  <c r="B604" i="16" s="1"/>
  <c r="A605" i="16"/>
  <c r="B605" i="16" s="1"/>
  <c r="A606" i="16"/>
  <c r="B606" i="16" s="1"/>
  <c r="A607" i="16"/>
  <c r="B607" i="16" s="1"/>
  <c r="A608" i="16"/>
  <c r="B608" i="16" s="1"/>
  <c r="A609" i="16"/>
  <c r="B609" i="16" s="1"/>
  <c r="A610" i="16"/>
  <c r="B610" i="16" s="1"/>
  <c r="A611" i="16"/>
  <c r="B611" i="16" s="1"/>
  <c r="A612" i="16"/>
  <c r="B612" i="16" s="1"/>
  <c r="A613" i="16"/>
  <c r="B613" i="16" s="1"/>
  <c r="A614" i="16"/>
  <c r="B614" i="16" s="1"/>
  <c r="A615" i="16"/>
  <c r="B615" i="16" s="1"/>
  <c r="A616" i="16"/>
  <c r="B616" i="16" s="1"/>
  <c r="A617" i="16"/>
  <c r="B617" i="16" s="1"/>
  <c r="A618" i="16"/>
  <c r="B618" i="16" s="1"/>
  <c r="A619" i="16"/>
  <c r="B619" i="16" s="1"/>
  <c r="A620" i="16"/>
  <c r="B620" i="16" s="1"/>
  <c r="A621" i="16"/>
  <c r="B621" i="16" s="1"/>
  <c r="A622" i="16"/>
  <c r="B622" i="16" s="1"/>
  <c r="A623" i="16"/>
  <c r="B623" i="16" s="1"/>
  <c r="A624" i="16"/>
  <c r="B624" i="16" s="1"/>
  <c r="A625" i="16"/>
  <c r="B625" i="16" s="1"/>
  <c r="A626" i="16"/>
  <c r="B626" i="16" s="1"/>
  <c r="A627" i="16"/>
  <c r="B627" i="16" s="1"/>
  <c r="A628" i="16"/>
  <c r="B628" i="16" s="1"/>
  <c r="A629" i="16"/>
  <c r="B629" i="16" s="1"/>
  <c r="A630" i="16"/>
  <c r="B630" i="16" s="1"/>
  <c r="A631" i="16"/>
  <c r="B631" i="16" s="1"/>
  <c r="A632" i="16"/>
  <c r="B632" i="16" s="1"/>
  <c r="A633" i="16"/>
  <c r="B633" i="16" s="1"/>
  <c r="A634" i="16"/>
  <c r="B634" i="16" s="1"/>
  <c r="A635" i="16"/>
  <c r="B635" i="16" s="1"/>
  <c r="A636" i="16"/>
  <c r="B636" i="16" s="1"/>
  <c r="A637" i="16"/>
  <c r="B637" i="16" s="1"/>
  <c r="A638" i="16"/>
  <c r="B638" i="16" s="1"/>
  <c r="A639" i="16"/>
  <c r="B639" i="16" s="1"/>
  <c r="A640" i="16"/>
  <c r="B640" i="16" s="1"/>
  <c r="A641" i="16"/>
  <c r="B641" i="16" s="1"/>
  <c r="A642" i="16"/>
  <c r="B642" i="16" s="1"/>
  <c r="A643" i="16"/>
  <c r="B643" i="16" s="1"/>
  <c r="A644" i="16"/>
  <c r="B644" i="16" s="1"/>
  <c r="A645" i="16"/>
  <c r="B645" i="16" s="1"/>
  <c r="A646" i="16"/>
  <c r="B646" i="16" s="1"/>
  <c r="A647" i="16"/>
  <c r="B647" i="16" s="1"/>
  <c r="A648" i="16"/>
  <c r="B648" i="16" s="1"/>
  <c r="A649" i="16"/>
  <c r="B649" i="16" s="1"/>
  <c r="A650" i="16"/>
  <c r="B650" i="16" s="1"/>
  <c r="A651" i="16"/>
  <c r="B651" i="16" s="1"/>
  <c r="A652" i="16"/>
  <c r="B652" i="16" s="1"/>
  <c r="A653" i="16"/>
  <c r="B653" i="16" s="1"/>
  <c r="A654" i="16"/>
  <c r="B654" i="16" s="1"/>
  <c r="A655" i="16"/>
  <c r="B655" i="16" s="1"/>
  <c r="A656" i="16"/>
  <c r="B656" i="16" s="1"/>
  <c r="A657" i="16"/>
  <c r="B657" i="16" s="1"/>
  <c r="A658" i="16"/>
  <c r="B658" i="16" s="1"/>
  <c r="A659" i="16"/>
  <c r="B659" i="16" s="1"/>
  <c r="A660" i="16"/>
  <c r="B660" i="16" s="1"/>
  <c r="A661" i="16"/>
  <c r="B661" i="16" s="1"/>
  <c r="A662" i="16"/>
  <c r="B662" i="16" s="1"/>
  <c r="A663" i="16"/>
  <c r="B663" i="16" s="1"/>
  <c r="A664" i="16"/>
  <c r="B664" i="16" s="1"/>
  <c r="A665" i="16"/>
  <c r="B665" i="16" s="1"/>
  <c r="A666" i="16"/>
  <c r="B666" i="16" s="1"/>
  <c r="A667" i="16"/>
  <c r="B667" i="16" s="1"/>
  <c r="A668" i="16"/>
  <c r="B668" i="16" s="1"/>
  <c r="A669" i="16"/>
  <c r="B669" i="16" s="1"/>
  <c r="A670" i="16"/>
  <c r="B670" i="16" s="1"/>
  <c r="A671" i="16"/>
  <c r="B671" i="16" s="1"/>
  <c r="A672" i="16"/>
  <c r="B672" i="16" s="1"/>
  <c r="A673" i="16"/>
  <c r="B673" i="16" s="1"/>
  <c r="A674" i="16"/>
  <c r="B674" i="16" s="1"/>
  <c r="A675" i="16"/>
  <c r="B675" i="16" s="1"/>
  <c r="A676" i="16"/>
  <c r="B676" i="16" s="1"/>
  <c r="A677" i="16"/>
  <c r="B677" i="16" s="1"/>
  <c r="A678" i="16"/>
  <c r="B678" i="16" s="1"/>
  <c r="A679" i="16"/>
  <c r="B679" i="16" s="1"/>
  <c r="A680" i="16"/>
  <c r="B680" i="16" s="1"/>
  <c r="A681" i="16"/>
  <c r="B681" i="16" s="1"/>
  <c r="A682" i="16"/>
  <c r="B682" i="16" s="1"/>
  <c r="A683" i="16"/>
  <c r="B683" i="16" s="1"/>
  <c r="A684" i="16"/>
  <c r="B684" i="16" s="1"/>
  <c r="A685" i="16"/>
  <c r="B685" i="16" s="1"/>
  <c r="A686" i="16"/>
  <c r="B686" i="16" s="1"/>
  <c r="A687" i="16"/>
  <c r="B687" i="16" s="1"/>
  <c r="A688" i="16"/>
  <c r="B688" i="16" s="1"/>
  <c r="A689" i="16"/>
  <c r="B689" i="16" s="1"/>
  <c r="A690" i="16"/>
  <c r="B690" i="16" s="1"/>
  <c r="A691" i="16"/>
  <c r="B691" i="16" s="1"/>
  <c r="A692" i="16"/>
  <c r="B692" i="16" s="1"/>
  <c r="A693" i="16"/>
  <c r="B693" i="16" s="1"/>
  <c r="A694" i="16"/>
  <c r="B694" i="16" s="1"/>
  <c r="A695" i="16"/>
  <c r="B695" i="16" s="1"/>
  <c r="A696" i="16"/>
  <c r="B696" i="16" s="1"/>
  <c r="A697" i="16"/>
  <c r="B697" i="16" s="1"/>
  <c r="A698" i="16"/>
  <c r="B698" i="16" s="1"/>
  <c r="A699" i="16"/>
  <c r="B699" i="16" s="1"/>
  <c r="A700" i="16"/>
  <c r="B700" i="16" s="1"/>
  <c r="A701" i="16"/>
  <c r="B701" i="16" s="1"/>
  <c r="A702" i="16"/>
  <c r="B702" i="16" s="1"/>
  <c r="A703" i="16"/>
  <c r="B703" i="16" s="1"/>
  <c r="A704" i="16"/>
  <c r="B704" i="16" s="1"/>
  <c r="A705" i="16"/>
  <c r="B705" i="16" s="1"/>
  <c r="A706" i="16"/>
  <c r="B706" i="16" s="1"/>
  <c r="A707" i="16"/>
  <c r="B707" i="16" s="1"/>
  <c r="A708" i="16"/>
  <c r="B708" i="16" s="1"/>
  <c r="A709" i="16"/>
  <c r="B709" i="16" s="1"/>
  <c r="A710" i="16"/>
  <c r="B710" i="16" s="1"/>
  <c r="A711" i="16"/>
  <c r="B711" i="16" s="1"/>
  <c r="A712" i="16"/>
  <c r="B712" i="16" s="1"/>
  <c r="A713" i="16"/>
  <c r="B713" i="16" s="1"/>
  <c r="A714" i="16"/>
  <c r="B714" i="16" s="1"/>
  <c r="A715" i="16"/>
  <c r="B715" i="16" s="1"/>
  <c r="A716" i="16"/>
  <c r="B716" i="16" s="1"/>
  <c r="A717" i="16"/>
  <c r="B717" i="16" s="1"/>
  <c r="A718" i="16"/>
  <c r="B718" i="16" s="1"/>
  <c r="A719" i="16"/>
  <c r="B719" i="16" s="1"/>
  <c r="A720" i="16"/>
  <c r="B720" i="16" s="1"/>
  <c r="A721" i="16"/>
  <c r="B721" i="16" s="1"/>
  <c r="A722" i="16"/>
  <c r="B722" i="16" s="1"/>
  <c r="A723" i="16"/>
  <c r="B723" i="16" s="1"/>
  <c r="A724" i="16"/>
  <c r="B724" i="16" s="1"/>
  <c r="A725" i="16"/>
  <c r="B725" i="16" s="1"/>
  <c r="A726" i="16"/>
  <c r="B726" i="16" s="1"/>
  <c r="A727" i="16"/>
  <c r="B727" i="16" s="1"/>
  <c r="A728" i="16"/>
  <c r="B728" i="16" s="1"/>
  <c r="A729" i="16"/>
  <c r="B729" i="16" s="1"/>
  <c r="A730" i="16"/>
  <c r="B730" i="16" s="1"/>
  <c r="A731" i="16"/>
  <c r="B731" i="16" s="1"/>
  <c r="A732" i="16"/>
  <c r="B732" i="16" s="1"/>
  <c r="A733" i="16"/>
  <c r="B733" i="16" s="1"/>
  <c r="A734" i="16"/>
  <c r="B734" i="16" s="1"/>
  <c r="A735" i="16"/>
  <c r="B735" i="16" s="1"/>
  <c r="A736" i="16"/>
  <c r="B736" i="16" s="1"/>
  <c r="A737" i="16"/>
  <c r="B737" i="16" s="1"/>
  <c r="A738" i="16"/>
  <c r="B738" i="16" s="1"/>
  <c r="A739" i="16"/>
  <c r="B739" i="16" s="1"/>
  <c r="A740" i="16"/>
  <c r="B740" i="16" s="1"/>
  <c r="A741" i="16"/>
  <c r="B741" i="16" s="1"/>
  <c r="A742" i="16"/>
  <c r="B742" i="16" s="1"/>
  <c r="A743" i="16"/>
  <c r="B743" i="16" s="1"/>
  <c r="A744" i="16"/>
  <c r="B744" i="16" s="1"/>
  <c r="A745" i="16"/>
  <c r="B745" i="16" s="1"/>
  <c r="A746" i="16"/>
  <c r="B746" i="16" s="1"/>
  <c r="A747" i="16"/>
  <c r="B747" i="16" s="1"/>
  <c r="A748" i="16"/>
  <c r="B748" i="16" s="1"/>
  <c r="A749" i="16"/>
  <c r="B749" i="16" s="1"/>
  <c r="A750" i="16"/>
  <c r="B750" i="16" s="1"/>
  <c r="A751" i="16"/>
  <c r="B751" i="16" s="1"/>
  <c r="A752" i="16"/>
  <c r="B752" i="16" s="1"/>
  <c r="A753" i="16"/>
  <c r="B753" i="16" s="1"/>
  <c r="A754" i="16"/>
  <c r="B754" i="16" s="1"/>
  <c r="A755" i="16"/>
  <c r="B755" i="16" s="1"/>
  <c r="A756" i="16"/>
  <c r="B756" i="16" s="1"/>
  <c r="A757" i="16"/>
  <c r="B757" i="16" s="1"/>
  <c r="A758" i="16"/>
  <c r="B758" i="16" s="1"/>
  <c r="A759" i="16"/>
  <c r="B759" i="16" s="1"/>
  <c r="A760" i="16"/>
  <c r="B760" i="16" s="1"/>
  <c r="A761" i="16"/>
  <c r="B761" i="16" s="1"/>
  <c r="A762" i="16"/>
  <c r="B762" i="16" s="1"/>
  <c r="A763" i="16"/>
  <c r="B763" i="16" s="1"/>
  <c r="A764" i="16"/>
  <c r="B764" i="16" s="1"/>
  <c r="A765" i="16"/>
  <c r="B765" i="16" s="1"/>
  <c r="A766" i="16"/>
  <c r="B766" i="16" s="1"/>
  <c r="A767" i="16"/>
  <c r="B767" i="16" s="1"/>
  <c r="A768" i="16"/>
  <c r="B768" i="16" s="1"/>
  <c r="A769" i="16"/>
  <c r="B769" i="16" s="1"/>
  <c r="A770" i="16"/>
  <c r="B770" i="16" s="1"/>
  <c r="A771" i="16"/>
  <c r="B771" i="16" s="1"/>
  <c r="A772" i="16"/>
  <c r="B772" i="16" s="1"/>
  <c r="A773" i="16"/>
  <c r="B773" i="16" s="1"/>
  <c r="A774" i="16"/>
  <c r="B774" i="16" s="1"/>
  <c r="A775" i="16"/>
  <c r="B775" i="16" s="1"/>
  <c r="A776" i="16"/>
  <c r="B776" i="16" s="1"/>
  <c r="A777" i="16"/>
  <c r="B777" i="16" s="1"/>
  <c r="A778" i="16"/>
  <c r="B778" i="16" s="1"/>
  <c r="A779" i="16"/>
  <c r="B779" i="16" s="1"/>
  <c r="A780" i="16"/>
  <c r="B780" i="16" s="1"/>
  <c r="A781" i="16"/>
  <c r="B781" i="16" s="1"/>
  <c r="A782" i="16"/>
  <c r="B782" i="16" s="1"/>
  <c r="A783" i="16"/>
  <c r="B783" i="16" s="1"/>
  <c r="A784" i="16"/>
  <c r="B784" i="16" s="1"/>
  <c r="A785" i="16"/>
  <c r="B785" i="16" s="1"/>
  <c r="A786" i="16"/>
  <c r="B786" i="16" s="1"/>
  <c r="A787" i="16"/>
  <c r="B787" i="16" s="1"/>
  <c r="A788" i="16"/>
  <c r="B788" i="16" s="1"/>
  <c r="A789" i="16"/>
  <c r="B789" i="16" s="1"/>
  <c r="A790" i="16"/>
  <c r="B790" i="16" s="1"/>
  <c r="A791" i="16"/>
  <c r="B791" i="16" s="1"/>
  <c r="A792" i="16"/>
  <c r="B792" i="16" s="1"/>
  <c r="A793" i="16"/>
  <c r="B793" i="16" s="1"/>
  <c r="A794" i="16"/>
  <c r="B794" i="16" s="1"/>
  <c r="A795" i="16"/>
  <c r="B795" i="16" s="1"/>
  <c r="A796" i="16"/>
  <c r="B796" i="16" s="1"/>
  <c r="A797" i="16"/>
  <c r="B797" i="16" s="1"/>
  <c r="A798" i="16"/>
  <c r="B798" i="16" s="1"/>
  <c r="A799" i="16"/>
  <c r="B799" i="16" s="1"/>
  <c r="A800" i="16"/>
  <c r="B800" i="16" s="1"/>
  <c r="A801" i="16"/>
  <c r="B801" i="16" s="1"/>
  <c r="A802" i="16"/>
  <c r="B802" i="16" s="1"/>
  <c r="A803" i="16"/>
  <c r="B803" i="16" s="1"/>
  <c r="A804" i="16"/>
  <c r="B804" i="16" s="1"/>
  <c r="A805" i="16"/>
  <c r="B805" i="16" s="1"/>
  <c r="A806" i="16"/>
  <c r="B806" i="16" s="1"/>
  <c r="A807" i="16"/>
  <c r="B807" i="16" s="1"/>
  <c r="A808" i="16"/>
  <c r="B808" i="16" s="1"/>
  <c r="A809" i="16"/>
  <c r="B809" i="16" s="1"/>
  <c r="A810" i="16"/>
  <c r="B810" i="16" s="1"/>
  <c r="A811" i="16"/>
  <c r="B811" i="16" s="1"/>
  <c r="A812" i="16"/>
  <c r="B812" i="16" s="1"/>
  <c r="A813" i="16"/>
  <c r="B813" i="16" s="1"/>
  <c r="A814" i="16"/>
  <c r="B814" i="16" s="1"/>
  <c r="A815" i="16"/>
  <c r="B815" i="16" s="1"/>
  <c r="A816" i="16"/>
  <c r="B816" i="16" s="1"/>
  <c r="A817" i="16"/>
  <c r="B817" i="16" s="1"/>
  <c r="A818" i="16"/>
  <c r="B818" i="16" s="1"/>
  <c r="A819" i="16"/>
  <c r="B819" i="16" s="1"/>
  <c r="A820" i="16"/>
  <c r="B820" i="16" s="1"/>
  <c r="A821" i="16"/>
  <c r="B821" i="16" s="1"/>
  <c r="A822" i="16"/>
  <c r="B822" i="16" s="1"/>
  <c r="A823" i="16"/>
  <c r="B823" i="16" s="1"/>
  <c r="A824" i="16"/>
  <c r="B824" i="16" s="1"/>
  <c r="A825" i="16"/>
  <c r="B825" i="16" s="1"/>
  <c r="A826" i="16"/>
  <c r="B826" i="16" s="1"/>
  <c r="A827" i="16"/>
  <c r="B827" i="16" s="1"/>
  <c r="A828" i="16"/>
  <c r="B828" i="16" s="1"/>
  <c r="A829" i="16"/>
  <c r="B829" i="16" s="1"/>
  <c r="A830" i="16"/>
  <c r="B830" i="16" s="1"/>
  <c r="A831" i="16"/>
  <c r="B831" i="16" s="1"/>
  <c r="A832" i="16"/>
  <c r="B832" i="16" s="1"/>
  <c r="A833" i="16"/>
  <c r="B833" i="16" s="1"/>
  <c r="A834" i="16"/>
  <c r="B834" i="16" s="1"/>
  <c r="A835" i="16"/>
  <c r="B835" i="16" s="1"/>
  <c r="A836" i="16"/>
  <c r="B836" i="16" s="1"/>
  <c r="A837" i="16"/>
  <c r="B837" i="16" s="1"/>
  <c r="A838" i="16"/>
  <c r="B838" i="16" s="1"/>
  <c r="A839" i="16"/>
  <c r="B839" i="16" s="1"/>
  <c r="A840" i="16"/>
  <c r="B840" i="16" s="1"/>
  <c r="A841" i="16"/>
  <c r="B841" i="16" s="1"/>
  <c r="A842" i="16"/>
  <c r="B842" i="16" s="1"/>
  <c r="A843" i="16"/>
  <c r="B843" i="16" s="1"/>
  <c r="A844" i="16"/>
  <c r="B844" i="16" s="1"/>
  <c r="A845" i="16"/>
  <c r="B845" i="16" s="1"/>
  <c r="A846" i="16"/>
  <c r="B846" i="16" s="1"/>
  <c r="A847" i="16"/>
  <c r="B847" i="16" s="1"/>
  <c r="A848" i="16"/>
  <c r="B848" i="16" s="1"/>
  <c r="A849" i="16"/>
  <c r="B849" i="16" s="1"/>
  <c r="A850" i="16"/>
  <c r="B850" i="16" s="1"/>
  <c r="A851" i="16"/>
  <c r="B851" i="16" s="1"/>
  <c r="A852" i="16"/>
  <c r="B852" i="16" s="1"/>
  <c r="A853" i="16"/>
  <c r="B853" i="16" s="1"/>
  <c r="A854" i="16"/>
  <c r="B854" i="16" s="1"/>
  <c r="A855" i="16"/>
  <c r="B855" i="16" s="1"/>
  <c r="A856" i="16"/>
  <c r="B856" i="16" s="1"/>
  <c r="A857" i="16"/>
  <c r="B857" i="16" s="1"/>
  <c r="A858" i="16"/>
  <c r="B858" i="16" s="1"/>
  <c r="A859" i="16"/>
  <c r="B859" i="16" s="1"/>
  <c r="A860" i="16"/>
  <c r="B860" i="16" s="1"/>
  <c r="A861" i="16"/>
  <c r="B861" i="16" s="1"/>
  <c r="A862" i="16"/>
  <c r="B862" i="16" s="1"/>
  <c r="A863" i="16"/>
  <c r="B863" i="16" s="1"/>
  <c r="A864" i="16"/>
  <c r="B864" i="16" s="1"/>
  <c r="A865" i="16"/>
  <c r="B865" i="16" s="1"/>
  <c r="A866" i="16"/>
  <c r="B866" i="16" s="1"/>
  <c r="A867" i="16"/>
  <c r="B867" i="16" s="1"/>
  <c r="A868" i="16"/>
  <c r="B868" i="16" s="1"/>
  <c r="A869" i="16"/>
  <c r="B869" i="16" s="1"/>
  <c r="A870" i="16"/>
  <c r="B870" i="16" s="1"/>
  <c r="A871" i="16"/>
  <c r="B871" i="16" s="1"/>
  <c r="A872" i="16"/>
  <c r="B872" i="16" s="1"/>
  <c r="A873" i="16"/>
  <c r="B873" i="16" s="1"/>
  <c r="A874" i="16"/>
  <c r="B874" i="16" s="1"/>
  <c r="A875" i="16"/>
  <c r="B875" i="16" s="1"/>
  <c r="A876" i="16"/>
  <c r="B876" i="16" s="1"/>
  <c r="A877" i="16"/>
  <c r="B877" i="16" s="1"/>
  <c r="A878" i="16"/>
  <c r="B878" i="16" s="1"/>
  <c r="A879" i="16"/>
  <c r="B879" i="16" s="1"/>
  <c r="A880" i="16"/>
  <c r="B880" i="16" s="1"/>
  <c r="A881" i="16"/>
  <c r="B881" i="16" s="1"/>
  <c r="A882" i="16"/>
  <c r="B882" i="16" s="1"/>
  <c r="A883" i="16"/>
  <c r="B883" i="16" s="1"/>
  <c r="A884" i="16"/>
  <c r="B884" i="16" s="1"/>
  <c r="A885" i="16"/>
  <c r="B885" i="16" s="1"/>
  <c r="A886" i="16"/>
  <c r="B886" i="16" s="1"/>
  <c r="A887" i="16"/>
  <c r="B887" i="16" s="1"/>
  <c r="A888" i="16"/>
  <c r="B888" i="16" s="1"/>
  <c r="A889" i="16"/>
  <c r="B889" i="16" s="1"/>
  <c r="A890" i="16"/>
  <c r="B890" i="16" s="1"/>
  <c r="A891" i="16"/>
  <c r="B891" i="16" s="1"/>
  <c r="A892" i="16"/>
  <c r="B892" i="16" s="1"/>
  <c r="A893" i="16"/>
  <c r="B893" i="16" s="1"/>
  <c r="A894" i="16"/>
  <c r="B894" i="16" s="1"/>
  <c r="A895" i="16"/>
  <c r="B895" i="16" s="1"/>
  <c r="A896" i="16"/>
  <c r="B896" i="16" s="1"/>
  <c r="A897" i="16"/>
  <c r="B897" i="16" s="1"/>
  <c r="A898" i="16"/>
  <c r="B898" i="16" s="1"/>
  <c r="A899" i="16"/>
  <c r="B899" i="16" s="1"/>
  <c r="A900" i="16"/>
  <c r="B900" i="16" s="1"/>
  <c r="A901" i="16"/>
  <c r="B901" i="16" s="1"/>
  <c r="A902" i="16"/>
  <c r="B902" i="16" s="1"/>
  <c r="A903" i="16"/>
  <c r="B903" i="16" s="1"/>
  <c r="A904" i="16"/>
  <c r="B904" i="16" s="1"/>
  <c r="A905" i="16"/>
  <c r="B905" i="16" s="1"/>
  <c r="A906" i="16"/>
  <c r="B906" i="16" s="1"/>
  <c r="A907" i="16"/>
  <c r="B907" i="16" s="1"/>
  <c r="A908" i="16"/>
  <c r="B908" i="16" s="1"/>
  <c r="A909" i="16"/>
  <c r="B909" i="16" s="1"/>
  <c r="A910" i="16"/>
  <c r="B910" i="16" s="1"/>
  <c r="A911" i="16"/>
  <c r="B911" i="16" s="1"/>
  <c r="A912" i="16"/>
  <c r="B912" i="16" s="1"/>
  <c r="A913" i="16"/>
  <c r="B913" i="16" s="1"/>
  <c r="A914" i="16"/>
  <c r="B914" i="16" s="1"/>
  <c r="A915" i="16"/>
  <c r="B915" i="16" s="1"/>
  <c r="A916" i="16"/>
  <c r="B916" i="16" s="1"/>
  <c r="A917" i="16"/>
  <c r="B917" i="16" s="1"/>
  <c r="A918" i="16"/>
  <c r="B918" i="16" s="1"/>
  <c r="A919" i="16"/>
  <c r="B919" i="16" s="1"/>
  <c r="A920" i="16"/>
  <c r="B920" i="16" s="1"/>
  <c r="A921" i="16"/>
  <c r="B921" i="16" s="1"/>
  <c r="A922" i="16"/>
  <c r="B922" i="16" s="1"/>
  <c r="A923" i="16"/>
  <c r="B923" i="16" s="1"/>
  <c r="A924" i="16"/>
  <c r="B924" i="16" s="1"/>
  <c r="A925" i="16"/>
  <c r="B925" i="16" s="1"/>
  <c r="A926" i="16"/>
  <c r="B926" i="16" s="1"/>
  <c r="A927" i="16"/>
  <c r="B927" i="16" s="1"/>
  <c r="A928" i="16"/>
  <c r="B928" i="16" s="1"/>
  <c r="A929" i="16"/>
  <c r="B929" i="16" s="1"/>
  <c r="A930" i="16"/>
  <c r="B930" i="16" s="1"/>
  <c r="A931" i="16"/>
  <c r="B931" i="16" s="1"/>
  <c r="A932" i="16"/>
  <c r="B932" i="16" s="1"/>
  <c r="A933" i="16"/>
  <c r="B933" i="16" s="1"/>
  <c r="A934" i="16"/>
  <c r="B934" i="16" s="1"/>
  <c r="A935" i="16"/>
  <c r="B935" i="16" s="1"/>
  <c r="A936" i="16"/>
  <c r="B936" i="16" s="1"/>
  <c r="A937" i="16"/>
  <c r="B937" i="16" s="1"/>
  <c r="A938" i="16"/>
  <c r="B938" i="16" s="1"/>
  <c r="A939" i="16"/>
  <c r="B939" i="16" s="1"/>
  <c r="A940" i="16"/>
  <c r="B940" i="16" s="1"/>
  <c r="A941" i="16"/>
  <c r="B941" i="16" s="1"/>
  <c r="A942" i="16"/>
  <c r="B942" i="16" s="1"/>
  <c r="A943" i="16"/>
  <c r="B943" i="16" s="1"/>
  <c r="A944" i="16"/>
  <c r="B944" i="16" s="1"/>
  <c r="A945" i="16"/>
  <c r="B945" i="16" s="1"/>
  <c r="A946" i="16"/>
  <c r="B946" i="16" s="1"/>
  <c r="A947" i="16"/>
  <c r="B947" i="16" s="1"/>
  <c r="A948" i="16"/>
  <c r="B948" i="16" s="1"/>
  <c r="A949" i="16"/>
  <c r="B949" i="16" s="1"/>
  <c r="A950" i="16"/>
  <c r="B950" i="16" s="1"/>
  <c r="A951" i="16"/>
  <c r="B951" i="16" s="1"/>
  <c r="A952" i="16"/>
  <c r="B952" i="16" s="1"/>
  <c r="A953" i="16"/>
  <c r="B953" i="16" s="1"/>
  <c r="A954" i="16"/>
  <c r="B954" i="16" s="1"/>
  <c r="A955" i="16"/>
  <c r="B955" i="16" s="1"/>
  <c r="A956" i="16"/>
  <c r="B956" i="16" s="1"/>
  <c r="A957" i="16"/>
  <c r="B957" i="16" s="1"/>
  <c r="A958" i="16"/>
  <c r="B958" i="16" s="1"/>
  <c r="A959" i="16"/>
  <c r="B959" i="16" s="1"/>
  <c r="A960" i="16"/>
  <c r="B960" i="16" s="1"/>
  <c r="A961" i="16"/>
  <c r="B961" i="16" s="1"/>
  <c r="A962" i="16"/>
  <c r="B962" i="16" s="1"/>
  <c r="A963" i="16"/>
  <c r="B963" i="16" s="1"/>
  <c r="A964" i="16"/>
  <c r="B964" i="16" s="1"/>
  <c r="A965" i="16"/>
  <c r="B965" i="16" s="1"/>
  <c r="A966" i="16"/>
  <c r="B966" i="16" s="1"/>
  <c r="A967" i="16"/>
  <c r="B967" i="16" s="1"/>
  <c r="A968" i="16"/>
  <c r="B968" i="16" s="1"/>
  <c r="A969" i="16"/>
  <c r="B969" i="16" s="1"/>
  <c r="A970" i="16"/>
  <c r="B970" i="16" s="1"/>
  <c r="A971" i="16"/>
  <c r="B971" i="16" s="1"/>
  <c r="A972" i="16"/>
  <c r="B972" i="16" s="1"/>
  <c r="A973" i="16"/>
  <c r="B973" i="16" s="1"/>
  <c r="A974" i="16"/>
  <c r="B974" i="16" s="1"/>
  <c r="A975" i="16"/>
  <c r="B975" i="16" s="1"/>
  <c r="A976" i="16"/>
  <c r="B976" i="16" s="1"/>
  <c r="A977" i="16"/>
  <c r="B977" i="16" s="1"/>
  <c r="A978" i="16"/>
  <c r="B978" i="16" s="1"/>
  <c r="A979" i="16"/>
  <c r="B979" i="16" s="1"/>
  <c r="A980" i="16"/>
  <c r="B980" i="16" s="1"/>
  <c r="A981" i="16"/>
  <c r="B981" i="16" s="1"/>
  <c r="A982" i="16"/>
  <c r="B982" i="16" s="1"/>
  <c r="A983" i="16"/>
  <c r="B983" i="16" s="1"/>
  <c r="A984" i="16"/>
  <c r="B984" i="16" s="1"/>
  <c r="A985" i="16"/>
  <c r="B985" i="16" s="1"/>
  <c r="A986" i="16"/>
  <c r="B986" i="16" s="1"/>
  <c r="A987" i="16"/>
  <c r="B987" i="16" s="1"/>
  <c r="A988" i="16"/>
  <c r="B988" i="16" s="1"/>
  <c r="A989" i="16"/>
  <c r="B989" i="16" s="1"/>
  <c r="A990" i="16"/>
  <c r="B990" i="16" s="1"/>
  <c r="A991" i="16"/>
  <c r="B991" i="16" s="1"/>
  <c r="A992" i="16"/>
  <c r="B992" i="16" s="1"/>
  <c r="A993" i="16"/>
  <c r="B993" i="16" s="1"/>
  <c r="A994" i="16"/>
  <c r="B994" i="16" s="1"/>
  <c r="A995" i="16"/>
  <c r="B995" i="16" s="1"/>
  <c r="A996" i="16"/>
  <c r="B996" i="16" s="1"/>
  <c r="A997" i="16"/>
  <c r="B997" i="16" s="1"/>
  <c r="A998" i="16"/>
  <c r="B998" i="16" s="1"/>
  <c r="A999" i="16"/>
  <c r="B999" i="16" s="1"/>
  <c r="A1000" i="16"/>
  <c r="B1000" i="16" s="1"/>
  <c r="A1001" i="16"/>
  <c r="B1001" i="16" s="1"/>
  <c r="A2" i="16"/>
  <c r="D9" i="12"/>
  <c r="B3" i="16" l="1"/>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405" i="12"/>
  <c r="D406" i="12"/>
  <c r="D407" i="12"/>
  <c r="D408" i="12"/>
  <c r="D409" i="12"/>
  <c r="D410" i="12"/>
  <c r="D411" i="12"/>
  <c r="D412" i="12"/>
  <c r="D413" i="12"/>
  <c r="D414" i="12"/>
  <c r="D415" i="12"/>
  <c r="D416" i="12"/>
  <c r="D417" i="12"/>
  <c r="D418" i="12"/>
  <c r="D419" i="12"/>
  <c r="D420" i="12"/>
  <c r="D421" i="12"/>
  <c r="D422" i="12"/>
  <c r="D423" i="12"/>
  <c r="D424" i="12"/>
  <c r="D425" i="12"/>
  <c r="D426" i="12"/>
  <c r="D427" i="12"/>
  <c r="D428" i="12"/>
  <c r="D429" i="12"/>
  <c r="D430" i="12"/>
  <c r="D431" i="12"/>
  <c r="D432" i="12"/>
  <c r="D433" i="12"/>
  <c r="D434" i="12"/>
  <c r="D435" i="12"/>
  <c r="D436" i="12"/>
  <c r="D437" i="12"/>
  <c r="D438" i="12"/>
  <c r="D439" i="12"/>
  <c r="D440" i="12"/>
  <c r="D441" i="12"/>
  <c r="D442" i="12"/>
  <c r="D443" i="12"/>
  <c r="D444" i="12"/>
  <c r="D445" i="12"/>
  <c r="D446" i="12"/>
  <c r="D447" i="12"/>
  <c r="D448" i="12"/>
  <c r="D449" i="12"/>
  <c r="D450" i="12"/>
  <c r="D451" i="12"/>
  <c r="D452" i="12"/>
  <c r="D453" i="12"/>
  <c r="D454" i="12"/>
  <c r="D455" i="12"/>
  <c r="D456" i="12"/>
  <c r="D457" i="12"/>
  <c r="D458" i="12"/>
  <c r="D459" i="12"/>
  <c r="D460" i="12"/>
  <c r="D461" i="12"/>
  <c r="D462" i="12"/>
  <c r="D463" i="12"/>
  <c r="D464" i="12"/>
  <c r="D465" i="12"/>
  <c r="D466" i="12"/>
  <c r="D467" i="12"/>
  <c r="D468" i="12"/>
  <c r="D469" i="12"/>
  <c r="D470" i="12"/>
  <c r="D471" i="12"/>
  <c r="D472" i="12"/>
  <c r="D473" i="12"/>
  <c r="D474" i="12"/>
  <c r="D475" i="12"/>
  <c r="D476" i="12"/>
  <c r="D477" i="12"/>
  <c r="D478" i="12"/>
  <c r="D479" i="12"/>
  <c r="D480" i="12"/>
  <c r="D481" i="12"/>
  <c r="D482" i="12"/>
  <c r="D483" i="12"/>
  <c r="D484" i="12"/>
  <c r="D485" i="12"/>
  <c r="D486" i="12"/>
  <c r="D487" i="12"/>
  <c r="D488" i="12"/>
  <c r="D489" i="12"/>
  <c r="D490" i="12"/>
  <c r="D491" i="12"/>
  <c r="D492" i="12"/>
  <c r="D493" i="12"/>
  <c r="D494" i="12"/>
  <c r="D495" i="12"/>
  <c r="D496" i="12"/>
  <c r="D497" i="12"/>
  <c r="D498" i="12"/>
  <c r="D499" i="12"/>
  <c r="D500" i="12"/>
  <c r="D501" i="12"/>
  <c r="D502" i="12"/>
  <c r="D503" i="12"/>
  <c r="D504" i="12"/>
  <c r="D505" i="12"/>
  <c r="D506" i="12"/>
  <c r="D507" i="12"/>
  <c r="D508" i="12"/>
  <c r="D509" i="12"/>
  <c r="D510" i="12"/>
  <c r="D511" i="12"/>
  <c r="D512" i="12"/>
  <c r="D513" i="12"/>
  <c r="D514" i="12"/>
  <c r="D515" i="12"/>
  <c r="D516" i="12"/>
  <c r="D517" i="12"/>
  <c r="D518" i="12"/>
  <c r="D519" i="12"/>
  <c r="D520" i="12"/>
  <c r="D521" i="12"/>
  <c r="D522" i="12"/>
  <c r="D523" i="12"/>
  <c r="D524" i="12"/>
  <c r="D525" i="12"/>
  <c r="D526" i="12"/>
  <c r="D527" i="12"/>
  <c r="D528" i="12"/>
  <c r="D529" i="12"/>
  <c r="D530" i="12"/>
  <c r="D531" i="12"/>
  <c r="D532" i="12"/>
  <c r="D533" i="12"/>
  <c r="D534" i="12"/>
  <c r="D535" i="12"/>
  <c r="D536" i="12"/>
  <c r="D537" i="12"/>
  <c r="D538" i="12"/>
  <c r="D539" i="12"/>
  <c r="D540" i="12"/>
  <c r="D541" i="12"/>
  <c r="D542" i="12"/>
  <c r="D543" i="12"/>
  <c r="D544" i="12"/>
  <c r="D545" i="12"/>
  <c r="D546" i="12"/>
  <c r="D547" i="12"/>
  <c r="D548" i="12"/>
  <c r="D549" i="12"/>
  <c r="D550" i="12"/>
  <c r="D551" i="12"/>
  <c r="D552" i="12"/>
  <c r="D553" i="12"/>
  <c r="D554" i="12"/>
  <c r="D555" i="12"/>
  <c r="D556" i="12"/>
  <c r="D557" i="12"/>
  <c r="D558" i="12"/>
  <c r="D559" i="12"/>
  <c r="D560" i="12"/>
  <c r="D561" i="12"/>
  <c r="D562" i="12"/>
  <c r="D563" i="12"/>
  <c r="D564" i="12"/>
  <c r="D565" i="12"/>
  <c r="D566" i="12"/>
  <c r="D567" i="12"/>
  <c r="D568" i="12"/>
  <c r="D569" i="12"/>
  <c r="D570" i="12"/>
  <c r="D571" i="12"/>
  <c r="D572" i="12"/>
  <c r="D573" i="12"/>
  <c r="D574" i="12"/>
  <c r="D575" i="12"/>
  <c r="D576" i="12"/>
  <c r="D577" i="12"/>
  <c r="D578" i="12"/>
  <c r="D579" i="12"/>
  <c r="D580" i="12"/>
  <c r="D581" i="12"/>
  <c r="D582" i="12"/>
  <c r="D583" i="12"/>
  <c r="D584" i="12"/>
  <c r="D585" i="12"/>
  <c r="D586" i="12"/>
  <c r="D587" i="12"/>
  <c r="D588" i="12"/>
  <c r="D589" i="12"/>
  <c r="D590" i="12"/>
  <c r="D591" i="12"/>
  <c r="D592" i="12"/>
  <c r="D593" i="12"/>
  <c r="D594" i="12"/>
  <c r="D595" i="12"/>
  <c r="D596" i="12"/>
  <c r="D597" i="12"/>
  <c r="D598" i="12"/>
  <c r="D599" i="12"/>
  <c r="D600" i="12"/>
  <c r="D601" i="12"/>
  <c r="D602" i="12"/>
  <c r="D603" i="12"/>
  <c r="D604" i="12"/>
  <c r="D605" i="12"/>
  <c r="D606" i="12"/>
  <c r="D607" i="12"/>
  <c r="D608" i="12"/>
  <c r="D609" i="12"/>
  <c r="D610" i="12"/>
  <c r="D611" i="12"/>
  <c r="D612" i="12"/>
  <c r="D613" i="12"/>
  <c r="D614" i="12"/>
  <c r="D615" i="12"/>
  <c r="D616" i="12"/>
  <c r="D617" i="12"/>
  <c r="D618" i="12"/>
  <c r="D619" i="12"/>
  <c r="D620" i="12"/>
  <c r="D621" i="12"/>
  <c r="D622" i="12"/>
  <c r="D623" i="12"/>
  <c r="D624" i="12"/>
  <c r="D625" i="12"/>
  <c r="D626" i="12"/>
  <c r="D627" i="12"/>
  <c r="D628" i="12"/>
  <c r="D629" i="12"/>
  <c r="D630" i="12"/>
  <c r="D631" i="12"/>
  <c r="D632" i="12"/>
  <c r="D633" i="12"/>
  <c r="D634" i="12"/>
  <c r="D635" i="12"/>
  <c r="D636" i="12"/>
  <c r="D637" i="12"/>
  <c r="D638" i="12"/>
  <c r="D639" i="12"/>
  <c r="D640" i="12"/>
  <c r="D641" i="12"/>
  <c r="D642" i="12"/>
  <c r="D643" i="12"/>
  <c r="D644" i="12"/>
  <c r="D645" i="12"/>
  <c r="D646" i="12"/>
  <c r="D647" i="12"/>
  <c r="D648" i="12"/>
  <c r="D649" i="12"/>
  <c r="D650" i="12"/>
  <c r="D651" i="12"/>
  <c r="D652" i="12"/>
  <c r="D653" i="12"/>
  <c r="D654" i="12"/>
  <c r="D655" i="12"/>
  <c r="D656" i="12"/>
  <c r="D657" i="12"/>
  <c r="D658" i="12"/>
  <c r="D659" i="12"/>
  <c r="D660" i="12"/>
  <c r="D661" i="12"/>
  <c r="D662" i="12"/>
  <c r="D663" i="12"/>
  <c r="D664" i="12"/>
  <c r="D665" i="12"/>
  <c r="D666" i="12"/>
  <c r="D667" i="12"/>
  <c r="D668" i="12"/>
  <c r="D669" i="12"/>
  <c r="D670" i="12"/>
  <c r="D671" i="12"/>
  <c r="D672" i="12"/>
  <c r="D673" i="12"/>
  <c r="D674" i="12"/>
  <c r="D675" i="12"/>
  <c r="D676" i="12"/>
  <c r="D677" i="12"/>
  <c r="D678" i="12"/>
  <c r="D679" i="12"/>
  <c r="D680" i="12"/>
  <c r="D681" i="12"/>
  <c r="D682" i="12"/>
  <c r="D683" i="12"/>
  <c r="D684" i="12"/>
  <c r="D685" i="12"/>
  <c r="D686" i="12"/>
  <c r="D687" i="12"/>
  <c r="D688" i="12"/>
  <c r="D689" i="12"/>
  <c r="D690" i="12"/>
  <c r="D691" i="12"/>
  <c r="D692" i="12"/>
  <c r="D693" i="12"/>
  <c r="D694" i="12"/>
  <c r="D695" i="12"/>
  <c r="D696" i="12"/>
  <c r="D697" i="12"/>
  <c r="D698" i="12"/>
  <c r="D699" i="12"/>
  <c r="D700" i="12"/>
  <c r="D701" i="12"/>
  <c r="D702" i="12"/>
  <c r="D703" i="12"/>
  <c r="D704" i="12"/>
  <c r="D705" i="12"/>
  <c r="D706" i="12"/>
  <c r="D707" i="12"/>
  <c r="D708" i="12"/>
  <c r="D709" i="12"/>
  <c r="D710" i="12"/>
  <c r="D711" i="12"/>
  <c r="D712" i="12"/>
  <c r="D713" i="12"/>
  <c r="D714" i="12"/>
  <c r="D715" i="12"/>
  <c r="D716" i="12"/>
  <c r="D717" i="12"/>
  <c r="D718" i="12"/>
  <c r="D719" i="12"/>
  <c r="D720" i="12"/>
  <c r="D721" i="12"/>
  <c r="D722" i="12"/>
  <c r="D723" i="12"/>
  <c r="D724" i="12"/>
  <c r="D725" i="12"/>
  <c r="D726" i="12"/>
  <c r="D727" i="12"/>
  <c r="D728" i="12"/>
  <c r="D729" i="12"/>
  <c r="D730" i="12"/>
  <c r="D731" i="12"/>
  <c r="D732" i="12"/>
  <c r="D733" i="12"/>
  <c r="D734" i="12"/>
  <c r="D735" i="12"/>
  <c r="D736" i="12"/>
  <c r="D737" i="12"/>
  <c r="D738" i="12"/>
  <c r="D739" i="12"/>
  <c r="D740" i="12"/>
  <c r="D741" i="12"/>
  <c r="D742" i="12"/>
  <c r="D743" i="12"/>
  <c r="D744" i="12"/>
  <c r="D745" i="12"/>
  <c r="D746" i="12"/>
  <c r="D747" i="12"/>
  <c r="D748" i="12"/>
  <c r="D749" i="12"/>
  <c r="D750" i="12"/>
  <c r="D751" i="12"/>
  <c r="D752" i="12"/>
  <c r="D753" i="12"/>
  <c r="D754" i="12"/>
  <c r="D755" i="12"/>
  <c r="D756" i="12"/>
  <c r="D757" i="12"/>
  <c r="D758" i="12"/>
  <c r="D759" i="12"/>
  <c r="D760" i="12"/>
  <c r="D761" i="12"/>
  <c r="D762" i="12"/>
  <c r="D763" i="12"/>
  <c r="D764" i="12"/>
  <c r="D765" i="12"/>
  <c r="D766" i="12"/>
  <c r="D767" i="12"/>
  <c r="D768" i="12"/>
  <c r="D769" i="12"/>
  <c r="D770" i="12"/>
  <c r="D771" i="12"/>
  <c r="D772" i="12"/>
  <c r="D773" i="12"/>
  <c r="D774" i="12"/>
  <c r="D775" i="12"/>
  <c r="D776" i="12"/>
  <c r="D777" i="12"/>
  <c r="D778" i="12"/>
  <c r="D779" i="12"/>
  <c r="D780" i="12"/>
  <c r="D781" i="12"/>
  <c r="D782" i="12"/>
  <c r="D783" i="12"/>
  <c r="D784" i="12"/>
  <c r="D785" i="12"/>
  <c r="D786" i="12"/>
  <c r="D787" i="12"/>
  <c r="D788" i="12"/>
  <c r="D789" i="12"/>
  <c r="D790" i="12"/>
  <c r="D791" i="12"/>
  <c r="D792" i="12"/>
  <c r="D793" i="12"/>
  <c r="D794" i="12"/>
  <c r="D795" i="12"/>
  <c r="D796" i="12"/>
  <c r="D797" i="12"/>
  <c r="D798" i="12"/>
  <c r="D799" i="12"/>
  <c r="D800" i="12"/>
  <c r="D801" i="12"/>
  <c r="D802" i="12"/>
  <c r="D803" i="12"/>
  <c r="D804" i="12"/>
  <c r="D805" i="12"/>
  <c r="D806" i="12"/>
  <c r="D807" i="12"/>
  <c r="D808" i="12"/>
  <c r="D809" i="12"/>
  <c r="D810" i="12"/>
  <c r="D811" i="12"/>
  <c r="D812" i="12"/>
  <c r="D813" i="12"/>
  <c r="D814" i="12"/>
  <c r="D815" i="12"/>
  <c r="D816" i="12"/>
  <c r="D817" i="12"/>
  <c r="D818" i="12"/>
  <c r="D819" i="12"/>
  <c r="D820" i="12"/>
  <c r="D821" i="12"/>
  <c r="D822" i="12"/>
  <c r="D823" i="12"/>
  <c r="D824" i="12"/>
  <c r="D825" i="12"/>
  <c r="D826" i="12"/>
  <c r="D827" i="12"/>
  <c r="D828" i="12"/>
  <c r="D829" i="12"/>
  <c r="D830" i="12"/>
  <c r="D831" i="12"/>
  <c r="D832" i="12"/>
  <c r="D833" i="12"/>
  <c r="D834" i="12"/>
  <c r="D835" i="12"/>
  <c r="D836" i="12"/>
  <c r="D837" i="12"/>
  <c r="D838" i="12"/>
  <c r="D839" i="12"/>
  <c r="D840" i="12"/>
  <c r="D841" i="12"/>
  <c r="D842" i="12"/>
  <c r="D843" i="12"/>
  <c r="D844" i="12"/>
  <c r="D845" i="12"/>
  <c r="D846" i="12"/>
  <c r="D847" i="12"/>
  <c r="D848" i="12"/>
  <c r="D849" i="12"/>
  <c r="D850" i="12"/>
  <c r="D851" i="12"/>
  <c r="D852" i="12"/>
  <c r="D853" i="12"/>
  <c r="D854" i="12"/>
  <c r="D855" i="12"/>
  <c r="D856" i="12"/>
  <c r="D857" i="12"/>
  <c r="D858" i="12"/>
  <c r="D859" i="12"/>
  <c r="D860" i="12"/>
  <c r="D861" i="12"/>
  <c r="D862" i="12"/>
  <c r="D863" i="12"/>
  <c r="D864" i="12"/>
  <c r="D865" i="12"/>
  <c r="D866" i="12"/>
  <c r="D867" i="12"/>
  <c r="D868" i="12"/>
  <c r="D869" i="12"/>
  <c r="D870" i="12"/>
  <c r="D871" i="12"/>
  <c r="D872" i="12"/>
  <c r="D873" i="12"/>
  <c r="D874" i="12"/>
  <c r="D875" i="12"/>
  <c r="D876" i="12"/>
  <c r="D877" i="12"/>
  <c r="D878" i="12"/>
  <c r="D879" i="12"/>
  <c r="D880" i="12"/>
  <c r="D881" i="12"/>
  <c r="D882" i="12"/>
  <c r="D883" i="12"/>
  <c r="D884" i="12"/>
  <c r="D885" i="12"/>
  <c r="D886" i="12"/>
  <c r="D887" i="12"/>
  <c r="D888" i="12"/>
  <c r="D889" i="12"/>
  <c r="D890" i="12"/>
  <c r="D891" i="12"/>
  <c r="D892" i="12"/>
  <c r="D893" i="12"/>
  <c r="D894" i="12"/>
  <c r="D895" i="12"/>
  <c r="D896" i="12"/>
  <c r="D897" i="12"/>
  <c r="D898" i="12"/>
  <c r="D899" i="12"/>
  <c r="D900" i="12"/>
  <c r="D901" i="12"/>
  <c r="D902" i="12"/>
  <c r="D903" i="12"/>
  <c r="D904" i="12"/>
  <c r="D905" i="12"/>
  <c r="D906" i="12"/>
  <c r="D907" i="12"/>
  <c r="D908" i="12"/>
  <c r="D909" i="12"/>
  <c r="D910" i="12"/>
  <c r="D911" i="12"/>
  <c r="D912" i="12"/>
  <c r="D913" i="12"/>
  <c r="D914" i="12"/>
  <c r="D915" i="12"/>
  <c r="D916" i="12"/>
  <c r="D917" i="12"/>
  <c r="D918" i="12"/>
  <c r="D919" i="12"/>
  <c r="D920" i="12"/>
  <c r="D921" i="12"/>
  <c r="D922" i="12"/>
  <c r="D923" i="12"/>
  <c r="D924" i="12"/>
  <c r="D925" i="12"/>
  <c r="D926" i="12"/>
  <c r="D927" i="12"/>
  <c r="D928" i="12"/>
  <c r="D929" i="12"/>
  <c r="D930" i="12"/>
  <c r="D931" i="12"/>
  <c r="D932" i="12"/>
  <c r="D933" i="12"/>
  <c r="D934" i="12"/>
  <c r="D935" i="12"/>
  <c r="D936" i="12"/>
  <c r="D937" i="12"/>
  <c r="D938" i="12"/>
  <c r="D939" i="12"/>
  <c r="D940" i="12"/>
  <c r="D941" i="12"/>
  <c r="D942" i="12"/>
  <c r="D943" i="12"/>
  <c r="D944" i="12"/>
  <c r="D945" i="12"/>
  <c r="D946" i="12"/>
  <c r="D947" i="12"/>
  <c r="D948" i="12"/>
  <c r="D949" i="12"/>
  <c r="D950" i="12"/>
  <c r="D951" i="12"/>
  <c r="D952" i="12"/>
  <c r="D953" i="12"/>
  <c r="D954" i="12"/>
  <c r="D955" i="12"/>
  <c r="D956" i="12"/>
  <c r="D957" i="12"/>
  <c r="D958" i="12"/>
  <c r="D959" i="12"/>
  <c r="D960" i="12"/>
  <c r="D961" i="12"/>
  <c r="D962" i="12"/>
  <c r="D963" i="12"/>
  <c r="D964" i="12"/>
  <c r="D965" i="12"/>
  <c r="D966" i="12"/>
  <c r="D967" i="12"/>
  <c r="D968" i="12"/>
  <c r="D969" i="12"/>
  <c r="D970" i="12"/>
  <c r="D971" i="12"/>
  <c r="D972" i="12"/>
  <c r="D973" i="12"/>
  <c r="D974" i="12"/>
  <c r="D975" i="12"/>
  <c r="D976" i="12"/>
  <c r="D977" i="12"/>
  <c r="D978" i="12"/>
  <c r="D979" i="12"/>
  <c r="D980" i="12"/>
  <c r="D981" i="12"/>
  <c r="D982" i="12"/>
  <c r="D983" i="12"/>
  <c r="D984" i="12"/>
  <c r="D985" i="12"/>
  <c r="D986" i="12"/>
  <c r="D987" i="12"/>
  <c r="D988" i="12"/>
  <c r="D989" i="12"/>
  <c r="D990" i="12"/>
  <c r="D991" i="12"/>
  <c r="D992" i="12"/>
  <c r="D993" i="12"/>
  <c r="D994" i="12"/>
  <c r="D995" i="12"/>
  <c r="D996" i="12"/>
  <c r="D997" i="12"/>
  <c r="D998" i="12"/>
  <c r="D999" i="12"/>
  <c r="D1000" i="12"/>
  <c r="D1001" i="12"/>
  <c r="D1002" i="12"/>
  <c r="D1003" i="12"/>
  <c r="D1004" i="12"/>
  <c r="D1005" i="12"/>
  <c r="D1006" i="12"/>
  <c r="D1007" i="12"/>
  <c r="D1008" i="12"/>
  <c r="J2" i="1" a="1"/>
  <c r="J2" i="1" s="1"/>
  <c r="H19" i="11"/>
  <c r="L19" i="11"/>
  <c r="M19" i="11"/>
  <c r="N19" i="11"/>
  <c r="O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9" i="11"/>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7" i="10"/>
  <c r="B2" i="16" s="1"/>
  <c r="H20" i="9"/>
  <c r="I20" i="9"/>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9" i="8"/>
  <c r="F2" i="1" a="1"/>
  <c r="F2" i="1" s="1"/>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9" i="7"/>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<sst xmlns="http://schemas.openxmlformats.org/spreadsheetml/2006/main" count="1276" uniqueCount="333">
  <si>
    <t>SI (N-m)</t>
  </si>
  <si>
    <t>Unitweight</t>
  </si>
  <si>
    <t>Concrete</t>
  </si>
  <si>
    <t>Rebar</t>
  </si>
  <si>
    <t>Default Units</t>
  </si>
  <si>
    <t>Value</t>
  </si>
  <si>
    <t>Nonlinear Analysis</t>
  </si>
  <si>
    <t>P-Delta</t>
  </si>
  <si>
    <t>Material Type</t>
  </si>
  <si>
    <t>Steel</t>
  </si>
  <si>
    <t>Material Name</t>
  </si>
  <si>
    <t>fc</t>
  </si>
  <si>
    <t>fy</t>
  </si>
  <si>
    <t>fu</t>
  </si>
  <si>
    <t>E</t>
  </si>
  <si>
    <t>nu</t>
  </si>
  <si>
    <t>RC30</t>
  </si>
  <si>
    <t>Rebar420</t>
  </si>
  <si>
    <t>Base Material</t>
  </si>
  <si>
    <t>Material Model</t>
  </si>
  <si>
    <t>epsc</t>
  </si>
  <si>
    <t>epscu</t>
  </si>
  <si>
    <t>fct</t>
  </si>
  <si>
    <t>et</t>
  </si>
  <si>
    <t>beta</t>
  </si>
  <si>
    <t>RC Unconfined</t>
  </si>
  <si>
    <t>RC Confined</t>
  </si>
  <si>
    <t>eu</t>
  </si>
  <si>
    <t>b</t>
  </si>
  <si>
    <t>R0</t>
  </si>
  <si>
    <t>cR1</t>
  </si>
  <si>
    <t>cR2</t>
  </si>
  <si>
    <t>Rebar420NL</t>
  </si>
  <si>
    <t>NL Material Name</t>
  </si>
  <si>
    <t>Base NL Material</t>
  </si>
  <si>
    <t>RebarMinMax</t>
  </si>
  <si>
    <t>K0</t>
  </si>
  <si>
    <t>as_Pos</t>
  </si>
  <si>
    <t>as_Neg</t>
  </si>
  <si>
    <t>My_Pos</t>
  </si>
  <si>
    <t>My_Neg</t>
  </si>
  <si>
    <t>Mu_Pos</t>
  </si>
  <si>
    <t>Mu_Neg</t>
  </si>
  <si>
    <t>Fpr_Pos</t>
  </si>
  <si>
    <t>Fpr_Neg</t>
  </si>
  <si>
    <t>A_pinch</t>
  </si>
  <si>
    <t>Lamda_S</t>
  </si>
  <si>
    <t>Lamda_C</t>
  </si>
  <si>
    <t>Lamda_A</t>
  </si>
  <si>
    <t>Lamda_K</t>
  </si>
  <si>
    <t>c_S</t>
  </si>
  <si>
    <t>c_C</t>
  </si>
  <si>
    <t>c_A</t>
  </si>
  <si>
    <t>c_K</t>
  </si>
  <si>
    <t>theta_p_Pos</t>
  </si>
  <si>
    <t>theta_p_Neg</t>
  </si>
  <si>
    <t>theta_pc_Pos</t>
  </si>
  <si>
    <t>theta_pc_Neg</t>
  </si>
  <si>
    <t>Res_Pos</t>
  </si>
  <si>
    <t>Res_Neg</t>
  </si>
  <si>
    <t>theta_u_Pos</t>
  </si>
  <si>
    <t>theta_u_Neg</t>
  </si>
  <si>
    <t>D_Pos</t>
  </si>
  <si>
    <t>D_Neg</t>
  </si>
  <si>
    <t>nFactor</t>
  </si>
  <si>
    <t>Integration Type for Distributed Plasticity</t>
  </si>
  <si>
    <t>Integration Type for Concentrated Plasticity</t>
  </si>
  <si>
    <t>Lobatto</t>
  </si>
  <si>
    <t>HingeRadau</t>
  </si>
  <si>
    <t>Section Shape</t>
  </si>
  <si>
    <t>Section Name</t>
  </si>
  <si>
    <t>Load Case Type</t>
  </si>
  <si>
    <t>Rectangular</t>
  </si>
  <si>
    <t>D</t>
  </si>
  <si>
    <t>L</t>
  </si>
  <si>
    <t>Lr</t>
  </si>
  <si>
    <t>W</t>
  </si>
  <si>
    <t>Section Model</t>
  </si>
  <si>
    <t>h</t>
  </si>
  <si>
    <t>k_A</t>
  </si>
  <si>
    <t>k_Avy</t>
  </si>
  <si>
    <t>k_Avz</t>
  </si>
  <si>
    <t>k_Iz</t>
  </si>
  <si>
    <t>k_Iy</t>
  </si>
  <si>
    <t>k_Jxx</t>
  </si>
  <si>
    <t>C1</t>
  </si>
  <si>
    <t>B1</t>
  </si>
  <si>
    <t>Base Section</t>
  </si>
  <si>
    <t>Integration Type</t>
  </si>
  <si>
    <t>Material 1</t>
  </si>
  <si>
    <t>Material 2</t>
  </si>
  <si>
    <t>Material 3</t>
  </si>
  <si>
    <t>cover</t>
  </si>
  <si>
    <t>nBarsTop</t>
  </si>
  <si>
    <t>nBarsBot</t>
  </si>
  <si>
    <t>nBarsInt</t>
  </si>
  <si>
    <t>barDiaHoop</t>
  </si>
  <si>
    <t>barDiaTop</t>
  </si>
  <si>
    <t>barDiaBot</t>
  </si>
  <si>
    <t>barDiaInt</t>
  </si>
  <si>
    <t>C1_Fiber</t>
  </si>
  <si>
    <t>Aggregated Section</t>
  </si>
  <si>
    <t>Aggregator Type</t>
  </si>
  <si>
    <t>C1_Fiber_Agg</t>
  </si>
  <si>
    <t>Shear Stiffness</t>
  </si>
  <si>
    <t>t</t>
  </si>
  <si>
    <t>S1</t>
  </si>
  <si>
    <t>X</t>
  </si>
  <si>
    <t>Y</t>
  </si>
  <si>
    <t>Z</t>
  </si>
  <si>
    <t>Element Type</t>
  </si>
  <si>
    <t>Column</t>
  </si>
  <si>
    <t>Beam</t>
  </si>
  <si>
    <t>Offset Length (I)</t>
  </si>
  <si>
    <t>Offset Length (J)</t>
  </si>
  <si>
    <t>UX</t>
  </si>
  <si>
    <t>UY</t>
  </si>
  <si>
    <t>UZ</t>
  </si>
  <si>
    <t>RX</t>
  </si>
  <si>
    <t>RY</t>
  </si>
  <si>
    <t>RZ</t>
  </si>
  <si>
    <t>Load Name</t>
  </si>
  <si>
    <t>Load Type</t>
  </si>
  <si>
    <t>Magnitude</t>
  </si>
  <si>
    <t>Subjected Slabs/Elements/Nodes</t>
  </si>
  <si>
    <t>Dead Roof</t>
  </si>
  <si>
    <t>Live Roof</t>
  </si>
  <si>
    <t>Dead Floor</t>
  </si>
  <si>
    <t>Live Floor</t>
  </si>
  <si>
    <t>Parapet</t>
  </si>
  <si>
    <t>Cladding</t>
  </si>
  <si>
    <t>Area Load</t>
  </si>
  <si>
    <t>Element Load</t>
  </si>
  <si>
    <t>49-64</t>
  </si>
  <si>
    <t>1-48</t>
  </si>
  <si>
    <t>1101-1104;1117-1120;1121;1125;1126;1130;1131;1135;1136;1140;2101-2104;2117-2120;2121;2125;2126;2130;2131;2135;2136;2140;3101-3104;3117-3120;3121;3125;3126;3130;3131;3135;3136;3140</t>
  </si>
  <si>
    <t>4101-4104;4117-4120;4121;4125;4126;4130;4131;4135;4136;4140</t>
  </si>
  <si>
    <t>Parameter</t>
  </si>
  <si>
    <t>Project Name</t>
  </si>
  <si>
    <t>Project Description</t>
  </si>
  <si>
    <t>4-Storeys Building</t>
  </si>
  <si>
    <t>Structural analysis of 4-Storeys building</t>
  </si>
  <si>
    <t>Yes</t>
  </si>
  <si>
    <t>LL Mass Factor</t>
  </si>
  <si>
    <t>Material Concrete</t>
  </si>
  <si>
    <t>Material Steel/Rebar</t>
  </si>
  <si>
    <t>Item</t>
  </si>
  <si>
    <t>Force</t>
  </si>
  <si>
    <t>Length</t>
  </si>
  <si>
    <t>Mass</t>
  </si>
  <si>
    <t>Stress</t>
  </si>
  <si>
    <t>Time</t>
  </si>
  <si>
    <t>Angle</t>
  </si>
  <si>
    <t>Unit of Force</t>
  </si>
  <si>
    <t>Unit of Length</t>
  </si>
  <si>
    <t>Unit of Mass</t>
  </si>
  <si>
    <t>Unit of Stress</t>
  </si>
  <si>
    <t>Unit of Time</t>
  </si>
  <si>
    <t>Unit of Angle</t>
  </si>
  <si>
    <t>N</t>
  </si>
  <si>
    <t>kN</t>
  </si>
  <si>
    <t>MN</t>
  </si>
  <si>
    <t>kgf</t>
  </si>
  <si>
    <t>tonf</t>
  </si>
  <si>
    <t>lbf</t>
  </si>
  <si>
    <t>kipf</t>
  </si>
  <si>
    <t>m</t>
  </si>
  <si>
    <t>mm</t>
  </si>
  <si>
    <t>cm</t>
  </si>
  <si>
    <t>ft</t>
  </si>
  <si>
    <t>in</t>
  </si>
  <si>
    <t>kg</t>
  </si>
  <si>
    <t>gr</t>
  </si>
  <si>
    <t>ton</t>
  </si>
  <si>
    <t>lbs</t>
  </si>
  <si>
    <t>kip</t>
  </si>
  <si>
    <t>Pa</t>
  </si>
  <si>
    <t>kPa</t>
  </si>
  <si>
    <t>MPa</t>
  </si>
  <si>
    <t>GPa</t>
  </si>
  <si>
    <t>psi</t>
  </si>
  <si>
    <t>psf</t>
  </si>
  <si>
    <t>ksi</t>
  </si>
  <si>
    <t>ksf</t>
  </si>
  <si>
    <t>s</t>
  </si>
  <si>
    <t>rad</t>
  </si>
  <si>
    <t>deg</t>
  </si>
  <si>
    <t>Edge 1</t>
  </si>
  <si>
    <t>Edge 2</t>
  </si>
  <si>
    <t>Edge 3</t>
  </si>
  <si>
    <t>Edge 4</t>
  </si>
  <si>
    <t>Instructions:</t>
  </si>
  <si>
    <t>Descriptions:</t>
  </si>
  <si>
    <t>Do not rename the file</t>
  </si>
  <si>
    <t>Do not delete unused sheet</t>
  </si>
  <si>
    <t>Cells with a white background are user-inputted</t>
  </si>
  <si>
    <t>ms</t>
  </si>
  <si>
    <t>I-End</t>
  </si>
  <si>
    <t>J-End</t>
  </si>
  <si>
    <t>- Force: Unit for force (Choose from the list)</t>
  </si>
  <si>
    <t>- Length: Unit for length and its derivation (Choose from the list)</t>
  </si>
  <si>
    <t>- Mass: Unit for mass (Choose from the list)</t>
  </si>
  <si>
    <t>- Stress: Unit for stress (Choose from the list)</t>
  </si>
  <si>
    <t>- Time: Unit for time (Choose from the list)</t>
  </si>
  <si>
    <t>- Angle: Unit for angle (Choose from the list)</t>
  </si>
  <si>
    <t xml:space="preserve">- Nonlinear Analysis: Preference to perform nonlinear analysis (Choose from the list) </t>
  </si>
  <si>
    <t>- P-Delta: Preference to include P-Delta in analysis (Choose from the list)</t>
  </si>
  <si>
    <t>- Project Description: Description of the project (Input as String)</t>
  </si>
  <si>
    <t>- LL Mass Factor: Factor for liveload used in computing structural mass (Input as Float)</t>
  </si>
  <si>
    <t>- I-End: Point object at the start (I) of the line object (Input as Integer)</t>
  </si>
  <si>
    <t>- J-End: Point object at the end (J) of the line object (Input as Integer)</t>
  </si>
  <si>
    <t>- Edge 1: Line object 1 (at the start) of the surface object (Input as Integer)</t>
  </si>
  <si>
    <t>- Edge 2: Line object 2 of the surface object, determined by CW/CCW ordering (Input as Integer)</t>
  </si>
  <si>
    <t>- Edge 3: Line object 3 of the surface object, determined by CW/CCW ordering (Input as Integer)</t>
  </si>
  <si>
    <t>- Edge 4: Line object 4 of the surface object, determined by CW/CCW ordering (Input as Integer)</t>
  </si>
  <si>
    <t>- nu: Poisson's ratio of material (Input as Float)</t>
  </si>
  <si>
    <t>Note:</t>
  </si>
  <si>
    <t>I-End Offset Length</t>
  </si>
  <si>
    <t>J-End Offset Length</t>
  </si>
  <si>
    <t>End Offset</t>
  </si>
  <si>
    <t>Auto from Connectivity</t>
  </si>
  <si>
    <t>- End Offset: End Offset length preference (Choose from the list)</t>
  </si>
  <si>
    <t>- Material Name: Name of material (Input as String)</t>
  </si>
  <si>
    <t>- Material Type: Type of material (Choose from the list)</t>
  </si>
  <si>
    <t>- Material Name: Name of nonlinear material (Input as String)</t>
  </si>
  <si>
    <t>- Base Material: Base material of nonlinear material (Choose from the list)</t>
  </si>
  <si>
    <t>- Material Model: Opensees material model</t>
  </si>
  <si>
    <t>- epsc: Strain at maximum compressive strength of concrete (Input as Float)</t>
  </si>
  <si>
    <t>- epscu: Strain at crushing strength of concrete (Input as Float)</t>
  </si>
  <si>
    <t>- beta: Exponential curve parameter to define the residual stress (as a factor of fct) at etu</t>
  </si>
  <si>
    <t>To change unitsystem, choose units for each measurement at "User Specified Unitsystem" sheet</t>
  </si>
  <si>
    <t>All units for user-inputted values should follow user specified unitsystem</t>
  </si>
  <si>
    <t>- Keep red-colored cells with a value of 0.0</t>
  </si>
  <si>
    <t>- et: Strain at maximum tensile strength of concrete, set value = 0.0 to use default value which is calculated using equation: et = fct / Esec, Esec = fc / epsc (Input as Float)</t>
  </si>
  <si>
    <t>- eu: Strain at ultimate tensile strength of rebar/steel (Input as Float)</t>
  </si>
  <si>
    <t>- b: Strain-hardening ratio, set value = 0.0 to use default value which is calculated using equation: b = Epy / E, Epy = (fu - fy) / (eu - eoffset), eoffset = (fy / E) + 0.2% (Input as Float)</t>
  </si>
  <si>
    <t>a1</t>
  </si>
  <si>
    <t>a2</t>
  </si>
  <si>
    <t>a3</t>
  </si>
  <si>
    <t>a4</t>
  </si>
  <si>
    <t>- R0: Parameters to control the transition from elastic to plastic branches, recommended value = 10-20 (Input as Integer)</t>
  </si>
  <si>
    <t>- cR1: Parameters to control the transition from elastic to plastic branches, recommended value = 0.925 (Input as Float)</t>
  </si>
  <si>
    <t>f_init</t>
  </si>
  <si>
    <t>- cR2: Parameters to control the transition from elastic to plastic branches, recommended value = 0.15 (Input as Float)</t>
  </si>
  <si>
    <t>- a1: Isotropic hardening parameter, increase of compression yield envelope as proportion of yield strength after a plastic strain of a2*(fy / E), default value = 0.0 (Input as Float)</t>
  </si>
  <si>
    <t>- a2: Isotropic hardening parameter, default value = 1.0 (Input as Float)</t>
  </si>
  <si>
    <t>- a4: Isotropic hardening parameter, default value = 1.0 (Input as Float)</t>
  </si>
  <si>
    <t>- a3: Isotropic hardening parameter, increase of tension yield envelope as proportion of yield strength after a plastic strain of a4*(fy / E), default value = 0.0 (Input as Float)</t>
  </si>
  <si>
    <t>- Base NL Material: Base nonlinear material of material (Choose from the list)</t>
  </si>
  <si>
    <t>- ecmax: Maximum compression strain (Input as Float)</t>
  </si>
  <si>
    <t>- etmax: Maximum tension strain (Input as Float)</t>
  </si>
  <si>
    <t>ecmax</t>
  </si>
  <si>
    <t>etmax</t>
  </si>
  <si>
    <t>- Material Model: Opensees material model (Choose from the list)</t>
  </si>
  <si>
    <t>- as_Pos: Strain hardening ratio for positive loading direction, set value = 0.0 to use default value which is calculated using equation: as_Pos = Kpy_Pos / K0, Kpy_Pos = (Mu_Pos - My_Pos) / (theta_p_Pos - theta_e_Pos), theta_e_Pos = My_Pos / K0 (Input as Float)</t>
  </si>
  <si>
    <t>- as_Neg: Strain hardening ratio for negative loading direction, set value = 0.0 to use default value which is calculated using equation: as_Neg = Kpy_Neg / K0, Kpy_Neg = (Mu_Neg - My_Neg) / (theta_p_Neg - theta_e_Neg), theta_e_Neg = My_Neg / K0 (Input as Float)</t>
  </si>
  <si>
    <t>- Lamda_S: Cyclic deterioration parameter for strength deterioration [E_t=Lamda_S*M_y, see Lignos and Krawinkler (2011)], keep 0.0 value to disable this mode of deterioration (Input as Float)</t>
  </si>
  <si>
    <t>- Lamda_C: Cyclic deterioration parameter for post-capping strength deterioration [E_t=Lamda_C*M_y, see Lignos and Krawinkler (2011)], keep 0.0 value to disable this mode of deterioration (Input as Float)</t>
  </si>
  <si>
    <t>- Lamda_A: Cyclic deterioration parameter for accelerated reloading stiffness deterioration [E_t=Lamda_A*M_y, see Lignos and Krawinkler (2011)], keep 0.0 value to disable this mode of deterioration (Input as Float)</t>
  </si>
  <si>
    <t>- Lamda_K: Cyclic deterioration parameter for unloading stiffness deterioration [E_t=Lamda_K*M_y, see Lignos and Krawinkler (2011)], keep 0.0 value to disable this mode of deterioration (Input as Float)</t>
  </si>
  <si>
    <t>- c_S: Rate of strength deterioration,  default value is 1.0 (Input as Float)</t>
  </si>
  <si>
    <t>- c_C: Rate of post-capping strength deterioration, default value is 1.0 (Input as Float)</t>
  </si>
  <si>
    <t xml:space="preserve">- c_A: Rate of accelerated reloading deterioration, default value is 1.0 (Input as Float) </t>
  </si>
  <si>
    <t>- c_K: Rate of unloading stiffness deterioration, default value is 1.0 (Input as Float)</t>
  </si>
  <si>
    <t>- Fpr_Pos: Ratio of the force at which reloading begins to force corresponding to the maximum historic deformation demand (positive loading direction), keep 0.0 if it is not related, use this when using IMKPinching model (Input as Float)</t>
  </si>
  <si>
    <t>- Fpr_Neg: Ratio of the force at which reloading begins to force corresponding to the maximum historic deformation demand (negative loading direction), keep 0.0 if it is not related, use this when using IMKPinching model (Input as Float)</t>
  </si>
  <si>
    <t>- A_pinch: Ratio of reloading stiffness, keep 0.0 if it is not related, use this when using IMKPinching model (Input as Float)</t>
  </si>
  <si>
    <t>- nFactor: Elastic stiffness amplification factor, use this when using IMKBilinear (Input as Float)</t>
  </si>
  <si>
    <t>- theta_p_Neg: Pre-capping rotation for negative loading direction, often noted as plastic rotation capacity (Input as Float)</t>
  </si>
  <si>
    <t>- theta_p_Pos: Pre-capping rotation for positive loading direction, often noted as plastic rotation capacity (Input as Float)</t>
  </si>
  <si>
    <t>- theta_pc_Pos: Post-capping rotation for positive loading direction (Input as Float)</t>
  </si>
  <si>
    <t>- theta_pc_Neg: Post-capping rotation for negative loading direction (Input as Float)</t>
  </si>
  <si>
    <t>- Res_Pos: Residual strength ratio for positive loading direction (Input as Float)</t>
  </si>
  <si>
    <t>- Res_Neg: Residual strength ratio for negative loading direction (Input as Float)</t>
  </si>
  <si>
    <t>- theta_u_Pos: Ultimate rotation capacity for positive loading direction (Input as Float)</t>
  </si>
  <si>
    <t>- theta_u_Neg: Ultimate rotation capacity for negative loading direction (Input as Float)</t>
  </si>
  <si>
    <t>- D_Pos: Rate of cyclic deterioration in the positive loading direction, for symmetric hysteretic response use 1.0 (Input as Float)</t>
  </si>
  <si>
    <t>- D_Neg: Rate of cyclic deterioration in the negative loading direction, for symmetric hysteretic response use 1.0 (Input as Float)</t>
  </si>
  <si>
    <t>- Section Name: Name of section (Input as String)</t>
  </si>
  <si>
    <t>- Section Shape: Shape of section (Choose from the list)</t>
  </si>
  <si>
    <t>- Base Material: Base material of section (Choose from the list)</t>
  </si>
  <si>
    <t>- Section Model: Opensees section model</t>
  </si>
  <si>
    <t>- Element Type: Type of element (Choose from the list)</t>
  </si>
  <si>
    <t>- k_Avy: Modifier for shear area along local y-axis (Input as Float)</t>
  </si>
  <si>
    <t>- k_A: Modifier for area (Input as Float)</t>
  </si>
  <si>
    <t>- k_Avz: Modifier for shear area along local z-axis (Input as Float)</t>
  </si>
  <si>
    <t>- k_Iz: Modifier for second moment of area about local z-axis (Input as Float)</t>
  </si>
  <si>
    <t>- k_Iy: Modifier for second moment of area about local y-axis (Input as Float)</t>
  </si>
  <si>
    <t>- k_Jxx: Modifier for torsional constant (Input as Float)</t>
  </si>
  <si>
    <t>- Section Name: Name of fiber section (Input as String)</t>
  </si>
  <si>
    <t>- Base Section: Base section of fiber section (Choose from the list)</t>
  </si>
  <si>
    <t>- Integration Type: Numerical integration formulation of fiber section (Choose from the list)</t>
  </si>
  <si>
    <t>- Material 1: Material 1 of fiber section, if fiber section is concrete, set material 1 with material of concrete cover (Choose from the list)</t>
  </si>
  <si>
    <t>- Material 2: Material 2 of fiber section, if fiber section is concrete, set material 2 with material of concrete core (Choose from the list)</t>
  </si>
  <si>
    <t>- Material 3: Material 3 of fiber section, if fiber section is concrete, set material 3 with material of reinforcement (Choose from the list)</t>
  </si>
  <si>
    <t>- cover: Concrete cover (Input as Float)</t>
  </si>
  <si>
    <t>- nBarsTop: Number of top reinforcements (Input as Integer)</t>
  </si>
  <si>
    <t>- nBarsBot: Number of bottom reinforcements (Input as Integer)</t>
  </si>
  <si>
    <t>- nBarsInt: Number of intermediate reinforcements (Input as Integer)</t>
  </si>
  <si>
    <t>- Section Name: Name of section aggregator (Input as String)</t>
  </si>
  <si>
    <t>- Aggregated Section: Name of aggregated section (Choose from the list)</t>
  </si>
  <si>
    <t>- Aggregator Type: Type of section aggregator (Choose from the list)</t>
  </si>
  <si>
    <t>- Base Material: Base material of section, automatically filled based on chosen aggregated section</t>
  </si>
  <si>
    <t>- Base Material: Base amterial of slab section (Choose from the list)</t>
  </si>
  <si>
    <t>Plasticity Model</t>
  </si>
  <si>
    <t>Model Dimensional Space</t>
  </si>
  <si>
    <t>Concentrated Plasticity (with Zero length element)</t>
  </si>
  <si>
    <t>Concentrated Plasticity (Element with hinge)</t>
  </si>
  <si>
    <t>Fibre Model</t>
  </si>
  <si>
    <t>No</t>
  </si>
  <si>
    <t>- Project Name: Name of the project (Input as String)</t>
  </si>
  <si>
    <t>3-Dimensional</t>
  </si>
  <si>
    <t>- Model Dimensional Space: Dimensional space to be used (Choose from the list)</t>
  </si>
  <si>
    <t>Unique Name</t>
  </si>
  <si>
    <t>- Unique Name: Name used as unique identification for each point (Input as String, Max. 15 characters)</t>
  </si>
  <si>
    <t>- Unique Name: Name used as unique identification for each line (Input as String, Max. 15 characters)</t>
  </si>
  <si>
    <t>- Unique Name: Name used as unique identification for each surface (Input as String, Max. 15 characters)</t>
  </si>
  <si>
    <t>- Section Name: Name of slab section (Input as String, Max. 15 characters)</t>
  </si>
  <si>
    <t>Section</t>
  </si>
  <si>
    <t>IMKPeakOriented</t>
  </si>
  <si>
    <t>Rotational Spring</t>
  </si>
  <si>
    <t>Zero Length Element</t>
  </si>
  <si>
    <t>- Zero Length Element: Option to generate point as zero length element (Choose from the list)</t>
  </si>
  <si>
    <t>- Section: Cross section used by each line (Choose from the list)</t>
  </si>
  <si>
    <t>- Section: Slab section used by each surface (Choose from the list)</t>
  </si>
  <si>
    <t>Point</t>
  </si>
  <si>
    <t>- Point: Point name where it will be restrained (Choose from the list)</t>
  </si>
  <si>
    <t>- UX: Restraint condition of translational DOF along global X-axis (Boolean, 0: Unrestrained, 1: Restrained)</t>
  </si>
  <si>
    <t>- UY: Restraint condition of translational DOF along global Y-axis (Boolean, 0: Unrestrained, 1: Restrained)</t>
  </si>
  <si>
    <t>- UZ: Restraint condition of translational DOF along global Z-axis (Boolean, 0: Unrestrained, 1: Restrained)</t>
  </si>
  <si>
    <t>- RX: Restraint condition of rotational DOF about global X-axis (Boolean, 0: Unrestrained, 1: Restrained)</t>
  </si>
  <si>
    <t>- RY: Restraint condition of rotational DOF about global Y-axis (Boolean, 0: Unrestrained, 1: Restrained)</t>
  </si>
  <si>
    <t>- RZ: Restraint condition of rotational DOF about global Z-axis (Boolean, 0: Unrestrained, 1: Restrained)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</si>
</sst>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13"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1"/>
      <color theme="1"/>
      <name val="Aptos Narrow"/>
      <family val="2"/>
      <scheme val="minor"/>
    </font>
    <font>
      <b/>
      <sz val="12"/>
      <color theme="1"/>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12">
    <xf numFmtId="0" fontId="0" fillId="0" borderId="0" xfId="0"/>
    <xf numFmtId="0" fontId="7" fillId="0" borderId="0" xfId="0" applyFont="1" applyAlignment="1">
      <alignment horizontal="center"/>
    </xf>
    <xf numFmtId="0" fontId="9" fillId="0" borderId="0" xfId="0" applyFont="1" applyAlignment="1">
      <alignment horizontal="center"/>
    </xf>
    <xf numFmtId="0" fontId="7" fillId="0" borderId="0" xfId="0" applyFont="1"/>
    <xf numFmtId="2" fontId="7" fillId="0" borderId="0" xfId="0" applyNumberFormat="1" applyFont="1"/>
    <xf numFmtId="164" fontId="7" fillId="0" borderId="0" xfId="0" applyNumberFormat="1" applyFont="1"/>
    <xf numFmtId="1" fontId="7" fillId="0" borderId="0" xfId="0" applyNumberFormat="1" applyFont="1"/>
    <xf numFmtId="0" fontId="10" fillId="0" borderId="0" xfId="0" applyFont="1"/>
    <xf numFmtId="0" fontId="10" fillId="0" borderId="0" xfId="0" applyFont="1" applyAlignment="1">
      <alignment horizontal="center"/>
    </xf>
    <xf numFmtId="0" fontId="11" fillId="0" borderId="0" xfId="0" applyFont="1" applyAlignment="1">
      <alignment horizontal="center"/>
    </xf>
    <xf numFmtId="0" fontId="11" fillId="0" borderId="0" xfId="0" applyFont="1"/>
    <xf numFmtId="2" fontId="11" fillId="0" borderId="0" xfId="0" applyNumberFormat="1" applyFont="1"/>
    <xf numFmtId="49" fontId="7" fillId="0" borderId="0" xfId="0" applyNumberFormat="1" applyFont="1"/>
    <xf numFmtId="0" fontId="10" fillId="0" borderId="0" xfId="0" applyFont="1" applyAlignment="1">
      <alignment horizontal="center" vertical="top"/>
    </xf>
    <xf numFmtId="0" fontId="6" fillId="0" borderId="0" xfId="0" applyFont="1" applyAlignment="1">
      <alignment vertical="top"/>
    </xf>
    <xf numFmtId="0" fontId="6" fillId="0" borderId="0" xfId="0" applyFont="1" applyAlignment="1">
      <alignment vertical="top" wrapText="1"/>
    </xf>
    <xf numFmtId="49" fontId="6" fillId="0" borderId="0" xfId="0" applyNumberFormat="1" applyFont="1" applyAlignment="1">
      <alignment vertical="top"/>
    </xf>
    <xf numFmtId="0" fontId="10" fillId="2" borderId="1" xfId="0" applyFont="1" applyFill="1" applyBorder="1" applyAlignment="1">
      <alignment horizontal="center" vertical="top"/>
    </xf>
    <xf numFmtId="0" fontId="6" fillId="2" borderId="1" xfId="0" applyFont="1" applyFill="1" applyBorder="1" applyAlignment="1">
      <alignment vertical="top"/>
    </xf>
    <xf numFmtId="0" fontId="9" fillId="2" borderId="2" xfId="0" applyFont="1" applyFill="1" applyBorder="1" applyAlignment="1">
      <alignment vertical="top"/>
    </xf>
    <xf numFmtId="0" fontId="6" fillId="2" borderId="3" xfId="0" applyFont="1" applyFill="1" applyBorder="1" applyAlignment="1">
      <alignment vertical="top"/>
    </xf>
    <xf numFmtId="0" fontId="6" fillId="2" borderId="5" xfId="0" applyFont="1" applyFill="1" applyBorder="1" applyAlignment="1">
      <alignment vertical="top"/>
    </xf>
    <xf numFmtId="0" fontId="5" fillId="2" borderId="6" xfId="0" quotePrefix="1" applyFont="1" applyFill="1" applyBorder="1" applyAlignment="1">
      <alignment vertical="top"/>
    </xf>
    <xf numFmtId="0" fontId="6" fillId="2" borderId="7" xfId="0" applyFont="1" applyFill="1" applyBorder="1" applyAlignment="1">
      <alignment vertical="top"/>
    </xf>
    <xf numFmtId="0" fontId="5" fillId="0" borderId="1" xfId="0" applyFont="1" applyBorder="1" applyAlignment="1" applyProtection="1">
      <alignment vertical="top"/>
      <protection locked="0"/>
    </xf>
    <xf numFmtId="0" fontId="5" fillId="0" borderId="1" xfId="0" applyFont="1" applyBorder="1" applyAlignment="1" applyProtection="1">
      <alignment vertical="top" wrapText="1"/>
      <protection locked="0"/>
    </xf>
    <xf numFmtId="0" fontId="5" fillId="2" borderId="1" xfId="0" applyFont="1" applyFill="1" applyBorder="1" applyAlignment="1">
      <alignment vertical="top"/>
    </xf>
    <xf numFmtId="0" fontId="5" fillId="2" borderId="1" xfId="0" applyFont="1" applyFill="1" applyBorder="1"/>
    <xf numFmtId="49" fontId="6" fillId="0" borderId="1" xfId="0" applyNumberFormat="1" applyFont="1" applyBorder="1" applyAlignment="1" applyProtection="1">
      <alignment horizontal="center" vertical="top"/>
      <protection locked="0"/>
    </xf>
    <xf numFmtId="49" fontId="7" fillId="0" borderId="1" xfId="0" applyNumberFormat="1" applyFont="1" applyBorder="1" applyAlignment="1" applyProtection="1">
      <alignment horizontal="center"/>
      <protection locked="0"/>
    </xf>
    <xf numFmtId="0" fontId="5" fillId="2" borderId="4" xfId="0" quotePrefix="1" applyFont="1" applyFill="1" applyBorder="1" applyAlignment="1">
      <alignment vertical="top"/>
    </xf>
    <xf numFmtId="0" fontId="9" fillId="2" borderId="1" xfId="0" applyFont="1" applyFill="1" applyBorder="1" applyAlignment="1">
      <alignment horizontal="center"/>
    </xf>
    <xf numFmtId="0" fontId="10" fillId="2" borderId="1" xfId="0" applyFont="1" applyFill="1" applyBorder="1" applyAlignment="1">
      <alignment horizontal="center"/>
    </xf>
    <xf numFmtId="0" fontId="9" fillId="2" borderId="2" xfId="0" applyFont="1" applyFill="1" applyBorder="1" applyAlignment="1">
      <alignment horizontal="left"/>
    </xf>
    <xf numFmtId="0" fontId="7" fillId="0" borderId="0" xfId="0" applyFont="1" applyAlignment="1">
      <alignment horizontal="left"/>
    </xf>
    <xf numFmtId="49" fontId="6" fillId="2" borderId="8" xfId="0" applyNumberFormat="1" applyFont="1" applyFill="1" applyBorder="1" applyAlignment="1">
      <alignment vertical="top"/>
    </xf>
    <xf numFmtId="0" fontId="6" fillId="2" borderId="8" xfId="0" applyFont="1" applyFill="1" applyBorder="1" applyAlignment="1">
      <alignment vertical="top"/>
    </xf>
    <xf numFmtId="49" fontId="6" fillId="2" borderId="9" xfId="0" applyNumberFormat="1" applyFont="1" applyFill="1" applyBorder="1" applyAlignment="1">
      <alignment vertical="top"/>
    </xf>
    <xf numFmtId="0" fontId="6" fillId="2" borderId="9" xfId="0" applyFont="1" applyFill="1" applyBorder="1" applyAlignment="1">
      <alignment vertical="top"/>
    </xf>
    <xf numFmtId="0" fontId="7" fillId="2" borderId="8" xfId="0" applyFont="1" applyFill="1" applyBorder="1" applyAlignment="1">
      <alignment horizontal="center"/>
    </xf>
    <xf numFmtId="0" fontId="7" fillId="2" borderId="3" xfId="0" applyFont="1" applyFill="1" applyBorder="1"/>
    <xf numFmtId="0" fontId="7" fillId="2" borderId="0" xfId="0" applyFont="1" applyFill="1" applyAlignment="1">
      <alignment horizontal="center"/>
    </xf>
    <xf numFmtId="0" fontId="7" fillId="2" borderId="5" xfId="0" applyFont="1" applyFill="1" applyBorder="1"/>
    <xf numFmtId="0" fontId="7" fillId="2" borderId="9" xfId="0" applyFont="1" applyFill="1" applyBorder="1" applyAlignment="1">
      <alignment horizontal="center"/>
    </xf>
    <xf numFmtId="0" fontId="7" fillId="2" borderId="7" xfId="0" applyFont="1" applyFill="1" applyBorder="1"/>
    <xf numFmtId="0" fontId="7" fillId="0" borderId="0" xfId="0" applyFont="1" applyAlignment="1" applyProtection="1">
      <alignment horizontal="center"/>
      <protection locked="0"/>
    </xf>
    <xf numFmtId="2" fontId="7" fillId="2" borderId="8" xfId="0" applyNumberFormat="1" applyFont="1" applyFill="1" applyBorder="1"/>
    <xf numFmtId="2" fontId="7" fillId="2" borderId="3" xfId="0" applyNumberFormat="1" applyFont="1" applyFill="1" applyBorder="1"/>
    <xf numFmtId="0" fontId="2" fillId="2" borderId="4" xfId="0" quotePrefix="1" applyFont="1" applyFill="1" applyBorder="1" applyAlignment="1">
      <alignment horizontal="left"/>
    </xf>
    <xf numFmtId="2" fontId="7" fillId="2" borderId="5" xfId="0" applyNumberFormat="1" applyFont="1" applyFill="1" applyBorder="1"/>
    <xf numFmtId="2" fontId="7" fillId="2" borderId="9" xfId="0" applyNumberFormat="1" applyFont="1" applyFill="1" applyBorder="1"/>
    <xf numFmtId="2" fontId="7" fillId="2" borderId="7" xfId="0" applyNumberFormat="1" applyFont="1" applyFill="1" applyBorder="1"/>
    <xf numFmtId="2" fontId="7" fillId="0" borderId="0" xfId="0" applyNumberFormat="1" applyFont="1" applyProtection="1">
      <protection locked="0"/>
    </xf>
    <xf numFmtId="0" fontId="2" fillId="2" borderId="6" xfId="0" quotePrefix="1" applyFont="1" applyFill="1" applyBorder="1" applyAlignment="1">
      <alignment horizontal="left"/>
    </xf>
    <xf numFmtId="0" fontId="2" fillId="2" borderId="4" xfId="0" quotePrefix="1" applyFont="1" applyFill="1" applyBorder="1" applyAlignment="1">
      <alignment vertical="top"/>
    </xf>
    <xf numFmtId="49" fontId="6" fillId="2" borderId="0" xfId="0" applyNumberFormat="1" applyFont="1" applyFill="1" applyAlignment="1">
      <alignment vertical="top"/>
    </xf>
    <xf numFmtId="0" fontId="6" fillId="2" borderId="0" xfId="0" applyFont="1" applyFill="1" applyAlignment="1">
      <alignment vertical="top"/>
    </xf>
    <xf numFmtId="0" fontId="2" fillId="2" borderId="0" xfId="0" quotePrefix="1" applyFont="1" applyFill="1" applyAlignment="1">
      <alignment vertical="top"/>
    </xf>
    <xf numFmtId="2" fontId="7" fillId="2" borderId="0" xfId="0" applyNumberFormat="1" applyFont="1" applyFill="1"/>
    <xf numFmtId="164" fontId="7" fillId="0" borderId="0" xfId="0" applyNumberFormat="1" applyFont="1" applyProtection="1">
      <protection locked="0"/>
    </xf>
    <xf numFmtId="0" fontId="9" fillId="0" borderId="0" xfId="0" applyFont="1" applyAlignment="1">
      <alignment horizontal="center" vertical="top"/>
    </xf>
    <xf numFmtId="0" fontId="7" fillId="0" borderId="0" xfId="0" applyFont="1" applyAlignment="1">
      <alignment horizontal="center" vertical="top"/>
    </xf>
    <xf numFmtId="0" fontId="5" fillId="0" borderId="0" xfId="0" applyFont="1" applyAlignment="1">
      <alignment horizontal="center" vertical="top"/>
    </xf>
    <xf numFmtId="0" fontId="9" fillId="0" borderId="0" xfId="0" applyFont="1" applyAlignment="1">
      <alignment horizontal="left" vertical="top"/>
    </xf>
    <xf numFmtId="0" fontId="5" fillId="0" borderId="0" xfId="0" applyFont="1" applyAlignment="1">
      <alignment vertical="top"/>
    </xf>
    <xf numFmtId="0" fontId="2" fillId="0" borderId="0" xfId="0" applyFont="1" applyAlignment="1">
      <alignment vertical="top"/>
    </xf>
    <xf numFmtId="0" fontId="2" fillId="0" borderId="0" xfId="0" quotePrefix="1" applyFont="1" applyAlignment="1">
      <alignment vertical="top"/>
    </xf>
    <xf numFmtId="0" fontId="5" fillId="0" borderId="0" xfId="0" quotePrefix="1" applyFont="1" applyAlignment="1">
      <alignment vertical="top"/>
    </xf>
    <xf numFmtId="0" fontId="2" fillId="2" borderId="1" xfId="0" applyFont="1" applyFill="1" applyBorder="1" applyAlignment="1">
      <alignment vertical="top"/>
    </xf>
    <xf numFmtId="0" fontId="7" fillId="0" borderId="1" xfId="0" applyFont="1" applyBorder="1" applyAlignment="1" applyProtection="1">
      <alignment horizontal="center" vertical="top"/>
      <protection locked="0"/>
    </xf>
    <xf numFmtId="2" fontId="7" fillId="0" borderId="1" xfId="0" applyNumberFormat="1" applyFont="1" applyBorder="1" applyAlignment="1" applyProtection="1">
      <alignment vertical="top"/>
      <protection locked="0"/>
    </xf>
    <xf numFmtId="0" fontId="9" fillId="2" borderId="2" xfId="0" applyFont="1" applyFill="1" applyBorder="1" applyAlignment="1">
      <alignment horizontal="left" vertical="top"/>
    </xf>
    <xf numFmtId="166" fontId="11" fillId="2" borderId="8" xfId="0" applyNumberFormat="1" applyFont="1" applyFill="1" applyBorder="1" applyAlignment="1">
      <alignment vertical="top"/>
    </xf>
    <xf numFmtId="0" fontId="11" fillId="2" borderId="8" xfId="0" applyFont="1" applyFill="1" applyBorder="1" applyAlignment="1">
      <alignment vertical="top"/>
    </xf>
    <xf numFmtId="0" fontId="11" fillId="2" borderId="3" xfId="0" applyFont="1" applyFill="1" applyBorder="1" applyAlignment="1">
      <alignment vertical="top"/>
    </xf>
    <xf numFmtId="0" fontId="11" fillId="0" borderId="0" xfId="0" applyFont="1" applyAlignment="1">
      <alignment vertical="top"/>
    </xf>
    <xf numFmtId="0" fontId="3" fillId="2" borderId="4" xfId="0" quotePrefix="1" applyFont="1" applyFill="1" applyBorder="1" applyAlignment="1">
      <alignment horizontal="left" vertical="top"/>
    </xf>
    <xf numFmtId="0" fontId="11" fillId="2" borderId="5" xfId="0" applyFont="1" applyFill="1" applyBorder="1" applyAlignment="1">
      <alignment vertical="top"/>
    </xf>
    <xf numFmtId="0" fontId="5" fillId="2" borderId="4" xfId="0" quotePrefix="1" applyFont="1" applyFill="1" applyBorder="1" applyAlignment="1">
      <alignment horizontal="left" vertical="top"/>
    </xf>
    <xf numFmtId="0" fontId="5" fillId="2" borderId="6" xfId="0" quotePrefix="1" applyFont="1" applyFill="1" applyBorder="1" applyAlignment="1">
      <alignment horizontal="left" vertical="top"/>
    </xf>
    <xf numFmtId="166" fontId="11" fillId="2" borderId="9" xfId="0" applyNumberFormat="1" applyFont="1" applyFill="1" applyBorder="1" applyAlignment="1">
      <alignment vertical="top"/>
    </xf>
    <xf numFmtId="0" fontId="11" fillId="2" borderId="9" xfId="0" applyFont="1" applyFill="1" applyBorder="1" applyAlignment="1">
      <alignment vertical="top"/>
    </xf>
    <xf numFmtId="0" fontId="11" fillId="2" borderId="7" xfId="0" applyFont="1" applyFill="1" applyBorder="1" applyAlignment="1">
      <alignment vertical="top"/>
    </xf>
    <xf numFmtId="0" fontId="11" fillId="0" borderId="0" xfId="0" applyFont="1" applyAlignment="1">
      <alignment horizontal="left" vertical="top"/>
    </xf>
    <xf numFmtId="166" fontId="11" fillId="0" borderId="0" xfId="0" applyNumberFormat="1" applyFont="1" applyAlignment="1">
      <alignment vertical="top"/>
    </xf>
    <xf numFmtId="0" fontId="9" fillId="2" borderId="1" xfId="0" applyFont="1" applyFill="1" applyBorder="1" applyAlignment="1">
      <alignment horizontal="center" vertical="top"/>
    </xf>
    <xf numFmtId="0" fontId="11" fillId="0" borderId="0" xfId="0" applyFont="1" applyAlignment="1">
      <alignment horizontal="center" vertical="top"/>
    </xf>
    <xf numFmtId="166" fontId="11" fillId="0" borderId="0" xfId="0" applyNumberFormat="1" applyFont="1" applyAlignment="1" applyProtection="1">
      <alignment vertical="top"/>
      <protection locked="0"/>
    </xf>
    <xf numFmtId="0" fontId="7" fillId="2" borderId="8" xfId="0" applyFont="1" applyFill="1" applyBorder="1" applyAlignment="1">
      <alignment horizontal="center" vertical="top"/>
    </xf>
    <xf numFmtId="0" fontId="7" fillId="2" borderId="8" xfId="0" applyFont="1" applyFill="1" applyBorder="1" applyAlignment="1">
      <alignment vertical="top"/>
    </xf>
    <xf numFmtId="0" fontId="7" fillId="2" borderId="3" xfId="0" applyFont="1" applyFill="1" applyBorder="1" applyAlignment="1">
      <alignment vertical="top"/>
    </xf>
    <xf numFmtId="0" fontId="7" fillId="0" borderId="0" xfId="0" applyFont="1" applyAlignment="1">
      <alignment vertical="top"/>
    </xf>
    <xf numFmtId="0" fontId="7" fillId="2" borderId="0" xfId="0" applyFont="1" applyFill="1" applyAlignment="1">
      <alignment horizontal="center" vertical="top"/>
    </xf>
    <xf numFmtId="0" fontId="7" fillId="2" borderId="0" xfId="0" applyFont="1" applyFill="1" applyAlignment="1">
      <alignment vertical="top"/>
    </xf>
    <xf numFmtId="0" fontId="7" fillId="2" borderId="5" xfId="0" applyFont="1" applyFill="1" applyBorder="1" applyAlignment="1">
      <alignment vertical="top"/>
    </xf>
    <xf numFmtId="0" fontId="2" fillId="2" borderId="4" xfId="0" quotePrefix="1" applyFont="1" applyFill="1" applyBorder="1" applyAlignment="1">
      <alignment horizontal="left" vertical="top"/>
    </xf>
    <xf numFmtId="0" fontId="10" fillId="2" borderId="4" xfId="0" applyFont="1" applyFill="1" applyBorder="1" applyAlignment="1">
      <alignment horizontal="left" vertical="top"/>
    </xf>
    <xf numFmtId="0" fontId="9" fillId="2" borderId="6" xfId="0" quotePrefix="1" applyFont="1" applyFill="1" applyBorder="1" applyAlignment="1">
      <alignment horizontal="left" vertical="top"/>
    </xf>
    <xf numFmtId="0" fontId="7" fillId="2" borderId="9" xfId="0" applyFont="1" applyFill="1" applyBorder="1" applyAlignment="1">
      <alignment horizontal="center" vertical="top"/>
    </xf>
    <xf numFmtId="2" fontId="7" fillId="2" borderId="9" xfId="0" applyNumberFormat="1" applyFont="1" applyFill="1" applyBorder="1" applyAlignment="1">
      <alignment vertical="top"/>
    </xf>
    <xf numFmtId="2" fontId="7" fillId="2" borderId="7" xfId="0" applyNumberFormat="1" applyFont="1" applyFill="1" applyBorder="1" applyAlignment="1">
      <alignment vertical="top"/>
    </xf>
    <xf numFmtId="2" fontId="7" fillId="0" borderId="0" xfId="0" applyNumberFormat="1" applyFont="1" applyAlignment="1">
      <alignment vertical="top"/>
    </xf>
    <xf numFmtId="0" fontId="7" fillId="0" borderId="0" xfId="0" applyFont="1" applyAlignment="1">
      <alignment horizontal="left" vertical="top"/>
    </xf>
    <xf numFmtId="2" fontId="9" fillId="2" borderId="1" xfId="0" applyNumberFormat="1" applyFont="1" applyFill="1" applyBorder="1" applyAlignment="1">
      <alignment horizontal="center" vertical="top"/>
    </xf>
    <xf numFmtId="0" fontId="7" fillId="0" borderId="0" xfId="0" applyFont="1" applyAlignment="1" applyProtection="1">
      <alignment horizontal="center" vertical="top"/>
      <protection locked="0"/>
    </xf>
    <xf numFmtId="0" fontId="10" fillId="2" borderId="2" xfId="0" applyFont="1" applyFill="1" applyBorder="1" applyAlignment="1">
      <alignment horizontal="left" vertical="top"/>
    </xf>
    <xf numFmtId="0" fontId="4" fillId="2" borderId="4" xfId="0" quotePrefix="1" applyFont="1" applyFill="1" applyBorder="1" applyAlignment="1">
      <alignment horizontal="left" vertical="top"/>
    </xf>
    <xf numFmtId="0" fontId="7" fillId="2" borderId="9" xfId="0" applyFont="1" applyFill="1" applyBorder="1" applyAlignment="1">
      <alignment vertical="top"/>
    </xf>
    <xf numFmtId="0" fontId="7" fillId="2" borderId="7" xfId="0" applyFont="1" applyFill="1" applyBorder="1" applyAlignment="1">
      <alignment vertical="top"/>
    </xf>
    <xf numFmtId="2" fontId="7" fillId="2" borderId="8" xfId="0" applyNumberFormat="1" applyFont="1" applyFill="1" applyBorder="1" applyAlignment="1">
      <alignment vertical="top"/>
    </xf>
    <xf numFmtId="2" fontId="7" fillId="2" borderId="3" xfId="0" applyNumberFormat="1" applyFont="1" applyFill="1" applyBorder="1" applyAlignment="1">
      <alignment vertical="top"/>
    </xf>
    <xf numFmtId="2" fontId="7" fillId="2" borderId="0" xfId="0" applyNumberFormat="1" applyFont="1" applyFill="1" applyAlignment="1">
      <alignment vertical="top"/>
    </xf>
    <xf numFmtId="2" fontId="7" fillId="2" borderId="5" xfId="0" applyNumberFormat="1" applyFont="1" applyFill="1" applyBorder="1" applyAlignment="1">
      <alignment vertical="top"/>
    </xf>
    <xf numFmtId="2" fontId="7" fillId="0" borderId="0" xfId="0" applyNumberFormat="1" applyFont="1" applyAlignment="1" applyProtection="1">
      <alignment vertical="top"/>
      <protection locked="0"/>
    </xf>
    <xf numFmtId="2" fontId="7" fillId="0" borderId="8" xfId="0" applyNumberFormat="1" applyFont="1" applyBorder="1" applyAlignment="1" applyProtection="1">
      <alignment vertical="top"/>
      <protection locked="0"/>
    </xf>
    <xf numFmtId="2" fontId="2" fillId="0" borderId="0" xfId="0" applyNumberFormat="1" applyFont="1" applyAlignment="1" applyProtection="1">
      <alignment vertical="top"/>
      <protection locked="0"/>
    </xf>
    <xf numFmtId="165" fontId="7" fillId="2" borderId="8" xfId="0" applyNumberFormat="1" applyFont="1" applyFill="1" applyBorder="1" applyAlignment="1">
      <alignment vertical="top"/>
    </xf>
    <xf numFmtId="0" fontId="2" fillId="2" borderId="6" xfId="0" quotePrefix="1" applyFont="1" applyFill="1" applyBorder="1" applyAlignment="1">
      <alignment horizontal="left" vertical="top"/>
    </xf>
    <xf numFmtId="165" fontId="7" fillId="2" borderId="9" xfId="0" applyNumberFormat="1" applyFont="1" applyFill="1" applyBorder="1" applyAlignment="1">
      <alignment vertical="top"/>
    </xf>
    <xf numFmtId="165" fontId="7" fillId="0" borderId="0" xfId="0" applyNumberFormat="1" applyFont="1" applyAlignment="1">
      <alignment vertical="top"/>
    </xf>
    <xf numFmtId="165" fontId="7" fillId="0" borderId="0" xfId="0" applyNumberFormat="1" applyFont="1" applyAlignment="1" applyProtection="1">
      <alignment vertical="top"/>
      <protection locked="0"/>
    </xf>
    <xf numFmtId="0" fontId="0" fillId="2" borderId="0" xfId="0" applyFill="1" applyAlignment="1">
      <alignment horizontal="center" vertical="top"/>
    </xf>
    <xf numFmtId="0" fontId="0" fillId="0" borderId="0" xfId="0" applyAlignment="1">
      <alignment vertical="top"/>
    </xf>
    <xf numFmtId="0" fontId="2" fillId="0" borderId="0" xfId="0" applyFont="1" applyAlignment="1">
      <alignment horizontal="left" vertical="top"/>
    </xf>
    <xf numFmtId="0" fontId="0" fillId="0" borderId="0" xfId="0" applyAlignment="1">
      <alignment horizontal="center" vertical="top"/>
    </xf>
    <xf numFmtId="2" fontId="0" fillId="0" borderId="0" xfId="0" applyNumberFormat="1" applyAlignment="1">
      <alignment vertical="top"/>
    </xf>
    <xf numFmtId="0" fontId="8" fillId="2" borderId="1" xfId="0" applyFont="1" applyFill="1" applyBorder="1" applyAlignment="1">
      <alignment horizontal="center" vertical="top"/>
    </xf>
    <xf numFmtId="0" fontId="8" fillId="0" borderId="0" xfId="0" applyFont="1" applyAlignment="1">
      <alignment horizontal="center" vertical="top"/>
    </xf>
    <xf numFmtId="0" fontId="7" fillId="0" borderId="0" xfId="0" applyFont="1" applyAlignment="1" applyProtection="1">
      <alignment vertical="top"/>
      <protection locked="0"/>
    </xf>
    <xf numFmtId="164" fontId="7" fillId="0" borderId="0" xfId="0" applyNumberFormat="1" applyFont="1" applyAlignment="1" applyProtection="1">
      <alignment vertical="top"/>
      <protection locked="0"/>
    </xf>
    <xf numFmtId="2" fontId="0" fillId="0" borderId="0" xfId="0" applyNumberFormat="1" applyAlignment="1" applyProtection="1">
      <alignment vertical="top"/>
      <protection locked="0"/>
    </xf>
    <xf numFmtId="0" fontId="0" fillId="0" borderId="0" xfId="0" applyAlignment="1" applyProtection="1">
      <alignment horizontal="center" vertical="top"/>
      <protection locked="0"/>
    </xf>
    <xf numFmtId="0" fontId="0" fillId="0" borderId="0" xfId="0" applyAlignment="1" applyProtection="1">
      <alignment vertical="top"/>
      <protection locked="0"/>
    </xf>
    <xf numFmtId="0" fontId="2" fillId="2" borderId="8" xfId="0" applyFont="1" applyFill="1" applyBorder="1" applyAlignment="1">
      <alignment horizontal="center" vertical="top"/>
    </xf>
    <xf numFmtId="165" fontId="2" fillId="2" borderId="8" xfId="0" applyNumberFormat="1" applyFont="1" applyFill="1" applyBorder="1" applyAlignment="1">
      <alignment vertical="top"/>
    </xf>
    <xf numFmtId="165" fontId="2" fillId="2" borderId="3" xfId="0" applyNumberFormat="1" applyFont="1" applyFill="1" applyBorder="1" applyAlignment="1">
      <alignment vertical="top"/>
    </xf>
    <xf numFmtId="0" fontId="2" fillId="2" borderId="0" xfId="0" applyFont="1" applyFill="1" applyAlignment="1">
      <alignment horizontal="center" vertical="top"/>
    </xf>
    <xf numFmtId="165" fontId="2" fillId="2" borderId="0" xfId="0" applyNumberFormat="1" applyFont="1" applyFill="1" applyAlignment="1">
      <alignment vertical="top"/>
    </xf>
    <xf numFmtId="165" fontId="2" fillId="2" borderId="5" xfId="0" applyNumberFormat="1" applyFont="1" applyFill="1" applyBorder="1" applyAlignment="1">
      <alignment vertical="top"/>
    </xf>
    <xf numFmtId="0" fontId="2" fillId="2" borderId="9" xfId="0" applyFont="1" applyFill="1" applyBorder="1" applyAlignment="1">
      <alignment horizontal="center" vertical="top"/>
    </xf>
    <xf numFmtId="165" fontId="2" fillId="2" borderId="9" xfId="0" applyNumberFormat="1" applyFont="1" applyFill="1" applyBorder="1" applyAlignment="1">
      <alignment vertical="top"/>
    </xf>
    <xf numFmtId="165" fontId="2" fillId="2" borderId="7" xfId="0" applyNumberFormat="1" applyFont="1" applyFill="1" applyBorder="1" applyAlignment="1">
      <alignment vertical="top"/>
    </xf>
    <xf numFmtId="0" fontId="0" fillId="0" borderId="0" xfId="0" applyAlignment="1">
      <alignment horizontal="left" vertical="top"/>
    </xf>
    <xf numFmtId="165" fontId="0" fillId="0" borderId="0" xfId="0" applyNumberFormat="1" applyAlignment="1">
      <alignment vertical="top"/>
    </xf>
    <xf numFmtId="165" fontId="0" fillId="0" borderId="0" xfId="0" applyNumberFormat="1" applyAlignment="1" applyProtection="1">
      <alignment vertical="top"/>
      <protection locked="0"/>
    </xf>
    <xf numFmtId="2" fontId="2" fillId="2" borderId="0" xfId="0" quotePrefix="1" applyNumberFormat="1" applyFont="1" applyFill="1" applyAlignment="1">
      <alignment vertical="top"/>
    </xf>
    <xf numFmtId="0" fontId="2" fillId="2" borderId="0" xfId="0" quotePrefix="1" applyFont="1" applyFill="1" applyAlignment="1">
      <alignment horizontal="left" vertical="top" wrapText="1"/>
    </xf>
    <xf numFmtId="2" fontId="2" fillId="2" borderId="4" xfId="0" quotePrefix="1" applyNumberFormat="1" applyFont="1" applyFill="1" applyBorder="1" applyAlignment="1">
      <alignment vertical="top"/>
    </xf>
    <xf numFmtId="2" fontId="2" fillId="2" borderId="6" xfId="0" quotePrefix="1" applyNumberFormat="1" applyFont="1" applyFill="1" applyBorder="1" applyAlignment="1">
      <alignment vertical="top"/>
    </xf>
    <xf numFmtId="0" fontId="2" fillId="2" borderId="9" xfId="0" quotePrefix="1" applyFont="1" applyFill="1" applyBorder="1" applyAlignment="1">
      <alignment horizontal="left" vertical="top" wrapText="1"/>
    </xf>
    <xf numFmtId="2" fontId="2" fillId="2" borderId="9" xfId="0" quotePrefix="1" applyNumberFormat="1" applyFont="1" applyFill="1" applyBorder="1" applyAlignment="1">
      <alignment vertical="top"/>
    </xf>
    <xf numFmtId="0" fontId="2" fillId="2" borderId="5" xfId="0" quotePrefix="1" applyFont="1" applyFill="1" applyBorder="1" applyAlignment="1">
      <alignment vertical="top"/>
    </xf>
    <xf numFmtId="1" fontId="7" fillId="2" borderId="8" xfId="0" applyNumberFormat="1" applyFont="1" applyFill="1" applyBorder="1"/>
    <xf numFmtId="164" fontId="7" fillId="2" borderId="8" xfId="0" applyNumberFormat="1" applyFont="1" applyFill="1" applyBorder="1"/>
    <xf numFmtId="164" fontId="7" fillId="2" borderId="3" xfId="0" applyNumberFormat="1" applyFont="1" applyFill="1" applyBorder="1"/>
    <xf numFmtId="1" fontId="7" fillId="2" borderId="0" xfId="0" applyNumberFormat="1" applyFont="1" applyFill="1"/>
    <xf numFmtId="164" fontId="7" fillId="2" borderId="0" xfId="0" applyNumberFormat="1" applyFont="1" applyFill="1"/>
    <xf numFmtId="164" fontId="7" fillId="2" borderId="5" xfId="0" applyNumberFormat="1" applyFont="1" applyFill="1" applyBorder="1"/>
    <xf numFmtId="1" fontId="7" fillId="2" borderId="9" xfId="0" applyNumberFormat="1" applyFont="1" applyFill="1" applyBorder="1"/>
    <xf numFmtId="164" fontId="7" fillId="2" borderId="9" xfId="0" applyNumberFormat="1" applyFont="1" applyFill="1" applyBorder="1"/>
    <xf numFmtId="164" fontId="7" fillId="2" borderId="7" xfId="0" applyNumberFormat="1" applyFont="1" applyFill="1" applyBorder="1"/>
    <xf numFmtId="1" fontId="7" fillId="0" borderId="0" xfId="0" applyNumberFormat="1" applyFont="1" applyProtection="1">
      <protection locked="0"/>
    </xf>
    <xf numFmtId="0" fontId="7" fillId="2" borderId="3" xfId="0" applyFont="1" applyFill="1" applyBorder="1" applyAlignment="1">
      <alignment horizontal="center"/>
    </xf>
    <xf numFmtId="0" fontId="7" fillId="2" borderId="5" xfId="0" applyFont="1" applyFill="1" applyBorder="1" applyAlignment="1">
      <alignment horizontal="center"/>
    </xf>
    <xf numFmtId="0" fontId="7" fillId="2" borderId="7" xfId="0" applyFont="1" applyFill="1" applyBorder="1" applyAlignment="1">
      <alignment horizontal="center"/>
    </xf>
    <xf numFmtId="0" fontId="2" fillId="0" borderId="0" xfId="0" applyFont="1" applyAlignment="1" applyProtection="1">
      <alignment horizontal="center"/>
      <protection locked="0"/>
    </xf>
    <xf numFmtId="0" fontId="6" fillId="0" borderId="1" xfId="0" applyFont="1" applyBorder="1" applyAlignment="1" applyProtection="1">
      <alignment horizontal="left" vertical="top"/>
      <protection locked="0"/>
    </xf>
    <xf numFmtId="0" fontId="7" fillId="0" borderId="0" xfId="0" applyFont="1" applyAlignment="1">
      <alignment horizontal="center" vertical="top" wrapText="1"/>
    </xf>
    <xf numFmtId="0" fontId="9" fillId="0" borderId="0" xfId="0" applyFont="1" applyAlignment="1">
      <alignment horizontal="center" vertical="center" wrapText="1"/>
    </xf>
    <xf numFmtId="0" fontId="2" fillId="0" borderId="0" xfId="0" applyFont="1" applyAlignment="1">
      <alignment horizontal="center" vertical="center" wrapText="1"/>
    </xf>
    <xf numFmtId="0" fontId="7"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wrapText="1"/>
    </xf>
    <xf numFmtId="0" fontId="2" fillId="0" borderId="0" xfId="0" applyFont="1" applyAlignment="1" applyProtection="1">
      <alignment horizontal="center" vertical="top"/>
      <protection locked="0"/>
    </xf>
    <xf numFmtId="0" fontId="2" fillId="2" borderId="6" xfId="0" quotePrefix="1" applyFont="1" applyFill="1" applyBorder="1" applyAlignment="1">
      <alignment vertical="top"/>
    </xf>
    <xf numFmtId="0" fontId="11" fillId="0" borderId="0" xfId="0" applyFont="1" applyAlignment="1" applyProtection="1">
      <alignment horizontal="center" vertical="top"/>
      <protection locked="0"/>
    </xf>
    <xf numFmtId="0" fontId="7" fillId="2" borderId="0" xfId="0" applyFont="1" applyFill="1"/>
    <xf numFmtId="0" fontId="7" fillId="2" borderId="8" xfId="0" applyFont="1" applyFill="1" applyBorder="1"/>
    <xf numFmtId="0" fontId="7" fillId="2" borderId="9" xfId="0" applyFont="1" applyFill="1" applyBorder="1"/>
    <xf numFmtId="0" fontId="1" fillId="0" borderId="0" xfId="0" applyFont="1" applyAlignment="1" applyProtection="1">
      <alignment horizontal="center" vertical="top"/>
      <protection locked="0"/>
    </xf>
    <xf numFmtId="165" fontId="7" fillId="2" borderId="0" xfId="0" applyNumberFormat="1" applyFont="1" applyFill="1" applyAlignment="1">
      <alignment vertical="top"/>
    </xf>
    <xf numFmtId="2" fontId="0" fillId="2" borderId="0" xfId="0" applyNumberFormat="1" applyFill="1" applyAlignment="1">
      <alignment vertical="top"/>
    </xf>
    <xf numFmtId="0" fontId="0" fillId="2" borderId="0" xfId="0" applyFill="1" applyAlignment="1">
      <alignment vertical="top"/>
    </xf>
    <xf numFmtId="0" fontId="0" fillId="2" borderId="8" xfId="0" applyFill="1" applyBorder="1" applyAlignment="1">
      <alignment horizontal="center" vertical="top"/>
    </xf>
    <xf numFmtId="2" fontId="0" fillId="2" borderId="8" xfId="0" applyNumberFormat="1" applyFill="1" applyBorder="1" applyAlignment="1">
      <alignment vertical="top"/>
    </xf>
    <xf numFmtId="0" fontId="0" fillId="2" borderId="8" xfId="0" applyFill="1" applyBorder="1" applyAlignment="1">
      <alignment vertical="top"/>
    </xf>
    <xf numFmtId="0" fontId="0" fillId="2" borderId="3" xfId="0" applyFill="1" applyBorder="1" applyAlignment="1">
      <alignment vertical="top"/>
    </xf>
    <xf numFmtId="0" fontId="0" fillId="2" borderId="5" xfId="0" applyFill="1" applyBorder="1" applyAlignment="1">
      <alignment vertical="top"/>
    </xf>
    <xf numFmtId="0" fontId="0" fillId="2" borderId="9" xfId="0" applyFill="1" applyBorder="1" applyAlignment="1">
      <alignment horizontal="center" vertical="top"/>
    </xf>
    <xf numFmtId="2" fontId="0" fillId="2" borderId="9" xfId="0" applyNumberFormat="1" applyFill="1" applyBorder="1" applyAlignment="1">
      <alignment vertical="top"/>
    </xf>
    <xf numFmtId="0" fontId="0" fillId="2" borderId="9" xfId="0" applyFill="1" applyBorder="1" applyAlignment="1">
      <alignment vertical="top"/>
    </xf>
    <xf numFmtId="0" fontId="0" fillId="2" borderId="7" xfId="0" applyFill="1" applyBorder="1" applyAlignment="1">
      <alignment vertical="top"/>
    </xf>
    <xf numFmtId="0" fontId="2" fillId="2" borderId="0" xfId="0" quotePrefix="1" applyFont="1" applyFill="1" applyAlignment="1">
      <alignment vertical="top" wrapText="1"/>
    </xf>
    <xf numFmtId="0" fontId="2" fillId="2" borderId="5" xfId="0" quotePrefix="1" applyFont="1" applyFill="1" applyBorder="1" applyAlignment="1">
      <alignment vertical="top" wrapText="1"/>
    </xf>
    <xf numFmtId="0" fontId="1" fillId="0" borderId="0" xfId="0" applyFont="1" applyAlignment="1" applyProtection="1">
      <alignment horizontal="center"/>
      <protection locked="0"/>
    </xf>
    <xf numFmtId="0" fontId="1" fillId="2" borderId="6" xfId="0" quotePrefix="1" applyFont="1" applyFill="1" applyBorder="1" applyAlignment="1">
      <alignment horizontal="left" vertical="top"/>
    </xf>
    <xf numFmtId="166" fontId="11" fillId="2" borderId="0" xfId="0" applyNumberFormat="1" applyFont="1" applyFill="1" applyAlignment="1">
      <alignment vertical="top"/>
    </xf>
    <xf numFmtId="0" fontId="11" fillId="2" borderId="0" xfId="0" applyFont="1" applyFill="1" applyAlignment="1">
      <alignment vertical="top"/>
    </xf>
    <xf numFmtId="0" fontId="1" fillId="2" borderId="4" xfId="0" quotePrefix="1" applyFont="1" applyFill="1" applyBorder="1" applyAlignment="1">
      <alignment horizontal="left" vertical="top"/>
    </xf>
    <xf numFmtId="0" fontId="7" fillId="2" borderId="3" xfId="0" applyFont="1" applyFill="1" applyBorder="1" applyAlignment="1">
      <alignment horizontal="center" vertical="top"/>
    </xf>
    <xf numFmtId="0" fontId="7" fillId="2" borderId="5" xfId="0" applyFont="1" applyFill="1" applyBorder="1" applyAlignment="1">
      <alignment horizontal="center" vertical="top"/>
    </xf>
    <xf numFmtId="2" fontId="7" fillId="2" borderId="7" xfId="0" applyNumberFormat="1" applyFont="1" applyFill="1" applyBorder="1" applyAlignment="1">
      <alignment horizontal="center" vertical="top"/>
    </xf>
    <xf numFmtId="0" fontId="1" fillId="2" borderId="4" xfId="0" quotePrefix="1" applyFont="1" applyFill="1" applyBorder="1" applyAlignment="1">
      <alignment horizontal="left"/>
    </xf>
    <xf numFmtId="0" fontId="1" fillId="2" borderId="6" xfId="0" quotePrefix="1" applyFont="1" applyFill="1" applyBorder="1" applyAlignment="1">
      <alignment horizontal="left"/>
    </xf>
    <xf numFmtId="2" fontId="7" fillId="2" borderId="9" xfId="0" applyNumberFormat="1" applyFont="1" applyFill="1" applyBorder="1" applyAlignment="1">
      <alignment horizontal="center" vertical="top"/>
    </xf>
    <xf numFmtId="0" fontId="9" fillId="0" borderId="4" xfId="0" applyFont="1" applyBorder="1" applyAlignment="1">
      <alignment horizontal="center" vertical="top" wrapText="1"/>
    </xf>
    <xf numFmtId="0" fontId="2" fillId="2" borderId="4" xfId="0" quotePrefix="1" applyFont="1" applyFill="1" applyBorder="1" applyAlignment="1">
      <alignment horizontal="left" vertical="top" wrapText="1"/>
    </xf>
    <xf numFmtId="0" fontId="2" fillId="2" borderId="0" xfId="0" quotePrefix="1" applyFont="1" applyFill="1" applyAlignment="1">
      <alignment horizontal="left" vertical="top" wrapText="1"/>
    </xf>
    <xf numFmtId="0" fontId="2" fillId="2" borderId="5" xfId="0" quotePrefix="1" applyFont="1" applyFill="1" applyBorder="1" applyAlignment="1">
      <alignment horizontal="left" vertical="top" wrapText="1"/>
    </xf>
    <xf numFmtId="2" fontId="1" fillId="2" borderId="4" xfId="0" quotePrefix="1" applyNumberFormat="1" applyFont="1" applyFill="1" applyBorder="1" applyAlignment="1">
      <alignment horizontal="left" vertical="top" wrapText="1"/>
    </xf>
    <xf numFmtId="2" fontId="1" fillId="2" borderId="0" xfId="0" quotePrefix="1" applyNumberFormat="1" applyFont="1" applyFill="1" applyAlignment="1">
      <alignment horizontal="left" vertical="top" wrapText="1"/>
    </xf>
    <xf numFmtId="2" fontId="1" fillId="2" borderId="5" xfId="0" quotePrefix="1" applyNumberFormat="1" applyFont="1" applyFill="1" applyBorder="1" applyAlignment="1">
      <alignment horizontal="left" vertical="top" wrapText="1"/>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C0006"/>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CCE7-B410-FF47-BADF-81BBEEEAE8A4}">
  <sheetPr codeName="Sheet21"/>
  <dimension ref="A1:B4"/>
  <sheetViews>
    <sheetView zoomScale="130" zoomScaleNormal="130" workbookViewId="0">
      <selection activeCell="B18" sqref="B18"/>
    </sheetView>
  </sheetViews>
  <sheetFormatPr defaultColWidth="10.85546875" defaultRowHeight="15.75" x14ac:dyDescent="0.25"/>
  <cols>
    <col min="1" max="1" width="20.85546875" style="14" customWidth="1"/>
    <col min="2" max="2" width="50.85546875" style="14" customWidth="1"/>
    <col min="3" max="16384" width="10.85546875" style="14"/>
  </cols>
  <sheetData>
    <row r="1" spans="1:2" s="13" customFormat="1" x14ac:dyDescent="0.25">
      <c r="A1" s="13" t="s">
        <v>137</v>
      </c>
      <c r="B1" s="13" t="s">
        <v>5</v>
      </c>
    </row>
    <row r="2" spans="1:2" x14ac:dyDescent="0.25">
      <c r="A2" s="14" t="s">
        <v>138</v>
      </c>
      <c r="B2" s="14" t="s">
        <v>140</v>
      </c>
    </row>
    <row r="3" spans="1:2" ht="50.1" customHeight="1" x14ac:dyDescent="0.25">
      <c r="A3" s="14" t="s">
        <v>139</v>
      </c>
      <c r="B3" s="15" t="s">
        <v>141</v>
      </c>
    </row>
    <row r="4" spans="1:2" x14ac:dyDescent="0.25">
      <c r="A4" s="14" t="s">
        <v>4</v>
      </c>
      <c r="B4" s="14" t="s">
        <v>0</v>
      </c>
    </row>
  </sheetData>
  <dataValidations count="3">
    <dataValidation type="list" allowBlank="1" showInputMessage="1" showErrorMessage="1" error="Choose from the list" prompt="Choose default units" sqref="B4" xr:uid="{8AEB9A2A-DC46-724F-9AFC-18D3B6A7A496}">
      <formula1>Unit_Force</formula1>
    </dataValidation>
    <dataValidation allowBlank="1" showInputMessage="1" showErrorMessage="1" prompt="Project name. User input" sqref="B2" xr:uid="{EC4E717C-7E79-1643-ABDA-E7C63D2C6928}"/>
    <dataValidation allowBlank="1" showInputMessage="1" showErrorMessage="1" prompt="Project description. User input" sqref="B3" xr:uid="{28244F7C-9F5E-CB47-868D-874AB001AE5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3A73-50DB-4818-AD57-9D1D23C8BA8A}">
  <sheetPr codeName="Sheet1"/>
  <dimension ref="A1:Q9"/>
  <sheetViews>
    <sheetView zoomScale="130" zoomScaleNormal="130" workbookViewId="0">
      <selection activeCell="A4" sqref="A4"/>
    </sheetView>
  </sheetViews>
  <sheetFormatPr defaultColWidth="9.140625" defaultRowHeight="15.75" x14ac:dyDescent="0.25"/>
  <cols>
    <col min="1" max="1" width="30.7109375" style="167" customWidth="1"/>
    <col min="2" max="10" width="20.7109375" style="61" customWidth="1"/>
    <col min="11" max="17" width="10.7109375" style="61" customWidth="1"/>
    <col min="18" max="16384" width="9.140625" style="61"/>
  </cols>
  <sheetData>
    <row r="1" spans="1:17" s="167" customFormat="1" ht="47.25" x14ac:dyDescent="0.25">
      <c r="A1" s="168" t="s">
        <v>304</v>
      </c>
      <c r="B1" s="168" t="s">
        <v>8</v>
      </c>
      <c r="C1" s="168" t="s">
        <v>10</v>
      </c>
      <c r="D1" s="168" t="s">
        <v>144</v>
      </c>
      <c r="E1" s="168" t="s">
        <v>145</v>
      </c>
      <c r="F1" s="168" t="s">
        <v>33</v>
      </c>
      <c r="G1" s="168" t="s">
        <v>65</v>
      </c>
      <c r="H1" s="168" t="s">
        <v>66</v>
      </c>
      <c r="I1" s="168" t="s">
        <v>69</v>
      </c>
      <c r="J1" s="168" t="s">
        <v>70</v>
      </c>
      <c r="K1" s="168" t="s">
        <v>71</v>
      </c>
      <c r="L1" s="168" t="s">
        <v>153</v>
      </c>
      <c r="M1" s="168" t="s">
        <v>154</v>
      </c>
      <c r="N1" s="168" t="s">
        <v>155</v>
      </c>
      <c r="O1" s="168" t="s">
        <v>156</v>
      </c>
      <c r="P1" s="168" t="s">
        <v>157</v>
      </c>
      <c r="Q1" s="168" t="s">
        <v>158</v>
      </c>
    </row>
    <row r="2" spans="1:17" ht="31.5" x14ac:dyDescent="0.25">
      <c r="A2" s="169" t="s">
        <v>306</v>
      </c>
      <c r="B2" s="170" t="s">
        <v>2</v>
      </c>
      <c r="C2" s="170" t="str" cm="1">
        <f t="array" ref="C2:C7">_xlfn.LET(_xlpm.data, _xlfn.VSTACK(Materials!$A$14:$A$1013,Mat_Concrete04!$A$13:$A$1012,Mat_Steel02!$A$19:$A$1018,Mat_IMK!$A$20:$A$1019), _xlfn._xlws.FILTER(_xlpm.data, _xlpm.data&lt;&gt;""))</f>
        <v>RC30</v>
      </c>
      <c r="D2" s="170" t="str" cm="1">
        <f t="array" ref="D2">_xlfn._xlws.FILTER(Materials!A14:A1013,(Materials!B14:B1013="Concrete")*(Materials!A14:A1013&lt;&gt;""))</f>
        <v>RC30</v>
      </c>
      <c r="E2" s="170" t="str" cm="1">
        <f t="array" ref="E2">_xlfn._xlws.FILTER(Materials!A14:A1013,((Materials!B14:B1013="Rebar")+(Materials!B14:B1013="Steel"))*(Materials!A14:A1013&lt;&gt;""))</f>
        <v>Rebar420</v>
      </c>
      <c r="F2" s="170" t="str" cm="1">
        <f t="array" ref="F2:F4">_xlfn.LET(_xlpm.data, _xlfn.VSTACK(Mat_Concrete04!$A$13:$A$1012,Mat_Steel02!$A$19:$A$1018), _xlfn._xlws.FILTER(_xlpm.data, _xlpm.data&lt;&gt;""))</f>
        <v>RC Unconfined</v>
      </c>
      <c r="G2" s="170" t="s">
        <v>67</v>
      </c>
      <c r="H2" s="170" t="s">
        <v>68</v>
      </c>
      <c r="I2" s="170" t="s">
        <v>72</v>
      </c>
      <c r="J2" s="170" t="str" cm="1">
        <f t="array" ref="J2:J5">_xlfn.LET(_xlpm.data, _xlfn.VSTACK('Frame Sections'!$A$17:$A$1016,Sec_Fiber!$A$19:$A$1018,Sec_Aggregator!$A$9:$A$1008), _xlfn._xlws.FILTER(_xlpm.data, _xlpm.data&lt;&gt;""))</f>
        <v>C1</v>
      </c>
      <c r="K2" s="170" t="s">
        <v>73</v>
      </c>
      <c r="L2" s="171" t="s">
        <v>159</v>
      </c>
      <c r="M2" s="171" t="s">
        <v>166</v>
      </c>
      <c r="N2" s="171" t="s">
        <v>171</v>
      </c>
      <c r="O2" s="171" t="s">
        <v>176</v>
      </c>
      <c r="P2" s="171" t="s">
        <v>184</v>
      </c>
      <c r="Q2" s="171" t="s">
        <v>185</v>
      </c>
    </row>
    <row r="3" spans="1:17" ht="31.5" x14ac:dyDescent="0.25">
      <c r="A3" s="169" t="s">
        <v>307</v>
      </c>
      <c r="B3" s="170" t="s">
        <v>3</v>
      </c>
      <c r="C3" s="170" t="str">
        <v>Rebar420</v>
      </c>
      <c r="D3" s="170"/>
      <c r="E3" s="170"/>
      <c r="F3" s="170" t="str">
        <v>RC Confined</v>
      </c>
      <c r="G3" s="170"/>
      <c r="H3" s="170"/>
      <c r="I3" s="170"/>
      <c r="J3" s="170" t="str">
        <v>B1</v>
      </c>
      <c r="K3" s="170" t="s">
        <v>74</v>
      </c>
      <c r="L3" s="171" t="s">
        <v>160</v>
      </c>
      <c r="M3" s="171" t="s">
        <v>167</v>
      </c>
      <c r="N3" s="171" t="s">
        <v>172</v>
      </c>
      <c r="O3" s="171" t="s">
        <v>177</v>
      </c>
      <c r="P3" s="171" t="s">
        <v>196</v>
      </c>
      <c r="Q3" s="171" t="s">
        <v>186</v>
      </c>
    </row>
    <row r="4" spans="1:17" x14ac:dyDescent="0.25">
      <c r="A4" s="169" t="s">
        <v>308</v>
      </c>
      <c r="B4" s="170" t="s">
        <v>9</v>
      </c>
      <c r="C4" s="170" t="str">
        <v>RC Unconfined</v>
      </c>
      <c r="D4" s="170"/>
      <c r="E4" s="170"/>
      <c r="F4" s="170" t="str">
        <v>Rebar420NL</v>
      </c>
      <c r="G4" s="170"/>
      <c r="H4" s="170"/>
      <c r="I4" s="170"/>
      <c r="J4" s="170" t="str">
        <v>C1_Fiber</v>
      </c>
      <c r="K4" s="170" t="s">
        <v>75</v>
      </c>
      <c r="L4" s="171" t="s">
        <v>161</v>
      </c>
      <c r="M4" s="171" t="s">
        <v>168</v>
      </c>
      <c r="N4" s="171" t="s">
        <v>173</v>
      </c>
      <c r="O4" s="171" t="s">
        <v>178</v>
      </c>
      <c r="P4" s="170"/>
      <c r="Q4" s="170"/>
    </row>
    <row r="5" spans="1:17" x14ac:dyDescent="0.25">
      <c r="A5" s="172"/>
      <c r="B5" s="170"/>
      <c r="C5" s="170" t="str">
        <v>RC Confined</v>
      </c>
      <c r="D5" s="170"/>
      <c r="E5" s="170"/>
      <c r="F5" s="170"/>
      <c r="G5" s="170"/>
      <c r="H5" s="170"/>
      <c r="I5" s="170"/>
      <c r="J5" s="170" t="str">
        <v>C1_Fiber_Agg</v>
      </c>
      <c r="K5" s="170" t="s">
        <v>14</v>
      </c>
      <c r="L5" s="171" t="s">
        <v>162</v>
      </c>
      <c r="M5" s="171" t="s">
        <v>169</v>
      </c>
      <c r="N5" s="171" t="s">
        <v>174</v>
      </c>
      <c r="O5" s="171" t="s">
        <v>179</v>
      </c>
      <c r="P5" s="170"/>
      <c r="Q5" s="170"/>
    </row>
    <row r="6" spans="1:17" x14ac:dyDescent="0.25">
      <c r="A6" s="172"/>
      <c r="B6" s="170"/>
      <c r="C6" s="170" t="str">
        <v>Rebar420NL</v>
      </c>
      <c r="D6" s="170"/>
      <c r="E6" s="170"/>
      <c r="F6" s="170"/>
      <c r="G6" s="170"/>
      <c r="H6" s="170"/>
      <c r="I6" s="170"/>
      <c r="J6" s="170"/>
      <c r="K6" s="170" t="s">
        <v>76</v>
      </c>
      <c r="L6" s="171" t="s">
        <v>163</v>
      </c>
      <c r="M6" s="171" t="s">
        <v>170</v>
      </c>
      <c r="N6" s="171" t="s">
        <v>175</v>
      </c>
      <c r="O6" s="171" t="s">
        <v>180</v>
      </c>
      <c r="P6" s="170"/>
      <c r="Q6" s="170"/>
    </row>
    <row r="7" spans="1:17" x14ac:dyDescent="0.25">
      <c r="A7" s="172"/>
      <c r="B7" s="170"/>
      <c r="C7" s="170" t="str">
        <v>Rotational Spring</v>
      </c>
      <c r="D7" s="170"/>
      <c r="E7" s="170"/>
      <c r="F7" s="170"/>
      <c r="G7" s="170"/>
      <c r="H7" s="170"/>
      <c r="I7" s="170"/>
      <c r="J7" s="170"/>
      <c r="K7" s="170"/>
      <c r="L7" s="171" t="s">
        <v>164</v>
      </c>
      <c r="M7" s="170"/>
      <c r="N7" s="170"/>
      <c r="O7" s="171" t="s">
        <v>181</v>
      </c>
      <c r="P7" s="170"/>
      <c r="Q7" s="170"/>
    </row>
    <row r="8" spans="1:17" x14ac:dyDescent="0.25">
      <c r="A8" s="172"/>
      <c r="B8" s="170"/>
      <c r="C8" s="170"/>
      <c r="D8" s="170"/>
      <c r="E8" s="170"/>
      <c r="F8" s="170"/>
      <c r="G8" s="170"/>
      <c r="H8" s="170"/>
      <c r="I8" s="170"/>
      <c r="J8" s="170"/>
      <c r="K8" s="170"/>
      <c r="L8" s="171" t="s">
        <v>165</v>
      </c>
      <c r="M8" s="170"/>
      <c r="N8" s="170"/>
      <c r="O8" s="171" t="s">
        <v>182</v>
      </c>
      <c r="P8" s="170"/>
      <c r="Q8" s="170"/>
    </row>
    <row r="9" spans="1:17" x14ac:dyDescent="0.25">
      <c r="A9" s="172"/>
      <c r="B9" s="170"/>
      <c r="C9" s="170"/>
      <c r="D9" s="170"/>
      <c r="E9" s="170"/>
      <c r="F9" s="170"/>
      <c r="G9" s="170"/>
      <c r="H9" s="170"/>
      <c r="I9" s="170"/>
      <c r="J9" s="170"/>
      <c r="K9" s="170"/>
      <c r="L9" s="170"/>
      <c r="M9" s="170"/>
      <c r="N9" s="170"/>
      <c r="O9" s="171" t="s">
        <v>183</v>
      </c>
      <c r="P9" s="170"/>
      <c r="Q9" s="170"/>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48C0-32DF-4CB7-98B5-97665BDFC2C3}">
  <dimension ref="A1:B7"/>
  <sheetViews>
    <sheetView zoomScale="130" zoomScaleNormal="130" workbookViewId="0">
      <selection activeCell="F21" sqref="F21"/>
    </sheetView>
  </sheetViews>
  <sheetFormatPr defaultColWidth="9.140625" defaultRowHeight="15.75" x14ac:dyDescent="0.25"/>
  <cols>
    <col min="1" max="1" width="4.7109375" style="62" customWidth="1"/>
    <col min="2" max="16384" width="9.140625" style="64"/>
  </cols>
  <sheetData>
    <row r="1" spans="1:2" x14ac:dyDescent="0.25">
      <c r="A1" s="63" t="s">
        <v>191</v>
      </c>
    </row>
    <row r="2" spans="1:2" x14ac:dyDescent="0.25">
      <c r="A2" s="62">
        <v>1</v>
      </c>
      <c r="B2" s="64" t="s">
        <v>193</v>
      </c>
    </row>
    <row r="3" spans="1:2" x14ac:dyDescent="0.25">
      <c r="A3" s="62">
        <v>2</v>
      </c>
      <c r="B3" s="64" t="s">
        <v>194</v>
      </c>
    </row>
    <row r="4" spans="1:2" x14ac:dyDescent="0.25">
      <c r="A4" s="62">
        <v>3</v>
      </c>
      <c r="B4" s="64" t="s">
        <v>195</v>
      </c>
    </row>
    <row r="5" spans="1:2" x14ac:dyDescent="0.25">
      <c r="A5" s="62">
        <v>4</v>
      </c>
      <c r="B5" s="65" t="s">
        <v>230</v>
      </c>
    </row>
    <row r="6" spans="1:2" x14ac:dyDescent="0.25">
      <c r="A6" s="62">
        <v>5</v>
      </c>
      <c r="B6" s="66" t="s">
        <v>231</v>
      </c>
    </row>
    <row r="7" spans="1:2" x14ac:dyDescent="0.25">
      <c r="B7" s="6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08E5-353E-3840-A3D7-0B4987A25445}">
  <sheetPr codeName="Sheet3"/>
  <dimension ref="A1:B9"/>
  <sheetViews>
    <sheetView zoomScale="130" zoomScaleNormal="130" workbookViewId="0">
      <selection activeCell="A6" sqref="A6:B9"/>
    </sheetView>
  </sheetViews>
  <sheetFormatPr defaultColWidth="10.85546875" defaultRowHeight="15.75" x14ac:dyDescent="0.25"/>
  <cols>
    <col min="1" max="1" width="25.7109375" style="14" customWidth="1"/>
    <col min="2" max="2" width="75.7109375" style="14" customWidth="1"/>
    <col min="3" max="16384" width="10.85546875" style="14"/>
  </cols>
  <sheetData>
    <row r="1" spans="1:2" x14ac:dyDescent="0.25">
      <c r="A1" s="19" t="s">
        <v>192</v>
      </c>
      <c r="B1" s="20"/>
    </row>
    <row r="2" spans="1:2" x14ac:dyDescent="0.25">
      <c r="A2" s="54" t="s">
        <v>310</v>
      </c>
      <c r="B2" s="21"/>
    </row>
    <row r="3" spans="1:2" x14ac:dyDescent="0.25">
      <c r="A3" s="30" t="s">
        <v>207</v>
      </c>
      <c r="B3" s="21"/>
    </row>
    <row r="4" spans="1:2" x14ac:dyDescent="0.25">
      <c r="A4" s="174" t="s">
        <v>312</v>
      </c>
      <c r="B4" s="23"/>
    </row>
    <row r="6" spans="1:2" s="13" customFormat="1" x14ac:dyDescent="0.25">
      <c r="A6" s="17" t="s">
        <v>146</v>
      </c>
      <c r="B6" s="17" t="s">
        <v>5</v>
      </c>
    </row>
    <row r="7" spans="1:2" x14ac:dyDescent="0.25">
      <c r="A7" s="18" t="s">
        <v>138</v>
      </c>
      <c r="B7" s="24" t="s">
        <v>140</v>
      </c>
    </row>
    <row r="8" spans="1:2" ht="50.1" customHeight="1" x14ac:dyDescent="0.25">
      <c r="A8" s="26" t="s">
        <v>139</v>
      </c>
      <c r="B8" s="25" t="s">
        <v>141</v>
      </c>
    </row>
    <row r="9" spans="1:2" x14ac:dyDescent="0.25">
      <c r="A9" s="68" t="s">
        <v>305</v>
      </c>
      <c r="B9" s="166" t="s">
        <v>311</v>
      </c>
    </row>
  </sheetData>
  <dataValidations count="3">
    <dataValidation type="custom" allowBlank="1" showInputMessage="1" showErrorMessage="1" errorTitle="Invalid Input" error="Please enter a text/string value only." sqref="B8" xr:uid="{877D4219-1272-47FE-A182-1545318B28E1}">
      <formula1>ISTEXT(B8)</formula1>
    </dataValidation>
    <dataValidation type="custom" allowBlank="1" showInputMessage="1" showErrorMessage="1" errorTitle="Invalid Input" error="Please enter an text/string value only." sqref="B7" xr:uid="{A6037CF8-4CFF-42BF-A078-F7F649462D5B}">
      <formula1>ISTEXT(B7)</formula1>
    </dataValidation>
    <dataValidation type="list" allowBlank="1" showInputMessage="1" showErrorMessage="1" errorTitle="Invalid Input" error="Choose from the list" sqref="B9" xr:uid="{7E34BC08-465C-4E58-8492-D834BCDAE1D9}">
      <formula1>"2-Dimensional, 3-Dimensional"</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69AF-010D-D44C-9DCE-C8C233A9CF26}">
  <sheetPr codeName="Sheet23"/>
  <dimension ref="A1:E15"/>
  <sheetViews>
    <sheetView tabSelected="1" zoomScale="130" zoomScaleNormal="130" workbookViewId="0">
      <selection activeCell="H15" sqref="H15"/>
    </sheetView>
  </sheetViews>
  <sheetFormatPr defaultColWidth="10.85546875" defaultRowHeight="15.75" x14ac:dyDescent="0.25"/>
  <cols>
    <col min="1" max="1" width="20.7109375" style="14" customWidth="1"/>
    <col min="2" max="2" width="10.7109375" style="16" customWidth="1"/>
    <col min="3" max="16384" width="10.85546875" style="14"/>
  </cols>
  <sheetData>
    <row r="1" spans="1:5" x14ac:dyDescent="0.25">
      <c r="A1" s="19" t="s">
        <v>192</v>
      </c>
      <c r="B1" s="35"/>
      <c r="C1" s="36"/>
      <c r="D1" s="36"/>
      <c r="E1" s="20"/>
    </row>
    <row r="2" spans="1:5" x14ac:dyDescent="0.25">
      <c r="A2" s="30" t="s">
        <v>199</v>
      </c>
      <c r="B2" s="55"/>
      <c r="C2" s="56"/>
      <c r="D2" s="56"/>
      <c r="E2" s="21"/>
    </row>
    <row r="3" spans="1:5" x14ac:dyDescent="0.25">
      <c r="A3" s="30" t="s">
        <v>200</v>
      </c>
      <c r="B3" s="55"/>
      <c r="C3" s="56"/>
      <c r="D3" s="56"/>
      <c r="E3" s="21"/>
    </row>
    <row r="4" spans="1:5" x14ac:dyDescent="0.25">
      <c r="A4" s="30" t="s">
        <v>201</v>
      </c>
      <c r="B4" s="55"/>
      <c r="C4" s="56"/>
      <c r="D4" s="56"/>
      <c r="E4" s="21"/>
    </row>
    <row r="5" spans="1:5" x14ac:dyDescent="0.25">
      <c r="A5" s="30" t="s">
        <v>202</v>
      </c>
      <c r="B5" s="55"/>
      <c r="C5" s="56"/>
      <c r="D5" s="56"/>
      <c r="E5" s="21"/>
    </row>
    <row r="6" spans="1:5" x14ac:dyDescent="0.25">
      <c r="A6" s="30" t="s">
        <v>203</v>
      </c>
      <c r="B6" s="55"/>
      <c r="C6" s="56"/>
      <c r="D6" s="56"/>
      <c r="E6" s="21"/>
    </row>
    <row r="7" spans="1:5" x14ac:dyDescent="0.25">
      <c r="A7" s="22" t="s">
        <v>204</v>
      </c>
      <c r="B7" s="37"/>
      <c r="C7" s="38"/>
      <c r="D7" s="38"/>
      <c r="E7" s="23"/>
    </row>
    <row r="9" spans="1:5" s="13" customFormat="1" x14ac:dyDescent="0.25">
      <c r="A9" s="17" t="s">
        <v>146</v>
      </c>
      <c r="B9" s="17" t="s">
        <v>5</v>
      </c>
    </row>
    <row r="10" spans="1:5" x14ac:dyDescent="0.25">
      <c r="A10" s="26" t="s">
        <v>147</v>
      </c>
      <c r="B10" s="28" t="s">
        <v>160</v>
      </c>
    </row>
    <row r="11" spans="1:5" x14ac:dyDescent="0.25">
      <c r="A11" s="27" t="s">
        <v>148</v>
      </c>
      <c r="B11" s="29" t="s">
        <v>166</v>
      </c>
    </row>
    <row r="12" spans="1:5" x14ac:dyDescent="0.25">
      <c r="A12" s="26" t="s">
        <v>149</v>
      </c>
      <c r="B12" s="28" t="s">
        <v>171</v>
      </c>
    </row>
    <row r="13" spans="1:5" x14ac:dyDescent="0.25">
      <c r="A13" s="26" t="s">
        <v>150</v>
      </c>
      <c r="B13" s="28" t="s">
        <v>178</v>
      </c>
    </row>
    <row r="14" spans="1:5" x14ac:dyDescent="0.25">
      <c r="A14" s="26" t="s">
        <v>151</v>
      </c>
      <c r="B14" s="28" t="s">
        <v>184</v>
      </c>
    </row>
    <row r="15" spans="1:5" x14ac:dyDescent="0.25">
      <c r="A15" s="26" t="s">
        <v>152</v>
      </c>
      <c r="B15" s="28" t="s">
        <v>185</v>
      </c>
    </row>
  </sheetData>
  <dataValidations count="6">
    <dataValidation type="list" allowBlank="1" showInputMessage="1" showErrorMessage="1" errorTitle="Invalid Input" error="Choose from the list" sqref="B11" xr:uid="{3BF2FAD2-37CF-DC4C-B720-2E3955E2CAE3}">
      <formula1>Unit_Length</formula1>
    </dataValidation>
    <dataValidation type="list" allowBlank="1" showInputMessage="1" showErrorMessage="1" errorTitle="Invalid Input" error="Choose from the list" sqref="B10" xr:uid="{259C4A1C-5B1C-A44C-86F3-031113FC5BE1}">
      <formula1>Unit_Force</formula1>
    </dataValidation>
    <dataValidation type="list" allowBlank="1" showInputMessage="1" showErrorMessage="1" errorTitle="Invalid Input" error="Choose from the list" sqref="B12" xr:uid="{B21DDB7C-EA9F-F14B-974F-DE7FE91D51EA}">
      <formula1>Unit_Mass</formula1>
    </dataValidation>
    <dataValidation type="list" allowBlank="1" showInputMessage="1" showErrorMessage="1" errorTitle="Invalid Input" error="Choose from the list" sqref="B13" xr:uid="{6AC22124-E482-8744-B0B8-B06BA60EBE34}">
      <formula1>Unit_Stress</formula1>
    </dataValidation>
    <dataValidation type="list" allowBlank="1" showInputMessage="1" showErrorMessage="1" errorTitle="Invalid Input" error="Choose from the list" sqref="B14" xr:uid="{4411A7DB-7B40-5C4D-80C0-3149645923B6}">
      <formula1>Unit_Time</formula1>
    </dataValidation>
    <dataValidation type="list" allowBlank="1" showInputMessage="1" showErrorMessage="1" errorTitle="Invalid Input" error="Choose from the list" sqref="B15" xr:uid="{C7CC3A2F-657E-D845-8B77-A640D2FE6859}">
      <formula1>Unit_Angle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5957-00F1-3546-A381-9F722DD3C0F8}">
  <sheetPr codeName="Sheet20"/>
  <dimension ref="A1:E9"/>
  <sheetViews>
    <sheetView zoomScale="130" zoomScaleNormal="130" workbookViewId="0">
      <selection activeCell="B8" sqref="B8"/>
    </sheetView>
  </sheetViews>
  <sheetFormatPr defaultColWidth="10.85546875" defaultRowHeight="15.75" x14ac:dyDescent="0.25"/>
  <cols>
    <col min="1" max="1" width="60.7109375" style="14" customWidth="1"/>
    <col min="2" max="2" width="10.7109375" style="14" customWidth="1"/>
    <col min="3" max="16384" width="10.85546875" style="14"/>
  </cols>
  <sheetData>
    <row r="1" spans="1:5" x14ac:dyDescent="0.25">
      <c r="A1" s="19" t="s">
        <v>192</v>
      </c>
      <c r="B1" s="36"/>
      <c r="C1" s="36"/>
      <c r="D1" s="36"/>
      <c r="E1" s="20"/>
    </row>
    <row r="2" spans="1:5" x14ac:dyDescent="0.25">
      <c r="A2" s="30" t="s">
        <v>205</v>
      </c>
      <c r="B2" s="56"/>
      <c r="C2" s="56"/>
      <c r="D2" s="56"/>
      <c r="E2" s="21"/>
    </row>
    <row r="3" spans="1:5" x14ac:dyDescent="0.25">
      <c r="A3" s="30" t="s">
        <v>206</v>
      </c>
      <c r="B3" s="56"/>
      <c r="C3" s="56"/>
      <c r="D3" s="56"/>
      <c r="E3" s="21"/>
    </row>
    <row r="4" spans="1:5" x14ac:dyDescent="0.25">
      <c r="A4" s="22" t="s">
        <v>208</v>
      </c>
      <c r="B4" s="38"/>
      <c r="C4" s="38"/>
      <c r="D4" s="38"/>
      <c r="E4" s="23"/>
    </row>
    <row r="6" spans="1:5" s="13" customFormat="1" x14ac:dyDescent="0.25">
      <c r="A6" s="17" t="s">
        <v>146</v>
      </c>
      <c r="B6" s="17" t="s">
        <v>5</v>
      </c>
    </row>
    <row r="7" spans="1:5" x14ac:dyDescent="0.25">
      <c r="A7" s="68" t="s">
        <v>6</v>
      </c>
      <c r="B7" s="69" t="s">
        <v>309</v>
      </c>
    </row>
    <row r="8" spans="1:5" x14ac:dyDescent="0.25">
      <c r="A8" s="68" t="s">
        <v>7</v>
      </c>
      <c r="B8" s="69" t="s">
        <v>142</v>
      </c>
    </row>
    <row r="9" spans="1:5" x14ac:dyDescent="0.25">
      <c r="A9" s="26" t="s">
        <v>143</v>
      </c>
      <c r="B9" s="70">
        <v>0.25</v>
      </c>
    </row>
  </sheetData>
  <dataValidations count="2">
    <dataValidation type="decimal" allowBlank="1" showInputMessage="1" showErrorMessage="1" errorTitle="Invalid Input" error="Please enter a float value only. (Range 0.0 - 1.0)" sqref="B9" xr:uid="{CB3462E3-41F9-46DE-BF41-E93FB5F95F7C}">
      <formula1>0</formula1>
      <formula2>1</formula2>
    </dataValidation>
    <dataValidation type="list" allowBlank="1" showInputMessage="1" showErrorMessage="1" errorTitle="Invalid Input" error="Choose from the list" sqref="B7:B8" xr:uid="{2B19B424-6C03-4D75-BFAB-3D626D17F5B7}">
      <formula1>"Yes, 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482F-985E-464E-B5B5-11017A7C8165}">
  <sheetPr codeName="Sheet5"/>
  <dimension ref="A1:H16"/>
  <sheetViews>
    <sheetView zoomScale="130" zoomScaleNormal="130" workbookViewId="0">
      <selection activeCell="B20" sqref="B20"/>
    </sheetView>
  </sheetViews>
  <sheetFormatPr defaultColWidth="8.85546875" defaultRowHeight="15.75" x14ac:dyDescent="0.25"/>
  <cols>
    <col min="1" max="2" width="20.7109375" style="104" customWidth="1"/>
    <col min="3" max="3" width="15.7109375" style="113" customWidth="1"/>
    <col min="4" max="4" width="10.7109375" style="113" customWidth="1"/>
    <col min="5" max="5" width="15.7109375" style="113" customWidth="1"/>
    <col min="6" max="8" width="10.7109375" style="113" customWidth="1"/>
    <col min="9" max="16384" width="8.85546875" style="91"/>
  </cols>
  <sheetData>
    <row r="1" spans="1:8" x14ac:dyDescent="0.25">
      <c r="A1" s="105" t="s">
        <v>192</v>
      </c>
      <c r="B1" s="88"/>
      <c r="C1" s="109"/>
      <c r="D1" s="109"/>
      <c r="E1" s="109"/>
      <c r="F1" s="109"/>
      <c r="G1" s="109"/>
      <c r="H1" s="110"/>
    </row>
    <row r="2" spans="1:8" x14ac:dyDescent="0.25">
      <c r="A2" s="95" t="s">
        <v>222</v>
      </c>
      <c r="B2" s="92"/>
      <c r="C2" s="111"/>
      <c r="D2" s="111"/>
      <c r="E2" s="111"/>
      <c r="F2" s="111"/>
      <c r="G2" s="111"/>
      <c r="H2" s="112"/>
    </row>
    <row r="3" spans="1:8" x14ac:dyDescent="0.25">
      <c r="A3" s="95" t="s">
        <v>223</v>
      </c>
      <c r="B3" s="92"/>
      <c r="C3" s="111"/>
      <c r="D3" s="111"/>
      <c r="E3" s="111"/>
      <c r="F3" s="111"/>
      <c r="G3" s="111"/>
      <c r="H3" s="112"/>
    </row>
    <row r="4" spans="1:8" x14ac:dyDescent="0.25">
      <c r="A4" s="95" t="str">
        <f>"- E: Modulus of elasticity of material (Input as Float) ("&amp;'User Defined Units'!$B$13&amp;")"</f>
        <v>- E: Modulus of elasticity of material (Input as Float) (MPa)</v>
      </c>
      <c r="B4" s="92"/>
      <c r="C4" s="111"/>
      <c r="D4" s="111"/>
      <c r="E4" s="111"/>
      <c r="F4" s="111"/>
      <c r="G4" s="111"/>
      <c r="H4" s="112"/>
    </row>
    <row r="5" spans="1:8" x14ac:dyDescent="0.25">
      <c r="A5" s="95" t="s">
        <v>215</v>
      </c>
      <c r="B5" s="92"/>
      <c r="C5" s="111"/>
      <c r="D5" s="111"/>
      <c r="E5" s="111"/>
      <c r="F5" s="111"/>
      <c r="G5" s="111"/>
      <c r="H5" s="112"/>
    </row>
    <row r="6" spans="1:8" x14ac:dyDescent="0.25">
      <c r="A6" s="95" t="str">
        <f>"- Unitweight: Unitweight of material (Input as Float) ("&amp;'User Defined Units'!$B$10&amp;"/"&amp;'User Defined Units'!$B$11&amp;"3)"</f>
        <v>- Unitweight: Unitweight of material (Input as Float) (kN/m3)</v>
      </c>
      <c r="B6" s="92"/>
      <c r="C6" s="111"/>
      <c r="D6" s="111"/>
      <c r="E6" s="111"/>
      <c r="F6" s="111"/>
      <c r="G6" s="111"/>
      <c r="H6" s="112"/>
    </row>
    <row r="7" spans="1:8" x14ac:dyDescent="0.25">
      <c r="A7" s="95" t="str">
        <f>"- fc: Maximum compressive strength of material, keep 0.0 if it is not related (Input as Float) ("&amp;'User Defined Units'!$B$13&amp;")"</f>
        <v>- fc: Maximum compressive strength of material, keep 0.0 if it is not related (Input as Float) (MPa)</v>
      </c>
      <c r="B7" s="92"/>
      <c r="C7" s="111"/>
      <c r="D7" s="111"/>
      <c r="E7" s="111"/>
      <c r="F7" s="111"/>
      <c r="G7" s="111"/>
      <c r="H7" s="112"/>
    </row>
    <row r="8" spans="1:8" x14ac:dyDescent="0.25">
      <c r="A8" s="95" t="str">
        <f>"- fy: Yield strength of material, keep 0.0 value if it is not related (Input as Float) ("&amp;'User Defined Units'!$B$13&amp;")"</f>
        <v>- fy: Yield strength of material, keep 0.0 value if it is not related (Input as Float) (MPa)</v>
      </c>
      <c r="B8" s="92"/>
      <c r="C8" s="111"/>
      <c r="D8" s="111"/>
      <c r="E8" s="111"/>
      <c r="F8" s="111"/>
      <c r="G8" s="111"/>
      <c r="H8" s="112"/>
    </row>
    <row r="9" spans="1:8" x14ac:dyDescent="0.25">
      <c r="A9" s="95" t="str">
        <f>"- fu: Ultimate tensile strength of material, keep 0.0 value if it is not related (Input as Float) ("&amp;'User Defined Units'!$B$13&amp;")"</f>
        <v>- fu: Ultimate tensile strength of material, keep 0.0 value if it is not related (Input as Float) (MPa)</v>
      </c>
      <c r="B9" s="92"/>
      <c r="C9" s="111"/>
      <c r="D9" s="111"/>
      <c r="E9" s="111"/>
      <c r="F9" s="111"/>
      <c r="G9" s="111"/>
      <c r="H9" s="112"/>
    </row>
    <row r="10" spans="1:8" x14ac:dyDescent="0.25">
      <c r="A10" s="96" t="s">
        <v>216</v>
      </c>
      <c r="B10" s="92"/>
      <c r="C10" s="111"/>
      <c r="D10" s="111"/>
      <c r="E10" s="111"/>
      <c r="F10" s="111"/>
      <c r="G10" s="111"/>
      <c r="H10" s="112"/>
    </row>
    <row r="11" spans="1:8" x14ac:dyDescent="0.25">
      <c r="A11" s="97" t="s">
        <v>232</v>
      </c>
      <c r="B11" s="98"/>
      <c r="C11" s="99"/>
      <c r="D11" s="99"/>
      <c r="E11" s="99"/>
      <c r="F11" s="99"/>
      <c r="G11" s="99"/>
      <c r="H11" s="100"/>
    </row>
    <row r="12" spans="1:8" x14ac:dyDescent="0.25">
      <c r="A12" s="102"/>
      <c r="B12" s="61"/>
      <c r="C12" s="101"/>
      <c r="D12" s="101"/>
      <c r="E12" s="101"/>
      <c r="F12" s="101"/>
      <c r="G12" s="101"/>
      <c r="H12" s="101"/>
    </row>
    <row r="13" spans="1:8" s="60" customFormat="1" x14ac:dyDescent="0.25">
      <c r="A13" s="85" t="s">
        <v>10</v>
      </c>
      <c r="B13" s="85" t="s">
        <v>8</v>
      </c>
      <c r="C13" s="85" t="s">
        <v>14</v>
      </c>
      <c r="D13" s="85" t="s">
        <v>15</v>
      </c>
      <c r="E13" s="85" t="s">
        <v>1</v>
      </c>
      <c r="F13" s="85" t="s">
        <v>11</v>
      </c>
      <c r="G13" s="85" t="s">
        <v>12</v>
      </c>
      <c r="H13" s="85" t="s">
        <v>13</v>
      </c>
    </row>
    <row r="14" spans="1:8" x14ac:dyDescent="0.25">
      <c r="A14" s="104" t="s">
        <v>16</v>
      </c>
      <c r="B14" s="104" t="s">
        <v>2</v>
      </c>
      <c r="C14" s="113">
        <f>4700*SQRT(F14)</f>
        <v>25742.960202742808</v>
      </c>
      <c r="D14" s="113">
        <v>0.2</v>
      </c>
      <c r="E14" s="114">
        <v>23.6</v>
      </c>
      <c r="F14" s="113">
        <f>30</f>
        <v>30</v>
      </c>
      <c r="G14" s="113">
        <v>0</v>
      </c>
      <c r="H14" s="113">
        <v>0</v>
      </c>
    </row>
    <row r="15" spans="1:8" x14ac:dyDescent="0.25">
      <c r="A15" s="104" t="s">
        <v>17</v>
      </c>
      <c r="B15" s="104" t="s">
        <v>3</v>
      </c>
      <c r="C15" s="113">
        <f>200000</f>
        <v>200000</v>
      </c>
      <c r="D15" s="113">
        <v>0.3</v>
      </c>
      <c r="E15" s="113">
        <f>7850*9.80665/1000</f>
        <v>76.9822025</v>
      </c>
      <c r="F15" s="113">
        <v>0</v>
      </c>
      <c r="G15" s="113">
        <f>420</f>
        <v>420</v>
      </c>
      <c r="H15" s="113">
        <f>525</f>
        <v>525</v>
      </c>
    </row>
    <row r="16" spans="1:8" x14ac:dyDescent="0.25">
      <c r="A16" s="179"/>
      <c r="C16" s="115"/>
    </row>
  </sheetData>
  <conditionalFormatting sqref="F14:F1048576">
    <cfRule type="expression" dxfId="9" priority="3">
      <formula>OR(B14="Rebar",B14="Steel")</formula>
    </cfRule>
  </conditionalFormatting>
  <conditionalFormatting sqref="G14:G1048576">
    <cfRule type="expression" dxfId="8" priority="2">
      <formula>OR(B14="Concrete")</formula>
    </cfRule>
  </conditionalFormatting>
  <conditionalFormatting sqref="H14:H1048576">
    <cfRule type="expression" dxfId="7" priority="1">
      <formula>OR(B14="Concrete")</formula>
    </cfRule>
  </conditionalFormatting>
  <dataValidations xWindow="1021" yWindow="300" count="5">
    <dataValidation type="textLength" allowBlank="1" showInputMessage="1" showErrorMessage="1" errorTitle="Invalid Input" error="Please enter maximum 32 characters only." sqref="A14:A1048576" xr:uid="{131760B7-786E-3D4C-B392-BB100595E619}">
      <formula1>1</formula1>
      <formula2>32</formula2>
    </dataValidation>
    <dataValidation type="list" showInputMessage="1" showErrorMessage="1" errorTitle="Invalid Input" error="Choose from the list" sqref="B14:B1048576" xr:uid="{FF5910DB-B386-D14E-959D-0FD1DC758343}">
      <formula1>Mat_Type</formula1>
    </dataValidation>
    <dataValidation type="decimal" allowBlank="1" showInputMessage="1" showErrorMessage="1" errorTitle="Invalid Input" error="Please enter a float value only." sqref="E14:H1048576" xr:uid="{FCAF7430-218B-6845-83DC-1DDC9A5D41A0}">
      <formula1>0</formula1>
      <formula2>1000000000000</formula2>
    </dataValidation>
    <dataValidation type="decimal" allowBlank="1" showInputMessage="1" showErrorMessage="1" errorTitle="Invalid Input" error="Please enter a float value only." sqref="C14:C1048576" xr:uid="{F67B0216-6C94-B948-AE14-7F3F8C9F4DF2}">
      <formula1>0</formula1>
      <formula2>1E+24</formula2>
    </dataValidation>
    <dataValidation type="decimal" allowBlank="1" showInputMessage="1" showErrorMessage="1" errorTitle="Invalid Input" error="Please enter a float value only." sqref="D14:D1048576" xr:uid="{BD4C0C6F-D816-7045-89A7-657CA43D41CD}">
      <formula1>0</formula1>
      <formula2>1</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3178-573B-43CA-BCAC-10B0D24D8568}">
  <sheetPr codeName="Sheet6"/>
  <dimension ref="A1:M1012"/>
  <sheetViews>
    <sheetView zoomScale="130" zoomScaleNormal="130" workbookViewId="0">
      <selection activeCell="B26" sqref="B26"/>
    </sheetView>
  </sheetViews>
  <sheetFormatPr defaultColWidth="8.85546875" defaultRowHeight="15.75" x14ac:dyDescent="0.25"/>
  <cols>
    <col min="1" max="2" width="20.7109375" style="104" customWidth="1"/>
    <col min="3" max="3" width="20.7109375" style="92" customWidth="1"/>
    <col min="4" max="4" width="10.7109375" style="113" customWidth="1"/>
    <col min="5" max="6" width="10.7109375" style="120" customWidth="1"/>
    <col min="7" max="7" width="10.7109375" style="113" customWidth="1"/>
    <col min="8" max="8" width="10.7109375" style="120" customWidth="1"/>
    <col min="9" max="9" width="10.7109375" style="113" customWidth="1"/>
    <col min="10" max="16384" width="8.85546875" style="91"/>
  </cols>
  <sheetData>
    <row r="1" spans="1:13" x14ac:dyDescent="0.25">
      <c r="A1" s="71" t="s">
        <v>192</v>
      </c>
      <c r="B1" s="88"/>
      <c r="C1" s="88"/>
      <c r="D1" s="109"/>
      <c r="E1" s="116"/>
      <c r="F1" s="116"/>
      <c r="G1" s="109"/>
      <c r="H1" s="116"/>
      <c r="I1" s="109"/>
      <c r="J1" s="89"/>
      <c r="K1" s="89"/>
      <c r="L1" s="89"/>
      <c r="M1" s="90"/>
    </row>
    <row r="2" spans="1:13" x14ac:dyDescent="0.25">
      <c r="A2" s="95" t="s">
        <v>224</v>
      </c>
      <c r="B2" s="92"/>
      <c r="D2" s="111"/>
      <c r="E2" s="180"/>
      <c r="F2" s="180"/>
      <c r="G2" s="111"/>
      <c r="H2" s="180"/>
      <c r="I2" s="111"/>
      <c r="J2" s="93"/>
      <c r="K2" s="93"/>
      <c r="L2" s="93"/>
      <c r="M2" s="94"/>
    </row>
    <row r="3" spans="1:13" x14ac:dyDescent="0.25">
      <c r="A3" s="95" t="s">
        <v>225</v>
      </c>
      <c r="B3" s="92"/>
      <c r="D3" s="111"/>
      <c r="E3" s="180"/>
      <c r="F3" s="180"/>
      <c r="G3" s="111"/>
      <c r="H3" s="180"/>
      <c r="I3" s="111"/>
      <c r="J3" s="93"/>
      <c r="K3" s="93"/>
      <c r="L3" s="93"/>
      <c r="M3" s="94"/>
    </row>
    <row r="4" spans="1:13" x14ac:dyDescent="0.25">
      <c r="A4" s="95" t="s">
        <v>226</v>
      </c>
      <c r="B4" s="92"/>
      <c r="D4" s="111"/>
      <c r="E4" s="180"/>
      <c r="F4" s="180"/>
      <c r="G4" s="111"/>
      <c r="H4" s="180"/>
      <c r="I4" s="111"/>
      <c r="J4" s="93"/>
      <c r="K4" s="93"/>
      <c r="L4" s="93"/>
      <c r="M4" s="94"/>
    </row>
    <row r="5" spans="1:13" x14ac:dyDescent="0.25">
      <c r="A5" s="95" t="str">
        <f>"- fc: Maximum compressive strength of concrete (Input as Float) ("&amp;'User Defined Units'!$B$13&amp;")"</f>
        <v>- fc: Maximum compressive strength of concrete (Input as Float) (MPa)</v>
      </c>
      <c r="B5" s="92"/>
      <c r="D5" s="111"/>
      <c r="E5" s="180"/>
      <c r="F5" s="180"/>
      <c r="G5" s="111"/>
      <c r="H5" s="180"/>
      <c r="I5" s="111"/>
      <c r="J5" s="93"/>
      <c r="K5" s="93"/>
      <c r="L5" s="93"/>
      <c r="M5" s="94"/>
    </row>
    <row r="6" spans="1:13" x14ac:dyDescent="0.25">
      <c r="A6" s="95" t="s">
        <v>227</v>
      </c>
      <c r="B6" s="92"/>
      <c r="D6" s="111"/>
      <c r="E6" s="180"/>
      <c r="F6" s="180"/>
      <c r="G6" s="111"/>
      <c r="H6" s="180"/>
      <c r="I6" s="111"/>
      <c r="J6" s="93"/>
      <c r="K6" s="93"/>
      <c r="L6" s="93"/>
      <c r="M6" s="94"/>
    </row>
    <row r="7" spans="1:13" x14ac:dyDescent="0.25">
      <c r="A7" s="95" t="s">
        <v>228</v>
      </c>
      <c r="B7" s="92"/>
      <c r="D7" s="111"/>
      <c r="E7" s="180"/>
      <c r="F7" s="180"/>
      <c r="G7" s="111"/>
      <c r="H7" s="180"/>
      <c r="I7" s="111"/>
      <c r="J7" s="93"/>
      <c r="K7" s="93"/>
      <c r="L7" s="93"/>
      <c r="M7" s="94"/>
    </row>
    <row r="8" spans="1:13" x14ac:dyDescent="0.25">
      <c r="A8" s="95" t="str">
        <f>"- fct: Maximum tensile strength of concrete (Input as Float) ("&amp;'User Defined Units'!$B$13&amp;")"</f>
        <v>- fct: Maximum tensile strength of concrete (Input as Float) (MPa)</v>
      </c>
      <c r="B8" s="92"/>
      <c r="D8" s="111"/>
      <c r="E8" s="180"/>
      <c r="F8" s="180"/>
      <c r="G8" s="111"/>
      <c r="H8" s="180"/>
      <c r="I8" s="111"/>
      <c r="J8" s="93"/>
      <c r="K8" s="93"/>
      <c r="L8" s="93"/>
      <c r="M8" s="94"/>
    </row>
    <row r="9" spans="1:13" x14ac:dyDescent="0.25">
      <c r="A9" s="95" t="s">
        <v>233</v>
      </c>
      <c r="B9" s="92"/>
      <c r="D9" s="111"/>
      <c r="E9" s="180"/>
      <c r="F9" s="180"/>
      <c r="G9" s="111"/>
      <c r="H9" s="180"/>
      <c r="I9" s="111"/>
      <c r="J9" s="93"/>
      <c r="K9" s="93"/>
      <c r="L9" s="93"/>
      <c r="M9" s="94"/>
    </row>
    <row r="10" spans="1:13" x14ac:dyDescent="0.25">
      <c r="A10" s="117" t="s">
        <v>229</v>
      </c>
      <c r="B10" s="98"/>
      <c r="C10" s="98"/>
      <c r="D10" s="99"/>
      <c r="E10" s="118"/>
      <c r="F10" s="118"/>
      <c r="G10" s="99"/>
      <c r="H10" s="118"/>
      <c r="I10" s="99"/>
      <c r="J10" s="107"/>
      <c r="K10" s="107"/>
      <c r="L10" s="107"/>
      <c r="M10" s="108"/>
    </row>
    <row r="11" spans="1:13" x14ac:dyDescent="0.25">
      <c r="A11" s="102"/>
      <c r="B11" s="61"/>
      <c r="C11" s="61"/>
      <c r="D11" s="101"/>
      <c r="E11" s="119"/>
      <c r="F11" s="119"/>
      <c r="G11" s="101"/>
      <c r="H11" s="119"/>
      <c r="I11" s="101"/>
    </row>
    <row r="12" spans="1:13" s="60" customFormat="1" x14ac:dyDescent="0.25">
      <c r="A12" s="85" t="s">
        <v>10</v>
      </c>
      <c r="B12" s="85" t="s">
        <v>18</v>
      </c>
      <c r="C12" s="85" t="s">
        <v>19</v>
      </c>
      <c r="D12" s="85" t="s">
        <v>11</v>
      </c>
      <c r="E12" s="85" t="s">
        <v>20</v>
      </c>
      <c r="F12" s="85" t="s">
        <v>21</v>
      </c>
      <c r="G12" s="85" t="s">
        <v>22</v>
      </c>
      <c r="H12" s="85" t="s">
        <v>23</v>
      </c>
      <c r="I12" s="85" t="s">
        <v>24</v>
      </c>
    </row>
    <row r="13" spans="1:13" x14ac:dyDescent="0.25">
      <c r="A13" s="104" t="s">
        <v>25</v>
      </c>
      <c r="B13" s="104" t="s">
        <v>16</v>
      </c>
      <c r="C13" s="92" t="str">
        <f>IF(A13=0,"","Concrete04")</f>
        <v>Concrete04</v>
      </c>
      <c r="D13" s="113">
        <f>30</f>
        <v>30</v>
      </c>
      <c r="E13" s="120">
        <v>2E-3</v>
      </c>
      <c r="F13" s="120">
        <v>5.0000000000000001E-3</v>
      </c>
      <c r="G13" s="113">
        <f>0.62*SQRT(D13)</f>
        <v>3.3958798565320301</v>
      </c>
      <c r="H13" s="120">
        <v>0</v>
      </c>
      <c r="I13" s="113">
        <v>0.2</v>
      </c>
    </row>
    <row r="14" spans="1:13" x14ac:dyDescent="0.25">
      <c r="A14" s="104" t="s">
        <v>26</v>
      </c>
      <c r="B14" s="104" t="s">
        <v>16</v>
      </c>
      <c r="C14" s="92" t="str">
        <f t="shared" ref="C14:C77" si="0">IF(A14=0,"","Concrete04")</f>
        <v>Concrete04</v>
      </c>
      <c r="D14" s="113">
        <f>47.2156312521873</f>
        <v>47.215631252187301</v>
      </c>
      <c r="E14" s="120">
        <v>7.7385437507291001E-3</v>
      </c>
      <c r="F14" s="120">
        <v>2.2428475272193799E-2</v>
      </c>
      <c r="G14" s="113">
        <f>0.62*SQRT(D13)</f>
        <v>3.3958798565320301</v>
      </c>
      <c r="H14" s="120">
        <v>0</v>
      </c>
      <c r="I14" s="113">
        <v>0.2</v>
      </c>
    </row>
    <row r="15" spans="1:13" x14ac:dyDescent="0.25">
      <c r="C15" s="92" t="str">
        <f t="shared" si="0"/>
        <v/>
      </c>
    </row>
    <row r="16" spans="1:13" x14ac:dyDescent="0.25">
      <c r="B16" s="173"/>
      <c r="C16" s="92" t="str">
        <f t="shared" si="0"/>
        <v/>
      </c>
    </row>
    <row r="17" spans="3:3" x14ac:dyDescent="0.25">
      <c r="C17" s="92" t="str">
        <f t="shared" si="0"/>
        <v/>
      </c>
    </row>
    <row r="18" spans="3:3" x14ac:dyDescent="0.25">
      <c r="C18" s="92" t="str">
        <f t="shared" si="0"/>
        <v/>
      </c>
    </row>
    <row r="19" spans="3:3" x14ac:dyDescent="0.25">
      <c r="C19" s="92" t="str">
        <f t="shared" si="0"/>
        <v/>
      </c>
    </row>
    <row r="20" spans="3:3" x14ac:dyDescent="0.25">
      <c r="C20" s="92" t="str">
        <f t="shared" si="0"/>
        <v/>
      </c>
    </row>
    <row r="21" spans="3:3" x14ac:dyDescent="0.25">
      <c r="C21" s="92" t="str">
        <f t="shared" si="0"/>
        <v/>
      </c>
    </row>
    <row r="22" spans="3:3" x14ac:dyDescent="0.25">
      <c r="C22" s="92" t="str">
        <f t="shared" si="0"/>
        <v/>
      </c>
    </row>
    <row r="23" spans="3:3" x14ac:dyDescent="0.25">
      <c r="C23" s="92" t="str">
        <f t="shared" si="0"/>
        <v/>
      </c>
    </row>
    <row r="24" spans="3:3" x14ac:dyDescent="0.25">
      <c r="C24" s="92" t="str">
        <f t="shared" si="0"/>
        <v/>
      </c>
    </row>
    <row r="25" spans="3:3" x14ac:dyDescent="0.25">
      <c r="C25" s="92" t="str">
        <f t="shared" si="0"/>
        <v/>
      </c>
    </row>
    <row r="26" spans="3:3" x14ac:dyDescent="0.25">
      <c r="C26" s="92" t="str">
        <f t="shared" si="0"/>
        <v/>
      </c>
    </row>
    <row r="27" spans="3:3" x14ac:dyDescent="0.25">
      <c r="C27" s="92" t="str">
        <f t="shared" si="0"/>
        <v/>
      </c>
    </row>
    <row r="28" spans="3:3" x14ac:dyDescent="0.25">
      <c r="C28" s="92" t="str">
        <f t="shared" si="0"/>
        <v/>
      </c>
    </row>
    <row r="29" spans="3:3" x14ac:dyDescent="0.25">
      <c r="C29" s="92" t="str">
        <f t="shared" si="0"/>
        <v/>
      </c>
    </row>
    <row r="30" spans="3:3" x14ac:dyDescent="0.25">
      <c r="C30" s="92" t="str">
        <f t="shared" si="0"/>
        <v/>
      </c>
    </row>
    <row r="31" spans="3:3" x14ac:dyDescent="0.25">
      <c r="C31" s="92" t="str">
        <f t="shared" si="0"/>
        <v/>
      </c>
    </row>
    <row r="32" spans="3:3" x14ac:dyDescent="0.25">
      <c r="C32" s="92" t="str">
        <f t="shared" si="0"/>
        <v/>
      </c>
    </row>
    <row r="33" spans="3:3" x14ac:dyDescent="0.25">
      <c r="C33" s="92" t="str">
        <f t="shared" si="0"/>
        <v/>
      </c>
    </row>
    <row r="34" spans="3:3" x14ac:dyDescent="0.25">
      <c r="C34" s="92" t="str">
        <f t="shared" si="0"/>
        <v/>
      </c>
    </row>
    <row r="35" spans="3:3" x14ac:dyDescent="0.25">
      <c r="C35" s="92" t="str">
        <f t="shared" si="0"/>
        <v/>
      </c>
    </row>
    <row r="36" spans="3:3" x14ac:dyDescent="0.25">
      <c r="C36" s="92" t="str">
        <f t="shared" si="0"/>
        <v/>
      </c>
    </row>
    <row r="37" spans="3:3" x14ac:dyDescent="0.25">
      <c r="C37" s="92" t="str">
        <f t="shared" si="0"/>
        <v/>
      </c>
    </row>
    <row r="38" spans="3:3" x14ac:dyDescent="0.25">
      <c r="C38" s="92" t="str">
        <f t="shared" si="0"/>
        <v/>
      </c>
    </row>
    <row r="39" spans="3:3" x14ac:dyDescent="0.25">
      <c r="C39" s="92" t="str">
        <f t="shared" si="0"/>
        <v/>
      </c>
    </row>
    <row r="40" spans="3:3" x14ac:dyDescent="0.25">
      <c r="C40" s="92" t="str">
        <f t="shared" si="0"/>
        <v/>
      </c>
    </row>
    <row r="41" spans="3:3" x14ac:dyDescent="0.25">
      <c r="C41" s="92" t="str">
        <f t="shared" si="0"/>
        <v/>
      </c>
    </row>
    <row r="42" spans="3:3" x14ac:dyDescent="0.25">
      <c r="C42" s="92" t="str">
        <f t="shared" si="0"/>
        <v/>
      </c>
    </row>
    <row r="43" spans="3:3" x14ac:dyDescent="0.25">
      <c r="C43" s="92" t="str">
        <f t="shared" si="0"/>
        <v/>
      </c>
    </row>
    <row r="44" spans="3:3" x14ac:dyDescent="0.25">
      <c r="C44" s="92" t="str">
        <f t="shared" si="0"/>
        <v/>
      </c>
    </row>
    <row r="45" spans="3:3" x14ac:dyDescent="0.25">
      <c r="C45" s="92" t="str">
        <f t="shared" si="0"/>
        <v/>
      </c>
    </row>
    <row r="46" spans="3:3" x14ac:dyDescent="0.25">
      <c r="C46" s="92" t="str">
        <f t="shared" si="0"/>
        <v/>
      </c>
    </row>
    <row r="47" spans="3:3" x14ac:dyDescent="0.25">
      <c r="C47" s="92" t="str">
        <f t="shared" si="0"/>
        <v/>
      </c>
    </row>
    <row r="48" spans="3:3" x14ac:dyDescent="0.25">
      <c r="C48" s="92" t="str">
        <f t="shared" si="0"/>
        <v/>
      </c>
    </row>
    <row r="49" spans="3:3" x14ac:dyDescent="0.25">
      <c r="C49" s="92" t="str">
        <f t="shared" si="0"/>
        <v/>
      </c>
    </row>
    <row r="50" spans="3:3" x14ac:dyDescent="0.25">
      <c r="C50" s="92" t="str">
        <f t="shared" si="0"/>
        <v/>
      </c>
    </row>
    <row r="51" spans="3:3" x14ac:dyDescent="0.25">
      <c r="C51" s="92" t="str">
        <f t="shared" si="0"/>
        <v/>
      </c>
    </row>
    <row r="52" spans="3:3" x14ac:dyDescent="0.25">
      <c r="C52" s="92" t="str">
        <f t="shared" si="0"/>
        <v/>
      </c>
    </row>
    <row r="53" spans="3:3" x14ac:dyDescent="0.25">
      <c r="C53" s="92" t="str">
        <f t="shared" si="0"/>
        <v/>
      </c>
    </row>
    <row r="54" spans="3:3" x14ac:dyDescent="0.25">
      <c r="C54" s="92" t="str">
        <f t="shared" si="0"/>
        <v/>
      </c>
    </row>
    <row r="55" spans="3:3" x14ac:dyDescent="0.25">
      <c r="C55" s="92" t="str">
        <f t="shared" si="0"/>
        <v/>
      </c>
    </row>
    <row r="56" spans="3:3" x14ac:dyDescent="0.25">
      <c r="C56" s="92" t="str">
        <f t="shared" si="0"/>
        <v/>
      </c>
    </row>
    <row r="57" spans="3:3" x14ac:dyDescent="0.25">
      <c r="C57" s="92" t="str">
        <f t="shared" si="0"/>
        <v/>
      </c>
    </row>
    <row r="58" spans="3:3" x14ac:dyDescent="0.25">
      <c r="C58" s="92" t="str">
        <f t="shared" si="0"/>
        <v/>
      </c>
    </row>
    <row r="59" spans="3:3" x14ac:dyDescent="0.25">
      <c r="C59" s="92" t="str">
        <f t="shared" si="0"/>
        <v/>
      </c>
    </row>
    <row r="60" spans="3:3" x14ac:dyDescent="0.25">
      <c r="C60" s="92" t="str">
        <f t="shared" si="0"/>
        <v/>
      </c>
    </row>
    <row r="61" spans="3:3" x14ac:dyDescent="0.25">
      <c r="C61" s="92" t="str">
        <f t="shared" si="0"/>
        <v/>
      </c>
    </row>
    <row r="62" spans="3:3" x14ac:dyDescent="0.25">
      <c r="C62" s="92" t="str">
        <f t="shared" si="0"/>
        <v/>
      </c>
    </row>
    <row r="63" spans="3:3" x14ac:dyDescent="0.25">
      <c r="C63" s="92" t="str">
        <f t="shared" si="0"/>
        <v/>
      </c>
    </row>
    <row r="64" spans="3:3" x14ac:dyDescent="0.25">
      <c r="C64" s="92" t="str">
        <f t="shared" si="0"/>
        <v/>
      </c>
    </row>
    <row r="65" spans="3:3" x14ac:dyDescent="0.25">
      <c r="C65" s="92" t="str">
        <f t="shared" si="0"/>
        <v/>
      </c>
    </row>
    <row r="66" spans="3:3" x14ac:dyDescent="0.25">
      <c r="C66" s="92" t="str">
        <f t="shared" si="0"/>
        <v/>
      </c>
    </row>
    <row r="67" spans="3:3" x14ac:dyDescent="0.25">
      <c r="C67" s="92" t="str">
        <f t="shared" si="0"/>
        <v/>
      </c>
    </row>
    <row r="68" spans="3:3" x14ac:dyDescent="0.25">
      <c r="C68" s="92" t="str">
        <f t="shared" si="0"/>
        <v/>
      </c>
    </row>
    <row r="69" spans="3:3" x14ac:dyDescent="0.25">
      <c r="C69" s="92" t="str">
        <f t="shared" si="0"/>
        <v/>
      </c>
    </row>
    <row r="70" spans="3:3" x14ac:dyDescent="0.25">
      <c r="C70" s="92" t="str">
        <f t="shared" si="0"/>
        <v/>
      </c>
    </row>
    <row r="71" spans="3:3" x14ac:dyDescent="0.25">
      <c r="C71" s="92" t="str">
        <f t="shared" si="0"/>
        <v/>
      </c>
    </row>
    <row r="72" spans="3:3" x14ac:dyDescent="0.25">
      <c r="C72" s="92" t="str">
        <f t="shared" si="0"/>
        <v/>
      </c>
    </row>
    <row r="73" spans="3:3" x14ac:dyDescent="0.25">
      <c r="C73" s="92" t="str">
        <f t="shared" si="0"/>
        <v/>
      </c>
    </row>
    <row r="74" spans="3:3" x14ac:dyDescent="0.25">
      <c r="C74" s="92" t="str">
        <f t="shared" si="0"/>
        <v/>
      </c>
    </row>
    <row r="75" spans="3:3" x14ac:dyDescent="0.25">
      <c r="C75" s="92" t="str">
        <f t="shared" si="0"/>
        <v/>
      </c>
    </row>
    <row r="76" spans="3:3" x14ac:dyDescent="0.25">
      <c r="C76" s="92" t="str">
        <f t="shared" si="0"/>
        <v/>
      </c>
    </row>
    <row r="77" spans="3:3" x14ac:dyDescent="0.25">
      <c r="C77" s="92" t="str">
        <f t="shared" si="0"/>
        <v/>
      </c>
    </row>
    <row r="78" spans="3:3" x14ac:dyDescent="0.25">
      <c r="C78" s="92" t="str">
        <f t="shared" ref="C78:C141" si="1">IF(A78=0,"","Concrete04")</f>
        <v/>
      </c>
    </row>
    <row r="79" spans="3:3" x14ac:dyDescent="0.25">
      <c r="C79" s="92" t="str">
        <f t="shared" si="1"/>
        <v/>
      </c>
    </row>
    <row r="80" spans="3:3" x14ac:dyDescent="0.25">
      <c r="C80" s="92" t="str">
        <f t="shared" si="1"/>
        <v/>
      </c>
    </row>
    <row r="81" spans="3:3" x14ac:dyDescent="0.25">
      <c r="C81" s="92" t="str">
        <f t="shared" si="1"/>
        <v/>
      </c>
    </row>
    <row r="82" spans="3:3" x14ac:dyDescent="0.25">
      <c r="C82" s="92" t="str">
        <f t="shared" si="1"/>
        <v/>
      </c>
    </row>
    <row r="83" spans="3:3" x14ac:dyDescent="0.25">
      <c r="C83" s="92" t="str">
        <f t="shared" si="1"/>
        <v/>
      </c>
    </row>
    <row r="84" spans="3:3" x14ac:dyDescent="0.25">
      <c r="C84" s="92" t="str">
        <f t="shared" si="1"/>
        <v/>
      </c>
    </row>
    <row r="85" spans="3:3" x14ac:dyDescent="0.25">
      <c r="C85" s="92" t="str">
        <f t="shared" si="1"/>
        <v/>
      </c>
    </row>
    <row r="86" spans="3:3" x14ac:dyDescent="0.25">
      <c r="C86" s="92" t="str">
        <f t="shared" si="1"/>
        <v/>
      </c>
    </row>
    <row r="87" spans="3:3" x14ac:dyDescent="0.25">
      <c r="C87" s="92" t="str">
        <f t="shared" si="1"/>
        <v/>
      </c>
    </row>
    <row r="88" spans="3:3" x14ac:dyDescent="0.25">
      <c r="C88" s="92" t="str">
        <f t="shared" si="1"/>
        <v/>
      </c>
    </row>
    <row r="89" spans="3:3" x14ac:dyDescent="0.25">
      <c r="C89" s="92" t="str">
        <f t="shared" si="1"/>
        <v/>
      </c>
    </row>
    <row r="90" spans="3:3" x14ac:dyDescent="0.25">
      <c r="C90" s="92" t="str">
        <f t="shared" si="1"/>
        <v/>
      </c>
    </row>
    <row r="91" spans="3:3" x14ac:dyDescent="0.25">
      <c r="C91" s="92" t="str">
        <f t="shared" si="1"/>
        <v/>
      </c>
    </row>
    <row r="92" spans="3:3" x14ac:dyDescent="0.25">
      <c r="C92" s="92" t="str">
        <f t="shared" si="1"/>
        <v/>
      </c>
    </row>
    <row r="93" spans="3:3" x14ac:dyDescent="0.25">
      <c r="C93" s="92" t="str">
        <f t="shared" si="1"/>
        <v/>
      </c>
    </row>
    <row r="94" spans="3:3" x14ac:dyDescent="0.25">
      <c r="C94" s="92" t="str">
        <f t="shared" si="1"/>
        <v/>
      </c>
    </row>
    <row r="95" spans="3:3" x14ac:dyDescent="0.25">
      <c r="C95" s="92" t="str">
        <f t="shared" si="1"/>
        <v/>
      </c>
    </row>
    <row r="96" spans="3:3" x14ac:dyDescent="0.25">
      <c r="C96" s="92" t="str">
        <f t="shared" si="1"/>
        <v/>
      </c>
    </row>
    <row r="97" spans="3:3" x14ac:dyDescent="0.25">
      <c r="C97" s="92" t="str">
        <f t="shared" si="1"/>
        <v/>
      </c>
    </row>
    <row r="98" spans="3:3" x14ac:dyDescent="0.25">
      <c r="C98" s="92" t="str">
        <f t="shared" si="1"/>
        <v/>
      </c>
    </row>
    <row r="99" spans="3:3" x14ac:dyDescent="0.25">
      <c r="C99" s="92" t="str">
        <f t="shared" si="1"/>
        <v/>
      </c>
    </row>
    <row r="100" spans="3:3" x14ac:dyDescent="0.25">
      <c r="C100" s="92" t="str">
        <f t="shared" si="1"/>
        <v/>
      </c>
    </row>
    <row r="101" spans="3:3" x14ac:dyDescent="0.25">
      <c r="C101" s="92" t="str">
        <f t="shared" si="1"/>
        <v/>
      </c>
    </row>
    <row r="102" spans="3:3" x14ac:dyDescent="0.25">
      <c r="C102" s="92" t="str">
        <f t="shared" si="1"/>
        <v/>
      </c>
    </row>
    <row r="103" spans="3:3" x14ac:dyDescent="0.25">
      <c r="C103" s="92" t="str">
        <f t="shared" si="1"/>
        <v/>
      </c>
    </row>
    <row r="104" spans="3:3" x14ac:dyDescent="0.25">
      <c r="C104" s="92" t="str">
        <f t="shared" si="1"/>
        <v/>
      </c>
    </row>
    <row r="105" spans="3:3" x14ac:dyDescent="0.25">
      <c r="C105" s="92" t="str">
        <f t="shared" si="1"/>
        <v/>
      </c>
    </row>
    <row r="106" spans="3:3" x14ac:dyDescent="0.25">
      <c r="C106" s="92" t="str">
        <f t="shared" si="1"/>
        <v/>
      </c>
    </row>
    <row r="107" spans="3:3" x14ac:dyDescent="0.25">
      <c r="C107" s="92" t="str">
        <f t="shared" si="1"/>
        <v/>
      </c>
    </row>
    <row r="108" spans="3:3" x14ac:dyDescent="0.25">
      <c r="C108" s="92" t="str">
        <f t="shared" si="1"/>
        <v/>
      </c>
    </row>
    <row r="109" spans="3:3" x14ac:dyDescent="0.25">
      <c r="C109" s="92" t="str">
        <f t="shared" si="1"/>
        <v/>
      </c>
    </row>
    <row r="110" spans="3:3" x14ac:dyDescent="0.25">
      <c r="C110" s="92" t="str">
        <f t="shared" si="1"/>
        <v/>
      </c>
    </row>
    <row r="111" spans="3:3" x14ac:dyDescent="0.25">
      <c r="C111" s="92" t="str">
        <f t="shared" si="1"/>
        <v/>
      </c>
    </row>
    <row r="112" spans="3:3" x14ac:dyDescent="0.25">
      <c r="C112" s="92" t="str">
        <f t="shared" si="1"/>
        <v/>
      </c>
    </row>
    <row r="113" spans="3:3" x14ac:dyDescent="0.25">
      <c r="C113" s="92" t="str">
        <f t="shared" si="1"/>
        <v/>
      </c>
    </row>
    <row r="114" spans="3:3" x14ac:dyDescent="0.25">
      <c r="C114" s="92" t="str">
        <f t="shared" si="1"/>
        <v/>
      </c>
    </row>
    <row r="115" spans="3:3" x14ac:dyDescent="0.25">
      <c r="C115" s="92" t="str">
        <f t="shared" si="1"/>
        <v/>
      </c>
    </row>
    <row r="116" spans="3:3" x14ac:dyDescent="0.25">
      <c r="C116" s="92" t="str">
        <f t="shared" si="1"/>
        <v/>
      </c>
    </row>
    <row r="117" spans="3:3" x14ac:dyDescent="0.25">
      <c r="C117" s="92" t="str">
        <f t="shared" si="1"/>
        <v/>
      </c>
    </row>
    <row r="118" spans="3:3" x14ac:dyDescent="0.25">
      <c r="C118" s="92" t="str">
        <f t="shared" si="1"/>
        <v/>
      </c>
    </row>
    <row r="119" spans="3:3" x14ac:dyDescent="0.25">
      <c r="C119" s="92" t="str">
        <f t="shared" si="1"/>
        <v/>
      </c>
    </row>
    <row r="120" spans="3:3" x14ac:dyDescent="0.25">
      <c r="C120" s="92" t="str">
        <f t="shared" si="1"/>
        <v/>
      </c>
    </row>
    <row r="121" spans="3:3" x14ac:dyDescent="0.25">
      <c r="C121" s="92" t="str">
        <f t="shared" si="1"/>
        <v/>
      </c>
    </row>
    <row r="122" spans="3:3" x14ac:dyDescent="0.25">
      <c r="C122" s="92" t="str">
        <f t="shared" si="1"/>
        <v/>
      </c>
    </row>
    <row r="123" spans="3:3" x14ac:dyDescent="0.25">
      <c r="C123" s="92" t="str">
        <f t="shared" si="1"/>
        <v/>
      </c>
    </row>
    <row r="124" spans="3:3" x14ac:dyDescent="0.25">
      <c r="C124" s="92" t="str">
        <f t="shared" si="1"/>
        <v/>
      </c>
    </row>
    <row r="125" spans="3:3" x14ac:dyDescent="0.25">
      <c r="C125" s="92" t="str">
        <f t="shared" si="1"/>
        <v/>
      </c>
    </row>
    <row r="126" spans="3:3" x14ac:dyDescent="0.25">
      <c r="C126" s="92" t="str">
        <f t="shared" si="1"/>
        <v/>
      </c>
    </row>
    <row r="127" spans="3:3" x14ac:dyDescent="0.25">
      <c r="C127" s="92" t="str">
        <f t="shared" si="1"/>
        <v/>
      </c>
    </row>
    <row r="128" spans="3:3" x14ac:dyDescent="0.25">
      <c r="C128" s="92" t="str">
        <f t="shared" si="1"/>
        <v/>
      </c>
    </row>
    <row r="129" spans="3:3" x14ac:dyDescent="0.25">
      <c r="C129" s="92" t="str">
        <f t="shared" si="1"/>
        <v/>
      </c>
    </row>
    <row r="130" spans="3:3" x14ac:dyDescent="0.25">
      <c r="C130" s="92" t="str">
        <f t="shared" si="1"/>
        <v/>
      </c>
    </row>
    <row r="131" spans="3:3" x14ac:dyDescent="0.25">
      <c r="C131" s="92" t="str">
        <f t="shared" si="1"/>
        <v/>
      </c>
    </row>
    <row r="132" spans="3:3" x14ac:dyDescent="0.25">
      <c r="C132" s="92" t="str">
        <f t="shared" si="1"/>
        <v/>
      </c>
    </row>
    <row r="133" spans="3:3" x14ac:dyDescent="0.25">
      <c r="C133" s="92" t="str">
        <f t="shared" si="1"/>
        <v/>
      </c>
    </row>
    <row r="134" spans="3:3" x14ac:dyDescent="0.25">
      <c r="C134" s="92" t="str">
        <f t="shared" si="1"/>
        <v/>
      </c>
    </row>
    <row r="135" spans="3:3" x14ac:dyDescent="0.25">
      <c r="C135" s="92" t="str">
        <f t="shared" si="1"/>
        <v/>
      </c>
    </row>
    <row r="136" spans="3:3" x14ac:dyDescent="0.25">
      <c r="C136" s="92" t="str">
        <f t="shared" si="1"/>
        <v/>
      </c>
    </row>
    <row r="137" spans="3:3" x14ac:dyDescent="0.25">
      <c r="C137" s="92" t="str">
        <f t="shared" si="1"/>
        <v/>
      </c>
    </row>
    <row r="138" spans="3:3" x14ac:dyDescent="0.25">
      <c r="C138" s="92" t="str">
        <f t="shared" si="1"/>
        <v/>
      </c>
    </row>
    <row r="139" spans="3:3" x14ac:dyDescent="0.25">
      <c r="C139" s="92" t="str">
        <f t="shared" si="1"/>
        <v/>
      </c>
    </row>
    <row r="140" spans="3:3" x14ac:dyDescent="0.25">
      <c r="C140" s="92" t="str">
        <f t="shared" si="1"/>
        <v/>
      </c>
    </row>
    <row r="141" spans="3:3" x14ac:dyDescent="0.25">
      <c r="C141" s="92" t="str">
        <f t="shared" si="1"/>
        <v/>
      </c>
    </row>
    <row r="142" spans="3:3" x14ac:dyDescent="0.25">
      <c r="C142" s="92" t="str">
        <f t="shared" ref="C142:C205" si="2">IF(A142=0,"","Concrete04")</f>
        <v/>
      </c>
    </row>
    <row r="143" spans="3:3" x14ac:dyDescent="0.25">
      <c r="C143" s="92" t="str">
        <f t="shared" si="2"/>
        <v/>
      </c>
    </row>
    <row r="144" spans="3:3" x14ac:dyDescent="0.25">
      <c r="C144" s="92" t="str">
        <f t="shared" si="2"/>
        <v/>
      </c>
    </row>
    <row r="145" spans="3:3" x14ac:dyDescent="0.25">
      <c r="C145" s="92" t="str">
        <f t="shared" si="2"/>
        <v/>
      </c>
    </row>
    <row r="146" spans="3:3" x14ac:dyDescent="0.25">
      <c r="C146" s="92" t="str">
        <f t="shared" si="2"/>
        <v/>
      </c>
    </row>
    <row r="147" spans="3:3" x14ac:dyDescent="0.25">
      <c r="C147" s="92" t="str">
        <f t="shared" si="2"/>
        <v/>
      </c>
    </row>
    <row r="148" spans="3:3" x14ac:dyDescent="0.25">
      <c r="C148" s="92" t="str">
        <f t="shared" si="2"/>
        <v/>
      </c>
    </row>
    <row r="149" spans="3:3" x14ac:dyDescent="0.25">
      <c r="C149" s="92" t="str">
        <f t="shared" si="2"/>
        <v/>
      </c>
    </row>
    <row r="150" spans="3:3" x14ac:dyDescent="0.25">
      <c r="C150" s="92" t="str">
        <f t="shared" si="2"/>
        <v/>
      </c>
    </row>
    <row r="151" spans="3:3" x14ac:dyDescent="0.25">
      <c r="C151" s="92" t="str">
        <f t="shared" si="2"/>
        <v/>
      </c>
    </row>
    <row r="152" spans="3:3" x14ac:dyDescent="0.25">
      <c r="C152" s="92" t="str">
        <f t="shared" si="2"/>
        <v/>
      </c>
    </row>
    <row r="153" spans="3:3" x14ac:dyDescent="0.25">
      <c r="C153" s="92" t="str">
        <f t="shared" si="2"/>
        <v/>
      </c>
    </row>
    <row r="154" spans="3:3" x14ac:dyDescent="0.25">
      <c r="C154" s="92" t="str">
        <f t="shared" si="2"/>
        <v/>
      </c>
    </row>
    <row r="155" spans="3:3" x14ac:dyDescent="0.25">
      <c r="C155" s="92" t="str">
        <f t="shared" si="2"/>
        <v/>
      </c>
    </row>
    <row r="156" spans="3:3" x14ac:dyDescent="0.25">
      <c r="C156" s="92" t="str">
        <f t="shared" si="2"/>
        <v/>
      </c>
    </row>
    <row r="157" spans="3:3" x14ac:dyDescent="0.25">
      <c r="C157" s="92" t="str">
        <f t="shared" si="2"/>
        <v/>
      </c>
    </row>
    <row r="158" spans="3:3" x14ac:dyDescent="0.25">
      <c r="C158" s="92" t="str">
        <f t="shared" si="2"/>
        <v/>
      </c>
    </row>
    <row r="159" spans="3:3" x14ac:dyDescent="0.25">
      <c r="C159" s="92" t="str">
        <f t="shared" si="2"/>
        <v/>
      </c>
    </row>
    <row r="160" spans="3:3" x14ac:dyDescent="0.25">
      <c r="C160" s="92" t="str">
        <f t="shared" si="2"/>
        <v/>
      </c>
    </row>
    <row r="161" spans="3:3" x14ac:dyDescent="0.25">
      <c r="C161" s="92" t="str">
        <f t="shared" si="2"/>
        <v/>
      </c>
    </row>
    <row r="162" spans="3:3" x14ac:dyDescent="0.25">
      <c r="C162" s="92" t="str">
        <f t="shared" si="2"/>
        <v/>
      </c>
    </row>
    <row r="163" spans="3:3" x14ac:dyDescent="0.25">
      <c r="C163" s="92" t="str">
        <f t="shared" si="2"/>
        <v/>
      </c>
    </row>
    <row r="164" spans="3:3" x14ac:dyDescent="0.25">
      <c r="C164" s="92" t="str">
        <f t="shared" si="2"/>
        <v/>
      </c>
    </row>
    <row r="165" spans="3:3" x14ac:dyDescent="0.25">
      <c r="C165" s="92" t="str">
        <f t="shared" si="2"/>
        <v/>
      </c>
    </row>
    <row r="166" spans="3:3" x14ac:dyDescent="0.25">
      <c r="C166" s="92" t="str">
        <f t="shared" si="2"/>
        <v/>
      </c>
    </row>
    <row r="167" spans="3:3" x14ac:dyDescent="0.25">
      <c r="C167" s="92" t="str">
        <f t="shared" si="2"/>
        <v/>
      </c>
    </row>
    <row r="168" spans="3:3" x14ac:dyDescent="0.25">
      <c r="C168" s="92" t="str">
        <f t="shared" si="2"/>
        <v/>
      </c>
    </row>
    <row r="169" spans="3:3" x14ac:dyDescent="0.25">
      <c r="C169" s="92" t="str">
        <f t="shared" si="2"/>
        <v/>
      </c>
    </row>
    <row r="170" spans="3:3" x14ac:dyDescent="0.25">
      <c r="C170" s="92" t="str">
        <f t="shared" si="2"/>
        <v/>
      </c>
    </row>
    <row r="171" spans="3:3" x14ac:dyDescent="0.25">
      <c r="C171" s="92" t="str">
        <f t="shared" si="2"/>
        <v/>
      </c>
    </row>
    <row r="172" spans="3:3" x14ac:dyDescent="0.25">
      <c r="C172" s="92" t="str">
        <f t="shared" si="2"/>
        <v/>
      </c>
    </row>
    <row r="173" spans="3:3" x14ac:dyDescent="0.25">
      <c r="C173" s="92" t="str">
        <f t="shared" si="2"/>
        <v/>
      </c>
    </row>
    <row r="174" spans="3:3" x14ac:dyDescent="0.25">
      <c r="C174" s="92" t="str">
        <f t="shared" si="2"/>
        <v/>
      </c>
    </row>
    <row r="175" spans="3:3" x14ac:dyDescent="0.25">
      <c r="C175" s="92" t="str">
        <f t="shared" si="2"/>
        <v/>
      </c>
    </row>
    <row r="176" spans="3:3" x14ac:dyDescent="0.25">
      <c r="C176" s="92" t="str">
        <f t="shared" si="2"/>
        <v/>
      </c>
    </row>
    <row r="177" spans="3:3" x14ac:dyDescent="0.25">
      <c r="C177" s="92" t="str">
        <f t="shared" si="2"/>
        <v/>
      </c>
    </row>
    <row r="178" spans="3:3" x14ac:dyDescent="0.25">
      <c r="C178" s="92" t="str">
        <f t="shared" si="2"/>
        <v/>
      </c>
    </row>
    <row r="179" spans="3:3" x14ac:dyDescent="0.25">
      <c r="C179" s="92" t="str">
        <f t="shared" si="2"/>
        <v/>
      </c>
    </row>
    <row r="180" spans="3:3" x14ac:dyDescent="0.25">
      <c r="C180" s="92" t="str">
        <f t="shared" si="2"/>
        <v/>
      </c>
    </row>
    <row r="181" spans="3:3" x14ac:dyDescent="0.25">
      <c r="C181" s="92" t="str">
        <f t="shared" si="2"/>
        <v/>
      </c>
    </row>
    <row r="182" spans="3:3" x14ac:dyDescent="0.25">
      <c r="C182" s="92" t="str">
        <f t="shared" si="2"/>
        <v/>
      </c>
    </row>
    <row r="183" spans="3:3" x14ac:dyDescent="0.25">
      <c r="C183" s="92" t="str">
        <f t="shared" si="2"/>
        <v/>
      </c>
    </row>
    <row r="184" spans="3:3" x14ac:dyDescent="0.25">
      <c r="C184" s="92" t="str">
        <f t="shared" si="2"/>
        <v/>
      </c>
    </row>
    <row r="185" spans="3:3" x14ac:dyDescent="0.25">
      <c r="C185" s="92" t="str">
        <f t="shared" si="2"/>
        <v/>
      </c>
    </row>
    <row r="186" spans="3:3" x14ac:dyDescent="0.25">
      <c r="C186" s="92" t="str">
        <f t="shared" si="2"/>
        <v/>
      </c>
    </row>
    <row r="187" spans="3:3" x14ac:dyDescent="0.25">
      <c r="C187" s="92" t="str">
        <f t="shared" si="2"/>
        <v/>
      </c>
    </row>
    <row r="188" spans="3:3" x14ac:dyDescent="0.25">
      <c r="C188" s="92" t="str">
        <f t="shared" si="2"/>
        <v/>
      </c>
    </row>
    <row r="189" spans="3:3" x14ac:dyDescent="0.25">
      <c r="C189" s="92" t="str">
        <f t="shared" si="2"/>
        <v/>
      </c>
    </row>
    <row r="190" spans="3:3" x14ac:dyDescent="0.25">
      <c r="C190" s="92" t="str">
        <f t="shared" si="2"/>
        <v/>
      </c>
    </row>
    <row r="191" spans="3:3" x14ac:dyDescent="0.25">
      <c r="C191" s="92" t="str">
        <f t="shared" si="2"/>
        <v/>
      </c>
    </row>
    <row r="192" spans="3:3" x14ac:dyDescent="0.25">
      <c r="C192" s="92" t="str">
        <f t="shared" si="2"/>
        <v/>
      </c>
    </row>
    <row r="193" spans="3:3" x14ac:dyDescent="0.25">
      <c r="C193" s="92" t="str">
        <f t="shared" si="2"/>
        <v/>
      </c>
    </row>
    <row r="194" spans="3:3" x14ac:dyDescent="0.25">
      <c r="C194" s="92" t="str">
        <f t="shared" si="2"/>
        <v/>
      </c>
    </row>
    <row r="195" spans="3:3" x14ac:dyDescent="0.25">
      <c r="C195" s="92" t="str">
        <f t="shared" si="2"/>
        <v/>
      </c>
    </row>
    <row r="196" spans="3:3" x14ac:dyDescent="0.25">
      <c r="C196" s="92" t="str">
        <f t="shared" si="2"/>
        <v/>
      </c>
    </row>
    <row r="197" spans="3:3" x14ac:dyDescent="0.25">
      <c r="C197" s="92" t="str">
        <f t="shared" si="2"/>
        <v/>
      </c>
    </row>
    <row r="198" spans="3:3" x14ac:dyDescent="0.25">
      <c r="C198" s="92" t="str">
        <f t="shared" si="2"/>
        <v/>
      </c>
    </row>
    <row r="199" spans="3:3" x14ac:dyDescent="0.25">
      <c r="C199" s="92" t="str">
        <f t="shared" si="2"/>
        <v/>
      </c>
    </row>
    <row r="200" spans="3:3" x14ac:dyDescent="0.25">
      <c r="C200" s="92" t="str">
        <f t="shared" si="2"/>
        <v/>
      </c>
    </row>
    <row r="201" spans="3:3" x14ac:dyDescent="0.25">
      <c r="C201" s="92" t="str">
        <f t="shared" si="2"/>
        <v/>
      </c>
    </row>
    <row r="202" spans="3:3" x14ac:dyDescent="0.25">
      <c r="C202" s="92" t="str">
        <f t="shared" si="2"/>
        <v/>
      </c>
    </row>
    <row r="203" spans="3:3" x14ac:dyDescent="0.25">
      <c r="C203" s="92" t="str">
        <f t="shared" si="2"/>
        <v/>
      </c>
    </row>
    <row r="204" spans="3:3" x14ac:dyDescent="0.25">
      <c r="C204" s="92" t="str">
        <f t="shared" si="2"/>
        <v/>
      </c>
    </row>
    <row r="205" spans="3:3" x14ac:dyDescent="0.25">
      <c r="C205" s="92" t="str">
        <f t="shared" si="2"/>
        <v/>
      </c>
    </row>
    <row r="206" spans="3:3" x14ac:dyDescent="0.25">
      <c r="C206" s="92" t="str">
        <f t="shared" ref="C206:C269" si="3">IF(A206=0,"","Concrete04")</f>
        <v/>
      </c>
    </row>
    <row r="207" spans="3:3" x14ac:dyDescent="0.25">
      <c r="C207" s="92" t="str">
        <f t="shared" si="3"/>
        <v/>
      </c>
    </row>
    <row r="208" spans="3:3" x14ac:dyDescent="0.25">
      <c r="C208" s="92" t="str">
        <f t="shared" si="3"/>
        <v/>
      </c>
    </row>
    <row r="209" spans="3:3" x14ac:dyDescent="0.25">
      <c r="C209" s="92" t="str">
        <f t="shared" si="3"/>
        <v/>
      </c>
    </row>
    <row r="210" spans="3:3" x14ac:dyDescent="0.25">
      <c r="C210" s="92" t="str">
        <f t="shared" si="3"/>
        <v/>
      </c>
    </row>
    <row r="211" spans="3:3" x14ac:dyDescent="0.25">
      <c r="C211" s="92" t="str">
        <f t="shared" si="3"/>
        <v/>
      </c>
    </row>
    <row r="212" spans="3:3" x14ac:dyDescent="0.25">
      <c r="C212" s="92" t="str">
        <f t="shared" si="3"/>
        <v/>
      </c>
    </row>
    <row r="213" spans="3:3" x14ac:dyDescent="0.25">
      <c r="C213" s="92" t="str">
        <f t="shared" si="3"/>
        <v/>
      </c>
    </row>
    <row r="214" spans="3:3" x14ac:dyDescent="0.25">
      <c r="C214" s="92" t="str">
        <f t="shared" si="3"/>
        <v/>
      </c>
    </row>
    <row r="215" spans="3:3" x14ac:dyDescent="0.25">
      <c r="C215" s="92" t="str">
        <f t="shared" si="3"/>
        <v/>
      </c>
    </row>
    <row r="216" spans="3:3" x14ac:dyDescent="0.25">
      <c r="C216" s="92" t="str">
        <f t="shared" si="3"/>
        <v/>
      </c>
    </row>
    <row r="217" spans="3:3" x14ac:dyDescent="0.25">
      <c r="C217" s="92" t="str">
        <f t="shared" si="3"/>
        <v/>
      </c>
    </row>
    <row r="218" spans="3:3" x14ac:dyDescent="0.25">
      <c r="C218" s="92" t="str">
        <f t="shared" si="3"/>
        <v/>
      </c>
    </row>
    <row r="219" spans="3:3" x14ac:dyDescent="0.25">
      <c r="C219" s="92" t="str">
        <f t="shared" si="3"/>
        <v/>
      </c>
    </row>
    <row r="220" spans="3:3" x14ac:dyDescent="0.25">
      <c r="C220" s="92" t="str">
        <f t="shared" si="3"/>
        <v/>
      </c>
    </row>
    <row r="221" spans="3:3" x14ac:dyDescent="0.25">
      <c r="C221" s="92" t="str">
        <f t="shared" si="3"/>
        <v/>
      </c>
    </row>
    <row r="222" spans="3:3" x14ac:dyDescent="0.25">
      <c r="C222" s="92" t="str">
        <f t="shared" si="3"/>
        <v/>
      </c>
    </row>
    <row r="223" spans="3:3" x14ac:dyDescent="0.25">
      <c r="C223" s="92" t="str">
        <f t="shared" si="3"/>
        <v/>
      </c>
    </row>
    <row r="224" spans="3:3" x14ac:dyDescent="0.25">
      <c r="C224" s="92" t="str">
        <f t="shared" si="3"/>
        <v/>
      </c>
    </row>
    <row r="225" spans="3:3" x14ac:dyDescent="0.25">
      <c r="C225" s="92" t="str">
        <f t="shared" si="3"/>
        <v/>
      </c>
    </row>
    <row r="226" spans="3:3" x14ac:dyDescent="0.25">
      <c r="C226" s="92" t="str">
        <f t="shared" si="3"/>
        <v/>
      </c>
    </row>
    <row r="227" spans="3:3" x14ac:dyDescent="0.25">
      <c r="C227" s="92" t="str">
        <f t="shared" si="3"/>
        <v/>
      </c>
    </row>
    <row r="228" spans="3:3" x14ac:dyDescent="0.25">
      <c r="C228" s="92" t="str">
        <f t="shared" si="3"/>
        <v/>
      </c>
    </row>
    <row r="229" spans="3:3" x14ac:dyDescent="0.25">
      <c r="C229" s="92" t="str">
        <f t="shared" si="3"/>
        <v/>
      </c>
    </row>
    <row r="230" spans="3:3" x14ac:dyDescent="0.25">
      <c r="C230" s="92" t="str">
        <f t="shared" si="3"/>
        <v/>
      </c>
    </row>
    <row r="231" spans="3:3" x14ac:dyDescent="0.25">
      <c r="C231" s="92" t="str">
        <f t="shared" si="3"/>
        <v/>
      </c>
    </row>
    <row r="232" spans="3:3" x14ac:dyDescent="0.25">
      <c r="C232" s="92" t="str">
        <f t="shared" si="3"/>
        <v/>
      </c>
    </row>
    <row r="233" spans="3:3" x14ac:dyDescent="0.25">
      <c r="C233" s="92" t="str">
        <f t="shared" si="3"/>
        <v/>
      </c>
    </row>
    <row r="234" spans="3:3" x14ac:dyDescent="0.25">
      <c r="C234" s="92" t="str">
        <f t="shared" si="3"/>
        <v/>
      </c>
    </row>
    <row r="235" spans="3:3" x14ac:dyDescent="0.25">
      <c r="C235" s="92" t="str">
        <f t="shared" si="3"/>
        <v/>
      </c>
    </row>
    <row r="236" spans="3:3" x14ac:dyDescent="0.25">
      <c r="C236" s="92" t="str">
        <f t="shared" si="3"/>
        <v/>
      </c>
    </row>
    <row r="237" spans="3:3" x14ac:dyDescent="0.25">
      <c r="C237" s="92" t="str">
        <f t="shared" si="3"/>
        <v/>
      </c>
    </row>
    <row r="238" spans="3:3" x14ac:dyDescent="0.25">
      <c r="C238" s="92" t="str">
        <f t="shared" si="3"/>
        <v/>
      </c>
    </row>
    <row r="239" spans="3:3" x14ac:dyDescent="0.25">
      <c r="C239" s="92" t="str">
        <f t="shared" si="3"/>
        <v/>
      </c>
    </row>
    <row r="240" spans="3:3" x14ac:dyDescent="0.25">
      <c r="C240" s="92" t="str">
        <f t="shared" si="3"/>
        <v/>
      </c>
    </row>
    <row r="241" spans="3:3" x14ac:dyDescent="0.25">
      <c r="C241" s="92" t="str">
        <f t="shared" si="3"/>
        <v/>
      </c>
    </row>
    <row r="242" spans="3:3" x14ac:dyDescent="0.25">
      <c r="C242" s="92" t="str">
        <f t="shared" si="3"/>
        <v/>
      </c>
    </row>
    <row r="243" spans="3:3" x14ac:dyDescent="0.25">
      <c r="C243" s="92" t="str">
        <f t="shared" si="3"/>
        <v/>
      </c>
    </row>
    <row r="244" spans="3:3" x14ac:dyDescent="0.25">
      <c r="C244" s="92" t="str">
        <f t="shared" si="3"/>
        <v/>
      </c>
    </row>
    <row r="245" spans="3:3" x14ac:dyDescent="0.25">
      <c r="C245" s="92" t="str">
        <f t="shared" si="3"/>
        <v/>
      </c>
    </row>
    <row r="246" spans="3:3" x14ac:dyDescent="0.25">
      <c r="C246" s="92" t="str">
        <f t="shared" si="3"/>
        <v/>
      </c>
    </row>
    <row r="247" spans="3:3" x14ac:dyDescent="0.25">
      <c r="C247" s="92" t="str">
        <f t="shared" si="3"/>
        <v/>
      </c>
    </row>
    <row r="248" spans="3:3" x14ac:dyDescent="0.25">
      <c r="C248" s="92" t="str">
        <f t="shared" si="3"/>
        <v/>
      </c>
    </row>
    <row r="249" spans="3:3" x14ac:dyDescent="0.25">
      <c r="C249" s="92" t="str">
        <f t="shared" si="3"/>
        <v/>
      </c>
    </row>
    <row r="250" spans="3:3" x14ac:dyDescent="0.25">
      <c r="C250" s="92" t="str">
        <f t="shared" si="3"/>
        <v/>
      </c>
    </row>
    <row r="251" spans="3:3" x14ac:dyDescent="0.25">
      <c r="C251" s="92" t="str">
        <f t="shared" si="3"/>
        <v/>
      </c>
    </row>
    <row r="252" spans="3:3" x14ac:dyDescent="0.25">
      <c r="C252" s="92" t="str">
        <f t="shared" si="3"/>
        <v/>
      </c>
    </row>
    <row r="253" spans="3:3" x14ac:dyDescent="0.25">
      <c r="C253" s="92" t="str">
        <f t="shared" si="3"/>
        <v/>
      </c>
    </row>
    <row r="254" spans="3:3" x14ac:dyDescent="0.25">
      <c r="C254" s="92" t="str">
        <f t="shared" si="3"/>
        <v/>
      </c>
    </row>
    <row r="255" spans="3:3" x14ac:dyDescent="0.25">
      <c r="C255" s="92" t="str">
        <f t="shared" si="3"/>
        <v/>
      </c>
    </row>
    <row r="256" spans="3:3" x14ac:dyDescent="0.25">
      <c r="C256" s="92" t="str">
        <f t="shared" si="3"/>
        <v/>
      </c>
    </row>
    <row r="257" spans="3:3" x14ac:dyDescent="0.25">
      <c r="C257" s="92" t="str">
        <f t="shared" si="3"/>
        <v/>
      </c>
    </row>
    <row r="258" spans="3:3" x14ac:dyDescent="0.25">
      <c r="C258" s="92" t="str">
        <f t="shared" si="3"/>
        <v/>
      </c>
    </row>
    <row r="259" spans="3:3" x14ac:dyDescent="0.25">
      <c r="C259" s="92" t="str">
        <f t="shared" si="3"/>
        <v/>
      </c>
    </row>
    <row r="260" spans="3:3" x14ac:dyDescent="0.25">
      <c r="C260" s="92" t="str">
        <f t="shared" si="3"/>
        <v/>
      </c>
    </row>
    <row r="261" spans="3:3" x14ac:dyDescent="0.25">
      <c r="C261" s="92" t="str">
        <f t="shared" si="3"/>
        <v/>
      </c>
    </row>
    <row r="262" spans="3:3" x14ac:dyDescent="0.25">
      <c r="C262" s="92" t="str">
        <f t="shared" si="3"/>
        <v/>
      </c>
    </row>
    <row r="263" spans="3:3" x14ac:dyDescent="0.25">
      <c r="C263" s="92" t="str">
        <f t="shared" si="3"/>
        <v/>
      </c>
    </row>
    <row r="264" spans="3:3" x14ac:dyDescent="0.25">
      <c r="C264" s="92" t="str">
        <f t="shared" si="3"/>
        <v/>
      </c>
    </row>
    <row r="265" spans="3:3" x14ac:dyDescent="0.25">
      <c r="C265" s="92" t="str">
        <f t="shared" si="3"/>
        <v/>
      </c>
    </row>
    <row r="266" spans="3:3" x14ac:dyDescent="0.25">
      <c r="C266" s="92" t="str">
        <f t="shared" si="3"/>
        <v/>
      </c>
    </row>
    <row r="267" spans="3:3" x14ac:dyDescent="0.25">
      <c r="C267" s="92" t="str">
        <f t="shared" si="3"/>
        <v/>
      </c>
    </row>
    <row r="268" spans="3:3" x14ac:dyDescent="0.25">
      <c r="C268" s="92" t="str">
        <f t="shared" si="3"/>
        <v/>
      </c>
    </row>
    <row r="269" spans="3:3" x14ac:dyDescent="0.25">
      <c r="C269" s="92" t="str">
        <f t="shared" si="3"/>
        <v/>
      </c>
    </row>
    <row r="270" spans="3:3" x14ac:dyDescent="0.25">
      <c r="C270" s="92" t="str">
        <f t="shared" ref="C270:C333" si="4">IF(A270=0,"","Concrete04")</f>
        <v/>
      </c>
    </row>
    <row r="271" spans="3:3" x14ac:dyDescent="0.25">
      <c r="C271" s="92" t="str">
        <f t="shared" si="4"/>
        <v/>
      </c>
    </row>
    <row r="272" spans="3:3" x14ac:dyDescent="0.25">
      <c r="C272" s="92" t="str">
        <f t="shared" si="4"/>
        <v/>
      </c>
    </row>
    <row r="273" spans="3:3" x14ac:dyDescent="0.25">
      <c r="C273" s="92" t="str">
        <f t="shared" si="4"/>
        <v/>
      </c>
    </row>
    <row r="274" spans="3:3" x14ac:dyDescent="0.25">
      <c r="C274" s="92" t="str">
        <f t="shared" si="4"/>
        <v/>
      </c>
    </row>
    <row r="275" spans="3:3" x14ac:dyDescent="0.25">
      <c r="C275" s="92" t="str">
        <f t="shared" si="4"/>
        <v/>
      </c>
    </row>
    <row r="276" spans="3:3" x14ac:dyDescent="0.25">
      <c r="C276" s="92" t="str">
        <f t="shared" si="4"/>
        <v/>
      </c>
    </row>
    <row r="277" spans="3:3" x14ac:dyDescent="0.25">
      <c r="C277" s="92" t="str">
        <f t="shared" si="4"/>
        <v/>
      </c>
    </row>
    <row r="278" spans="3:3" x14ac:dyDescent="0.25">
      <c r="C278" s="92" t="str">
        <f t="shared" si="4"/>
        <v/>
      </c>
    </row>
    <row r="279" spans="3:3" x14ac:dyDescent="0.25">
      <c r="C279" s="92" t="str">
        <f t="shared" si="4"/>
        <v/>
      </c>
    </row>
    <row r="280" spans="3:3" x14ac:dyDescent="0.25">
      <c r="C280" s="92" t="str">
        <f t="shared" si="4"/>
        <v/>
      </c>
    </row>
    <row r="281" spans="3:3" x14ac:dyDescent="0.25">
      <c r="C281" s="92" t="str">
        <f t="shared" si="4"/>
        <v/>
      </c>
    </row>
    <row r="282" spans="3:3" x14ac:dyDescent="0.25">
      <c r="C282" s="92" t="str">
        <f t="shared" si="4"/>
        <v/>
      </c>
    </row>
    <row r="283" spans="3:3" x14ac:dyDescent="0.25">
      <c r="C283" s="92" t="str">
        <f t="shared" si="4"/>
        <v/>
      </c>
    </row>
    <row r="284" spans="3:3" x14ac:dyDescent="0.25">
      <c r="C284" s="92" t="str">
        <f t="shared" si="4"/>
        <v/>
      </c>
    </row>
    <row r="285" spans="3:3" x14ac:dyDescent="0.25">
      <c r="C285" s="92" t="str">
        <f t="shared" si="4"/>
        <v/>
      </c>
    </row>
    <row r="286" spans="3:3" x14ac:dyDescent="0.25">
      <c r="C286" s="92" t="str">
        <f t="shared" si="4"/>
        <v/>
      </c>
    </row>
    <row r="287" spans="3:3" x14ac:dyDescent="0.25">
      <c r="C287" s="92" t="str">
        <f t="shared" si="4"/>
        <v/>
      </c>
    </row>
    <row r="288" spans="3:3" x14ac:dyDescent="0.25">
      <c r="C288" s="92" t="str">
        <f t="shared" si="4"/>
        <v/>
      </c>
    </row>
    <row r="289" spans="3:3" x14ac:dyDescent="0.25">
      <c r="C289" s="92" t="str">
        <f t="shared" si="4"/>
        <v/>
      </c>
    </row>
    <row r="290" spans="3:3" x14ac:dyDescent="0.25">
      <c r="C290" s="92" t="str">
        <f t="shared" si="4"/>
        <v/>
      </c>
    </row>
    <row r="291" spans="3:3" x14ac:dyDescent="0.25">
      <c r="C291" s="92" t="str">
        <f t="shared" si="4"/>
        <v/>
      </c>
    </row>
    <row r="292" spans="3:3" x14ac:dyDescent="0.25">
      <c r="C292" s="92" t="str">
        <f t="shared" si="4"/>
        <v/>
      </c>
    </row>
    <row r="293" spans="3:3" x14ac:dyDescent="0.25">
      <c r="C293" s="92" t="str">
        <f t="shared" si="4"/>
        <v/>
      </c>
    </row>
    <row r="294" spans="3:3" x14ac:dyDescent="0.25">
      <c r="C294" s="92" t="str">
        <f t="shared" si="4"/>
        <v/>
      </c>
    </row>
    <row r="295" spans="3:3" x14ac:dyDescent="0.25">
      <c r="C295" s="92" t="str">
        <f t="shared" si="4"/>
        <v/>
      </c>
    </row>
    <row r="296" spans="3:3" x14ac:dyDescent="0.25">
      <c r="C296" s="92" t="str">
        <f t="shared" si="4"/>
        <v/>
      </c>
    </row>
    <row r="297" spans="3:3" x14ac:dyDescent="0.25">
      <c r="C297" s="92" t="str">
        <f t="shared" si="4"/>
        <v/>
      </c>
    </row>
    <row r="298" spans="3:3" x14ac:dyDescent="0.25">
      <c r="C298" s="92" t="str">
        <f t="shared" si="4"/>
        <v/>
      </c>
    </row>
    <row r="299" spans="3:3" x14ac:dyDescent="0.25">
      <c r="C299" s="92" t="str">
        <f t="shared" si="4"/>
        <v/>
      </c>
    </row>
    <row r="300" spans="3:3" x14ac:dyDescent="0.25">
      <c r="C300" s="92" t="str">
        <f t="shared" si="4"/>
        <v/>
      </c>
    </row>
    <row r="301" spans="3:3" x14ac:dyDescent="0.25">
      <c r="C301" s="92" t="str">
        <f t="shared" si="4"/>
        <v/>
      </c>
    </row>
    <row r="302" spans="3:3" x14ac:dyDescent="0.25">
      <c r="C302" s="92" t="str">
        <f t="shared" si="4"/>
        <v/>
      </c>
    </row>
    <row r="303" spans="3:3" x14ac:dyDescent="0.25">
      <c r="C303" s="92" t="str">
        <f t="shared" si="4"/>
        <v/>
      </c>
    </row>
    <row r="304" spans="3:3" x14ac:dyDescent="0.25">
      <c r="C304" s="92" t="str">
        <f t="shared" si="4"/>
        <v/>
      </c>
    </row>
    <row r="305" spans="3:3" x14ac:dyDescent="0.25">
      <c r="C305" s="92" t="str">
        <f t="shared" si="4"/>
        <v/>
      </c>
    </row>
    <row r="306" spans="3:3" x14ac:dyDescent="0.25">
      <c r="C306" s="92" t="str">
        <f t="shared" si="4"/>
        <v/>
      </c>
    </row>
    <row r="307" spans="3:3" x14ac:dyDescent="0.25">
      <c r="C307" s="92" t="str">
        <f t="shared" si="4"/>
        <v/>
      </c>
    </row>
    <row r="308" spans="3:3" x14ac:dyDescent="0.25">
      <c r="C308" s="92" t="str">
        <f t="shared" si="4"/>
        <v/>
      </c>
    </row>
    <row r="309" spans="3:3" x14ac:dyDescent="0.25">
      <c r="C309" s="92" t="str">
        <f t="shared" si="4"/>
        <v/>
      </c>
    </row>
    <row r="310" spans="3:3" x14ac:dyDescent="0.25">
      <c r="C310" s="92" t="str">
        <f t="shared" si="4"/>
        <v/>
      </c>
    </row>
    <row r="311" spans="3:3" x14ac:dyDescent="0.25">
      <c r="C311" s="92" t="str">
        <f t="shared" si="4"/>
        <v/>
      </c>
    </row>
    <row r="312" spans="3:3" x14ac:dyDescent="0.25">
      <c r="C312" s="92" t="str">
        <f t="shared" si="4"/>
        <v/>
      </c>
    </row>
    <row r="313" spans="3:3" x14ac:dyDescent="0.25">
      <c r="C313" s="92" t="str">
        <f t="shared" si="4"/>
        <v/>
      </c>
    </row>
    <row r="314" spans="3:3" x14ac:dyDescent="0.25">
      <c r="C314" s="92" t="str">
        <f t="shared" si="4"/>
        <v/>
      </c>
    </row>
    <row r="315" spans="3:3" x14ac:dyDescent="0.25">
      <c r="C315" s="92" t="str">
        <f t="shared" si="4"/>
        <v/>
      </c>
    </row>
    <row r="316" spans="3:3" x14ac:dyDescent="0.25">
      <c r="C316" s="92" t="str">
        <f t="shared" si="4"/>
        <v/>
      </c>
    </row>
    <row r="317" spans="3:3" x14ac:dyDescent="0.25">
      <c r="C317" s="92" t="str">
        <f t="shared" si="4"/>
        <v/>
      </c>
    </row>
    <row r="318" spans="3:3" x14ac:dyDescent="0.25">
      <c r="C318" s="92" t="str">
        <f t="shared" si="4"/>
        <v/>
      </c>
    </row>
    <row r="319" spans="3:3" x14ac:dyDescent="0.25">
      <c r="C319" s="92" t="str">
        <f t="shared" si="4"/>
        <v/>
      </c>
    </row>
    <row r="320" spans="3:3" x14ac:dyDescent="0.25">
      <c r="C320" s="92" t="str">
        <f t="shared" si="4"/>
        <v/>
      </c>
    </row>
    <row r="321" spans="3:3" x14ac:dyDescent="0.25">
      <c r="C321" s="92" t="str">
        <f t="shared" si="4"/>
        <v/>
      </c>
    </row>
    <row r="322" spans="3:3" x14ac:dyDescent="0.25">
      <c r="C322" s="92" t="str">
        <f t="shared" si="4"/>
        <v/>
      </c>
    </row>
    <row r="323" spans="3:3" x14ac:dyDescent="0.25">
      <c r="C323" s="92" t="str">
        <f t="shared" si="4"/>
        <v/>
      </c>
    </row>
    <row r="324" spans="3:3" x14ac:dyDescent="0.25">
      <c r="C324" s="92" t="str">
        <f t="shared" si="4"/>
        <v/>
      </c>
    </row>
    <row r="325" spans="3:3" x14ac:dyDescent="0.25">
      <c r="C325" s="92" t="str">
        <f t="shared" si="4"/>
        <v/>
      </c>
    </row>
    <row r="326" spans="3:3" x14ac:dyDescent="0.25">
      <c r="C326" s="92" t="str">
        <f t="shared" si="4"/>
        <v/>
      </c>
    </row>
    <row r="327" spans="3:3" x14ac:dyDescent="0.25">
      <c r="C327" s="92" t="str">
        <f t="shared" si="4"/>
        <v/>
      </c>
    </row>
    <row r="328" spans="3:3" x14ac:dyDescent="0.25">
      <c r="C328" s="92" t="str">
        <f t="shared" si="4"/>
        <v/>
      </c>
    </row>
    <row r="329" spans="3:3" x14ac:dyDescent="0.25">
      <c r="C329" s="92" t="str">
        <f t="shared" si="4"/>
        <v/>
      </c>
    </row>
    <row r="330" spans="3:3" x14ac:dyDescent="0.25">
      <c r="C330" s="92" t="str">
        <f t="shared" si="4"/>
        <v/>
      </c>
    </row>
    <row r="331" spans="3:3" x14ac:dyDescent="0.25">
      <c r="C331" s="92" t="str">
        <f t="shared" si="4"/>
        <v/>
      </c>
    </row>
    <row r="332" spans="3:3" x14ac:dyDescent="0.25">
      <c r="C332" s="92" t="str">
        <f t="shared" si="4"/>
        <v/>
      </c>
    </row>
    <row r="333" spans="3:3" x14ac:dyDescent="0.25">
      <c r="C333" s="92" t="str">
        <f t="shared" si="4"/>
        <v/>
      </c>
    </row>
    <row r="334" spans="3:3" x14ac:dyDescent="0.25">
      <c r="C334" s="92" t="str">
        <f t="shared" ref="C334:C397" si="5">IF(A334=0,"","Concrete04")</f>
        <v/>
      </c>
    </row>
    <row r="335" spans="3:3" x14ac:dyDescent="0.25">
      <c r="C335" s="92" t="str">
        <f t="shared" si="5"/>
        <v/>
      </c>
    </row>
    <row r="336" spans="3:3" x14ac:dyDescent="0.25">
      <c r="C336" s="92" t="str">
        <f t="shared" si="5"/>
        <v/>
      </c>
    </row>
    <row r="337" spans="3:3" x14ac:dyDescent="0.25">
      <c r="C337" s="92" t="str">
        <f t="shared" si="5"/>
        <v/>
      </c>
    </row>
    <row r="338" spans="3:3" x14ac:dyDescent="0.25">
      <c r="C338" s="92" t="str">
        <f t="shared" si="5"/>
        <v/>
      </c>
    </row>
    <row r="339" spans="3:3" x14ac:dyDescent="0.25">
      <c r="C339" s="92" t="str">
        <f t="shared" si="5"/>
        <v/>
      </c>
    </row>
    <row r="340" spans="3:3" x14ac:dyDescent="0.25">
      <c r="C340" s="92" t="str">
        <f t="shared" si="5"/>
        <v/>
      </c>
    </row>
    <row r="341" spans="3:3" x14ac:dyDescent="0.25">
      <c r="C341" s="92" t="str">
        <f t="shared" si="5"/>
        <v/>
      </c>
    </row>
    <row r="342" spans="3:3" x14ac:dyDescent="0.25">
      <c r="C342" s="92" t="str">
        <f t="shared" si="5"/>
        <v/>
      </c>
    </row>
    <row r="343" spans="3:3" x14ac:dyDescent="0.25">
      <c r="C343" s="92" t="str">
        <f t="shared" si="5"/>
        <v/>
      </c>
    </row>
    <row r="344" spans="3:3" x14ac:dyDescent="0.25">
      <c r="C344" s="92" t="str">
        <f t="shared" si="5"/>
        <v/>
      </c>
    </row>
    <row r="345" spans="3:3" x14ac:dyDescent="0.25">
      <c r="C345" s="92" t="str">
        <f t="shared" si="5"/>
        <v/>
      </c>
    </row>
    <row r="346" spans="3:3" x14ac:dyDescent="0.25">
      <c r="C346" s="92" t="str">
        <f t="shared" si="5"/>
        <v/>
      </c>
    </row>
    <row r="347" spans="3:3" x14ac:dyDescent="0.25">
      <c r="C347" s="92" t="str">
        <f t="shared" si="5"/>
        <v/>
      </c>
    </row>
    <row r="348" spans="3:3" x14ac:dyDescent="0.25">
      <c r="C348" s="92" t="str">
        <f t="shared" si="5"/>
        <v/>
      </c>
    </row>
    <row r="349" spans="3:3" x14ac:dyDescent="0.25">
      <c r="C349" s="92" t="str">
        <f t="shared" si="5"/>
        <v/>
      </c>
    </row>
    <row r="350" spans="3:3" x14ac:dyDescent="0.25">
      <c r="C350" s="92" t="str">
        <f t="shared" si="5"/>
        <v/>
      </c>
    </row>
    <row r="351" spans="3:3" x14ac:dyDescent="0.25">
      <c r="C351" s="92" t="str">
        <f t="shared" si="5"/>
        <v/>
      </c>
    </row>
    <row r="352" spans="3:3" x14ac:dyDescent="0.25">
      <c r="C352" s="92" t="str">
        <f t="shared" si="5"/>
        <v/>
      </c>
    </row>
    <row r="353" spans="3:3" x14ac:dyDescent="0.25">
      <c r="C353" s="92" t="str">
        <f t="shared" si="5"/>
        <v/>
      </c>
    </row>
    <row r="354" spans="3:3" x14ac:dyDescent="0.25">
      <c r="C354" s="92" t="str">
        <f t="shared" si="5"/>
        <v/>
      </c>
    </row>
    <row r="355" spans="3:3" x14ac:dyDescent="0.25">
      <c r="C355" s="92" t="str">
        <f t="shared" si="5"/>
        <v/>
      </c>
    </row>
    <row r="356" spans="3:3" x14ac:dyDescent="0.25">
      <c r="C356" s="92" t="str">
        <f t="shared" si="5"/>
        <v/>
      </c>
    </row>
    <row r="357" spans="3:3" x14ac:dyDescent="0.25">
      <c r="C357" s="92" t="str">
        <f t="shared" si="5"/>
        <v/>
      </c>
    </row>
    <row r="358" spans="3:3" x14ac:dyDescent="0.25">
      <c r="C358" s="92" t="str">
        <f t="shared" si="5"/>
        <v/>
      </c>
    </row>
    <row r="359" spans="3:3" x14ac:dyDescent="0.25">
      <c r="C359" s="92" t="str">
        <f t="shared" si="5"/>
        <v/>
      </c>
    </row>
    <row r="360" spans="3:3" x14ac:dyDescent="0.25">
      <c r="C360" s="92" t="str">
        <f t="shared" si="5"/>
        <v/>
      </c>
    </row>
    <row r="361" spans="3:3" x14ac:dyDescent="0.25">
      <c r="C361" s="92" t="str">
        <f t="shared" si="5"/>
        <v/>
      </c>
    </row>
    <row r="362" spans="3:3" x14ac:dyDescent="0.25">
      <c r="C362" s="92" t="str">
        <f t="shared" si="5"/>
        <v/>
      </c>
    </row>
    <row r="363" spans="3:3" x14ac:dyDescent="0.25">
      <c r="C363" s="92" t="str">
        <f t="shared" si="5"/>
        <v/>
      </c>
    </row>
    <row r="364" spans="3:3" x14ac:dyDescent="0.25">
      <c r="C364" s="92" t="str">
        <f t="shared" si="5"/>
        <v/>
      </c>
    </row>
    <row r="365" spans="3:3" x14ac:dyDescent="0.25">
      <c r="C365" s="92" t="str">
        <f t="shared" si="5"/>
        <v/>
      </c>
    </row>
    <row r="366" spans="3:3" x14ac:dyDescent="0.25">
      <c r="C366" s="92" t="str">
        <f t="shared" si="5"/>
        <v/>
      </c>
    </row>
    <row r="367" spans="3:3" x14ac:dyDescent="0.25">
      <c r="C367" s="92" t="str">
        <f t="shared" si="5"/>
        <v/>
      </c>
    </row>
    <row r="368" spans="3:3" x14ac:dyDescent="0.25">
      <c r="C368" s="92" t="str">
        <f t="shared" si="5"/>
        <v/>
      </c>
    </row>
    <row r="369" spans="3:3" x14ac:dyDescent="0.25">
      <c r="C369" s="92" t="str">
        <f t="shared" si="5"/>
        <v/>
      </c>
    </row>
    <row r="370" spans="3:3" x14ac:dyDescent="0.25">
      <c r="C370" s="92" t="str">
        <f t="shared" si="5"/>
        <v/>
      </c>
    </row>
    <row r="371" spans="3:3" x14ac:dyDescent="0.25">
      <c r="C371" s="92" t="str">
        <f t="shared" si="5"/>
        <v/>
      </c>
    </row>
    <row r="372" spans="3:3" x14ac:dyDescent="0.25">
      <c r="C372" s="92" t="str">
        <f t="shared" si="5"/>
        <v/>
      </c>
    </row>
    <row r="373" spans="3:3" x14ac:dyDescent="0.25">
      <c r="C373" s="92" t="str">
        <f t="shared" si="5"/>
        <v/>
      </c>
    </row>
    <row r="374" spans="3:3" x14ac:dyDescent="0.25">
      <c r="C374" s="92" t="str">
        <f t="shared" si="5"/>
        <v/>
      </c>
    </row>
    <row r="375" spans="3:3" x14ac:dyDescent="0.25">
      <c r="C375" s="92" t="str">
        <f t="shared" si="5"/>
        <v/>
      </c>
    </row>
    <row r="376" spans="3:3" x14ac:dyDescent="0.25">
      <c r="C376" s="92" t="str">
        <f t="shared" si="5"/>
        <v/>
      </c>
    </row>
    <row r="377" spans="3:3" x14ac:dyDescent="0.25">
      <c r="C377" s="92" t="str">
        <f t="shared" si="5"/>
        <v/>
      </c>
    </row>
    <row r="378" spans="3:3" x14ac:dyDescent="0.25">
      <c r="C378" s="92" t="str">
        <f t="shared" si="5"/>
        <v/>
      </c>
    </row>
    <row r="379" spans="3:3" x14ac:dyDescent="0.25">
      <c r="C379" s="92" t="str">
        <f t="shared" si="5"/>
        <v/>
      </c>
    </row>
    <row r="380" spans="3:3" x14ac:dyDescent="0.25">
      <c r="C380" s="92" t="str">
        <f t="shared" si="5"/>
        <v/>
      </c>
    </row>
    <row r="381" spans="3:3" x14ac:dyDescent="0.25">
      <c r="C381" s="92" t="str">
        <f t="shared" si="5"/>
        <v/>
      </c>
    </row>
    <row r="382" spans="3:3" x14ac:dyDescent="0.25">
      <c r="C382" s="92" t="str">
        <f t="shared" si="5"/>
        <v/>
      </c>
    </row>
    <row r="383" spans="3:3" x14ac:dyDescent="0.25">
      <c r="C383" s="92" t="str">
        <f t="shared" si="5"/>
        <v/>
      </c>
    </row>
    <row r="384" spans="3:3" x14ac:dyDescent="0.25">
      <c r="C384" s="92" t="str">
        <f t="shared" si="5"/>
        <v/>
      </c>
    </row>
    <row r="385" spans="3:3" x14ac:dyDescent="0.25">
      <c r="C385" s="92" t="str">
        <f t="shared" si="5"/>
        <v/>
      </c>
    </row>
    <row r="386" spans="3:3" x14ac:dyDescent="0.25">
      <c r="C386" s="92" t="str">
        <f t="shared" si="5"/>
        <v/>
      </c>
    </row>
    <row r="387" spans="3:3" x14ac:dyDescent="0.25">
      <c r="C387" s="92" t="str">
        <f t="shared" si="5"/>
        <v/>
      </c>
    </row>
    <row r="388" spans="3:3" x14ac:dyDescent="0.25">
      <c r="C388" s="92" t="str">
        <f t="shared" si="5"/>
        <v/>
      </c>
    </row>
    <row r="389" spans="3:3" x14ac:dyDescent="0.25">
      <c r="C389" s="92" t="str">
        <f t="shared" si="5"/>
        <v/>
      </c>
    </row>
    <row r="390" spans="3:3" x14ac:dyDescent="0.25">
      <c r="C390" s="92" t="str">
        <f t="shared" si="5"/>
        <v/>
      </c>
    </row>
    <row r="391" spans="3:3" x14ac:dyDescent="0.25">
      <c r="C391" s="92" t="str">
        <f t="shared" si="5"/>
        <v/>
      </c>
    </row>
    <row r="392" spans="3:3" x14ac:dyDescent="0.25">
      <c r="C392" s="92" t="str">
        <f t="shared" si="5"/>
        <v/>
      </c>
    </row>
    <row r="393" spans="3:3" x14ac:dyDescent="0.25">
      <c r="C393" s="92" t="str">
        <f t="shared" si="5"/>
        <v/>
      </c>
    </row>
    <row r="394" spans="3:3" x14ac:dyDescent="0.25">
      <c r="C394" s="92" t="str">
        <f t="shared" si="5"/>
        <v/>
      </c>
    </row>
    <row r="395" spans="3:3" x14ac:dyDescent="0.25">
      <c r="C395" s="92" t="str">
        <f t="shared" si="5"/>
        <v/>
      </c>
    </row>
    <row r="396" spans="3:3" x14ac:dyDescent="0.25">
      <c r="C396" s="92" t="str">
        <f t="shared" si="5"/>
        <v/>
      </c>
    </row>
    <row r="397" spans="3:3" x14ac:dyDescent="0.25">
      <c r="C397" s="92" t="str">
        <f t="shared" si="5"/>
        <v/>
      </c>
    </row>
    <row r="398" spans="3:3" x14ac:dyDescent="0.25">
      <c r="C398" s="92" t="str">
        <f t="shared" ref="C398:C461" si="6">IF(A398=0,"","Concrete04")</f>
        <v/>
      </c>
    </row>
    <row r="399" spans="3:3" x14ac:dyDescent="0.25">
      <c r="C399" s="92" t="str">
        <f t="shared" si="6"/>
        <v/>
      </c>
    </row>
    <row r="400" spans="3:3" x14ac:dyDescent="0.25">
      <c r="C400" s="92" t="str">
        <f t="shared" si="6"/>
        <v/>
      </c>
    </row>
    <row r="401" spans="3:3" x14ac:dyDescent="0.25">
      <c r="C401" s="92" t="str">
        <f t="shared" si="6"/>
        <v/>
      </c>
    </row>
    <row r="402" spans="3:3" x14ac:dyDescent="0.25">
      <c r="C402" s="92" t="str">
        <f t="shared" si="6"/>
        <v/>
      </c>
    </row>
    <row r="403" spans="3:3" x14ac:dyDescent="0.25">
      <c r="C403" s="92" t="str">
        <f t="shared" si="6"/>
        <v/>
      </c>
    </row>
    <row r="404" spans="3:3" x14ac:dyDescent="0.25">
      <c r="C404" s="92" t="str">
        <f t="shared" si="6"/>
        <v/>
      </c>
    </row>
    <row r="405" spans="3:3" x14ac:dyDescent="0.25">
      <c r="C405" s="92" t="str">
        <f t="shared" si="6"/>
        <v/>
      </c>
    </row>
    <row r="406" spans="3:3" x14ac:dyDescent="0.25">
      <c r="C406" s="92" t="str">
        <f t="shared" si="6"/>
        <v/>
      </c>
    </row>
    <row r="407" spans="3:3" x14ac:dyDescent="0.25">
      <c r="C407" s="92" t="str">
        <f t="shared" si="6"/>
        <v/>
      </c>
    </row>
    <row r="408" spans="3:3" x14ac:dyDescent="0.25">
      <c r="C408" s="92" t="str">
        <f t="shared" si="6"/>
        <v/>
      </c>
    </row>
    <row r="409" spans="3:3" x14ac:dyDescent="0.25">
      <c r="C409" s="92" t="str">
        <f t="shared" si="6"/>
        <v/>
      </c>
    </row>
    <row r="410" spans="3:3" x14ac:dyDescent="0.25">
      <c r="C410" s="92" t="str">
        <f t="shared" si="6"/>
        <v/>
      </c>
    </row>
    <row r="411" spans="3:3" x14ac:dyDescent="0.25">
      <c r="C411" s="92" t="str">
        <f t="shared" si="6"/>
        <v/>
      </c>
    </row>
    <row r="412" spans="3:3" x14ac:dyDescent="0.25">
      <c r="C412" s="92" t="str">
        <f t="shared" si="6"/>
        <v/>
      </c>
    </row>
    <row r="413" spans="3:3" x14ac:dyDescent="0.25">
      <c r="C413" s="92" t="str">
        <f t="shared" si="6"/>
        <v/>
      </c>
    </row>
    <row r="414" spans="3:3" x14ac:dyDescent="0.25">
      <c r="C414" s="92" t="str">
        <f t="shared" si="6"/>
        <v/>
      </c>
    </row>
    <row r="415" spans="3:3" x14ac:dyDescent="0.25">
      <c r="C415" s="92" t="str">
        <f t="shared" si="6"/>
        <v/>
      </c>
    </row>
    <row r="416" spans="3:3" x14ac:dyDescent="0.25">
      <c r="C416" s="92" t="str">
        <f t="shared" si="6"/>
        <v/>
      </c>
    </row>
    <row r="417" spans="3:3" x14ac:dyDescent="0.25">
      <c r="C417" s="92" t="str">
        <f t="shared" si="6"/>
        <v/>
      </c>
    </row>
    <row r="418" spans="3:3" x14ac:dyDescent="0.25">
      <c r="C418" s="92" t="str">
        <f t="shared" si="6"/>
        <v/>
      </c>
    </row>
    <row r="419" spans="3:3" x14ac:dyDescent="0.25">
      <c r="C419" s="92" t="str">
        <f t="shared" si="6"/>
        <v/>
      </c>
    </row>
    <row r="420" spans="3:3" x14ac:dyDescent="0.25">
      <c r="C420" s="92" t="str">
        <f t="shared" si="6"/>
        <v/>
      </c>
    </row>
    <row r="421" spans="3:3" x14ac:dyDescent="0.25">
      <c r="C421" s="92" t="str">
        <f t="shared" si="6"/>
        <v/>
      </c>
    </row>
    <row r="422" spans="3:3" x14ac:dyDescent="0.25">
      <c r="C422" s="92" t="str">
        <f t="shared" si="6"/>
        <v/>
      </c>
    </row>
    <row r="423" spans="3:3" x14ac:dyDescent="0.25">
      <c r="C423" s="92" t="str">
        <f t="shared" si="6"/>
        <v/>
      </c>
    </row>
    <row r="424" spans="3:3" x14ac:dyDescent="0.25">
      <c r="C424" s="92" t="str">
        <f t="shared" si="6"/>
        <v/>
      </c>
    </row>
    <row r="425" spans="3:3" x14ac:dyDescent="0.25">
      <c r="C425" s="92" t="str">
        <f t="shared" si="6"/>
        <v/>
      </c>
    </row>
    <row r="426" spans="3:3" x14ac:dyDescent="0.25">
      <c r="C426" s="92" t="str">
        <f t="shared" si="6"/>
        <v/>
      </c>
    </row>
    <row r="427" spans="3:3" x14ac:dyDescent="0.25">
      <c r="C427" s="92" t="str">
        <f t="shared" si="6"/>
        <v/>
      </c>
    </row>
    <row r="428" spans="3:3" x14ac:dyDescent="0.25">
      <c r="C428" s="92" t="str">
        <f t="shared" si="6"/>
        <v/>
      </c>
    </row>
    <row r="429" spans="3:3" x14ac:dyDescent="0.25">
      <c r="C429" s="92" t="str">
        <f t="shared" si="6"/>
        <v/>
      </c>
    </row>
    <row r="430" spans="3:3" x14ac:dyDescent="0.25">
      <c r="C430" s="92" t="str">
        <f t="shared" si="6"/>
        <v/>
      </c>
    </row>
    <row r="431" spans="3:3" x14ac:dyDescent="0.25">
      <c r="C431" s="92" t="str">
        <f t="shared" si="6"/>
        <v/>
      </c>
    </row>
    <row r="432" spans="3:3" x14ac:dyDescent="0.25">
      <c r="C432" s="92" t="str">
        <f t="shared" si="6"/>
        <v/>
      </c>
    </row>
    <row r="433" spans="3:3" x14ac:dyDescent="0.25">
      <c r="C433" s="92" t="str">
        <f t="shared" si="6"/>
        <v/>
      </c>
    </row>
    <row r="434" spans="3:3" x14ac:dyDescent="0.25">
      <c r="C434" s="92" t="str">
        <f t="shared" si="6"/>
        <v/>
      </c>
    </row>
    <row r="435" spans="3:3" x14ac:dyDescent="0.25">
      <c r="C435" s="92" t="str">
        <f t="shared" si="6"/>
        <v/>
      </c>
    </row>
    <row r="436" spans="3:3" x14ac:dyDescent="0.25">
      <c r="C436" s="92" t="str">
        <f t="shared" si="6"/>
        <v/>
      </c>
    </row>
    <row r="437" spans="3:3" x14ac:dyDescent="0.25">
      <c r="C437" s="92" t="str">
        <f t="shared" si="6"/>
        <v/>
      </c>
    </row>
    <row r="438" spans="3:3" x14ac:dyDescent="0.25">
      <c r="C438" s="92" t="str">
        <f t="shared" si="6"/>
        <v/>
      </c>
    </row>
    <row r="439" spans="3:3" x14ac:dyDescent="0.25">
      <c r="C439" s="92" t="str">
        <f t="shared" si="6"/>
        <v/>
      </c>
    </row>
    <row r="440" spans="3:3" x14ac:dyDescent="0.25">
      <c r="C440" s="92" t="str">
        <f t="shared" si="6"/>
        <v/>
      </c>
    </row>
    <row r="441" spans="3:3" x14ac:dyDescent="0.25">
      <c r="C441" s="92" t="str">
        <f t="shared" si="6"/>
        <v/>
      </c>
    </row>
    <row r="442" spans="3:3" x14ac:dyDescent="0.25">
      <c r="C442" s="92" t="str">
        <f t="shared" si="6"/>
        <v/>
      </c>
    </row>
    <row r="443" spans="3:3" x14ac:dyDescent="0.25">
      <c r="C443" s="92" t="str">
        <f t="shared" si="6"/>
        <v/>
      </c>
    </row>
    <row r="444" spans="3:3" x14ac:dyDescent="0.25">
      <c r="C444" s="92" t="str">
        <f t="shared" si="6"/>
        <v/>
      </c>
    </row>
    <row r="445" spans="3:3" x14ac:dyDescent="0.25">
      <c r="C445" s="92" t="str">
        <f t="shared" si="6"/>
        <v/>
      </c>
    </row>
    <row r="446" spans="3:3" x14ac:dyDescent="0.25">
      <c r="C446" s="92" t="str">
        <f t="shared" si="6"/>
        <v/>
      </c>
    </row>
    <row r="447" spans="3:3" x14ac:dyDescent="0.25">
      <c r="C447" s="92" t="str">
        <f t="shared" si="6"/>
        <v/>
      </c>
    </row>
    <row r="448" spans="3:3" x14ac:dyDescent="0.25">
      <c r="C448" s="92" t="str">
        <f t="shared" si="6"/>
        <v/>
      </c>
    </row>
    <row r="449" spans="3:3" x14ac:dyDescent="0.25">
      <c r="C449" s="92" t="str">
        <f t="shared" si="6"/>
        <v/>
      </c>
    </row>
    <row r="450" spans="3:3" x14ac:dyDescent="0.25">
      <c r="C450" s="92" t="str">
        <f t="shared" si="6"/>
        <v/>
      </c>
    </row>
    <row r="451" spans="3:3" x14ac:dyDescent="0.25">
      <c r="C451" s="92" t="str">
        <f t="shared" si="6"/>
        <v/>
      </c>
    </row>
    <row r="452" spans="3:3" x14ac:dyDescent="0.25">
      <c r="C452" s="92" t="str">
        <f t="shared" si="6"/>
        <v/>
      </c>
    </row>
    <row r="453" spans="3:3" x14ac:dyDescent="0.25">
      <c r="C453" s="92" t="str">
        <f t="shared" si="6"/>
        <v/>
      </c>
    </row>
    <row r="454" spans="3:3" x14ac:dyDescent="0.25">
      <c r="C454" s="92" t="str">
        <f t="shared" si="6"/>
        <v/>
      </c>
    </row>
    <row r="455" spans="3:3" x14ac:dyDescent="0.25">
      <c r="C455" s="92" t="str">
        <f t="shared" si="6"/>
        <v/>
      </c>
    </row>
    <row r="456" spans="3:3" x14ac:dyDescent="0.25">
      <c r="C456" s="92" t="str">
        <f t="shared" si="6"/>
        <v/>
      </c>
    </row>
    <row r="457" spans="3:3" x14ac:dyDescent="0.25">
      <c r="C457" s="92" t="str">
        <f t="shared" si="6"/>
        <v/>
      </c>
    </row>
    <row r="458" spans="3:3" x14ac:dyDescent="0.25">
      <c r="C458" s="92" t="str">
        <f t="shared" si="6"/>
        <v/>
      </c>
    </row>
    <row r="459" spans="3:3" x14ac:dyDescent="0.25">
      <c r="C459" s="92" t="str">
        <f t="shared" si="6"/>
        <v/>
      </c>
    </row>
    <row r="460" spans="3:3" x14ac:dyDescent="0.25">
      <c r="C460" s="92" t="str">
        <f t="shared" si="6"/>
        <v/>
      </c>
    </row>
    <row r="461" spans="3:3" x14ac:dyDescent="0.25">
      <c r="C461" s="92" t="str">
        <f t="shared" si="6"/>
        <v/>
      </c>
    </row>
    <row r="462" spans="3:3" x14ac:dyDescent="0.25">
      <c r="C462" s="92" t="str">
        <f t="shared" ref="C462:C525" si="7">IF(A462=0,"","Concrete04")</f>
        <v/>
      </c>
    </row>
    <row r="463" spans="3:3" x14ac:dyDescent="0.25">
      <c r="C463" s="92" t="str">
        <f t="shared" si="7"/>
        <v/>
      </c>
    </row>
    <row r="464" spans="3:3" x14ac:dyDescent="0.25">
      <c r="C464" s="92" t="str">
        <f t="shared" si="7"/>
        <v/>
      </c>
    </row>
    <row r="465" spans="3:3" x14ac:dyDescent="0.25">
      <c r="C465" s="92" t="str">
        <f t="shared" si="7"/>
        <v/>
      </c>
    </row>
    <row r="466" spans="3:3" x14ac:dyDescent="0.25">
      <c r="C466" s="92" t="str">
        <f t="shared" si="7"/>
        <v/>
      </c>
    </row>
    <row r="467" spans="3:3" x14ac:dyDescent="0.25">
      <c r="C467" s="92" t="str">
        <f t="shared" si="7"/>
        <v/>
      </c>
    </row>
    <row r="468" spans="3:3" x14ac:dyDescent="0.25">
      <c r="C468" s="92" t="str">
        <f t="shared" si="7"/>
        <v/>
      </c>
    </row>
    <row r="469" spans="3:3" x14ac:dyDescent="0.25">
      <c r="C469" s="92" t="str">
        <f t="shared" si="7"/>
        <v/>
      </c>
    </row>
    <row r="470" spans="3:3" x14ac:dyDescent="0.25">
      <c r="C470" s="92" t="str">
        <f t="shared" si="7"/>
        <v/>
      </c>
    </row>
    <row r="471" spans="3:3" x14ac:dyDescent="0.25">
      <c r="C471" s="92" t="str">
        <f t="shared" si="7"/>
        <v/>
      </c>
    </row>
    <row r="472" spans="3:3" x14ac:dyDescent="0.25">
      <c r="C472" s="92" t="str">
        <f t="shared" si="7"/>
        <v/>
      </c>
    </row>
    <row r="473" spans="3:3" x14ac:dyDescent="0.25">
      <c r="C473" s="92" t="str">
        <f t="shared" si="7"/>
        <v/>
      </c>
    </row>
    <row r="474" spans="3:3" x14ac:dyDescent="0.25">
      <c r="C474" s="92" t="str">
        <f t="shared" si="7"/>
        <v/>
      </c>
    </row>
    <row r="475" spans="3:3" x14ac:dyDescent="0.25">
      <c r="C475" s="92" t="str">
        <f t="shared" si="7"/>
        <v/>
      </c>
    </row>
    <row r="476" spans="3:3" x14ac:dyDescent="0.25">
      <c r="C476" s="92" t="str">
        <f t="shared" si="7"/>
        <v/>
      </c>
    </row>
    <row r="477" spans="3:3" x14ac:dyDescent="0.25">
      <c r="C477" s="92" t="str">
        <f t="shared" si="7"/>
        <v/>
      </c>
    </row>
    <row r="478" spans="3:3" x14ac:dyDescent="0.25">
      <c r="C478" s="92" t="str">
        <f t="shared" si="7"/>
        <v/>
      </c>
    </row>
    <row r="479" spans="3:3" x14ac:dyDescent="0.25">
      <c r="C479" s="92" t="str">
        <f t="shared" si="7"/>
        <v/>
      </c>
    </row>
    <row r="480" spans="3:3" x14ac:dyDescent="0.25">
      <c r="C480" s="92" t="str">
        <f t="shared" si="7"/>
        <v/>
      </c>
    </row>
    <row r="481" spans="3:3" x14ac:dyDescent="0.25">
      <c r="C481" s="92" t="str">
        <f t="shared" si="7"/>
        <v/>
      </c>
    </row>
    <row r="482" spans="3:3" x14ac:dyDescent="0.25">
      <c r="C482" s="92" t="str">
        <f t="shared" si="7"/>
        <v/>
      </c>
    </row>
    <row r="483" spans="3:3" x14ac:dyDescent="0.25">
      <c r="C483" s="92" t="str">
        <f t="shared" si="7"/>
        <v/>
      </c>
    </row>
    <row r="484" spans="3:3" x14ac:dyDescent="0.25">
      <c r="C484" s="92" t="str">
        <f t="shared" si="7"/>
        <v/>
      </c>
    </row>
    <row r="485" spans="3:3" x14ac:dyDescent="0.25">
      <c r="C485" s="92" t="str">
        <f t="shared" si="7"/>
        <v/>
      </c>
    </row>
    <row r="486" spans="3:3" x14ac:dyDescent="0.25">
      <c r="C486" s="92" t="str">
        <f t="shared" si="7"/>
        <v/>
      </c>
    </row>
    <row r="487" spans="3:3" x14ac:dyDescent="0.25">
      <c r="C487" s="92" t="str">
        <f t="shared" si="7"/>
        <v/>
      </c>
    </row>
    <row r="488" spans="3:3" x14ac:dyDescent="0.25">
      <c r="C488" s="92" t="str">
        <f t="shared" si="7"/>
        <v/>
      </c>
    </row>
    <row r="489" spans="3:3" x14ac:dyDescent="0.25">
      <c r="C489" s="92" t="str">
        <f t="shared" si="7"/>
        <v/>
      </c>
    </row>
    <row r="490" spans="3:3" x14ac:dyDescent="0.25">
      <c r="C490" s="92" t="str">
        <f t="shared" si="7"/>
        <v/>
      </c>
    </row>
    <row r="491" spans="3:3" x14ac:dyDescent="0.25">
      <c r="C491" s="92" t="str">
        <f t="shared" si="7"/>
        <v/>
      </c>
    </row>
    <row r="492" spans="3:3" x14ac:dyDescent="0.25">
      <c r="C492" s="92" t="str">
        <f t="shared" si="7"/>
        <v/>
      </c>
    </row>
    <row r="493" spans="3:3" x14ac:dyDescent="0.25">
      <c r="C493" s="92" t="str">
        <f t="shared" si="7"/>
        <v/>
      </c>
    </row>
    <row r="494" spans="3:3" x14ac:dyDescent="0.25">
      <c r="C494" s="92" t="str">
        <f t="shared" si="7"/>
        <v/>
      </c>
    </row>
    <row r="495" spans="3:3" x14ac:dyDescent="0.25">
      <c r="C495" s="92" t="str">
        <f t="shared" si="7"/>
        <v/>
      </c>
    </row>
    <row r="496" spans="3:3" x14ac:dyDescent="0.25">
      <c r="C496" s="92" t="str">
        <f t="shared" si="7"/>
        <v/>
      </c>
    </row>
    <row r="497" spans="3:3" x14ac:dyDescent="0.25">
      <c r="C497" s="92" t="str">
        <f t="shared" si="7"/>
        <v/>
      </c>
    </row>
    <row r="498" spans="3:3" x14ac:dyDescent="0.25">
      <c r="C498" s="92" t="str">
        <f t="shared" si="7"/>
        <v/>
      </c>
    </row>
    <row r="499" spans="3:3" x14ac:dyDescent="0.25">
      <c r="C499" s="92" t="str">
        <f t="shared" si="7"/>
        <v/>
      </c>
    </row>
    <row r="500" spans="3:3" x14ac:dyDescent="0.25">
      <c r="C500" s="92" t="str">
        <f t="shared" si="7"/>
        <v/>
      </c>
    </row>
    <row r="501" spans="3:3" x14ac:dyDescent="0.25">
      <c r="C501" s="92" t="str">
        <f t="shared" si="7"/>
        <v/>
      </c>
    </row>
    <row r="502" spans="3:3" x14ac:dyDescent="0.25">
      <c r="C502" s="92" t="str">
        <f t="shared" si="7"/>
        <v/>
      </c>
    </row>
    <row r="503" spans="3:3" x14ac:dyDescent="0.25">
      <c r="C503" s="92" t="str">
        <f t="shared" si="7"/>
        <v/>
      </c>
    </row>
    <row r="504" spans="3:3" x14ac:dyDescent="0.25">
      <c r="C504" s="92" t="str">
        <f t="shared" si="7"/>
        <v/>
      </c>
    </row>
    <row r="505" spans="3:3" x14ac:dyDescent="0.25">
      <c r="C505" s="92" t="str">
        <f t="shared" si="7"/>
        <v/>
      </c>
    </row>
    <row r="506" spans="3:3" x14ac:dyDescent="0.25">
      <c r="C506" s="92" t="str">
        <f t="shared" si="7"/>
        <v/>
      </c>
    </row>
    <row r="507" spans="3:3" x14ac:dyDescent="0.25">
      <c r="C507" s="92" t="str">
        <f t="shared" si="7"/>
        <v/>
      </c>
    </row>
    <row r="508" spans="3:3" x14ac:dyDescent="0.25">
      <c r="C508" s="92" t="str">
        <f t="shared" si="7"/>
        <v/>
      </c>
    </row>
    <row r="509" spans="3:3" x14ac:dyDescent="0.25">
      <c r="C509" s="92" t="str">
        <f t="shared" si="7"/>
        <v/>
      </c>
    </row>
    <row r="510" spans="3:3" x14ac:dyDescent="0.25">
      <c r="C510" s="92" t="str">
        <f t="shared" si="7"/>
        <v/>
      </c>
    </row>
    <row r="511" spans="3:3" x14ac:dyDescent="0.25">
      <c r="C511" s="92" t="str">
        <f t="shared" si="7"/>
        <v/>
      </c>
    </row>
    <row r="512" spans="3:3" x14ac:dyDescent="0.25">
      <c r="C512" s="92" t="str">
        <f t="shared" si="7"/>
        <v/>
      </c>
    </row>
    <row r="513" spans="3:3" x14ac:dyDescent="0.25">
      <c r="C513" s="92" t="str">
        <f t="shared" si="7"/>
        <v/>
      </c>
    </row>
    <row r="514" spans="3:3" x14ac:dyDescent="0.25">
      <c r="C514" s="92" t="str">
        <f t="shared" si="7"/>
        <v/>
      </c>
    </row>
    <row r="515" spans="3:3" x14ac:dyDescent="0.25">
      <c r="C515" s="92" t="str">
        <f t="shared" si="7"/>
        <v/>
      </c>
    </row>
    <row r="516" spans="3:3" x14ac:dyDescent="0.25">
      <c r="C516" s="92" t="str">
        <f t="shared" si="7"/>
        <v/>
      </c>
    </row>
    <row r="517" spans="3:3" x14ac:dyDescent="0.25">
      <c r="C517" s="92" t="str">
        <f t="shared" si="7"/>
        <v/>
      </c>
    </row>
    <row r="518" spans="3:3" x14ac:dyDescent="0.25">
      <c r="C518" s="92" t="str">
        <f t="shared" si="7"/>
        <v/>
      </c>
    </row>
    <row r="519" spans="3:3" x14ac:dyDescent="0.25">
      <c r="C519" s="92" t="str">
        <f t="shared" si="7"/>
        <v/>
      </c>
    </row>
    <row r="520" spans="3:3" x14ac:dyDescent="0.25">
      <c r="C520" s="92" t="str">
        <f t="shared" si="7"/>
        <v/>
      </c>
    </row>
    <row r="521" spans="3:3" x14ac:dyDescent="0.25">
      <c r="C521" s="92" t="str">
        <f t="shared" si="7"/>
        <v/>
      </c>
    </row>
    <row r="522" spans="3:3" x14ac:dyDescent="0.25">
      <c r="C522" s="92" t="str">
        <f t="shared" si="7"/>
        <v/>
      </c>
    </row>
    <row r="523" spans="3:3" x14ac:dyDescent="0.25">
      <c r="C523" s="92" t="str">
        <f t="shared" si="7"/>
        <v/>
      </c>
    </row>
    <row r="524" spans="3:3" x14ac:dyDescent="0.25">
      <c r="C524" s="92" t="str">
        <f t="shared" si="7"/>
        <v/>
      </c>
    </row>
    <row r="525" spans="3:3" x14ac:dyDescent="0.25">
      <c r="C525" s="92" t="str">
        <f t="shared" si="7"/>
        <v/>
      </c>
    </row>
    <row r="526" spans="3:3" x14ac:dyDescent="0.25">
      <c r="C526" s="92" t="str">
        <f t="shared" ref="C526:C589" si="8">IF(A526=0,"","Concrete04")</f>
        <v/>
      </c>
    </row>
    <row r="527" spans="3:3" x14ac:dyDescent="0.25">
      <c r="C527" s="92" t="str">
        <f t="shared" si="8"/>
        <v/>
      </c>
    </row>
    <row r="528" spans="3:3" x14ac:dyDescent="0.25">
      <c r="C528" s="92" t="str">
        <f t="shared" si="8"/>
        <v/>
      </c>
    </row>
    <row r="529" spans="3:3" x14ac:dyDescent="0.25">
      <c r="C529" s="92" t="str">
        <f t="shared" si="8"/>
        <v/>
      </c>
    </row>
    <row r="530" spans="3:3" x14ac:dyDescent="0.25">
      <c r="C530" s="92" t="str">
        <f t="shared" si="8"/>
        <v/>
      </c>
    </row>
    <row r="531" spans="3:3" x14ac:dyDescent="0.25">
      <c r="C531" s="92" t="str">
        <f t="shared" si="8"/>
        <v/>
      </c>
    </row>
    <row r="532" spans="3:3" x14ac:dyDescent="0.25">
      <c r="C532" s="92" t="str">
        <f t="shared" si="8"/>
        <v/>
      </c>
    </row>
    <row r="533" spans="3:3" x14ac:dyDescent="0.25">
      <c r="C533" s="92" t="str">
        <f t="shared" si="8"/>
        <v/>
      </c>
    </row>
    <row r="534" spans="3:3" x14ac:dyDescent="0.25">
      <c r="C534" s="92" t="str">
        <f t="shared" si="8"/>
        <v/>
      </c>
    </row>
    <row r="535" spans="3:3" x14ac:dyDescent="0.25">
      <c r="C535" s="92" t="str">
        <f t="shared" si="8"/>
        <v/>
      </c>
    </row>
    <row r="536" spans="3:3" x14ac:dyDescent="0.25">
      <c r="C536" s="92" t="str">
        <f t="shared" si="8"/>
        <v/>
      </c>
    </row>
    <row r="537" spans="3:3" x14ac:dyDescent="0.25">
      <c r="C537" s="92" t="str">
        <f t="shared" si="8"/>
        <v/>
      </c>
    </row>
    <row r="538" spans="3:3" x14ac:dyDescent="0.25">
      <c r="C538" s="92" t="str">
        <f t="shared" si="8"/>
        <v/>
      </c>
    </row>
    <row r="539" spans="3:3" x14ac:dyDescent="0.25">
      <c r="C539" s="92" t="str">
        <f t="shared" si="8"/>
        <v/>
      </c>
    </row>
    <row r="540" spans="3:3" x14ac:dyDescent="0.25">
      <c r="C540" s="92" t="str">
        <f t="shared" si="8"/>
        <v/>
      </c>
    </row>
    <row r="541" spans="3:3" x14ac:dyDescent="0.25">
      <c r="C541" s="92" t="str">
        <f t="shared" si="8"/>
        <v/>
      </c>
    </row>
    <row r="542" spans="3:3" x14ac:dyDescent="0.25">
      <c r="C542" s="92" t="str">
        <f t="shared" si="8"/>
        <v/>
      </c>
    </row>
    <row r="543" spans="3:3" x14ac:dyDescent="0.25">
      <c r="C543" s="92" t="str">
        <f t="shared" si="8"/>
        <v/>
      </c>
    </row>
    <row r="544" spans="3:3" x14ac:dyDescent="0.25">
      <c r="C544" s="92" t="str">
        <f t="shared" si="8"/>
        <v/>
      </c>
    </row>
    <row r="545" spans="3:3" x14ac:dyDescent="0.25">
      <c r="C545" s="92" t="str">
        <f t="shared" si="8"/>
        <v/>
      </c>
    </row>
    <row r="546" spans="3:3" x14ac:dyDescent="0.25">
      <c r="C546" s="92" t="str">
        <f t="shared" si="8"/>
        <v/>
      </c>
    </row>
    <row r="547" spans="3:3" x14ac:dyDescent="0.25">
      <c r="C547" s="92" t="str">
        <f t="shared" si="8"/>
        <v/>
      </c>
    </row>
    <row r="548" spans="3:3" x14ac:dyDescent="0.25">
      <c r="C548" s="92" t="str">
        <f t="shared" si="8"/>
        <v/>
      </c>
    </row>
    <row r="549" spans="3:3" x14ac:dyDescent="0.25">
      <c r="C549" s="92" t="str">
        <f t="shared" si="8"/>
        <v/>
      </c>
    </row>
    <row r="550" spans="3:3" x14ac:dyDescent="0.25">
      <c r="C550" s="92" t="str">
        <f t="shared" si="8"/>
        <v/>
      </c>
    </row>
    <row r="551" spans="3:3" x14ac:dyDescent="0.25">
      <c r="C551" s="92" t="str">
        <f t="shared" si="8"/>
        <v/>
      </c>
    </row>
    <row r="552" spans="3:3" x14ac:dyDescent="0.25">
      <c r="C552" s="92" t="str">
        <f t="shared" si="8"/>
        <v/>
      </c>
    </row>
    <row r="553" spans="3:3" x14ac:dyDescent="0.25">
      <c r="C553" s="92" t="str">
        <f t="shared" si="8"/>
        <v/>
      </c>
    </row>
    <row r="554" spans="3:3" x14ac:dyDescent="0.25">
      <c r="C554" s="92" t="str">
        <f t="shared" si="8"/>
        <v/>
      </c>
    </row>
    <row r="555" spans="3:3" x14ac:dyDescent="0.25">
      <c r="C555" s="92" t="str">
        <f t="shared" si="8"/>
        <v/>
      </c>
    </row>
    <row r="556" spans="3:3" x14ac:dyDescent="0.25">
      <c r="C556" s="92" t="str">
        <f t="shared" si="8"/>
        <v/>
      </c>
    </row>
    <row r="557" spans="3:3" x14ac:dyDescent="0.25">
      <c r="C557" s="92" t="str">
        <f t="shared" si="8"/>
        <v/>
      </c>
    </row>
    <row r="558" spans="3:3" x14ac:dyDescent="0.25">
      <c r="C558" s="92" t="str">
        <f t="shared" si="8"/>
        <v/>
      </c>
    </row>
    <row r="559" spans="3:3" x14ac:dyDescent="0.25">
      <c r="C559" s="92" t="str">
        <f t="shared" si="8"/>
        <v/>
      </c>
    </row>
    <row r="560" spans="3:3" x14ac:dyDescent="0.25">
      <c r="C560" s="92" t="str">
        <f t="shared" si="8"/>
        <v/>
      </c>
    </row>
    <row r="561" spans="3:3" x14ac:dyDescent="0.25">
      <c r="C561" s="92" t="str">
        <f t="shared" si="8"/>
        <v/>
      </c>
    </row>
    <row r="562" spans="3:3" x14ac:dyDescent="0.25">
      <c r="C562" s="92" t="str">
        <f t="shared" si="8"/>
        <v/>
      </c>
    </row>
    <row r="563" spans="3:3" x14ac:dyDescent="0.25">
      <c r="C563" s="92" t="str">
        <f t="shared" si="8"/>
        <v/>
      </c>
    </row>
    <row r="564" spans="3:3" x14ac:dyDescent="0.25">
      <c r="C564" s="92" t="str">
        <f t="shared" si="8"/>
        <v/>
      </c>
    </row>
    <row r="565" spans="3:3" x14ac:dyDescent="0.25">
      <c r="C565" s="92" t="str">
        <f t="shared" si="8"/>
        <v/>
      </c>
    </row>
    <row r="566" spans="3:3" x14ac:dyDescent="0.25">
      <c r="C566" s="92" t="str">
        <f t="shared" si="8"/>
        <v/>
      </c>
    </row>
    <row r="567" spans="3:3" x14ac:dyDescent="0.25">
      <c r="C567" s="92" t="str">
        <f t="shared" si="8"/>
        <v/>
      </c>
    </row>
    <row r="568" spans="3:3" x14ac:dyDescent="0.25">
      <c r="C568" s="92" t="str">
        <f t="shared" si="8"/>
        <v/>
      </c>
    </row>
    <row r="569" spans="3:3" x14ac:dyDescent="0.25">
      <c r="C569" s="92" t="str">
        <f t="shared" si="8"/>
        <v/>
      </c>
    </row>
    <row r="570" spans="3:3" x14ac:dyDescent="0.25">
      <c r="C570" s="92" t="str">
        <f t="shared" si="8"/>
        <v/>
      </c>
    </row>
    <row r="571" spans="3:3" x14ac:dyDescent="0.25">
      <c r="C571" s="92" t="str">
        <f t="shared" si="8"/>
        <v/>
      </c>
    </row>
    <row r="572" spans="3:3" x14ac:dyDescent="0.25">
      <c r="C572" s="92" t="str">
        <f t="shared" si="8"/>
        <v/>
      </c>
    </row>
    <row r="573" spans="3:3" x14ac:dyDescent="0.25">
      <c r="C573" s="92" t="str">
        <f t="shared" si="8"/>
        <v/>
      </c>
    </row>
    <row r="574" spans="3:3" x14ac:dyDescent="0.25">
      <c r="C574" s="92" t="str">
        <f t="shared" si="8"/>
        <v/>
      </c>
    </row>
    <row r="575" spans="3:3" x14ac:dyDescent="0.25">
      <c r="C575" s="92" t="str">
        <f t="shared" si="8"/>
        <v/>
      </c>
    </row>
    <row r="576" spans="3:3" x14ac:dyDescent="0.25">
      <c r="C576" s="92" t="str">
        <f t="shared" si="8"/>
        <v/>
      </c>
    </row>
    <row r="577" spans="3:3" x14ac:dyDescent="0.25">
      <c r="C577" s="92" t="str">
        <f t="shared" si="8"/>
        <v/>
      </c>
    </row>
    <row r="578" spans="3:3" x14ac:dyDescent="0.25">
      <c r="C578" s="92" t="str">
        <f t="shared" si="8"/>
        <v/>
      </c>
    </row>
    <row r="579" spans="3:3" x14ac:dyDescent="0.25">
      <c r="C579" s="92" t="str">
        <f t="shared" si="8"/>
        <v/>
      </c>
    </row>
    <row r="580" spans="3:3" x14ac:dyDescent="0.25">
      <c r="C580" s="92" t="str">
        <f t="shared" si="8"/>
        <v/>
      </c>
    </row>
    <row r="581" spans="3:3" x14ac:dyDescent="0.25">
      <c r="C581" s="92" t="str">
        <f t="shared" si="8"/>
        <v/>
      </c>
    </row>
    <row r="582" spans="3:3" x14ac:dyDescent="0.25">
      <c r="C582" s="92" t="str">
        <f t="shared" si="8"/>
        <v/>
      </c>
    </row>
    <row r="583" spans="3:3" x14ac:dyDescent="0.25">
      <c r="C583" s="92" t="str">
        <f t="shared" si="8"/>
        <v/>
      </c>
    </row>
    <row r="584" spans="3:3" x14ac:dyDescent="0.25">
      <c r="C584" s="92" t="str">
        <f t="shared" si="8"/>
        <v/>
      </c>
    </row>
    <row r="585" spans="3:3" x14ac:dyDescent="0.25">
      <c r="C585" s="92" t="str">
        <f t="shared" si="8"/>
        <v/>
      </c>
    </row>
    <row r="586" spans="3:3" x14ac:dyDescent="0.25">
      <c r="C586" s="92" t="str">
        <f t="shared" si="8"/>
        <v/>
      </c>
    </row>
    <row r="587" spans="3:3" x14ac:dyDescent="0.25">
      <c r="C587" s="92" t="str">
        <f t="shared" si="8"/>
        <v/>
      </c>
    </row>
    <row r="588" spans="3:3" x14ac:dyDescent="0.25">
      <c r="C588" s="92" t="str">
        <f t="shared" si="8"/>
        <v/>
      </c>
    </row>
    <row r="589" spans="3:3" x14ac:dyDescent="0.25">
      <c r="C589" s="92" t="str">
        <f t="shared" si="8"/>
        <v/>
      </c>
    </row>
    <row r="590" spans="3:3" x14ac:dyDescent="0.25">
      <c r="C590" s="92" t="str">
        <f t="shared" ref="C590:C653" si="9">IF(A590=0,"","Concrete04")</f>
        <v/>
      </c>
    </row>
    <row r="591" spans="3:3" x14ac:dyDescent="0.25">
      <c r="C591" s="92" t="str">
        <f t="shared" si="9"/>
        <v/>
      </c>
    </row>
    <row r="592" spans="3:3" x14ac:dyDescent="0.25">
      <c r="C592" s="92" t="str">
        <f t="shared" si="9"/>
        <v/>
      </c>
    </row>
    <row r="593" spans="3:3" x14ac:dyDescent="0.25">
      <c r="C593" s="92" t="str">
        <f t="shared" si="9"/>
        <v/>
      </c>
    </row>
    <row r="594" spans="3:3" x14ac:dyDescent="0.25">
      <c r="C594" s="92" t="str">
        <f t="shared" si="9"/>
        <v/>
      </c>
    </row>
    <row r="595" spans="3:3" x14ac:dyDescent="0.25">
      <c r="C595" s="92" t="str">
        <f t="shared" si="9"/>
        <v/>
      </c>
    </row>
    <row r="596" spans="3:3" x14ac:dyDescent="0.25">
      <c r="C596" s="92" t="str">
        <f t="shared" si="9"/>
        <v/>
      </c>
    </row>
    <row r="597" spans="3:3" x14ac:dyDescent="0.25">
      <c r="C597" s="92" t="str">
        <f t="shared" si="9"/>
        <v/>
      </c>
    </row>
    <row r="598" spans="3:3" x14ac:dyDescent="0.25">
      <c r="C598" s="92" t="str">
        <f t="shared" si="9"/>
        <v/>
      </c>
    </row>
    <row r="599" spans="3:3" x14ac:dyDescent="0.25">
      <c r="C599" s="92" t="str">
        <f t="shared" si="9"/>
        <v/>
      </c>
    </row>
    <row r="600" spans="3:3" x14ac:dyDescent="0.25">
      <c r="C600" s="92" t="str">
        <f t="shared" si="9"/>
        <v/>
      </c>
    </row>
    <row r="601" spans="3:3" x14ac:dyDescent="0.25">
      <c r="C601" s="92" t="str">
        <f t="shared" si="9"/>
        <v/>
      </c>
    </row>
    <row r="602" spans="3:3" x14ac:dyDescent="0.25">
      <c r="C602" s="92" t="str">
        <f t="shared" si="9"/>
        <v/>
      </c>
    </row>
    <row r="603" spans="3:3" x14ac:dyDescent="0.25">
      <c r="C603" s="92" t="str">
        <f t="shared" si="9"/>
        <v/>
      </c>
    </row>
    <row r="604" spans="3:3" x14ac:dyDescent="0.25">
      <c r="C604" s="92" t="str">
        <f t="shared" si="9"/>
        <v/>
      </c>
    </row>
    <row r="605" spans="3:3" x14ac:dyDescent="0.25">
      <c r="C605" s="92" t="str">
        <f t="shared" si="9"/>
        <v/>
      </c>
    </row>
    <row r="606" spans="3:3" x14ac:dyDescent="0.25">
      <c r="C606" s="92" t="str">
        <f t="shared" si="9"/>
        <v/>
      </c>
    </row>
    <row r="607" spans="3:3" x14ac:dyDescent="0.25">
      <c r="C607" s="92" t="str">
        <f t="shared" si="9"/>
        <v/>
      </c>
    </row>
    <row r="608" spans="3:3" x14ac:dyDescent="0.25">
      <c r="C608" s="92" t="str">
        <f t="shared" si="9"/>
        <v/>
      </c>
    </row>
    <row r="609" spans="3:3" x14ac:dyDescent="0.25">
      <c r="C609" s="92" t="str">
        <f t="shared" si="9"/>
        <v/>
      </c>
    </row>
    <row r="610" spans="3:3" x14ac:dyDescent="0.25">
      <c r="C610" s="92" t="str">
        <f t="shared" si="9"/>
        <v/>
      </c>
    </row>
    <row r="611" spans="3:3" x14ac:dyDescent="0.25">
      <c r="C611" s="92" t="str">
        <f t="shared" si="9"/>
        <v/>
      </c>
    </row>
    <row r="612" spans="3:3" x14ac:dyDescent="0.25">
      <c r="C612" s="92" t="str">
        <f t="shared" si="9"/>
        <v/>
      </c>
    </row>
    <row r="613" spans="3:3" x14ac:dyDescent="0.25">
      <c r="C613" s="92" t="str">
        <f t="shared" si="9"/>
        <v/>
      </c>
    </row>
    <row r="614" spans="3:3" x14ac:dyDescent="0.25">
      <c r="C614" s="92" t="str">
        <f t="shared" si="9"/>
        <v/>
      </c>
    </row>
    <row r="615" spans="3:3" x14ac:dyDescent="0.25">
      <c r="C615" s="92" t="str">
        <f t="shared" si="9"/>
        <v/>
      </c>
    </row>
    <row r="616" spans="3:3" x14ac:dyDescent="0.25">
      <c r="C616" s="92" t="str">
        <f t="shared" si="9"/>
        <v/>
      </c>
    </row>
    <row r="617" spans="3:3" x14ac:dyDescent="0.25">
      <c r="C617" s="92" t="str">
        <f t="shared" si="9"/>
        <v/>
      </c>
    </row>
    <row r="618" spans="3:3" x14ac:dyDescent="0.25">
      <c r="C618" s="92" t="str">
        <f t="shared" si="9"/>
        <v/>
      </c>
    </row>
    <row r="619" spans="3:3" x14ac:dyDescent="0.25">
      <c r="C619" s="92" t="str">
        <f t="shared" si="9"/>
        <v/>
      </c>
    </row>
    <row r="620" spans="3:3" x14ac:dyDescent="0.25">
      <c r="C620" s="92" t="str">
        <f t="shared" si="9"/>
        <v/>
      </c>
    </row>
    <row r="621" spans="3:3" x14ac:dyDescent="0.25">
      <c r="C621" s="92" t="str">
        <f t="shared" si="9"/>
        <v/>
      </c>
    </row>
    <row r="622" spans="3:3" x14ac:dyDescent="0.25">
      <c r="C622" s="92" t="str">
        <f t="shared" si="9"/>
        <v/>
      </c>
    </row>
    <row r="623" spans="3:3" x14ac:dyDescent="0.25">
      <c r="C623" s="92" t="str">
        <f t="shared" si="9"/>
        <v/>
      </c>
    </row>
    <row r="624" spans="3:3" x14ac:dyDescent="0.25">
      <c r="C624" s="92" t="str">
        <f t="shared" si="9"/>
        <v/>
      </c>
    </row>
    <row r="625" spans="3:3" x14ac:dyDescent="0.25">
      <c r="C625" s="92" t="str">
        <f t="shared" si="9"/>
        <v/>
      </c>
    </row>
    <row r="626" spans="3:3" x14ac:dyDescent="0.25">
      <c r="C626" s="92" t="str">
        <f t="shared" si="9"/>
        <v/>
      </c>
    </row>
    <row r="627" spans="3:3" x14ac:dyDescent="0.25">
      <c r="C627" s="92" t="str">
        <f t="shared" si="9"/>
        <v/>
      </c>
    </row>
    <row r="628" spans="3:3" x14ac:dyDescent="0.25">
      <c r="C628" s="92" t="str">
        <f t="shared" si="9"/>
        <v/>
      </c>
    </row>
    <row r="629" spans="3:3" x14ac:dyDescent="0.25">
      <c r="C629" s="92" t="str">
        <f t="shared" si="9"/>
        <v/>
      </c>
    </row>
    <row r="630" spans="3:3" x14ac:dyDescent="0.25">
      <c r="C630" s="92" t="str">
        <f t="shared" si="9"/>
        <v/>
      </c>
    </row>
    <row r="631" spans="3:3" x14ac:dyDescent="0.25">
      <c r="C631" s="92" t="str">
        <f t="shared" si="9"/>
        <v/>
      </c>
    </row>
    <row r="632" spans="3:3" x14ac:dyDescent="0.25">
      <c r="C632" s="92" t="str">
        <f t="shared" si="9"/>
        <v/>
      </c>
    </row>
    <row r="633" spans="3:3" x14ac:dyDescent="0.25">
      <c r="C633" s="92" t="str">
        <f t="shared" si="9"/>
        <v/>
      </c>
    </row>
    <row r="634" spans="3:3" x14ac:dyDescent="0.25">
      <c r="C634" s="92" t="str">
        <f t="shared" si="9"/>
        <v/>
      </c>
    </row>
    <row r="635" spans="3:3" x14ac:dyDescent="0.25">
      <c r="C635" s="92" t="str">
        <f t="shared" si="9"/>
        <v/>
      </c>
    </row>
    <row r="636" spans="3:3" x14ac:dyDescent="0.25">
      <c r="C636" s="92" t="str">
        <f t="shared" si="9"/>
        <v/>
      </c>
    </row>
    <row r="637" spans="3:3" x14ac:dyDescent="0.25">
      <c r="C637" s="92" t="str">
        <f t="shared" si="9"/>
        <v/>
      </c>
    </row>
    <row r="638" spans="3:3" x14ac:dyDescent="0.25">
      <c r="C638" s="92" t="str">
        <f t="shared" si="9"/>
        <v/>
      </c>
    </row>
    <row r="639" spans="3:3" x14ac:dyDescent="0.25">
      <c r="C639" s="92" t="str">
        <f t="shared" si="9"/>
        <v/>
      </c>
    </row>
    <row r="640" spans="3:3" x14ac:dyDescent="0.25">
      <c r="C640" s="92" t="str">
        <f t="shared" si="9"/>
        <v/>
      </c>
    </row>
    <row r="641" spans="3:3" x14ac:dyDescent="0.25">
      <c r="C641" s="92" t="str">
        <f t="shared" si="9"/>
        <v/>
      </c>
    </row>
    <row r="642" spans="3:3" x14ac:dyDescent="0.25">
      <c r="C642" s="92" t="str">
        <f t="shared" si="9"/>
        <v/>
      </c>
    </row>
    <row r="643" spans="3:3" x14ac:dyDescent="0.25">
      <c r="C643" s="92" t="str">
        <f t="shared" si="9"/>
        <v/>
      </c>
    </row>
    <row r="644" spans="3:3" x14ac:dyDescent="0.25">
      <c r="C644" s="92" t="str">
        <f t="shared" si="9"/>
        <v/>
      </c>
    </row>
    <row r="645" spans="3:3" x14ac:dyDescent="0.25">
      <c r="C645" s="92" t="str">
        <f t="shared" si="9"/>
        <v/>
      </c>
    </row>
    <row r="646" spans="3:3" x14ac:dyDescent="0.25">
      <c r="C646" s="92" t="str">
        <f t="shared" si="9"/>
        <v/>
      </c>
    </row>
    <row r="647" spans="3:3" x14ac:dyDescent="0.25">
      <c r="C647" s="92" t="str">
        <f t="shared" si="9"/>
        <v/>
      </c>
    </row>
    <row r="648" spans="3:3" x14ac:dyDescent="0.25">
      <c r="C648" s="92" t="str">
        <f t="shared" si="9"/>
        <v/>
      </c>
    </row>
    <row r="649" spans="3:3" x14ac:dyDescent="0.25">
      <c r="C649" s="92" t="str">
        <f t="shared" si="9"/>
        <v/>
      </c>
    </row>
    <row r="650" spans="3:3" x14ac:dyDescent="0.25">
      <c r="C650" s="92" t="str">
        <f t="shared" si="9"/>
        <v/>
      </c>
    </row>
    <row r="651" spans="3:3" x14ac:dyDescent="0.25">
      <c r="C651" s="92" t="str">
        <f t="shared" si="9"/>
        <v/>
      </c>
    </row>
    <row r="652" spans="3:3" x14ac:dyDescent="0.25">
      <c r="C652" s="92" t="str">
        <f t="shared" si="9"/>
        <v/>
      </c>
    </row>
    <row r="653" spans="3:3" x14ac:dyDescent="0.25">
      <c r="C653" s="92" t="str">
        <f t="shared" si="9"/>
        <v/>
      </c>
    </row>
    <row r="654" spans="3:3" x14ac:dyDescent="0.25">
      <c r="C654" s="92" t="str">
        <f t="shared" ref="C654:C717" si="10">IF(A654=0,"","Concrete04")</f>
        <v/>
      </c>
    </row>
    <row r="655" spans="3:3" x14ac:dyDescent="0.25">
      <c r="C655" s="92" t="str">
        <f t="shared" si="10"/>
        <v/>
      </c>
    </row>
    <row r="656" spans="3:3" x14ac:dyDescent="0.25">
      <c r="C656" s="92" t="str">
        <f t="shared" si="10"/>
        <v/>
      </c>
    </row>
    <row r="657" spans="3:3" x14ac:dyDescent="0.25">
      <c r="C657" s="92" t="str">
        <f t="shared" si="10"/>
        <v/>
      </c>
    </row>
    <row r="658" spans="3:3" x14ac:dyDescent="0.25">
      <c r="C658" s="92" t="str">
        <f t="shared" si="10"/>
        <v/>
      </c>
    </row>
    <row r="659" spans="3:3" x14ac:dyDescent="0.25">
      <c r="C659" s="92" t="str">
        <f t="shared" si="10"/>
        <v/>
      </c>
    </row>
    <row r="660" spans="3:3" x14ac:dyDescent="0.25">
      <c r="C660" s="92" t="str">
        <f t="shared" si="10"/>
        <v/>
      </c>
    </row>
    <row r="661" spans="3:3" x14ac:dyDescent="0.25">
      <c r="C661" s="92" t="str">
        <f t="shared" si="10"/>
        <v/>
      </c>
    </row>
    <row r="662" spans="3:3" x14ac:dyDescent="0.25">
      <c r="C662" s="92" t="str">
        <f t="shared" si="10"/>
        <v/>
      </c>
    </row>
    <row r="663" spans="3:3" x14ac:dyDescent="0.25">
      <c r="C663" s="92" t="str">
        <f t="shared" si="10"/>
        <v/>
      </c>
    </row>
    <row r="664" spans="3:3" x14ac:dyDescent="0.25">
      <c r="C664" s="92" t="str">
        <f t="shared" si="10"/>
        <v/>
      </c>
    </row>
    <row r="665" spans="3:3" x14ac:dyDescent="0.25">
      <c r="C665" s="92" t="str">
        <f t="shared" si="10"/>
        <v/>
      </c>
    </row>
    <row r="666" spans="3:3" x14ac:dyDescent="0.25">
      <c r="C666" s="92" t="str">
        <f t="shared" si="10"/>
        <v/>
      </c>
    </row>
    <row r="667" spans="3:3" x14ac:dyDescent="0.25">
      <c r="C667" s="92" t="str">
        <f t="shared" si="10"/>
        <v/>
      </c>
    </row>
    <row r="668" spans="3:3" x14ac:dyDescent="0.25">
      <c r="C668" s="92" t="str">
        <f t="shared" si="10"/>
        <v/>
      </c>
    </row>
    <row r="669" spans="3:3" x14ac:dyDescent="0.25">
      <c r="C669" s="92" t="str">
        <f t="shared" si="10"/>
        <v/>
      </c>
    </row>
    <row r="670" spans="3:3" x14ac:dyDescent="0.25">
      <c r="C670" s="92" t="str">
        <f t="shared" si="10"/>
        <v/>
      </c>
    </row>
    <row r="671" spans="3:3" x14ac:dyDescent="0.25">
      <c r="C671" s="92" t="str">
        <f t="shared" si="10"/>
        <v/>
      </c>
    </row>
    <row r="672" spans="3:3" x14ac:dyDescent="0.25">
      <c r="C672" s="92" t="str">
        <f t="shared" si="10"/>
        <v/>
      </c>
    </row>
    <row r="673" spans="3:3" x14ac:dyDescent="0.25">
      <c r="C673" s="92" t="str">
        <f t="shared" si="10"/>
        <v/>
      </c>
    </row>
    <row r="674" spans="3:3" x14ac:dyDescent="0.25">
      <c r="C674" s="92" t="str">
        <f t="shared" si="10"/>
        <v/>
      </c>
    </row>
    <row r="675" spans="3:3" x14ac:dyDescent="0.25">
      <c r="C675" s="92" t="str">
        <f t="shared" si="10"/>
        <v/>
      </c>
    </row>
    <row r="676" spans="3:3" x14ac:dyDescent="0.25">
      <c r="C676" s="92" t="str">
        <f t="shared" si="10"/>
        <v/>
      </c>
    </row>
    <row r="677" spans="3:3" x14ac:dyDescent="0.25">
      <c r="C677" s="92" t="str">
        <f t="shared" si="10"/>
        <v/>
      </c>
    </row>
    <row r="678" spans="3:3" x14ac:dyDescent="0.25">
      <c r="C678" s="92" t="str">
        <f t="shared" si="10"/>
        <v/>
      </c>
    </row>
    <row r="679" spans="3:3" x14ac:dyDescent="0.25">
      <c r="C679" s="92" t="str">
        <f t="shared" si="10"/>
        <v/>
      </c>
    </row>
    <row r="680" spans="3:3" x14ac:dyDescent="0.25">
      <c r="C680" s="92" t="str">
        <f t="shared" si="10"/>
        <v/>
      </c>
    </row>
    <row r="681" spans="3:3" x14ac:dyDescent="0.25">
      <c r="C681" s="92" t="str">
        <f t="shared" si="10"/>
        <v/>
      </c>
    </row>
    <row r="682" spans="3:3" x14ac:dyDescent="0.25">
      <c r="C682" s="92" t="str">
        <f t="shared" si="10"/>
        <v/>
      </c>
    </row>
    <row r="683" spans="3:3" x14ac:dyDescent="0.25">
      <c r="C683" s="92" t="str">
        <f t="shared" si="10"/>
        <v/>
      </c>
    </row>
    <row r="684" spans="3:3" x14ac:dyDescent="0.25">
      <c r="C684" s="92" t="str">
        <f t="shared" si="10"/>
        <v/>
      </c>
    </row>
    <row r="685" spans="3:3" x14ac:dyDescent="0.25">
      <c r="C685" s="92" t="str">
        <f t="shared" si="10"/>
        <v/>
      </c>
    </row>
    <row r="686" spans="3:3" x14ac:dyDescent="0.25">
      <c r="C686" s="92" t="str">
        <f t="shared" si="10"/>
        <v/>
      </c>
    </row>
    <row r="687" spans="3:3" x14ac:dyDescent="0.25">
      <c r="C687" s="92" t="str">
        <f t="shared" si="10"/>
        <v/>
      </c>
    </row>
    <row r="688" spans="3:3" x14ac:dyDescent="0.25">
      <c r="C688" s="92" t="str">
        <f t="shared" si="10"/>
        <v/>
      </c>
    </row>
    <row r="689" spans="3:3" x14ac:dyDescent="0.25">
      <c r="C689" s="92" t="str">
        <f t="shared" si="10"/>
        <v/>
      </c>
    </row>
    <row r="690" spans="3:3" x14ac:dyDescent="0.25">
      <c r="C690" s="92" t="str">
        <f t="shared" si="10"/>
        <v/>
      </c>
    </row>
    <row r="691" spans="3:3" x14ac:dyDescent="0.25">
      <c r="C691" s="92" t="str">
        <f t="shared" si="10"/>
        <v/>
      </c>
    </row>
    <row r="692" spans="3:3" x14ac:dyDescent="0.25">
      <c r="C692" s="92" t="str">
        <f t="shared" si="10"/>
        <v/>
      </c>
    </row>
    <row r="693" spans="3:3" x14ac:dyDescent="0.25">
      <c r="C693" s="92" t="str">
        <f t="shared" si="10"/>
        <v/>
      </c>
    </row>
    <row r="694" spans="3:3" x14ac:dyDescent="0.25">
      <c r="C694" s="92" t="str">
        <f t="shared" si="10"/>
        <v/>
      </c>
    </row>
    <row r="695" spans="3:3" x14ac:dyDescent="0.25">
      <c r="C695" s="92" t="str">
        <f t="shared" si="10"/>
        <v/>
      </c>
    </row>
    <row r="696" spans="3:3" x14ac:dyDescent="0.25">
      <c r="C696" s="92" t="str">
        <f t="shared" si="10"/>
        <v/>
      </c>
    </row>
    <row r="697" spans="3:3" x14ac:dyDescent="0.25">
      <c r="C697" s="92" t="str">
        <f t="shared" si="10"/>
        <v/>
      </c>
    </row>
    <row r="698" spans="3:3" x14ac:dyDescent="0.25">
      <c r="C698" s="92" t="str">
        <f t="shared" si="10"/>
        <v/>
      </c>
    </row>
    <row r="699" spans="3:3" x14ac:dyDescent="0.25">
      <c r="C699" s="92" t="str">
        <f t="shared" si="10"/>
        <v/>
      </c>
    </row>
    <row r="700" spans="3:3" x14ac:dyDescent="0.25">
      <c r="C700" s="92" t="str">
        <f t="shared" si="10"/>
        <v/>
      </c>
    </row>
    <row r="701" spans="3:3" x14ac:dyDescent="0.25">
      <c r="C701" s="92" t="str">
        <f t="shared" si="10"/>
        <v/>
      </c>
    </row>
    <row r="702" spans="3:3" x14ac:dyDescent="0.25">
      <c r="C702" s="92" t="str">
        <f t="shared" si="10"/>
        <v/>
      </c>
    </row>
    <row r="703" spans="3:3" x14ac:dyDescent="0.25">
      <c r="C703" s="92" t="str">
        <f t="shared" si="10"/>
        <v/>
      </c>
    </row>
    <row r="704" spans="3:3" x14ac:dyDescent="0.25">
      <c r="C704" s="92" t="str">
        <f t="shared" si="10"/>
        <v/>
      </c>
    </row>
    <row r="705" spans="3:3" x14ac:dyDescent="0.25">
      <c r="C705" s="92" t="str">
        <f t="shared" si="10"/>
        <v/>
      </c>
    </row>
    <row r="706" spans="3:3" x14ac:dyDescent="0.25">
      <c r="C706" s="92" t="str">
        <f t="shared" si="10"/>
        <v/>
      </c>
    </row>
    <row r="707" spans="3:3" x14ac:dyDescent="0.25">
      <c r="C707" s="92" t="str">
        <f t="shared" si="10"/>
        <v/>
      </c>
    </row>
    <row r="708" spans="3:3" x14ac:dyDescent="0.25">
      <c r="C708" s="92" t="str">
        <f t="shared" si="10"/>
        <v/>
      </c>
    </row>
    <row r="709" spans="3:3" x14ac:dyDescent="0.25">
      <c r="C709" s="92" t="str">
        <f t="shared" si="10"/>
        <v/>
      </c>
    </row>
    <row r="710" spans="3:3" x14ac:dyDescent="0.25">
      <c r="C710" s="92" t="str">
        <f t="shared" si="10"/>
        <v/>
      </c>
    </row>
    <row r="711" spans="3:3" x14ac:dyDescent="0.25">
      <c r="C711" s="92" t="str">
        <f t="shared" si="10"/>
        <v/>
      </c>
    </row>
    <row r="712" spans="3:3" x14ac:dyDescent="0.25">
      <c r="C712" s="92" t="str">
        <f t="shared" si="10"/>
        <v/>
      </c>
    </row>
    <row r="713" spans="3:3" x14ac:dyDescent="0.25">
      <c r="C713" s="92" t="str">
        <f t="shared" si="10"/>
        <v/>
      </c>
    </row>
    <row r="714" spans="3:3" x14ac:dyDescent="0.25">
      <c r="C714" s="92" t="str">
        <f t="shared" si="10"/>
        <v/>
      </c>
    </row>
    <row r="715" spans="3:3" x14ac:dyDescent="0.25">
      <c r="C715" s="92" t="str">
        <f t="shared" si="10"/>
        <v/>
      </c>
    </row>
    <row r="716" spans="3:3" x14ac:dyDescent="0.25">
      <c r="C716" s="92" t="str">
        <f t="shared" si="10"/>
        <v/>
      </c>
    </row>
    <row r="717" spans="3:3" x14ac:dyDescent="0.25">
      <c r="C717" s="92" t="str">
        <f t="shared" si="10"/>
        <v/>
      </c>
    </row>
    <row r="718" spans="3:3" x14ac:dyDescent="0.25">
      <c r="C718" s="92" t="str">
        <f t="shared" ref="C718:C781" si="11">IF(A718=0,"","Concrete04")</f>
        <v/>
      </c>
    </row>
    <row r="719" spans="3:3" x14ac:dyDescent="0.25">
      <c r="C719" s="92" t="str">
        <f t="shared" si="11"/>
        <v/>
      </c>
    </row>
    <row r="720" spans="3:3" x14ac:dyDescent="0.25">
      <c r="C720" s="92" t="str">
        <f t="shared" si="11"/>
        <v/>
      </c>
    </row>
    <row r="721" spans="3:3" x14ac:dyDescent="0.25">
      <c r="C721" s="92" t="str">
        <f t="shared" si="11"/>
        <v/>
      </c>
    </row>
    <row r="722" spans="3:3" x14ac:dyDescent="0.25">
      <c r="C722" s="92" t="str">
        <f t="shared" si="11"/>
        <v/>
      </c>
    </row>
    <row r="723" spans="3:3" x14ac:dyDescent="0.25">
      <c r="C723" s="92" t="str">
        <f t="shared" si="11"/>
        <v/>
      </c>
    </row>
    <row r="724" spans="3:3" x14ac:dyDescent="0.25">
      <c r="C724" s="92" t="str">
        <f t="shared" si="11"/>
        <v/>
      </c>
    </row>
    <row r="725" spans="3:3" x14ac:dyDescent="0.25">
      <c r="C725" s="92" t="str">
        <f t="shared" si="11"/>
        <v/>
      </c>
    </row>
    <row r="726" spans="3:3" x14ac:dyDescent="0.25">
      <c r="C726" s="92" t="str">
        <f t="shared" si="11"/>
        <v/>
      </c>
    </row>
    <row r="727" spans="3:3" x14ac:dyDescent="0.25">
      <c r="C727" s="92" t="str">
        <f t="shared" si="11"/>
        <v/>
      </c>
    </row>
    <row r="728" spans="3:3" x14ac:dyDescent="0.25">
      <c r="C728" s="92" t="str">
        <f t="shared" si="11"/>
        <v/>
      </c>
    </row>
    <row r="729" spans="3:3" x14ac:dyDescent="0.25">
      <c r="C729" s="92" t="str">
        <f t="shared" si="11"/>
        <v/>
      </c>
    </row>
    <row r="730" spans="3:3" x14ac:dyDescent="0.25">
      <c r="C730" s="92" t="str">
        <f t="shared" si="11"/>
        <v/>
      </c>
    </row>
    <row r="731" spans="3:3" x14ac:dyDescent="0.25">
      <c r="C731" s="92" t="str">
        <f t="shared" si="11"/>
        <v/>
      </c>
    </row>
    <row r="732" spans="3:3" x14ac:dyDescent="0.25">
      <c r="C732" s="92" t="str">
        <f t="shared" si="11"/>
        <v/>
      </c>
    </row>
    <row r="733" spans="3:3" x14ac:dyDescent="0.25">
      <c r="C733" s="92" t="str">
        <f t="shared" si="11"/>
        <v/>
      </c>
    </row>
    <row r="734" spans="3:3" x14ac:dyDescent="0.25">
      <c r="C734" s="92" t="str">
        <f t="shared" si="11"/>
        <v/>
      </c>
    </row>
    <row r="735" spans="3:3" x14ac:dyDescent="0.25">
      <c r="C735" s="92" t="str">
        <f t="shared" si="11"/>
        <v/>
      </c>
    </row>
    <row r="736" spans="3:3" x14ac:dyDescent="0.25">
      <c r="C736" s="92" t="str">
        <f t="shared" si="11"/>
        <v/>
      </c>
    </row>
    <row r="737" spans="3:3" x14ac:dyDescent="0.25">
      <c r="C737" s="92" t="str">
        <f t="shared" si="11"/>
        <v/>
      </c>
    </row>
    <row r="738" spans="3:3" x14ac:dyDescent="0.25">
      <c r="C738" s="92" t="str">
        <f t="shared" si="11"/>
        <v/>
      </c>
    </row>
    <row r="739" spans="3:3" x14ac:dyDescent="0.25">
      <c r="C739" s="92" t="str">
        <f t="shared" si="11"/>
        <v/>
      </c>
    </row>
    <row r="740" spans="3:3" x14ac:dyDescent="0.25">
      <c r="C740" s="92" t="str">
        <f t="shared" si="11"/>
        <v/>
      </c>
    </row>
    <row r="741" spans="3:3" x14ac:dyDescent="0.25">
      <c r="C741" s="92" t="str">
        <f t="shared" si="11"/>
        <v/>
      </c>
    </row>
    <row r="742" spans="3:3" x14ac:dyDescent="0.25">
      <c r="C742" s="92" t="str">
        <f t="shared" si="11"/>
        <v/>
      </c>
    </row>
    <row r="743" spans="3:3" x14ac:dyDescent="0.25">
      <c r="C743" s="92" t="str">
        <f t="shared" si="11"/>
        <v/>
      </c>
    </row>
    <row r="744" spans="3:3" x14ac:dyDescent="0.25">
      <c r="C744" s="92" t="str">
        <f t="shared" si="11"/>
        <v/>
      </c>
    </row>
    <row r="745" spans="3:3" x14ac:dyDescent="0.25">
      <c r="C745" s="92" t="str">
        <f t="shared" si="11"/>
        <v/>
      </c>
    </row>
    <row r="746" spans="3:3" x14ac:dyDescent="0.25">
      <c r="C746" s="92" t="str">
        <f t="shared" si="11"/>
        <v/>
      </c>
    </row>
    <row r="747" spans="3:3" x14ac:dyDescent="0.25">
      <c r="C747" s="92" t="str">
        <f t="shared" si="11"/>
        <v/>
      </c>
    </row>
    <row r="748" spans="3:3" x14ac:dyDescent="0.25">
      <c r="C748" s="92" t="str">
        <f t="shared" si="11"/>
        <v/>
      </c>
    </row>
    <row r="749" spans="3:3" x14ac:dyDescent="0.25">
      <c r="C749" s="92" t="str">
        <f t="shared" si="11"/>
        <v/>
      </c>
    </row>
    <row r="750" spans="3:3" x14ac:dyDescent="0.25">
      <c r="C750" s="92" t="str">
        <f t="shared" si="11"/>
        <v/>
      </c>
    </row>
    <row r="751" spans="3:3" x14ac:dyDescent="0.25">
      <c r="C751" s="92" t="str">
        <f t="shared" si="11"/>
        <v/>
      </c>
    </row>
    <row r="752" spans="3:3" x14ac:dyDescent="0.25">
      <c r="C752" s="92" t="str">
        <f t="shared" si="11"/>
        <v/>
      </c>
    </row>
    <row r="753" spans="3:3" x14ac:dyDescent="0.25">
      <c r="C753" s="92" t="str">
        <f t="shared" si="11"/>
        <v/>
      </c>
    </row>
    <row r="754" spans="3:3" x14ac:dyDescent="0.25">
      <c r="C754" s="92" t="str">
        <f t="shared" si="11"/>
        <v/>
      </c>
    </row>
    <row r="755" spans="3:3" x14ac:dyDescent="0.25">
      <c r="C755" s="92" t="str">
        <f t="shared" si="11"/>
        <v/>
      </c>
    </row>
    <row r="756" spans="3:3" x14ac:dyDescent="0.25">
      <c r="C756" s="92" t="str">
        <f t="shared" si="11"/>
        <v/>
      </c>
    </row>
    <row r="757" spans="3:3" x14ac:dyDescent="0.25">
      <c r="C757" s="92" t="str">
        <f t="shared" si="11"/>
        <v/>
      </c>
    </row>
    <row r="758" spans="3:3" x14ac:dyDescent="0.25">
      <c r="C758" s="92" t="str">
        <f t="shared" si="11"/>
        <v/>
      </c>
    </row>
    <row r="759" spans="3:3" x14ac:dyDescent="0.25">
      <c r="C759" s="92" t="str">
        <f t="shared" si="11"/>
        <v/>
      </c>
    </row>
    <row r="760" spans="3:3" x14ac:dyDescent="0.25">
      <c r="C760" s="92" t="str">
        <f t="shared" si="11"/>
        <v/>
      </c>
    </row>
    <row r="761" spans="3:3" x14ac:dyDescent="0.25">
      <c r="C761" s="92" t="str">
        <f t="shared" si="11"/>
        <v/>
      </c>
    </row>
    <row r="762" spans="3:3" x14ac:dyDescent="0.25">
      <c r="C762" s="92" t="str">
        <f t="shared" si="11"/>
        <v/>
      </c>
    </row>
    <row r="763" spans="3:3" x14ac:dyDescent="0.25">
      <c r="C763" s="92" t="str">
        <f t="shared" si="11"/>
        <v/>
      </c>
    </row>
    <row r="764" spans="3:3" x14ac:dyDescent="0.25">
      <c r="C764" s="92" t="str">
        <f t="shared" si="11"/>
        <v/>
      </c>
    </row>
    <row r="765" spans="3:3" x14ac:dyDescent="0.25">
      <c r="C765" s="92" t="str">
        <f t="shared" si="11"/>
        <v/>
      </c>
    </row>
    <row r="766" spans="3:3" x14ac:dyDescent="0.25">
      <c r="C766" s="92" t="str">
        <f t="shared" si="11"/>
        <v/>
      </c>
    </row>
    <row r="767" spans="3:3" x14ac:dyDescent="0.25">
      <c r="C767" s="92" t="str">
        <f t="shared" si="11"/>
        <v/>
      </c>
    </row>
    <row r="768" spans="3:3" x14ac:dyDescent="0.25">
      <c r="C768" s="92" t="str">
        <f t="shared" si="11"/>
        <v/>
      </c>
    </row>
    <row r="769" spans="3:3" x14ac:dyDescent="0.25">
      <c r="C769" s="92" t="str">
        <f t="shared" si="11"/>
        <v/>
      </c>
    </row>
    <row r="770" spans="3:3" x14ac:dyDescent="0.25">
      <c r="C770" s="92" t="str">
        <f t="shared" si="11"/>
        <v/>
      </c>
    </row>
    <row r="771" spans="3:3" x14ac:dyDescent="0.25">
      <c r="C771" s="92" t="str">
        <f t="shared" si="11"/>
        <v/>
      </c>
    </row>
    <row r="772" spans="3:3" x14ac:dyDescent="0.25">
      <c r="C772" s="92" t="str">
        <f t="shared" si="11"/>
        <v/>
      </c>
    </row>
    <row r="773" spans="3:3" x14ac:dyDescent="0.25">
      <c r="C773" s="92" t="str">
        <f t="shared" si="11"/>
        <v/>
      </c>
    </row>
    <row r="774" spans="3:3" x14ac:dyDescent="0.25">
      <c r="C774" s="92" t="str">
        <f t="shared" si="11"/>
        <v/>
      </c>
    </row>
    <row r="775" spans="3:3" x14ac:dyDescent="0.25">
      <c r="C775" s="92" t="str">
        <f t="shared" si="11"/>
        <v/>
      </c>
    </row>
    <row r="776" spans="3:3" x14ac:dyDescent="0.25">
      <c r="C776" s="92" t="str">
        <f t="shared" si="11"/>
        <v/>
      </c>
    </row>
    <row r="777" spans="3:3" x14ac:dyDescent="0.25">
      <c r="C777" s="92" t="str">
        <f t="shared" si="11"/>
        <v/>
      </c>
    </row>
    <row r="778" spans="3:3" x14ac:dyDescent="0.25">
      <c r="C778" s="92" t="str">
        <f t="shared" si="11"/>
        <v/>
      </c>
    </row>
    <row r="779" spans="3:3" x14ac:dyDescent="0.25">
      <c r="C779" s="92" t="str">
        <f t="shared" si="11"/>
        <v/>
      </c>
    </row>
    <row r="780" spans="3:3" x14ac:dyDescent="0.25">
      <c r="C780" s="92" t="str">
        <f t="shared" si="11"/>
        <v/>
      </c>
    </row>
    <row r="781" spans="3:3" x14ac:dyDescent="0.25">
      <c r="C781" s="92" t="str">
        <f t="shared" si="11"/>
        <v/>
      </c>
    </row>
    <row r="782" spans="3:3" x14ac:dyDescent="0.25">
      <c r="C782" s="92" t="str">
        <f t="shared" ref="C782:C845" si="12">IF(A782=0,"","Concrete04")</f>
        <v/>
      </c>
    </row>
    <row r="783" spans="3:3" x14ac:dyDescent="0.25">
      <c r="C783" s="92" t="str">
        <f t="shared" si="12"/>
        <v/>
      </c>
    </row>
    <row r="784" spans="3:3" x14ac:dyDescent="0.25">
      <c r="C784" s="92" t="str">
        <f t="shared" si="12"/>
        <v/>
      </c>
    </row>
    <row r="785" spans="3:3" x14ac:dyDescent="0.25">
      <c r="C785" s="92" t="str">
        <f t="shared" si="12"/>
        <v/>
      </c>
    </row>
    <row r="786" spans="3:3" x14ac:dyDescent="0.25">
      <c r="C786" s="92" t="str">
        <f t="shared" si="12"/>
        <v/>
      </c>
    </row>
    <row r="787" spans="3:3" x14ac:dyDescent="0.25">
      <c r="C787" s="92" t="str">
        <f t="shared" si="12"/>
        <v/>
      </c>
    </row>
    <row r="788" spans="3:3" x14ac:dyDescent="0.25">
      <c r="C788" s="92" t="str">
        <f t="shared" si="12"/>
        <v/>
      </c>
    </row>
    <row r="789" spans="3:3" x14ac:dyDescent="0.25">
      <c r="C789" s="92" t="str">
        <f t="shared" si="12"/>
        <v/>
      </c>
    </row>
    <row r="790" spans="3:3" x14ac:dyDescent="0.25">
      <c r="C790" s="92" t="str">
        <f t="shared" si="12"/>
        <v/>
      </c>
    </row>
    <row r="791" spans="3:3" x14ac:dyDescent="0.25">
      <c r="C791" s="92" t="str">
        <f t="shared" si="12"/>
        <v/>
      </c>
    </row>
    <row r="792" spans="3:3" x14ac:dyDescent="0.25">
      <c r="C792" s="92" t="str">
        <f t="shared" si="12"/>
        <v/>
      </c>
    </row>
    <row r="793" spans="3:3" x14ac:dyDescent="0.25">
      <c r="C793" s="92" t="str">
        <f t="shared" si="12"/>
        <v/>
      </c>
    </row>
    <row r="794" spans="3:3" x14ac:dyDescent="0.25">
      <c r="C794" s="92" t="str">
        <f t="shared" si="12"/>
        <v/>
      </c>
    </row>
    <row r="795" spans="3:3" x14ac:dyDescent="0.25">
      <c r="C795" s="92" t="str">
        <f t="shared" si="12"/>
        <v/>
      </c>
    </row>
    <row r="796" spans="3:3" x14ac:dyDescent="0.25">
      <c r="C796" s="92" t="str">
        <f t="shared" si="12"/>
        <v/>
      </c>
    </row>
    <row r="797" spans="3:3" x14ac:dyDescent="0.25">
      <c r="C797" s="92" t="str">
        <f t="shared" si="12"/>
        <v/>
      </c>
    </row>
    <row r="798" spans="3:3" x14ac:dyDescent="0.25">
      <c r="C798" s="92" t="str">
        <f t="shared" si="12"/>
        <v/>
      </c>
    </row>
    <row r="799" spans="3:3" x14ac:dyDescent="0.25">
      <c r="C799" s="92" t="str">
        <f t="shared" si="12"/>
        <v/>
      </c>
    </row>
    <row r="800" spans="3:3" x14ac:dyDescent="0.25">
      <c r="C800" s="92" t="str">
        <f t="shared" si="12"/>
        <v/>
      </c>
    </row>
    <row r="801" spans="3:3" x14ac:dyDescent="0.25">
      <c r="C801" s="92" t="str">
        <f t="shared" si="12"/>
        <v/>
      </c>
    </row>
    <row r="802" spans="3:3" x14ac:dyDescent="0.25">
      <c r="C802" s="92" t="str">
        <f t="shared" si="12"/>
        <v/>
      </c>
    </row>
    <row r="803" spans="3:3" x14ac:dyDescent="0.25">
      <c r="C803" s="92" t="str">
        <f t="shared" si="12"/>
        <v/>
      </c>
    </row>
    <row r="804" spans="3:3" x14ac:dyDescent="0.25">
      <c r="C804" s="92" t="str">
        <f t="shared" si="12"/>
        <v/>
      </c>
    </row>
    <row r="805" spans="3:3" x14ac:dyDescent="0.25">
      <c r="C805" s="92" t="str">
        <f t="shared" si="12"/>
        <v/>
      </c>
    </row>
    <row r="806" spans="3:3" x14ac:dyDescent="0.25">
      <c r="C806" s="92" t="str">
        <f t="shared" si="12"/>
        <v/>
      </c>
    </row>
    <row r="807" spans="3:3" x14ac:dyDescent="0.25">
      <c r="C807" s="92" t="str">
        <f t="shared" si="12"/>
        <v/>
      </c>
    </row>
    <row r="808" spans="3:3" x14ac:dyDescent="0.25">
      <c r="C808" s="92" t="str">
        <f t="shared" si="12"/>
        <v/>
      </c>
    </row>
    <row r="809" spans="3:3" x14ac:dyDescent="0.25">
      <c r="C809" s="92" t="str">
        <f t="shared" si="12"/>
        <v/>
      </c>
    </row>
    <row r="810" spans="3:3" x14ac:dyDescent="0.25">
      <c r="C810" s="92" t="str">
        <f t="shared" si="12"/>
        <v/>
      </c>
    </row>
    <row r="811" spans="3:3" x14ac:dyDescent="0.25">
      <c r="C811" s="92" t="str">
        <f t="shared" si="12"/>
        <v/>
      </c>
    </row>
    <row r="812" spans="3:3" x14ac:dyDescent="0.25">
      <c r="C812" s="92" t="str">
        <f t="shared" si="12"/>
        <v/>
      </c>
    </row>
    <row r="813" spans="3:3" x14ac:dyDescent="0.25">
      <c r="C813" s="92" t="str">
        <f t="shared" si="12"/>
        <v/>
      </c>
    </row>
    <row r="814" spans="3:3" x14ac:dyDescent="0.25">
      <c r="C814" s="92" t="str">
        <f t="shared" si="12"/>
        <v/>
      </c>
    </row>
    <row r="815" spans="3:3" x14ac:dyDescent="0.25">
      <c r="C815" s="92" t="str">
        <f t="shared" si="12"/>
        <v/>
      </c>
    </row>
    <row r="816" spans="3:3" x14ac:dyDescent="0.25">
      <c r="C816" s="92" t="str">
        <f t="shared" si="12"/>
        <v/>
      </c>
    </row>
    <row r="817" spans="3:3" x14ac:dyDescent="0.25">
      <c r="C817" s="92" t="str">
        <f t="shared" si="12"/>
        <v/>
      </c>
    </row>
    <row r="818" spans="3:3" x14ac:dyDescent="0.25">
      <c r="C818" s="92" t="str">
        <f t="shared" si="12"/>
        <v/>
      </c>
    </row>
    <row r="819" spans="3:3" x14ac:dyDescent="0.25">
      <c r="C819" s="92" t="str">
        <f t="shared" si="12"/>
        <v/>
      </c>
    </row>
    <row r="820" spans="3:3" x14ac:dyDescent="0.25">
      <c r="C820" s="92" t="str">
        <f t="shared" si="12"/>
        <v/>
      </c>
    </row>
    <row r="821" spans="3:3" x14ac:dyDescent="0.25">
      <c r="C821" s="92" t="str">
        <f t="shared" si="12"/>
        <v/>
      </c>
    </row>
    <row r="822" spans="3:3" x14ac:dyDescent="0.25">
      <c r="C822" s="92" t="str">
        <f t="shared" si="12"/>
        <v/>
      </c>
    </row>
    <row r="823" spans="3:3" x14ac:dyDescent="0.25">
      <c r="C823" s="92" t="str">
        <f t="shared" si="12"/>
        <v/>
      </c>
    </row>
    <row r="824" spans="3:3" x14ac:dyDescent="0.25">
      <c r="C824" s="92" t="str">
        <f t="shared" si="12"/>
        <v/>
      </c>
    </row>
    <row r="825" spans="3:3" x14ac:dyDescent="0.25">
      <c r="C825" s="92" t="str">
        <f t="shared" si="12"/>
        <v/>
      </c>
    </row>
    <row r="826" spans="3:3" x14ac:dyDescent="0.25">
      <c r="C826" s="92" t="str">
        <f t="shared" si="12"/>
        <v/>
      </c>
    </row>
    <row r="827" spans="3:3" x14ac:dyDescent="0.25">
      <c r="C827" s="92" t="str">
        <f t="shared" si="12"/>
        <v/>
      </c>
    </row>
    <row r="828" spans="3:3" x14ac:dyDescent="0.25">
      <c r="C828" s="92" t="str">
        <f t="shared" si="12"/>
        <v/>
      </c>
    </row>
    <row r="829" spans="3:3" x14ac:dyDescent="0.25">
      <c r="C829" s="92" t="str">
        <f t="shared" si="12"/>
        <v/>
      </c>
    </row>
    <row r="830" spans="3:3" x14ac:dyDescent="0.25">
      <c r="C830" s="92" t="str">
        <f t="shared" si="12"/>
        <v/>
      </c>
    </row>
    <row r="831" spans="3:3" x14ac:dyDescent="0.25">
      <c r="C831" s="92" t="str">
        <f t="shared" si="12"/>
        <v/>
      </c>
    </row>
    <row r="832" spans="3:3" x14ac:dyDescent="0.25">
      <c r="C832" s="92" t="str">
        <f t="shared" si="12"/>
        <v/>
      </c>
    </row>
    <row r="833" spans="3:3" x14ac:dyDescent="0.25">
      <c r="C833" s="92" t="str">
        <f t="shared" si="12"/>
        <v/>
      </c>
    </row>
    <row r="834" spans="3:3" x14ac:dyDescent="0.25">
      <c r="C834" s="92" t="str">
        <f t="shared" si="12"/>
        <v/>
      </c>
    </row>
    <row r="835" spans="3:3" x14ac:dyDescent="0.25">
      <c r="C835" s="92" t="str">
        <f t="shared" si="12"/>
        <v/>
      </c>
    </row>
    <row r="836" spans="3:3" x14ac:dyDescent="0.25">
      <c r="C836" s="92" t="str">
        <f t="shared" si="12"/>
        <v/>
      </c>
    </row>
    <row r="837" spans="3:3" x14ac:dyDescent="0.25">
      <c r="C837" s="92" t="str">
        <f t="shared" si="12"/>
        <v/>
      </c>
    </row>
    <row r="838" spans="3:3" x14ac:dyDescent="0.25">
      <c r="C838" s="92" t="str">
        <f t="shared" si="12"/>
        <v/>
      </c>
    </row>
    <row r="839" spans="3:3" x14ac:dyDescent="0.25">
      <c r="C839" s="92" t="str">
        <f t="shared" si="12"/>
        <v/>
      </c>
    </row>
    <row r="840" spans="3:3" x14ac:dyDescent="0.25">
      <c r="C840" s="92" t="str">
        <f t="shared" si="12"/>
        <v/>
      </c>
    </row>
    <row r="841" spans="3:3" x14ac:dyDescent="0.25">
      <c r="C841" s="92" t="str">
        <f t="shared" si="12"/>
        <v/>
      </c>
    </row>
    <row r="842" spans="3:3" x14ac:dyDescent="0.25">
      <c r="C842" s="92" t="str">
        <f t="shared" si="12"/>
        <v/>
      </c>
    </row>
    <row r="843" spans="3:3" x14ac:dyDescent="0.25">
      <c r="C843" s="92" t="str">
        <f t="shared" si="12"/>
        <v/>
      </c>
    </row>
    <row r="844" spans="3:3" x14ac:dyDescent="0.25">
      <c r="C844" s="92" t="str">
        <f t="shared" si="12"/>
        <v/>
      </c>
    </row>
    <row r="845" spans="3:3" x14ac:dyDescent="0.25">
      <c r="C845" s="92" t="str">
        <f t="shared" si="12"/>
        <v/>
      </c>
    </row>
    <row r="846" spans="3:3" x14ac:dyDescent="0.25">
      <c r="C846" s="92" t="str">
        <f t="shared" ref="C846:C909" si="13">IF(A846=0,"","Concrete04")</f>
        <v/>
      </c>
    </row>
    <row r="847" spans="3:3" x14ac:dyDescent="0.25">
      <c r="C847" s="92" t="str">
        <f t="shared" si="13"/>
        <v/>
      </c>
    </row>
    <row r="848" spans="3:3" x14ac:dyDescent="0.25">
      <c r="C848" s="92" t="str">
        <f t="shared" si="13"/>
        <v/>
      </c>
    </row>
    <row r="849" spans="3:3" x14ac:dyDescent="0.25">
      <c r="C849" s="92" t="str">
        <f t="shared" si="13"/>
        <v/>
      </c>
    </row>
    <row r="850" spans="3:3" x14ac:dyDescent="0.25">
      <c r="C850" s="92" t="str">
        <f t="shared" si="13"/>
        <v/>
      </c>
    </row>
    <row r="851" spans="3:3" x14ac:dyDescent="0.25">
      <c r="C851" s="92" t="str">
        <f t="shared" si="13"/>
        <v/>
      </c>
    </row>
    <row r="852" spans="3:3" x14ac:dyDescent="0.25">
      <c r="C852" s="92" t="str">
        <f t="shared" si="13"/>
        <v/>
      </c>
    </row>
    <row r="853" spans="3:3" x14ac:dyDescent="0.25">
      <c r="C853" s="92" t="str">
        <f t="shared" si="13"/>
        <v/>
      </c>
    </row>
    <row r="854" spans="3:3" x14ac:dyDescent="0.25">
      <c r="C854" s="92" t="str">
        <f t="shared" si="13"/>
        <v/>
      </c>
    </row>
    <row r="855" spans="3:3" x14ac:dyDescent="0.25">
      <c r="C855" s="92" t="str">
        <f t="shared" si="13"/>
        <v/>
      </c>
    </row>
    <row r="856" spans="3:3" x14ac:dyDescent="0.25">
      <c r="C856" s="92" t="str">
        <f t="shared" si="13"/>
        <v/>
      </c>
    </row>
    <row r="857" spans="3:3" x14ac:dyDescent="0.25">
      <c r="C857" s="92" t="str">
        <f t="shared" si="13"/>
        <v/>
      </c>
    </row>
    <row r="858" spans="3:3" x14ac:dyDescent="0.25">
      <c r="C858" s="92" t="str">
        <f t="shared" si="13"/>
        <v/>
      </c>
    </row>
    <row r="859" spans="3:3" x14ac:dyDescent="0.25">
      <c r="C859" s="92" t="str">
        <f t="shared" si="13"/>
        <v/>
      </c>
    </row>
    <row r="860" spans="3:3" x14ac:dyDescent="0.25">
      <c r="C860" s="92" t="str">
        <f t="shared" si="13"/>
        <v/>
      </c>
    </row>
    <row r="861" spans="3:3" x14ac:dyDescent="0.25">
      <c r="C861" s="92" t="str">
        <f t="shared" si="13"/>
        <v/>
      </c>
    </row>
    <row r="862" spans="3:3" x14ac:dyDescent="0.25">
      <c r="C862" s="92" t="str">
        <f t="shared" si="13"/>
        <v/>
      </c>
    </row>
    <row r="863" spans="3:3" x14ac:dyDescent="0.25">
      <c r="C863" s="92" t="str">
        <f t="shared" si="13"/>
        <v/>
      </c>
    </row>
    <row r="864" spans="3:3" x14ac:dyDescent="0.25">
      <c r="C864" s="92" t="str">
        <f t="shared" si="13"/>
        <v/>
      </c>
    </row>
    <row r="865" spans="3:3" x14ac:dyDescent="0.25">
      <c r="C865" s="92" t="str">
        <f t="shared" si="13"/>
        <v/>
      </c>
    </row>
    <row r="866" spans="3:3" x14ac:dyDescent="0.25">
      <c r="C866" s="92" t="str">
        <f t="shared" si="13"/>
        <v/>
      </c>
    </row>
    <row r="867" spans="3:3" x14ac:dyDescent="0.25">
      <c r="C867" s="92" t="str">
        <f t="shared" si="13"/>
        <v/>
      </c>
    </row>
    <row r="868" spans="3:3" x14ac:dyDescent="0.25">
      <c r="C868" s="92" t="str">
        <f t="shared" si="13"/>
        <v/>
      </c>
    </row>
    <row r="869" spans="3:3" x14ac:dyDescent="0.25">
      <c r="C869" s="92" t="str">
        <f t="shared" si="13"/>
        <v/>
      </c>
    </row>
    <row r="870" spans="3:3" x14ac:dyDescent="0.25">
      <c r="C870" s="92" t="str">
        <f t="shared" si="13"/>
        <v/>
      </c>
    </row>
    <row r="871" spans="3:3" x14ac:dyDescent="0.25">
      <c r="C871" s="92" t="str">
        <f t="shared" si="13"/>
        <v/>
      </c>
    </row>
    <row r="872" spans="3:3" x14ac:dyDescent="0.25">
      <c r="C872" s="92" t="str">
        <f t="shared" si="13"/>
        <v/>
      </c>
    </row>
    <row r="873" spans="3:3" x14ac:dyDescent="0.25">
      <c r="C873" s="92" t="str">
        <f t="shared" si="13"/>
        <v/>
      </c>
    </row>
    <row r="874" spans="3:3" x14ac:dyDescent="0.25">
      <c r="C874" s="92" t="str">
        <f t="shared" si="13"/>
        <v/>
      </c>
    </row>
    <row r="875" spans="3:3" x14ac:dyDescent="0.25">
      <c r="C875" s="92" t="str">
        <f t="shared" si="13"/>
        <v/>
      </c>
    </row>
    <row r="876" spans="3:3" x14ac:dyDescent="0.25">
      <c r="C876" s="92" t="str">
        <f t="shared" si="13"/>
        <v/>
      </c>
    </row>
    <row r="877" spans="3:3" x14ac:dyDescent="0.25">
      <c r="C877" s="92" t="str">
        <f t="shared" si="13"/>
        <v/>
      </c>
    </row>
    <row r="878" spans="3:3" x14ac:dyDescent="0.25">
      <c r="C878" s="92" t="str">
        <f t="shared" si="13"/>
        <v/>
      </c>
    </row>
    <row r="879" spans="3:3" x14ac:dyDescent="0.25">
      <c r="C879" s="92" t="str">
        <f t="shared" si="13"/>
        <v/>
      </c>
    </row>
    <row r="880" spans="3:3" x14ac:dyDescent="0.25">
      <c r="C880" s="92" t="str">
        <f t="shared" si="13"/>
        <v/>
      </c>
    </row>
    <row r="881" spans="3:3" x14ac:dyDescent="0.25">
      <c r="C881" s="92" t="str">
        <f t="shared" si="13"/>
        <v/>
      </c>
    </row>
    <row r="882" spans="3:3" x14ac:dyDescent="0.25">
      <c r="C882" s="92" t="str">
        <f t="shared" si="13"/>
        <v/>
      </c>
    </row>
    <row r="883" spans="3:3" x14ac:dyDescent="0.25">
      <c r="C883" s="92" t="str">
        <f t="shared" si="13"/>
        <v/>
      </c>
    </row>
    <row r="884" spans="3:3" x14ac:dyDescent="0.25">
      <c r="C884" s="92" t="str">
        <f t="shared" si="13"/>
        <v/>
      </c>
    </row>
    <row r="885" spans="3:3" x14ac:dyDescent="0.25">
      <c r="C885" s="92" t="str">
        <f t="shared" si="13"/>
        <v/>
      </c>
    </row>
    <row r="886" spans="3:3" x14ac:dyDescent="0.25">
      <c r="C886" s="92" t="str">
        <f t="shared" si="13"/>
        <v/>
      </c>
    </row>
    <row r="887" spans="3:3" x14ac:dyDescent="0.25">
      <c r="C887" s="92" t="str">
        <f t="shared" si="13"/>
        <v/>
      </c>
    </row>
    <row r="888" spans="3:3" x14ac:dyDescent="0.25">
      <c r="C888" s="92" t="str">
        <f t="shared" si="13"/>
        <v/>
      </c>
    </row>
    <row r="889" spans="3:3" x14ac:dyDescent="0.25">
      <c r="C889" s="92" t="str">
        <f t="shared" si="13"/>
        <v/>
      </c>
    </row>
    <row r="890" spans="3:3" x14ac:dyDescent="0.25">
      <c r="C890" s="92" t="str">
        <f t="shared" si="13"/>
        <v/>
      </c>
    </row>
    <row r="891" spans="3:3" x14ac:dyDescent="0.25">
      <c r="C891" s="92" t="str">
        <f t="shared" si="13"/>
        <v/>
      </c>
    </row>
    <row r="892" spans="3:3" x14ac:dyDescent="0.25">
      <c r="C892" s="92" t="str">
        <f t="shared" si="13"/>
        <v/>
      </c>
    </row>
    <row r="893" spans="3:3" x14ac:dyDescent="0.25">
      <c r="C893" s="92" t="str">
        <f t="shared" si="13"/>
        <v/>
      </c>
    </row>
    <row r="894" spans="3:3" x14ac:dyDescent="0.25">
      <c r="C894" s="92" t="str">
        <f t="shared" si="13"/>
        <v/>
      </c>
    </row>
    <row r="895" spans="3:3" x14ac:dyDescent="0.25">
      <c r="C895" s="92" t="str">
        <f t="shared" si="13"/>
        <v/>
      </c>
    </row>
    <row r="896" spans="3:3" x14ac:dyDescent="0.25">
      <c r="C896" s="92" t="str">
        <f t="shared" si="13"/>
        <v/>
      </c>
    </row>
    <row r="897" spans="3:3" x14ac:dyDescent="0.25">
      <c r="C897" s="92" t="str">
        <f t="shared" si="13"/>
        <v/>
      </c>
    </row>
    <row r="898" spans="3:3" x14ac:dyDescent="0.25">
      <c r="C898" s="92" t="str">
        <f t="shared" si="13"/>
        <v/>
      </c>
    </row>
    <row r="899" spans="3:3" x14ac:dyDescent="0.25">
      <c r="C899" s="92" t="str">
        <f t="shared" si="13"/>
        <v/>
      </c>
    </row>
    <row r="900" spans="3:3" x14ac:dyDescent="0.25">
      <c r="C900" s="92" t="str">
        <f t="shared" si="13"/>
        <v/>
      </c>
    </row>
    <row r="901" spans="3:3" x14ac:dyDescent="0.25">
      <c r="C901" s="92" t="str">
        <f t="shared" si="13"/>
        <v/>
      </c>
    </row>
    <row r="902" spans="3:3" x14ac:dyDescent="0.25">
      <c r="C902" s="92" t="str">
        <f t="shared" si="13"/>
        <v/>
      </c>
    </row>
    <row r="903" spans="3:3" x14ac:dyDescent="0.25">
      <c r="C903" s="92" t="str">
        <f t="shared" si="13"/>
        <v/>
      </c>
    </row>
    <row r="904" spans="3:3" x14ac:dyDescent="0.25">
      <c r="C904" s="92" t="str">
        <f t="shared" si="13"/>
        <v/>
      </c>
    </row>
    <row r="905" spans="3:3" x14ac:dyDescent="0.25">
      <c r="C905" s="92" t="str">
        <f t="shared" si="13"/>
        <v/>
      </c>
    </row>
    <row r="906" spans="3:3" x14ac:dyDescent="0.25">
      <c r="C906" s="92" t="str">
        <f t="shared" si="13"/>
        <v/>
      </c>
    </row>
    <row r="907" spans="3:3" x14ac:dyDescent="0.25">
      <c r="C907" s="92" t="str">
        <f t="shared" si="13"/>
        <v/>
      </c>
    </row>
    <row r="908" spans="3:3" x14ac:dyDescent="0.25">
      <c r="C908" s="92" t="str">
        <f t="shared" si="13"/>
        <v/>
      </c>
    </row>
    <row r="909" spans="3:3" x14ac:dyDescent="0.25">
      <c r="C909" s="92" t="str">
        <f t="shared" si="13"/>
        <v/>
      </c>
    </row>
    <row r="910" spans="3:3" x14ac:dyDescent="0.25">
      <c r="C910" s="92" t="str">
        <f t="shared" ref="C910:C973" si="14">IF(A910=0,"","Concrete04")</f>
        <v/>
      </c>
    </row>
    <row r="911" spans="3:3" x14ac:dyDescent="0.25">
      <c r="C911" s="92" t="str">
        <f t="shared" si="14"/>
        <v/>
      </c>
    </row>
    <row r="912" spans="3:3" x14ac:dyDescent="0.25">
      <c r="C912" s="92" t="str">
        <f t="shared" si="14"/>
        <v/>
      </c>
    </row>
    <row r="913" spans="3:3" x14ac:dyDescent="0.25">
      <c r="C913" s="92" t="str">
        <f t="shared" si="14"/>
        <v/>
      </c>
    </row>
    <row r="914" spans="3:3" x14ac:dyDescent="0.25">
      <c r="C914" s="92" t="str">
        <f t="shared" si="14"/>
        <v/>
      </c>
    </row>
    <row r="915" spans="3:3" x14ac:dyDescent="0.25">
      <c r="C915" s="92" t="str">
        <f t="shared" si="14"/>
        <v/>
      </c>
    </row>
    <row r="916" spans="3:3" x14ac:dyDescent="0.25">
      <c r="C916" s="92" t="str">
        <f t="shared" si="14"/>
        <v/>
      </c>
    </row>
    <row r="917" spans="3:3" x14ac:dyDescent="0.25">
      <c r="C917" s="92" t="str">
        <f t="shared" si="14"/>
        <v/>
      </c>
    </row>
    <row r="918" spans="3:3" x14ac:dyDescent="0.25">
      <c r="C918" s="92" t="str">
        <f t="shared" si="14"/>
        <v/>
      </c>
    </row>
    <row r="919" spans="3:3" x14ac:dyDescent="0.25">
      <c r="C919" s="92" t="str">
        <f t="shared" si="14"/>
        <v/>
      </c>
    </row>
    <row r="920" spans="3:3" x14ac:dyDescent="0.25">
      <c r="C920" s="92" t="str">
        <f t="shared" si="14"/>
        <v/>
      </c>
    </row>
    <row r="921" spans="3:3" x14ac:dyDescent="0.25">
      <c r="C921" s="92" t="str">
        <f t="shared" si="14"/>
        <v/>
      </c>
    </row>
    <row r="922" spans="3:3" x14ac:dyDescent="0.25">
      <c r="C922" s="92" t="str">
        <f t="shared" si="14"/>
        <v/>
      </c>
    </row>
    <row r="923" spans="3:3" x14ac:dyDescent="0.25">
      <c r="C923" s="92" t="str">
        <f t="shared" si="14"/>
        <v/>
      </c>
    </row>
    <row r="924" spans="3:3" x14ac:dyDescent="0.25">
      <c r="C924" s="92" t="str">
        <f t="shared" si="14"/>
        <v/>
      </c>
    </row>
    <row r="925" spans="3:3" x14ac:dyDescent="0.25">
      <c r="C925" s="92" t="str">
        <f t="shared" si="14"/>
        <v/>
      </c>
    </row>
    <row r="926" spans="3:3" x14ac:dyDescent="0.25">
      <c r="C926" s="92" t="str">
        <f t="shared" si="14"/>
        <v/>
      </c>
    </row>
    <row r="927" spans="3:3" x14ac:dyDescent="0.25">
      <c r="C927" s="92" t="str">
        <f t="shared" si="14"/>
        <v/>
      </c>
    </row>
    <row r="928" spans="3:3" x14ac:dyDescent="0.25">
      <c r="C928" s="92" t="str">
        <f t="shared" si="14"/>
        <v/>
      </c>
    </row>
    <row r="929" spans="3:3" x14ac:dyDescent="0.25">
      <c r="C929" s="92" t="str">
        <f t="shared" si="14"/>
        <v/>
      </c>
    </row>
    <row r="930" spans="3:3" x14ac:dyDescent="0.25">
      <c r="C930" s="92" t="str">
        <f t="shared" si="14"/>
        <v/>
      </c>
    </row>
    <row r="931" spans="3:3" x14ac:dyDescent="0.25">
      <c r="C931" s="92" t="str">
        <f t="shared" si="14"/>
        <v/>
      </c>
    </row>
    <row r="932" spans="3:3" x14ac:dyDescent="0.25">
      <c r="C932" s="92" t="str">
        <f t="shared" si="14"/>
        <v/>
      </c>
    </row>
    <row r="933" spans="3:3" x14ac:dyDescent="0.25">
      <c r="C933" s="92" t="str">
        <f t="shared" si="14"/>
        <v/>
      </c>
    </row>
    <row r="934" spans="3:3" x14ac:dyDescent="0.25">
      <c r="C934" s="92" t="str">
        <f t="shared" si="14"/>
        <v/>
      </c>
    </row>
    <row r="935" spans="3:3" x14ac:dyDescent="0.25">
      <c r="C935" s="92" t="str">
        <f t="shared" si="14"/>
        <v/>
      </c>
    </row>
    <row r="936" spans="3:3" x14ac:dyDescent="0.25">
      <c r="C936" s="92" t="str">
        <f t="shared" si="14"/>
        <v/>
      </c>
    </row>
    <row r="937" spans="3:3" x14ac:dyDescent="0.25">
      <c r="C937" s="92" t="str">
        <f t="shared" si="14"/>
        <v/>
      </c>
    </row>
    <row r="938" spans="3:3" x14ac:dyDescent="0.25">
      <c r="C938" s="92" t="str">
        <f t="shared" si="14"/>
        <v/>
      </c>
    </row>
    <row r="939" spans="3:3" x14ac:dyDescent="0.25">
      <c r="C939" s="92" t="str">
        <f t="shared" si="14"/>
        <v/>
      </c>
    </row>
    <row r="940" spans="3:3" x14ac:dyDescent="0.25">
      <c r="C940" s="92" t="str">
        <f t="shared" si="14"/>
        <v/>
      </c>
    </row>
    <row r="941" spans="3:3" x14ac:dyDescent="0.25">
      <c r="C941" s="92" t="str">
        <f t="shared" si="14"/>
        <v/>
      </c>
    </row>
    <row r="942" spans="3:3" x14ac:dyDescent="0.25">
      <c r="C942" s="92" t="str">
        <f t="shared" si="14"/>
        <v/>
      </c>
    </row>
    <row r="943" spans="3:3" x14ac:dyDescent="0.25">
      <c r="C943" s="92" t="str">
        <f t="shared" si="14"/>
        <v/>
      </c>
    </row>
    <row r="944" spans="3:3" x14ac:dyDescent="0.25">
      <c r="C944" s="92" t="str">
        <f t="shared" si="14"/>
        <v/>
      </c>
    </row>
    <row r="945" spans="3:3" x14ac:dyDescent="0.25">
      <c r="C945" s="92" t="str">
        <f t="shared" si="14"/>
        <v/>
      </c>
    </row>
    <row r="946" spans="3:3" x14ac:dyDescent="0.25">
      <c r="C946" s="92" t="str">
        <f t="shared" si="14"/>
        <v/>
      </c>
    </row>
    <row r="947" spans="3:3" x14ac:dyDescent="0.25">
      <c r="C947" s="92" t="str">
        <f t="shared" si="14"/>
        <v/>
      </c>
    </row>
    <row r="948" spans="3:3" x14ac:dyDescent="0.25">
      <c r="C948" s="92" t="str">
        <f t="shared" si="14"/>
        <v/>
      </c>
    </row>
    <row r="949" spans="3:3" x14ac:dyDescent="0.25">
      <c r="C949" s="92" t="str">
        <f t="shared" si="14"/>
        <v/>
      </c>
    </row>
    <row r="950" spans="3:3" x14ac:dyDescent="0.25">
      <c r="C950" s="92" t="str">
        <f t="shared" si="14"/>
        <v/>
      </c>
    </row>
    <row r="951" spans="3:3" x14ac:dyDescent="0.25">
      <c r="C951" s="92" t="str">
        <f t="shared" si="14"/>
        <v/>
      </c>
    </row>
    <row r="952" spans="3:3" x14ac:dyDescent="0.25">
      <c r="C952" s="92" t="str">
        <f t="shared" si="14"/>
        <v/>
      </c>
    </row>
    <row r="953" spans="3:3" x14ac:dyDescent="0.25">
      <c r="C953" s="92" t="str">
        <f t="shared" si="14"/>
        <v/>
      </c>
    </row>
    <row r="954" spans="3:3" x14ac:dyDescent="0.25">
      <c r="C954" s="92" t="str">
        <f t="shared" si="14"/>
        <v/>
      </c>
    </row>
    <row r="955" spans="3:3" x14ac:dyDescent="0.25">
      <c r="C955" s="92" t="str">
        <f t="shared" si="14"/>
        <v/>
      </c>
    </row>
    <row r="956" spans="3:3" x14ac:dyDescent="0.25">
      <c r="C956" s="92" t="str">
        <f t="shared" si="14"/>
        <v/>
      </c>
    </row>
    <row r="957" spans="3:3" x14ac:dyDescent="0.25">
      <c r="C957" s="92" t="str">
        <f t="shared" si="14"/>
        <v/>
      </c>
    </row>
    <row r="958" spans="3:3" x14ac:dyDescent="0.25">
      <c r="C958" s="92" t="str">
        <f t="shared" si="14"/>
        <v/>
      </c>
    </row>
    <row r="959" spans="3:3" x14ac:dyDescent="0.25">
      <c r="C959" s="92" t="str">
        <f t="shared" si="14"/>
        <v/>
      </c>
    </row>
    <row r="960" spans="3:3" x14ac:dyDescent="0.25">
      <c r="C960" s="92" t="str">
        <f t="shared" si="14"/>
        <v/>
      </c>
    </row>
    <row r="961" spans="3:3" x14ac:dyDescent="0.25">
      <c r="C961" s="92" t="str">
        <f t="shared" si="14"/>
        <v/>
      </c>
    </row>
    <row r="962" spans="3:3" x14ac:dyDescent="0.25">
      <c r="C962" s="92" t="str">
        <f t="shared" si="14"/>
        <v/>
      </c>
    </row>
    <row r="963" spans="3:3" x14ac:dyDescent="0.25">
      <c r="C963" s="92" t="str">
        <f t="shared" si="14"/>
        <v/>
      </c>
    </row>
    <row r="964" spans="3:3" x14ac:dyDescent="0.25">
      <c r="C964" s="92" t="str">
        <f t="shared" si="14"/>
        <v/>
      </c>
    </row>
    <row r="965" spans="3:3" x14ac:dyDescent="0.25">
      <c r="C965" s="92" t="str">
        <f t="shared" si="14"/>
        <v/>
      </c>
    </row>
    <row r="966" spans="3:3" x14ac:dyDescent="0.25">
      <c r="C966" s="92" t="str">
        <f t="shared" si="14"/>
        <v/>
      </c>
    </row>
    <row r="967" spans="3:3" x14ac:dyDescent="0.25">
      <c r="C967" s="92" t="str">
        <f t="shared" si="14"/>
        <v/>
      </c>
    </row>
    <row r="968" spans="3:3" x14ac:dyDescent="0.25">
      <c r="C968" s="92" t="str">
        <f t="shared" si="14"/>
        <v/>
      </c>
    </row>
    <row r="969" spans="3:3" x14ac:dyDescent="0.25">
      <c r="C969" s="92" t="str">
        <f t="shared" si="14"/>
        <v/>
      </c>
    </row>
    <row r="970" spans="3:3" x14ac:dyDescent="0.25">
      <c r="C970" s="92" t="str">
        <f t="shared" si="14"/>
        <v/>
      </c>
    </row>
    <row r="971" spans="3:3" x14ac:dyDescent="0.25">
      <c r="C971" s="92" t="str">
        <f t="shared" si="14"/>
        <v/>
      </c>
    </row>
    <row r="972" spans="3:3" x14ac:dyDescent="0.25">
      <c r="C972" s="92" t="str">
        <f t="shared" si="14"/>
        <v/>
      </c>
    </row>
    <row r="973" spans="3:3" x14ac:dyDescent="0.25">
      <c r="C973" s="92" t="str">
        <f t="shared" si="14"/>
        <v/>
      </c>
    </row>
    <row r="974" spans="3:3" x14ac:dyDescent="0.25">
      <c r="C974" s="92" t="str">
        <f t="shared" ref="C974:C1012" si="15">IF(A974=0,"","Concrete04")</f>
        <v/>
      </c>
    </row>
    <row r="975" spans="3:3" x14ac:dyDescent="0.25">
      <c r="C975" s="92" t="str">
        <f t="shared" si="15"/>
        <v/>
      </c>
    </row>
    <row r="976" spans="3:3" x14ac:dyDescent="0.25">
      <c r="C976" s="92" t="str">
        <f t="shared" si="15"/>
        <v/>
      </c>
    </row>
    <row r="977" spans="3:3" x14ac:dyDescent="0.25">
      <c r="C977" s="92" t="str">
        <f t="shared" si="15"/>
        <v/>
      </c>
    </row>
    <row r="978" spans="3:3" x14ac:dyDescent="0.25">
      <c r="C978" s="92" t="str">
        <f t="shared" si="15"/>
        <v/>
      </c>
    </row>
    <row r="979" spans="3:3" x14ac:dyDescent="0.25">
      <c r="C979" s="92" t="str">
        <f t="shared" si="15"/>
        <v/>
      </c>
    </row>
    <row r="980" spans="3:3" x14ac:dyDescent="0.25">
      <c r="C980" s="92" t="str">
        <f t="shared" si="15"/>
        <v/>
      </c>
    </row>
    <row r="981" spans="3:3" x14ac:dyDescent="0.25">
      <c r="C981" s="92" t="str">
        <f t="shared" si="15"/>
        <v/>
      </c>
    </row>
    <row r="982" spans="3:3" x14ac:dyDescent="0.25">
      <c r="C982" s="92" t="str">
        <f t="shared" si="15"/>
        <v/>
      </c>
    </row>
    <row r="983" spans="3:3" x14ac:dyDescent="0.25">
      <c r="C983" s="92" t="str">
        <f t="shared" si="15"/>
        <v/>
      </c>
    </row>
    <row r="984" spans="3:3" x14ac:dyDescent="0.25">
      <c r="C984" s="92" t="str">
        <f t="shared" si="15"/>
        <v/>
      </c>
    </row>
    <row r="985" spans="3:3" x14ac:dyDescent="0.25">
      <c r="C985" s="92" t="str">
        <f t="shared" si="15"/>
        <v/>
      </c>
    </row>
    <row r="986" spans="3:3" x14ac:dyDescent="0.25">
      <c r="C986" s="92" t="str">
        <f t="shared" si="15"/>
        <v/>
      </c>
    </row>
    <row r="987" spans="3:3" x14ac:dyDescent="0.25">
      <c r="C987" s="92" t="str">
        <f t="shared" si="15"/>
        <v/>
      </c>
    </row>
    <row r="988" spans="3:3" x14ac:dyDescent="0.25">
      <c r="C988" s="92" t="str">
        <f t="shared" si="15"/>
        <v/>
      </c>
    </row>
    <row r="989" spans="3:3" x14ac:dyDescent="0.25">
      <c r="C989" s="92" t="str">
        <f t="shared" si="15"/>
        <v/>
      </c>
    </row>
    <row r="990" spans="3:3" x14ac:dyDescent="0.25">
      <c r="C990" s="92" t="str">
        <f t="shared" si="15"/>
        <v/>
      </c>
    </row>
    <row r="991" spans="3:3" x14ac:dyDescent="0.25">
      <c r="C991" s="92" t="str">
        <f t="shared" si="15"/>
        <v/>
      </c>
    </row>
    <row r="992" spans="3:3" x14ac:dyDescent="0.25">
      <c r="C992" s="92" t="str">
        <f t="shared" si="15"/>
        <v/>
      </c>
    </row>
    <row r="993" spans="3:3" x14ac:dyDescent="0.25">
      <c r="C993" s="92" t="str">
        <f t="shared" si="15"/>
        <v/>
      </c>
    </row>
    <row r="994" spans="3:3" x14ac:dyDescent="0.25">
      <c r="C994" s="92" t="str">
        <f t="shared" si="15"/>
        <v/>
      </c>
    </row>
    <row r="995" spans="3:3" x14ac:dyDescent="0.25">
      <c r="C995" s="92" t="str">
        <f t="shared" si="15"/>
        <v/>
      </c>
    </row>
    <row r="996" spans="3:3" x14ac:dyDescent="0.25">
      <c r="C996" s="92" t="str">
        <f t="shared" si="15"/>
        <v/>
      </c>
    </row>
    <row r="997" spans="3:3" x14ac:dyDescent="0.25">
      <c r="C997" s="92" t="str">
        <f t="shared" si="15"/>
        <v/>
      </c>
    </row>
    <row r="998" spans="3:3" x14ac:dyDescent="0.25">
      <c r="C998" s="92" t="str">
        <f t="shared" si="15"/>
        <v/>
      </c>
    </row>
    <row r="999" spans="3:3" x14ac:dyDescent="0.25">
      <c r="C999" s="92" t="str">
        <f t="shared" si="15"/>
        <v/>
      </c>
    </row>
    <row r="1000" spans="3:3" x14ac:dyDescent="0.25">
      <c r="C1000" s="92" t="str">
        <f t="shared" si="15"/>
        <v/>
      </c>
    </row>
    <row r="1001" spans="3:3" x14ac:dyDescent="0.25">
      <c r="C1001" s="92" t="str">
        <f t="shared" si="15"/>
        <v/>
      </c>
    </row>
    <row r="1002" spans="3:3" x14ac:dyDescent="0.25">
      <c r="C1002" s="92" t="str">
        <f t="shared" si="15"/>
        <v/>
      </c>
    </row>
    <row r="1003" spans="3:3" x14ac:dyDescent="0.25">
      <c r="C1003" s="92" t="str">
        <f t="shared" si="15"/>
        <v/>
      </c>
    </row>
    <row r="1004" spans="3:3" x14ac:dyDescent="0.25">
      <c r="C1004" s="92" t="str">
        <f t="shared" si="15"/>
        <v/>
      </c>
    </row>
    <row r="1005" spans="3:3" x14ac:dyDescent="0.25">
      <c r="C1005" s="92" t="str">
        <f t="shared" si="15"/>
        <v/>
      </c>
    </row>
    <row r="1006" spans="3:3" x14ac:dyDescent="0.25">
      <c r="C1006" s="92" t="str">
        <f t="shared" si="15"/>
        <v/>
      </c>
    </row>
    <row r="1007" spans="3:3" x14ac:dyDescent="0.25">
      <c r="C1007" s="92" t="str">
        <f t="shared" si="15"/>
        <v/>
      </c>
    </row>
    <row r="1008" spans="3:3" x14ac:dyDescent="0.25">
      <c r="C1008" s="92" t="str">
        <f t="shared" si="15"/>
        <v/>
      </c>
    </row>
    <row r="1009" spans="3:3" x14ac:dyDescent="0.25">
      <c r="C1009" s="92" t="str">
        <f t="shared" si="15"/>
        <v/>
      </c>
    </row>
    <row r="1010" spans="3:3" x14ac:dyDescent="0.25">
      <c r="C1010" s="92" t="str">
        <f t="shared" si="15"/>
        <v/>
      </c>
    </row>
    <row r="1011" spans="3:3" x14ac:dyDescent="0.25">
      <c r="C1011" s="92" t="str">
        <f t="shared" si="15"/>
        <v/>
      </c>
    </row>
    <row r="1012" spans="3:3" x14ac:dyDescent="0.25">
      <c r="C1012" s="92" t="str">
        <f t="shared" si="15"/>
        <v/>
      </c>
    </row>
  </sheetData>
  <dataValidations xWindow="1277" yWindow="694" count="3">
    <dataValidation type="list" showInputMessage="1" showErrorMessage="1" errorTitle="Invalid Input" error="Choose from the list" sqref="B13:B1048576" xr:uid="{38EDBE46-D010-4584-B5C9-ACF83AFEAFB3}">
      <formula1>Base_Mat_Conc</formula1>
    </dataValidation>
    <dataValidation type="textLength" allowBlank="1" showInputMessage="1" showErrorMessage="1" errorTitle="Invalid Input" error="Please enter maximum 32 characters only." sqref="A13:A1048576" xr:uid="{1A6E5A41-C015-43F3-9799-90BDFA26683A}">
      <formula1>1</formula1>
      <formula2>32</formula2>
    </dataValidation>
    <dataValidation type="decimal" allowBlank="1" showInputMessage="1" showErrorMessage="1" errorTitle="Invalid Input" error="Please enter a float value only." sqref="D13:I1048576" xr:uid="{701051CC-D32B-4082-A864-E2290FA83D58}">
      <formula1>0</formula1>
      <formula2>1000000000000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A780-D16C-4363-990A-84BFD224ECBB}">
  <sheetPr codeName="Sheet7"/>
  <dimension ref="A1:O1018"/>
  <sheetViews>
    <sheetView zoomScale="130" zoomScaleNormal="130" workbookViewId="0">
      <selection activeCell="E8" sqref="E8"/>
    </sheetView>
  </sheetViews>
  <sheetFormatPr defaultColWidth="8.85546875" defaultRowHeight="15" x14ac:dyDescent="0.25"/>
  <cols>
    <col min="1" max="2" width="20.7109375" style="131" customWidth="1"/>
    <col min="3" max="3" width="20.7109375" style="121" customWidth="1"/>
    <col min="4" max="7" width="10.7109375" style="130" customWidth="1"/>
    <col min="8" max="8" width="10.7109375" style="132" customWidth="1"/>
    <col min="9" max="15" width="10.7109375" style="130" customWidth="1"/>
    <col min="16" max="16384" width="8.85546875" style="122"/>
  </cols>
  <sheetData>
    <row r="1" spans="1:15" ht="15.75" x14ac:dyDescent="0.25">
      <c r="A1" s="71" t="s">
        <v>192</v>
      </c>
      <c r="B1" s="183"/>
      <c r="C1" s="183"/>
      <c r="D1" s="184"/>
      <c r="E1" s="184"/>
      <c r="F1" s="184"/>
      <c r="G1" s="184"/>
      <c r="H1" s="184"/>
      <c r="I1" s="184"/>
      <c r="J1" s="184"/>
      <c r="K1" s="185"/>
      <c r="L1" s="185"/>
      <c r="M1" s="185"/>
      <c r="N1" s="185"/>
      <c r="O1" s="186"/>
    </row>
    <row r="2" spans="1:15" ht="15.75" x14ac:dyDescent="0.25">
      <c r="A2" s="95" t="s">
        <v>224</v>
      </c>
      <c r="B2" s="121"/>
      <c r="D2" s="181"/>
      <c r="E2" s="181"/>
      <c r="F2" s="181"/>
      <c r="G2" s="181"/>
      <c r="H2" s="181"/>
      <c r="I2" s="181"/>
      <c r="J2" s="181"/>
      <c r="K2" s="182"/>
      <c r="L2" s="182"/>
      <c r="M2" s="182"/>
      <c r="N2" s="182"/>
      <c r="O2" s="187"/>
    </row>
    <row r="3" spans="1:15" ht="15.75" x14ac:dyDescent="0.25">
      <c r="A3" s="95" t="s">
        <v>225</v>
      </c>
      <c r="B3" s="121"/>
      <c r="D3" s="181"/>
      <c r="E3" s="181"/>
      <c r="F3" s="181"/>
      <c r="G3" s="181"/>
      <c r="H3" s="181"/>
      <c r="I3" s="181"/>
      <c r="J3" s="181"/>
      <c r="K3" s="182"/>
      <c r="L3" s="182"/>
      <c r="M3" s="182"/>
      <c r="N3" s="182"/>
      <c r="O3" s="187"/>
    </row>
    <row r="4" spans="1:15" ht="15.75" x14ac:dyDescent="0.25">
      <c r="A4" s="95" t="s">
        <v>226</v>
      </c>
      <c r="B4" s="121"/>
      <c r="D4" s="181"/>
      <c r="E4" s="181"/>
      <c r="F4" s="181"/>
      <c r="G4" s="181"/>
      <c r="H4" s="181"/>
      <c r="I4" s="181"/>
      <c r="J4" s="181"/>
      <c r="K4" s="182"/>
      <c r="L4" s="182"/>
      <c r="M4" s="182"/>
      <c r="N4" s="182"/>
      <c r="O4" s="187"/>
    </row>
    <row r="5" spans="1:15" ht="15.75" x14ac:dyDescent="0.25">
      <c r="A5" s="95" t="str">
        <f>"- fy: Yield strength of rebar/steel (Input as float) ("&amp;'User Defined Units'!$B$13&amp;")"</f>
        <v>- fy: Yield strength of rebar/steel (Input as float) (MPa)</v>
      </c>
      <c r="B5" s="121"/>
      <c r="D5" s="181"/>
      <c r="E5" s="181"/>
      <c r="F5" s="181"/>
      <c r="G5" s="181"/>
      <c r="H5" s="181"/>
      <c r="I5" s="181"/>
      <c r="J5" s="181"/>
      <c r="K5" s="182"/>
      <c r="L5" s="182"/>
      <c r="M5" s="182"/>
      <c r="N5" s="182"/>
      <c r="O5" s="187"/>
    </row>
    <row r="6" spans="1:15" ht="15.75" x14ac:dyDescent="0.25">
      <c r="A6" s="95" t="str">
        <f>"- fu: Ultimate tensile strength of rebar/steel (Input as float) ("&amp;'User Defined Units'!$B$13&amp;")"</f>
        <v>- fu: Ultimate tensile strength of rebar/steel (Input as float) (MPa)</v>
      </c>
      <c r="B6" s="121"/>
      <c r="D6" s="181"/>
      <c r="E6" s="181"/>
      <c r="F6" s="181"/>
      <c r="G6" s="181"/>
      <c r="H6" s="181"/>
      <c r="I6" s="181"/>
      <c r="J6" s="181"/>
      <c r="K6" s="182"/>
      <c r="L6" s="182"/>
      <c r="M6" s="182"/>
      <c r="N6" s="182"/>
      <c r="O6" s="187"/>
    </row>
    <row r="7" spans="1:15" ht="15.75" x14ac:dyDescent="0.25">
      <c r="A7" s="95" t="s">
        <v>234</v>
      </c>
      <c r="B7" s="121"/>
      <c r="D7" s="181"/>
      <c r="E7" s="181"/>
      <c r="F7" s="181"/>
      <c r="G7" s="181"/>
      <c r="H7" s="181"/>
      <c r="I7" s="181"/>
      <c r="J7" s="181"/>
      <c r="K7" s="182"/>
      <c r="L7" s="182"/>
      <c r="M7" s="182"/>
      <c r="N7" s="182"/>
      <c r="O7" s="187"/>
    </row>
    <row r="8" spans="1:15" ht="15.75" x14ac:dyDescent="0.25">
      <c r="A8" s="95" t="s">
        <v>235</v>
      </c>
      <c r="B8" s="121"/>
      <c r="D8" s="181"/>
      <c r="E8" s="181"/>
      <c r="F8" s="181"/>
      <c r="G8" s="181"/>
      <c r="H8" s="181"/>
      <c r="I8" s="181"/>
      <c r="J8" s="181"/>
      <c r="K8" s="182"/>
      <c r="L8" s="182"/>
      <c r="M8" s="182"/>
      <c r="N8" s="182"/>
      <c r="O8" s="187"/>
    </row>
    <row r="9" spans="1:15" ht="15.75" x14ac:dyDescent="0.25">
      <c r="A9" s="95" t="s">
        <v>240</v>
      </c>
      <c r="B9" s="121"/>
      <c r="D9" s="181"/>
      <c r="E9" s="181"/>
      <c r="F9" s="181"/>
      <c r="G9" s="181"/>
      <c r="H9" s="181"/>
      <c r="I9" s="181"/>
      <c r="J9" s="181"/>
      <c r="K9" s="182"/>
      <c r="L9" s="182"/>
      <c r="M9" s="182"/>
      <c r="N9" s="182"/>
      <c r="O9" s="187"/>
    </row>
    <row r="10" spans="1:15" ht="15.75" x14ac:dyDescent="0.25">
      <c r="A10" s="95" t="s">
        <v>241</v>
      </c>
      <c r="B10" s="121"/>
      <c r="D10" s="181"/>
      <c r="E10" s="181"/>
      <c r="F10" s="181"/>
      <c r="G10" s="181"/>
      <c r="H10" s="181"/>
      <c r="I10" s="181"/>
      <c r="J10" s="181"/>
      <c r="K10" s="182"/>
      <c r="L10" s="182"/>
      <c r="M10" s="182"/>
      <c r="N10" s="182"/>
      <c r="O10" s="187"/>
    </row>
    <row r="11" spans="1:15" ht="15.75" x14ac:dyDescent="0.25">
      <c r="A11" s="95" t="s">
        <v>243</v>
      </c>
      <c r="B11" s="121"/>
      <c r="D11" s="181"/>
      <c r="E11" s="181"/>
      <c r="F11" s="181"/>
      <c r="G11" s="181"/>
      <c r="H11" s="181"/>
      <c r="I11" s="181"/>
      <c r="J11" s="181"/>
      <c r="K11" s="182"/>
      <c r="L11" s="182"/>
      <c r="M11" s="182"/>
      <c r="N11" s="182"/>
      <c r="O11" s="187"/>
    </row>
    <row r="12" spans="1:15" ht="15.75" x14ac:dyDescent="0.25">
      <c r="A12" s="95" t="s">
        <v>244</v>
      </c>
      <c r="B12" s="121"/>
      <c r="D12" s="181"/>
      <c r="E12" s="181"/>
      <c r="F12" s="181"/>
      <c r="G12" s="181"/>
      <c r="H12" s="181"/>
      <c r="I12" s="181"/>
      <c r="J12" s="181"/>
      <c r="K12" s="182"/>
      <c r="L12" s="182"/>
      <c r="M12" s="182"/>
      <c r="N12" s="182"/>
      <c r="O12" s="187"/>
    </row>
    <row r="13" spans="1:15" ht="15.75" x14ac:dyDescent="0.25">
      <c r="A13" s="95" t="s">
        <v>245</v>
      </c>
      <c r="B13" s="121"/>
      <c r="D13" s="181"/>
      <c r="E13" s="181"/>
      <c r="F13" s="181"/>
      <c r="G13" s="181"/>
      <c r="H13" s="181"/>
      <c r="I13" s="181"/>
      <c r="J13" s="181"/>
      <c r="K13" s="182"/>
      <c r="L13" s="182"/>
      <c r="M13" s="182"/>
      <c r="N13" s="182"/>
      <c r="O13" s="187"/>
    </row>
    <row r="14" spans="1:15" ht="15.75" x14ac:dyDescent="0.25">
      <c r="A14" s="95" t="s">
        <v>247</v>
      </c>
      <c r="B14" s="121"/>
      <c r="D14" s="181"/>
      <c r="E14" s="181"/>
      <c r="F14" s="181"/>
      <c r="G14" s="181"/>
      <c r="H14" s="181"/>
      <c r="I14" s="181"/>
      <c r="J14" s="181"/>
      <c r="K14" s="182"/>
      <c r="L14" s="182"/>
      <c r="M14" s="182"/>
      <c r="N14" s="182"/>
      <c r="O14" s="187"/>
    </row>
    <row r="15" spans="1:15" ht="15.75" x14ac:dyDescent="0.25">
      <c r="A15" s="95" t="s">
        <v>246</v>
      </c>
      <c r="B15" s="121"/>
      <c r="D15" s="181"/>
      <c r="E15" s="181"/>
      <c r="F15" s="181"/>
      <c r="G15" s="181"/>
      <c r="H15" s="181"/>
      <c r="I15" s="181"/>
      <c r="J15" s="181"/>
      <c r="K15" s="182"/>
      <c r="L15" s="182"/>
      <c r="M15" s="182"/>
      <c r="N15" s="182"/>
      <c r="O15" s="187"/>
    </row>
    <row r="16" spans="1:15" ht="15.75" x14ac:dyDescent="0.25">
      <c r="A16" s="117" t="str">
        <f>"- f_init: Initial stress value, default value = 0.0 (Input as Float) ("&amp;'User Defined Units'!$B$13&amp;")"</f>
        <v>- f_init: Initial stress value, default value = 0.0 (Input as Float) (MPa)</v>
      </c>
      <c r="B16" s="188"/>
      <c r="C16" s="188"/>
      <c r="D16" s="189"/>
      <c r="E16" s="189"/>
      <c r="F16" s="189"/>
      <c r="G16" s="189"/>
      <c r="H16" s="189"/>
      <c r="I16" s="189"/>
      <c r="J16" s="189"/>
      <c r="K16" s="190"/>
      <c r="L16" s="190"/>
      <c r="M16" s="190"/>
      <c r="N16" s="190"/>
      <c r="O16" s="191"/>
    </row>
    <row r="17" spans="1:15" ht="15.75" x14ac:dyDescent="0.25">
      <c r="A17" s="123"/>
      <c r="B17" s="124"/>
      <c r="C17" s="124"/>
      <c r="D17" s="125"/>
      <c r="E17" s="125"/>
      <c r="F17" s="125"/>
      <c r="G17" s="125"/>
      <c r="H17" s="125"/>
      <c r="I17" s="125"/>
      <c r="J17" s="125"/>
      <c r="K17" s="122"/>
      <c r="L17" s="122"/>
      <c r="M17" s="122"/>
      <c r="N17" s="122"/>
      <c r="O17" s="122"/>
    </row>
    <row r="18" spans="1:15" s="127" customFormat="1" ht="15.75" x14ac:dyDescent="0.25">
      <c r="A18" s="85" t="s">
        <v>10</v>
      </c>
      <c r="B18" s="85" t="s">
        <v>18</v>
      </c>
      <c r="C18" s="85" t="s">
        <v>19</v>
      </c>
      <c r="D18" s="85" t="s">
        <v>12</v>
      </c>
      <c r="E18" s="85" t="s">
        <v>13</v>
      </c>
      <c r="F18" s="85" t="s">
        <v>27</v>
      </c>
      <c r="G18" s="85" t="s">
        <v>28</v>
      </c>
      <c r="H18" s="85" t="s">
        <v>29</v>
      </c>
      <c r="I18" s="85" t="s">
        <v>30</v>
      </c>
      <c r="J18" s="85" t="s">
        <v>31</v>
      </c>
      <c r="K18" s="126" t="s">
        <v>236</v>
      </c>
      <c r="L18" s="126" t="s">
        <v>237</v>
      </c>
      <c r="M18" s="126" t="s">
        <v>238</v>
      </c>
      <c r="N18" s="126" t="s">
        <v>239</v>
      </c>
      <c r="O18" s="126" t="s">
        <v>242</v>
      </c>
    </row>
    <row r="19" spans="1:15" ht="15.75" x14ac:dyDescent="0.25">
      <c r="A19" s="104" t="s">
        <v>32</v>
      </c>
      <c r="B19" s="104" t="s">
        <v>17</v>
      </c>
      <c r="C19" s="92" t="str">
        <f>IF(A19=0,"","Steel02")</f>
        <v>Steel02</v>
      </c>
      <c r="D19" s="113">
        <f>420</f>
        <v>420</v>
      </c>
      <c r="E19" s="113">
        <f>525</f>
        <v>525</v>
      </c>
      <c r="F19" s="120">
        <v>0.08</v>
      </c>
      <c r="G19" s="120">
        <v>0</v>
      </c>
      <c r="H19" s="128">
        <v>20</v>
      </c>
      <c r="I19" s="129">
        <v>0.92500000000000004</v>
      </c>
      <c r="J19" s="129">
        <v>0.15</v>
      </c>
      <c r="K19" s="130">
        <v>0</v>
      </c>
      <c r="L19" s="130">
        <v>1</v>
      </c>
      <c r="M19" s="130">
        <v>0</v>
      </c>
      <c r="N19" s="130">
        <v>1</v>
      </c>
      <c r="O19" s="130">
        <v>0</v>
      </c>
    </row>
    <row r="20" spans="1:15" ht="15.75" x14ac:dyDescent="0.25">
      <c r="A20" s="179"/>
      <c r="B20" s="104"/>
      <c r="C20" s="92" t="str">
        <f t="shared" ref="C20:C83" si="0">IF(A20=0,"","Steel02")</f>
        <v/>
      </c>
      <c r="D20" s="113"/>
      <c r="E20" s="113"/>
      <c r="F20" s="113"/>
      <c r="G20" s="113"/>
      <c r="H20" s="128"/>
      <c r="I20" s="113"/>
      <c r="J20" s="113"/>
    </row>
    <row r="21" spans="1:15" ht="15.75" x14ac:dyDescent="0.25">
      <c r="A21" s="104"/>
      <c r="B21" s="104"/>
      <c r="C21" s="92" t="str">
        <f t="shared" si="0"/>
        <v/>
      </c>
      <c r="D21" s="113"/>
      <c r="E21" s="113"/>
      <c r="F21" s="113"/>
      <c r="G21" s="113"/>
      <c r="H21" s="128"/>
      <c r="I21" s="113"/>
      <c r="J21" s="113"/>
    </row>
    <row r="22" spans="1:15" ht="15.75" x14ac:dyDescent="0.25">
      <c r="A22" s="104"/>
      <c r="B22" s="104"/>
      <c r="C22" s="92" t="str">
        <f t="shared" si="0"/>
        <v/>
      </c>
      <c r="D22" s="113"/>
      <c r="E22" s="113"/>
      <c r="F22" s="113"/>
      <c r="G22" s="113"/>
      <c r="H22" s="128"/>
      <c r="I22" s="113"/>
      <c r="J22" s="113"/>
    </row>
    <row r="23" spans="1:15" ht="15.75" x14ac:dyDescent="0.25">
      <c r="A23" s="104"/>
      <c r="B23" s="104"/>
      <c r="C23" s="92" t="str">
        <f t="shared" si="0"/>
        <v/>
      </c>
      <c r="D23" s="113"/>
      <c r="E23" s="113"/>
      <c r="F23" s="113"/>
      <c r="G23" s="113"/>
      <c r="H23" s="128"/>
      <c r="I23" s="113"/>
      <c r="J23" s="113"/>
    </row>
    <row r="24" spans="1:15" ht="15.75" x14ac:dyDescent="0.25">
      <c r="A24" s="104"/>
      <c r="B24" s="173"/>
      <c r="C24" s="92" t="str">
        <f t="shared" si="0"/>
        <v/>
      </c>
      <c r="D24" s="113"/>
      <c r="E24" s="113"/>
      <c r="F24" s="113"/>
      <c r="G24" s="113"/>
      <c r="H24" s="128"/>
      <c r="I24" s="113"/>
      <c r="J24" s="113"/>
    </row>
    <row r="25" spans="1:15" ht="15.75" x14ac:dyDescent="0.25">
      <c r="A25" s="104"/>
      <c r="B25" s="104"/>
      <c r="C25" s="92" t="str">
        <f t="shared" si="0"/>
        <v/>
      </c>
      <c r="D25" s="113"/>
      <c r="E25" s="113"/>
      <c r="F25" s="113"/>
      <c r="G25" s="113"/>
      <c r="H25" s="128"/>
      <c r="I25" s="113"/>
      <c r="J25" s="113"/>
    </row>
    <row r="26" spans="1:15" ht="15.75" x14ac:dyDescent="0.25">
      <c r="A26" s="104"/>
      <c r="B26" s="104"/>
      <c r="C26" s="92" t="str">
        <f t="shared" si="0"/>
        <v/>
      </c>
      <c r="D26" s="113"/>
      <c r="E26" s="113"/>
      <c r="F26" s="113"/>
      <c r="G26" s="113"/>
      <c r="H26" s="128"/>
      <c r="I26" s="113"/>
      <c r="J26" s="113"/>
    </row>
    <row r="27" spans="1:15" ht="15.75" x14ac:dyDescent="0.25">
      <c r="A27" s="104"/>
      <c r="B27" s="104"/>
      <c r="C27" s="92" t="str">
        <f t="shared" si="0"/>
        <v/>
      </c>
      <c r="D27" s="113"/>
      <c r="E27" s="113"/>
      <c r="F27" s="113"/>
      <c r="G27" s="113"/>
      <c r="H27" s="128"/>
      <c r="I27" s="113"/>
      <c r="J27" s="113"/>
    </row>
    <row r="28" spans="1:15" ht="15.75" x14ac:dyDescent="0.25">
      <c r="A28" s="104"/>
      <c r="B28" s="104"/>
      <c r="C28" s="92" t="str">
        <f t="shared" si="0"/>
        <v/>
      </c>
      <c r="D28" s="113"/>
      <c r="E28" s="113"/>
      <c r="F28" s="113"/>
      <c r="G28" s="113"/>
      <c r="H28" s="128"/>
      <c r="I28" s="113"/>
      <c r="J28" s="113"/>
    </row>
    <row r="29" spans="1:15" ht="15.75" x14ac:dyDescent="0.25">
      <c r="A29" s="104"/>
      <c r="B29" s="104"/>
      <c r="C29" s="92" t="str">
        <f t="shared" si="0"/>
        <v/>
      </c>
      <c r="D29" s="113"/>
      <c r="E29" s="113"/>
      <c r="F29" s="113"/>
      <c r="G29" s="113"/>
      <c r="H29" s="128"/>
      <c r="I29" s="113"/>
      <c r="J29" s="113"/>
    </row>
    <row r="30" spans="1:15" ht="15.75" x14ac:dyDescent="0.25">
      <c r="A30" s="104"/>
      <c r="B30" s="104"/>
      <c r="C30" s="92" t="str">
        <f t="shared" si="0"/>
        <v/>
      </c>
      <c r="D30" s="113"/>
      <c r="E30" s="113"/>
      <c r="F30" s="113"/>
      <c r="G30" s="113"/>
      <c r="H30" s="128"/>
      <c r="I30" s="113"/>
      <c r="J30" s="113"/>
    </row>
    <row r="31" spans="1:15" ht="15.75" x14ac:dyDescent="0.25">
      <c r="A31" s="104"/>
      <c r="B31" s="104"/>
      <c r="C31" s="92" t="str">
        <f t="shared" si="0"/>
        <v/>
      </c>
      <c r="D31" s="113"/>
      <c r="E31" s="113"/>
      <c r="F31" s="113"/>
      <c r="G31" s="113"/>
      <c r="H31" s="128"/>
      <c r="I31" s="113"/>
      <c r="J31" s="113"/>
    </row>
    <row r="32" spans="1:15" ht="15.75" x14ac:dyDescent="0.25">
      <c r="A32" s="104"/>
      <c r="B32" s="104"/>
      <c r="C32" s="92" t="str">
        <f t="shared" si="0"/>
        <v/>
      </c>
      <c r="D32" s="113"/>
      <c r="E32" s="113"/>
      <c r="F32" s="113"/>
      <c r="G32" s="113"/>
      <c r="H32" s="128"/>
      <c r="I32" s="113"/>
      <c r="J32" s="113"/>
    </row>
    <row r="33" spans="1:10" ht="15.75" x14ac:dyDescent="0.25">
      <c r="A33" s="104"/>
      <c r="B33" s="104"/>
      <c r="C33" s="92" t="str">
        <f t="shared" si="0"/>
        <v/>
      </c>
      <c r="D33" s="113"/>
      <c r="E33" s="113"/>
      <c r="F33" s="113"/>
      <c r="G33" s="113"/>
      <c r="H33" s="128"/>
      <c r="I33" s="113"/>
      <c r="J33" s="113"/>
    </row>
    <row r="34" spans="1:10" ht="15.75" x14ac:dyDescent="0.25">
      <c r="A34" s="104"/>
      <c r="B34" s="104"/>
      <c r="C34" s="92" t="str">
        <f t="shared" si="0"/>
        <v/>
      </c>
      <c r="D34" s="113"/>
      <c r="E34" s="113"/>
      <c r="F34" s="113"/>
      <c r="G34" s="113"/>
      <c r="H34" s="128"/>
      <c r="I34" s="113"/>
      <c r="J34" s="113"/>
    </row>
    <row r="35" spans="1:10" ht="15.75" x14ac:dyDescent="0.25">
      <c r="A35" s="104"/>
      <c r="B35" s="104"/>
      <c r="C35" s="92" t="str">
        <f t="shared" si="0"/>
        <v/>
      </c>
      <c r="D35" s="113"/>
      <c r="E35" s="113"/>
      <c r="F35" s="113"/>
      <c r="G35" s="113"/>
      <c r="H35" s="128"/>
      <c r="I35" s="113"/>
      <c r="J35" s="113"/>
    </row>
    <row r="36" spans="1:10" ht="15.75" x14ac:dyDescent="0.25">
      <c r="A36" s="104"/>
      <c r="B36" s="104"/>
      <c r="C36" s="92" t="str">
        <f t="shared" si="0"/>
        <v/>
      </c>
      <c r="D36" s="113"/>
      <c r="E36" s="113"/>
      <c r="F36" s="113"/>
      <c r="G36" s="113"/>
      <c r="H36" s="128"/>
      <c r="I36" s="113"/>
      <c r="J36" s="113"/>
    </row>
    <row r="37" spans="1:10" ht="15.75" x14ac:dyDescent="0.25">
      <c r="A37" s="104"/>
      <c r="B37" s="104"/>
      <c r="C37" s="92" t="str">
        <f t="shared" si="0"/>
        <v/>
      </c>
      <c r="D37" s="113"/>
      <c r="E37" s="113"/>
      <c r="F37" s="113"/>
      <c r="G37" s="113"/>
      <c r="H37" s="128"/>
      <c r="I37" s="113"/>
      <c r="J37" s="113"/>
    </row>
    <row r="38" spans="1:10" ht="15.75" x14ac:dyDescent="0.25">
      <c r="A38" s="104"/>
      <c r="B38" s="104"/>
      <c r="C38" s="92" t="str">
        <f t="shared" si="0"/>
        <v/>
      </c>
      <c r="D38" s="113"/>
      <c r="E38" s="113"/>
      <c r="F38" s="113"/>
      <c r="G38" s="113"/>
      <c r="H38" s="128"/>
      <c r="I38" s="113"/>
      <c r="J38" s="113"/>
    </row>
    <row r="39" spans="1:10" ht="15.75" x14ac:dyDescent="0.25">
      <c r="A39" s="104"/>
      <c r="B39" s="104"/>
      <c r="C39" s="92" t="str">
        <f t="shared" si="0"/>
        <v/>
      </c>
      <c r="D39" s="113"/>
      <c r="E39" s="113"/>
      <c r="F39" s="113"/>
      <c r="G39" s="113"/>
      <c r="H39" s="128"/>
      <c r="I39" s="113"/>
      <c r="J39" s="113"/>
    </row>
    <row r="40" spans="1:10" ht="15.75" x14ac:dyDescent="0.25">
      <c r="A40" s="104"/>
      <c r="B40" s="104"/>
      <c r="C40" s="92" t="str">
        <f t="shared" si="0"/>
        <v/>
      </c>
      <c r="D40" s="113"/>
      <c r="E40" s="113"/>
      <c r="F40" s="113"/>
      <c r="G40" s="113"/>
      <c r="H40" s="128"/>
      <c r="I40" s="113"/>
      <c r="J40" s="113"/>
    </row>
    <row r="41" spans="1:10" ht="15.75" x14ac:dyDescent="0.25">
      <c r="A41" s="104"/>
      <c r="B41" s="104"/>
      <c r="C41" s="92" t="str">
        <f t="shared" si="0"/>
        <v/>
      </c>
      <c r="D41" s="113"/>
      <c r="E41" s="113"/>
      <c r="F41" s="113"/>
      <c r="G41" s="113"/>
      <c r="H41" s="128"/>
      <c r="I41" s="113"/>
      <c r="J41" s="113"/>
    </row>
    <row r="42" spans="1:10" ht="15.75" x14ac:dyDescent="0.25">
      <c r="A42" s="104"/>
      <c r="B42" s="104"/>
      <c r="C42" s="92" t="str">
        <f t="shared" si="0"/>
        <v/>
      </c>
      <c r="D42" s="113"/>
      <c r="E42" s="113"/>
      <c r="F42" s="113"/>
      <c r="G42" s="113"/>
      <c r="H42" s="128"/>
      <c r="I42" s="113"/>
      <c r="J42" s="113"/>
    </row>
    <row r="43" spans="1:10" ht="15.75" x14ac:dyDescent="0.25">
      <c r="A43" s="104"/>
      <c r="B43" s="104"/>
      <c r="C43" s="92" t="str">
        <f t="shared" si="0"/>
        <v/>
      </c>
      <c r="D43" s="113"/>
      <c r="E43" s="113"/>
      <c r="F43" s="113"/>
      <c r="G43" s="113"/>
      <c r="H43" s="128"/>
      <c r="I43" s="113"/>
      <c r="J43" s="113"/>
    </row>
    <row r="44" spans="1:10" ht="15.75" x14ac:dyDescent="0.25">
      <c r="A44" s="104"/>
      <c r="B44" s="104"/>
      <c r="C44" s="92" t="str">
        <f t="shared" si="0"/>
        <v/>
      </c>
      <c r="D44" s="113"/>
      <c r="E44" s="113"/>
      <c r="F44" s="113"/>
      <c r="G44" s="113"/>
      <c r="H44" s="128"/>
      <c r="I44" s="113"/>
      <c r="J44" s="113"/>
    </row>
    <row r="45" spans="1:10" ht="15.75" x14ac:dyDescent="0.25">
      <c r="A45" s="104"/>
      <c r="B45" s="104"/>
      <c r="C45" s="92" t="str">
        <f t="shared" si="0"/>
        <v/>
      </c>
      <c r="D45" s="113"/>
      <c r="E45" s="113"/>
      <c r="F45" s="113"/>
      <c r="G45" s="113"/>
      <c r="H45" s="128"/>
      <c r="I45" s="113"/>
      <c r="J45" s="113"/>
    </row>
    <row r="46" spans="1:10" ht="15.75" x14ac:dyDescent="0.25">
      <c r="A46" s="104"/>
      <c r="B46" s="104"/>
      <c r="C46" s="92" t="str">
        <f t="shared" si="0"/>
        <v/>
      </c>
      <c r="D46" s="113"/>
      <c r="E46" s="113"/>
      <c r="F46" s="113"/>
      <c r="G46" s="113"/>
      <c r="H46" s="128"/>
      <c r="I46" s="113"/>
      <c r="J46" s="113"/>
    </row>
    <row r="47" spans="1:10" ht="15.75" x14ac:dyDescent="0.25">
      <c r="A47" s="104"/>
      <c r="B47" s="104"/>
      <c r="C47" s="92" t="str">
        <f t="shared" si="0"/>
        <v/>
      </c>
      <c r="D47" s="113"/>
      <c r="E47" s="113"/>
      <c r="F47" s="113"/>
      <c r="G47" s="113"/>
      <c r="H47" s="128"/>
      <c r="I47" s="113"/>
      <c r="J47" s="113"/>
    </row>
    <row r="48" spans="1:10" ht="15.75" x14ac:dyDescent="0.25">
      <c r="A48" s="104"/>
      <c r="B48" s="104"/>
      <c r="C48" s="92" t="str">
        <f t="shared" si="0"/>
        <v/>
      </c>
      <c r="D48" s="113"/>
      <c r="E48" s="113"/>
      <c r="F48" s="113"/>
      <c r="G48" s="113"/>
      <c r="H48" s="128"/>
      <c r="I48" s="113"/>
      <c r="J48" s="113"/>
    </row>
    <row r="49" spans="1:10" ht="15.75" x14ac:dyDescent="0.25">
      <c r="A49" s="104"/>
      <c r="B49" s="104"/>
      <c r="C49" s="92" t="str">
        <f t="shared" si="0"/>
        <v/>
      </c>
      <c r="D49" s="113"/>
      <c r="E49" s="113"/>
      <c r="F49" s="113"/>
      <c r="G49" s="113"/>
      <c r="H49" s="128"/>
      <c r="I49" s="113"/>
      <c r="J49" s="113"/>
    </row>
    <row r="50" spans="1:10" ht="15.75" x14ac:dyDescent="0.25">
      <c r="A50" s="104"/>
      <c r="B50" s="104"/>
      <c r="C50" s="92" t="str">
        <f t="shared" si="0"/>
        <v/>
      </c>
      <c r="D50" s="113"/>
      <c r="E50" s="113"/>
      <c r="F50" s="113"/>
      <c r="G50" s="113"/>
      <c r="H50" s="128"/>
      <c r="I50" s="113"/>
      <c r="J50" s="113"/>
    </row>
    <row r="51" spans="1:10" ht="15.75" x14ac:dyDescent="0.25">
      <c r="A51" s="104"/>
      <c r="B51" s="104"/>
      <c r="C51" s="92" t="str">
        <f t="shared" si="0"/>
        <v/>
      </c>
      <c r="D51" s="113"/>
      <c r="E51" s="113"/>
      <c r="F51" s="113"/>
      <c r="G51" s="113"/>
      <c r="H51" s="128"/>
      <c r="I51" s="113"/>
      <c r="J51" s="113"/>
    </row>
    <row r="52" spans="1:10" ht="15.75" x14ac:dyDescent="0.25">
      <c r="A52" s="104"/>
      <c r="B52" s="104"/>
      <c r="C52" s="92" t="str">
        <f t="shared" si="0"/>
        <v/>
      </c>
      <c r="D52" s="113"/>
      <c r="E52" s="113"/>
      <c r="F52" s="113"/>
      <c r="G52" s="113"/>
      <c r="H52" s="128"/>
      <c r="I52" s="113"/>
      <c r="J52" s="113"/>
    </row>
    <row r="53" spans="1:10" ht="15.75" x14ac:dyDescent="0.25">
      <c r="A53" s="104"/>
      <c r="B53" s="104"/>
      <c r="C53" s="92" t="str">
        <f t="shared" si="0"/>
        <v/>
      </c>
      <c r="D53" s="113"/>
      <c r="E53" s="113"/>
      <c r="F53" s="113"/>
      <c r="G53" s="113"/>
      <c r="H53" s="128"/>
      <c r="I53" s="113"/>
      <c r="J53" s="113"/>
    </row>
    <row r="54" spans="1:10" ht="15.75" x14ac:dyDescent="0.25">
      <c r="A54" s="104"/>
      <c r="B54" s="104"/>
      <c r="C54" s="92" t="str">
        <f t="shared" si="0"/>
        <v/>
      </c>
      <c r="D54" s="113"/>
      <c r="E54" s="113"/>
      <c r="F54" s="113"/>
      <c r="G54" s="113"/>
      <c r="H54" s="128"/>
      <c r="I54" s="113"/>
      <c r="J54" s="113"/>
    </row>
    <row r="55" spans="1:10" ht="15.75" x14ac:dyDescent="0.25">
      <c r="A55" s="104"/>
      <c r="B55" s="104"/>
      <c r="C55" s="92" t="str">
        <f t="shared" si="0"/>
        <v/>
      </c>
      <c r="D55" s="113"/>
      <c r="E55" s="113"/>
      <c r="F55" s="113"/>
      <c r="G55" s="113"/>
      <c r="H55" s="128"/>
      <c r="I55" s="113"/>
      <c r="J55" s="113"/>
    </row>
    <row r="56" spans="1:10" ht="15.75" x14ac:dyDescent="0.25">
      <c r="A56" s="104"/>
      <c r="B56" s="104"/>
      <c r="C56" s="92" t="str">
        <f t="shared" si="0"/>
        <v/>
      </c>
      <c r="D56" s="113"/>
      <c r="E56" s="113"/>
      <c r="F56" s="113"/>
      <c r="G56" s="113"/>
      <c r="H56" s="128"/>
      <c r="I56" s="113"/>
      <c r="J56" s="113"/>
    </row>
    <row r="57" spans="1:10" ht="15.75" x14ac:dyDescent="0.25">
      <c r="A57" s="104"/>
      <c r="B57" s="104"/>
      <c r="C57" s="92" t="str">
        <f t="shared" si="0"/>
        <v/>
      </c>
      <c r="D57" s="113"/>
      <c r="E57" s="113"/>
      <c r="F57" s="113"/>
      <c r="G57" s="113"/>
      <c r="H57" s="128"/>
      <c r="I57" s="113"/>
      <c r="J57" s="113"/>
    </row>
    <row r="58" spans="1:10" ht="15.75" x14ac:dyDescent="0.25">
      <c r="A58" s="104"/>
      <c r="B58" s="104"/>
      <c r="C58" s="92" t="str">
        <f t="shared" si="0"/>
        <v/>
      </c>
      <c r="D58" s="113"/>
      <c r="E58" s="113"/>
      <c r="F58" s="113"/>
      <c r="G58" s="113"/>
      <c r="H58" s="128"/>
      <c r="I58" s="113"/>
      <c r="J58" s="113"/>
    </row>
    <row r="59" spans="1:10" ht="15.75" x14ac:dyDescent="0.25">
      <c r="A59" s="104"/>
      <c r="B59" s="104"/>
      <c r="C59" s="92" t="str">
        <f t="shared" si="0"/>
        <v/>
      </c>
      <c r="D59" s="113"/>
      <c r="E59" s="113"/>
      <c r="F59" s="113"/>
      <c r="G59" s="113"/>
      <c r="H59" s="128"/>
      <c r="I59" s="113"/>
      <c r="J59" s="113"/>
    </row>
    <row r="60" spans="1:10" ht="15.75" x14ac:dyDescent="0.25">
      <c r="A60" s="104"/>
      <c r="B60" s="104"/>
      <c r="C60" s="92" t="str">
        <f t="shared" si="0"/>
        <v/>
      </c>
      <c r="D60" s="113"/>
      <c r="E60" s="113"/>
      <c r="F60" s="113"/>
      <c r="G60" s="113"/>
      <c r="H60" s="128"/>
      <c r="I60" s="113"/>
      <c r="J60" s="113"/>
    </row>
    <row r="61" spans="1:10" ht="15.75" x14ac:dyDescent="0.25">
      <c r="A61" s="104"/>
      <c r="B61" s="104"/>
      <c r="C61" s="92" t="str">
        <f t="shared" si="0"/>
        <v/>
      </c>
      <c r="D61" s="113"/>
      <c r="E61" s="113"/>
      <c r="F61" s="113"/>
      <c r="G61" s="113"/>
      <c r="H61" s="128"/>
      <c r="I61" s="113"/>
      <c r="J61" s="113"/>
    </row>
    <row r="62" spans="1:10" ht="15.75" x14ac:dyDescent="0.25">
      <c r="A62" s="104"/>
      <c r="B62" s="104"/>
      <c r="C62" s="92" t="str">
        <f t="shared" si="0"/>
        <v/>
      </c>
      <c r="D62" s="113"/>
      <c r="E62" s="113"/>
      <c r="F62" s="113"/>
      <c r="G62" s="113"/>
      <c r="H62" s="128"/>
      <c r="I62" s="113"/>
      <c r="J62" s="113"/>
    </row>
    <row r="63" spans="1:10" ht="15.75" x14ac:dyDescent="0.25">
      <c r="A63" s="104"/>
      <c r="B63" s="104"/>
      <c r="C63" s="92" t="str">
        <f t="shared" si="0"/>
        <v/>
      </c>
      <c r="D63" s="113"/>
      <c r="E63" s="113"/>
      <c r="F63" s="113"/>
      <c r="G63" s="113"/>
      <c r="H63" s="128"/>
      <c r="I63" s="113"/>
      <c r="J63" s="113"/>
    </row>
    <row r="64" spans="1:10" ht="15.75" x14ac:dyDescent="0.25">
      <c r="A64" s="104"/>
      <c r="B64" s="104"/>
      <c r="C64" s="92" t="str">
        <f t="shared" si="0"/>
        <v/>
      </c>
      <c r="D64" s="113"/>
      <c r="E64" s="113"/>
      <c r="F64" s="113"/>
      <c r="G64" s="113"/>
      <c r="H64" s="128"/>
      <c r="I64" s="113"/>
      <c r="J64" s="113"/>
    </row>
    <row r="65" spans="1:10" ht="15.75" x14ac:dyDescent="0.25">
      <c r="A65" s="104"/>
      <c r="B65" s="104"/>
      <c r="C65" s="92" t="str">
        <f t="shared" si="0"/>
        <v/>
      </c>
      <c r="D65" s="113"/>
      <c r="E65" s="113"/>
      <c r="F65" s="113"/>
      <c r="G65" s="113"/>
      <c r="H65" s="128"/>
      <c r="I65" s="113"/>
      <c r="J65" s="113"/>
    </row>
    <row r="66" spans="1:10" ht="15.75" x14ac:dyDescent="0.25">
      <c r="A66" s="104"/>
      <c r="B66" s="104"/>
      <c r="C66" s="92" t="str">
        <f t="shared" si="0"/>
        <v/>
      </c>
      <c r="D66" s="113"/>
      <c r="E66" s="113"/>
      <c r="F66" s="113"/>
      <c r="G66" s="113"/>
      <c r="H66" s="128"/>
      <c r="I66" s="113"/>
      <c r="J66" s="113"/>
    </row>
    <row r="67" spans="1:10" ht="15.75" x14ac:dyDescent="0.25">
      <c r="A67" s="104"/>
      <c r="B67" s="104"/>
      <c r="C67" s="92" t="str">
        <f t="shared" si="0"/>
        <v/>
      </c>
      <c r="D67" s="113"/>
      <c r="E67" s="113"/>
      <c r="F67" s="113"/>
      <c r="G67" s="113"/>
      <c r="H67" s="128"/>
      <c r="I67" s="113"/>
      <c r="J67" s="113"/>
    </row>
    <row r="68" spans="1:10" ht="15.75" x14ac:dyDescent="0.25">
      <c r="A68" s="104"/>
      <c r="B68" s="104"/>
      <c r="C68" s="92" t="str">
        <f t="shared" si="0"/>
        <v/>
      </c>
      <c r="D68" s="113"/>
      <c r="E68" s="113"/>
      <c r="F68" s="113"/>
      <c r="G68" s="113"/>
      <c r="H68" s="128"/>
      <c r="I68" s="113"/>
      <c r="J68" s="113"/>
    </row>
    <row r="69" spans="1:10" ht="15.75" x14ac:dyDescent="0.25">
      <c r="A69" s="104"/>
      <c r="B69" s="104"/>
      <c r="C69" s="92" t="str">
        <f t="shared" si="0"/>
        <v/>
      </c>
      <c r="D69" s="113"/>
      <c r="E69" s="113"/>
      <c r="F69" s="113"/>
      <c r="G69" s="113"/>
      <c r="H69" s="128"/>
      <c r="I69" s="113"/>
      <c r="J69" s="113"/>
    </row>
    <row r="70" spans="1:10" ht="15.75" x14ac:dyDescent="0.25">
      <c r="A70" s="104"/>
      <c r="B70" s="104"/>
      <c r="C70" s="92" t="str">
        <f t="shared" si="0"/>
        <v/>
      </c>
      <c r="D70" s="113"/>
      <c r="E70" s="113"/>
      <c r="F70" s="113"/>
      <c r="G70" s="113"/>
      <c r="H70" s="128"/>
      <c r="I70" s="113"/>
      <c r="J70" s="113"/>
    </row>
    <row r="71" spans="1:10" ht="15.75" x14ac:dyDescent="0.25">
      <c r="A71" s="104"/>
      <c r="B71" s="104"/>
      <c r="C71" s="92" t="str">
        <f t="shared" si="0"/>
        <v/>
      </c>
      <c r="D71" s="113"/>
      <c r="E71" s="113"/>
      <c r="F71" s="113"/>
      <c r="G71" s="113"/>
      <c r="H71" s="128"/>
      <c r="I71" s="113"/>
      <c r="J71" s="113"/>
    </row>
    <row r="72" spans="1:10" ht="15.75" x14ac:dyDescent="0.25">
      <c r="A72" s="104"/>
      <c r="B72" s="104"/>
      <c r="C72" s="92" t="str">
        <f t="shared" si="0"/>
        <v/>
      </c>
      <c r="D72" s="113"/>
      <c r="E72" s="113"/>
      <c r="F72" s="113"/>
      <c r="G72" s="113"/>
      <c r="H72" s="128"/>
      <c r="I72" s="113"/>
      <c r="J72" s="113"/>
    </row>
    <row r="73" spans="1:10" ht="15.75" x14ac:dyDescent="0.25">
      <c r="A73" s="104"/>
      <c r="B73" s="104"/>
      <c r="C73" s="92" t="str">
        <f t="shared" si="0"/>
        <v/>
      </c>
      <c r="D73" s="113"/>
      <c r="E73" s="113"/>
      <c r="F73" s="113"/>
      <c r="G73" s="113"/>
      <c r="H73" s="128"/>
      <c r="I73" s="113"/>
      <c r="J73" s="113"/>
    </row>
    <row r="74" spans="1:10" ht="15.75" x14ac:dyDescent="0.25">
      <c r="A74" s="104"/>
      <c r="B74" s="104"/>
      <c r="C74" s="92" t="str">
        <f t="shared" si="0"/>
        <v/>
      </c>
      <c r="D74" s="113"/>
      <c r="E74" s="113"/>
      <c r="F74" s="113"/>
      <c r="G74" s="113"/>
      <c r="H74" s="128"/>
      <c r="I74" s="113"/>
      <c r="J74" s="113"/>
    </row>
    <row r="75" spans="1:10" ht="15.75" x14ac:dyDescent="0.25">
      <c r="A75" s="104"/>
      <c r="B75" s="104"/>
      <c r="C75" s="92" t="str">
        <f t="shared" si="0"/>
        <v/>
      </c>
      <c r="D75" s="113"/>
      <c r="E75" s="113"/>
      <c r="F75" s="113"/>
      <c r="G75" s="113"/>
      <c r="H75" s="128"/>
      <c r="I75" s="113"/>
      <c r="J75" s="113"/>
    </row>
    <row r="76" spans="1:10" ht="15.75" x14ac:dyDescent="0.25">
      <c r="A76" s="104"/>
      <c r="B76" s="104"/>
      <c r="C76" s="92" t="str">
        <f t="shared" si="0"/>
        <v/>
      </c>
      <c r="D76" s="113"/>
      <c r="E76" s="113"/>
      <c r="F76" s="113"/>
      <c r="G76" s="113"/>
      <c r="H76" s="128"/>
      <c r="I76" s="113"/>
      <c r="J76" s="113"/>
    </row>
    <row r="77" spans="1:10" ht="15.75" x14ac:dyDescent="0.25">
      <c r="A77" s="104"/>
      <c r="B77" s="104"/>
      <c r="C77" s="92" t="str">
        <f t="shared" si="0"/>
        <v/>
      </c>
      <c r="D77" s="113"/>
      <c r="E77" s="113"/>
      <c r="F77" s="113"/>
      <c r="G77" s="113"/>
      <c r="H77" s="128"/>
      <c r="I77" s="113"/>
      <c r="J77" s="113"/>
    </row>
    <row r="78" spans="1:10" ht="15.75" x14ac:dyDescent="0.25">
      <c r="A78" s="104"/>
      <c r="B78" s="104"/>
      <c r="C78" s="92" t="str">
        <f t="shared" si="0"/>
        <v/>
      </c>
      <c r="D78" s="113"/>
      <c r="E78" s="113"/>
      <c r="F78" s="113"/>
      <c r="G78" s="113"/>
      <c r="H78" s="128"/>
      <c r="I78" s="113"/>
      <c r="J78" s="113"/>
    </row>
    <row r="79" spans="1:10" ht="15.75" x14ac:dyDescent="0.25">
      <c r="A79" s="104"/>
      <c r="B79" s="104"/>
      <c r="C79" s="92" t="str">
        <f t="shared" si="0"/>
        <v/>
      </c>
      <c r="D79" s="113"/>
      <c r="E79" s="113"/>
      <c r="F79" s="113"/>
      <c r="G79" s="113"/>
      <c r="H79" s="128"/>
      <c r="I79" s="113"/>
      <c r="J79" s="113"/>
    </row>
    <row r="80" spans="1:10" ht="15.75" x14ac:dyDescent="0.25">
      <c r="A80" s="104"/>
      <c r="B80" s="104"/>
      <c r="C80" s="92" t="str">
        <f t="shared" si="0"/>
        <v/>
      </c>
      <c r="D80" s="113"/>
      <c r="E80" s="113"/>
      <c r="F80" s="113"/>
      <c r="G80" s="113"/>
      <c r="H80" s="128"/>
      <c r="I80" s="113"/>
      <c r="J80" s="113"/>
    </row>
    <row r="81" spans="1:10" ht="15.75" x14ac:dyDescent="0.25">
      <c r="A81" s="104"/>
      <c r="B81" s="104"/>
      <c r="C81" s="92" t="str">
        <f t="shared" si="0"/>
        <v/>
      </c>
      <c r="D81" s="113"/>
      <c r="E81" s="113"/>
      <c r="F81" s="113"/>
      <c r="G81" s="113"/>
      <c r="H81" s="128"/>
      <c r="I81" s="113"/>
      <c r="J81" s="113"/>
    </row>
    <row r="82" spans="1:10" ht="15.75" x14ac:dyDescent="0.25">
      <c r="A82" s="104"/>
      <c r="B82" s="104"/>
      <c r="C82" s="92" t="str">
        <f t="shared" si="0"/>
        <v/>
      </c>
      <c r="D82" s="113"/>
      <c r="E82" s="113"/>
      <c r="F82" s="113"/>
      <c r="G82" s="113"/>
      <c r="H82" s="128"/>
      <c r="I82" s="113"/>
      <c r="J82" s="113"/>
    </row>
    <row r="83" spans="1:10" ht="15.75" x14ac:dyDescent="0.25">
      <c r="A83" s="104"/>
      <c r="B83" s="104"/>
      <c r="C83" s="92" t="str">
        <f t="shared" si="0"/>
        <v/>
      </c>
      <c r="D83" s="113"/>
      <c r="E83" s="113"/>
      <c r="F83" s="113"/>
      <c r="G83" s="113"/>
      <c r="H83" s="128"/>
      <c r="I83" s="113"/>
      <c r="J83" s="113"/>
    </row>
    <row r="84" spans="1:10" ht="15.75" x14ac:dyDescent="0.25">
      <c r="A84" s="104"/>
      <c r="B84" s="104"/>
      <c r="C84" s="92" t="str">
        <f t="shared" ref="C84:C147" si="1">IF(A84=0,"","Steel02")</f>
        <v/>
      </c>
      <c r="D84" s="113"/>
      <c r="E84" s="113"/>
      <c r="F84" s="113"/>
      <c r="G84" s="113"/>
      <c r="H84" s="128"/>
      <c r="I84" s="113"/>
      <c r="J84" s="113"/>
    </row>
    <row r="85" spans="1:10" ht="15.75" x14ac:dyDescent="0.25">
      <c r="A85" s="104"/>
      <c r="B85" s="104"/>
      <c r="C85" s="92" t="str">
        <f t="shared" si="1"/>
        <v/>
      </c>
      <c r="D85" s="113"/>
      <c r="E85" s="113"/>
      <c r="F85" s="113"/>
      <c r="G85" s="113"/>
      <c r="H85" s="128"/>
      <c r="I85" s="113"/>
      <c r="J85" s="113"/>
    </row>
    <row r="86" spans="1:10" ht="15.75" x14ac:dyDescent="0.25">
      <c r="A86" s="104"/>
      <c r="B86" s="104"/>
      <c r="C86" s="92" t="str">
        <f t="shared" si="1"/>
        <v/>
      </c>
      <c r="D86" s="113"/>
      <c r="E86" s="113"/>
      <c r="F86" s="113"/>
      <c r="G86" s="113"/>
      <c r="H86" s="128"/>
      <c r="I86" s="113"/>
      <c r="J86" s="113"/>
    </row>
    <row r="87" spans="1:10" ht="15.75" x14ac:dyDescent="0.25">
      <c r="A87" s="104"/>
      <c r="B87" s="104"/>
      <c r="C87" s="92" t="str">
        <f t="shared" si="1"/>
        <v/>
      </c>
      <c r="D87" s="113"/>
      <c r="E87" s="113"/>
      <c r="F87" s="113"/>
      <c r="G87" s="113"/>
      <c r="H87" s="128"/>
      <c r="I87" s="113"/>
      <c r="J87" s="113"/>
    </row>
    <row r="88" spans="1:10" ht="15.75" x14ac:dyDescent="0.25">
      <c r="A88" s="104"/>
      <c r="B88" s="104"/>
      <c r="C88" s="92" t="str">
        <f t="shared" si="1"/>
        <v/>
      </c>
      <c r="D88" s="113"/>
      <c r="E88" s="113"/>
      <c r="F88" s="113"/>
      <c r="G88" s="113"/>
      <c r="H88" s="128"/>
      <c r="I88" s="113"/>
      <c r="J88" s="113"/>
    </row>
    <row r="89" spans="1:10" ht="15.75" x14ac:dyDescent="0.25">
      <c r="A89" s="104"/>
      <c r="B89" s="104"/>
      <c r="C89" s="92" t="str">
        <f t="shared" si="1"/>
        <v/>
      </c>
      <c r="D89" s="113"/>
      <c r="E89" s="113"/>
      <c r="F89" s="113"/>
      <c r="G89" s="113"/>
      <c r="H89" s="128"/>
      <c r="I89" s="113"/>
      <c r="J89" s="113"/>
    </row>
    <row r="90" spans="1:10" ht="15.75" x14ac:dyDescent="0.25">
      <c r="A90" s="104"/>
      <c r="B90" s="104"/>
      <c r="C90" s="92" t="str">
        <f t="shared" si="1"/>
        <v/>
      </c>
      <c r="D90" s="113"/>
      <c r="E90" s="113"/>
      <c r="F90" s="113"/>
      <c r="G90" s="113"/>
      <c r="H90" s="128"/>
      <c r="I90" s="113"/>
      <c r="J90" s="113"/>
    </row>
    <row r="91" spans="1:10" ht="15.75" x14ac:dyDescent="0.25">
      <c r="A91" s="104"/>
      <c r="B91" s="104"/>
      <c r="C91" s="92" t="str">
        <f t="shared" si="1"/>
        <v/>
      </c>
      <c r="D91" s="113"/>
      <c r="E91" s="113"/>
      <c r="F91" s="113"/>
      <c r="G91" s="113"/>
      <c r="H91" s="128"/>
      <c r="I91" s="113"/>
      <c r="J91" s="113"/>
    </row>
    <row r="92" spans="1:10" ht="15.75" x14ac:dyDescent="0.25">
      <c r="A92" s="104"/>
      <c r="B92" s="104"/>
      <c r="C92" s="92" t="str">
        <f t="shared" si="1"/>
        <v/>
      </c>
      <c r="D92" s="113"/>
      <c r="E92" s="113"/>
      <c r="F92" s="113"/>
      <c r="G92" s="113"/>
      <c r="H92" s="128"/>
      <c r="I92" s="113"/>
      <c r="J92" s="113"/>
    </row>
    <row r="93" spans="1:10" ht="15.75" x14ac:dyDescent="0.25">
      <c r="A93" s="104"/>
      <c r="B93" s="104"/>
      <c r="C93" s="92" t="str">
        <f t="shared" si="1"/>
        <v/>
      </c>
      <c r="D93" s="113"/>
      <c r="E93" s="113"/>
      <c r="F93" s="113"/>
      <c r="G93" s="113"/>
      <c r="H93" s="128"/>
      <c r="I93" s="113"/>
      <c r="J93" s="113"/>
    </row>
    <row r="94" spans="1:10" ht="15.75" x14ac:dyDescent="0.25">
      <c r="A94" s="104"/>
      <c r="B94" s="104"/>
      <c r="C94" s="92" t="str">
        <f t="shared" si="1"/>
        <v/>
      </c>
      <c r="D94" s="113"/>
      <c r="E94" s="113"/>
      <c r="F94" s="113"/>
      <c r="G94" s="113"/>
      <c r="H94" s="128"/>
      <c r="I94" s="113"/>
      <c r="J94" s="113"/>
    </row>
    <row r="95" spans="1:10" ht="15.75" x14ac:dyDescent="0.25">
      <c r="A95" s="104"/>
      <c r="B95" s="104"/>
      <c r="C95" s="92" t="str">
        <f t="shared" si="1"/>
        <v/>
      </c>
      <c r="D95" s="113"/>
      <c r="E95" s="113"/>
      <c r="F95" s="113"/>
      <c r="G95" s="113"/>
      <c r="H95" s="128"/>
      <c r="I95" s="113"/>
      <c r="J95" s="113"/>
    </row>
    <row r="96" spans="1:10" ht="15.75" x14ac:dyDescent="0.25">
      <c r="A96" s="104"/>
      <c r="B96" s="104"/>
      <c r="C96" s="92" t="str">
        <f t="shared" si="1"/>
        <v/>
      </c>
      <c r="D96" s="113"/>
      <c r="E96" s="113"/>
      <c r="F96" s="113"/>
      <c r="G96" s="113"/>
      <c r="H96" s="128"/>
      <c r="I96" s="113"/>
      <c r="J96" s="113"/>
    </row>
    <row r="97" spans="1:10" ht="15.75" x14ac:dyDescent="0.25">
      <c r="A97" s="104"/>
      <c r="B97" s="104"/>
      <c r="C97" s="92" t="str">
        <f t="shared" si="1"/>
        <v/>
      </c>
      <c r="D97" s="113"/>
      <c r="E97" s="113"/>
      <c r="F97" s="113"/>
      <c r="G97" s="113"/>
      <c r="H97" s="128"/>
      <c r="I97" s="113"/>
      <c r="J97" s="113"/>
    </row>
    <row r="98" spans="1:10" ht="15.75" x14ac:dyDescent="0.25">
      <c r="A98" s="104"/>
      <c r="B98" s="104"/>
      <c r="C98" s="92" t="str">
        <f t="shared" si="1"/>
        <v/>
      </c>
      <c r="D98" s="113"/>
      <c r="E98" s="113"/>
      <c r="F98" s="113"/>
      <c r="G98" s="113"/>
      <c r="H98" s="128"/>
      <c r="I98" s="113"/>
      <c r="J98" s="113"/>
    </row>
    <row r="99" spans="1:10" ht="15.75" x14ac:dyDescent="0.25">
      <c r="A99" s="104"/>
      <c r="B99" s="104"/>
      <c r="C99" s="92" t="str">
        <f t="shared" si="1"/>
        <v/>
      </c>
      <c r="D99" s="113"/>
      <c r="E99" s="113"/>
      <c r="F99" s="113"/>
      <c r="G99" s="113"/>
      <c r="H99" s="128"/>
      <c r="I99" s="113"/>
      <c r="J99" s="113"/>
    </row>
    <row r="100" spans="1:10" ht="15.75" x14ac:dyDescent="0.25">
      <c r="A100" s="104"/>
      <c r="B100" s="104"/>
      <c r="C100" s="92" t="str">
        <f t="shared" si="1"/>
        <v/>
      </c>
      <c r="D100" s="113"/>
      <c r="E100" s="113"/>
      <c r="F100" s="113"/>
      <c r="G100" s="113"/>
      <c r="H100" s="128"/>
      <c r="I100" s="113"/>
      <c r="J100" s="113"/>
    </row>
    <row r="101" spans="1:10" ht="15.75" x14ac:dyDescent="0.25">
      <c r="A101" s="104"/>
      <c r="B101" s="104"/>
      <c r="C101" s="92" t="str">
        <f t="shared" si="1"/>
        <v/>
      </c>
      <c r="D101" s="113"/>
      <c r="E101" s="113"/>
      <c r="F101" s="113"/>
      <c r="G101" s="113"/>
      <c r="H101" s="128"/>
      <c r="I101" s="113"/>
      <c r="J101" s="113"/>
    </row>
    <row r="102" spans="1:10" ht="15.75" x14ac:dyDescent="0.25">
      <c r="A102" s="104"/>
      <c r="B102" s="104"/>
      <c r="C102" s="92" t="str">
        <f t="shared" si="1"/>
        <v/>
      </c>
      <c r="D102" s="113"/>
      <c r="E102" s="113"/>
      <c r="F102" s="113"/>
      <c r="G102" s="113"/>
      <c r="H102" s="128"/>
      <c r="I102" s="113"/>
      <c r="J102" s="113"/>
    </row>
    <row r="103" spans="1:10" ht="15.75" x14ac:dyDescent="0.25">
      <c r="A103" s="104"/>
      <c r="B103" s="104"/>
      <c r="C103" s="92" t="str">
        <f t="shared" si="1"/>
        <v/>
      </c>
      <c r="D103" s="113"/>
      <c r="E103" s="113"/>
      <c r="F103" s="113"/>
      <c r="G103" s="113"/>
      <c r="H103" s="128"/>
      <c r="I103" s="113"/>
      <c r="J103" s="113"/>
    </row>
    <row r="104" spans="1:10" ht="15.75" x14ac:dyDescent="0.25">
      <c r="A104" s="104"/>
      <c r="B104" s="104"/>
      <c r="C104" s="92" t="str">
        <f t="shared" si="1"/>
        <v/>
      </c>
      <c r="D104" s="113"/>
      <c r="E104" s="113"/>
      <c r="F104" s="113"/>
      <c r="G104" s="113"/>
      <c r="H104" s="128"/>
      <c r="I104" s="113"/>
      <c r="J104" s="113"/>
    </row>
    <row r="105" spans="1:10" ht="15.75" x14ac:dyDescent="0.25">
      <c r="A105" s="104"/>
      <c r="B105" s="104"/>
      <c r="C105" s="92" t="str">
        <f t="shared" si="1"/>
        <v/>
      </c>
      <c r="D105" s="113"/>
      <c r="E105" s="113"/>
      <c r="F105" s="113"/>
      <c r="G105" s="113"/>
      <c r="H105" s="128"/>
      <c r="I105" s="113"/>
      <c r="J105" s="113"/>
    </row>
    <row r="106" spans="1:10" ht="15.75" x14ac:dyDescent="0.25">
      <c r="A106" s="104"/>
      <c r="B106" s="104"/>
      <c r="C106" s="92" t="str">
        <f t="shared" si="1"/>
        <v/>
      </c>
      <c r="D106" s="113"/>
      <c r="E106" s="113"/>
      <c r="F106" s="113"/>
      <c r="G106" s="113"/>
      <c r="H106" s="128"/>
      <c r="I106" s="113"/>
      <c r="J106" s="113"/>
    </row>
    <row r="107" spans="1:10" ht="15.75" x14ac:dyDescent="0.25">
      <c r="A107" s="104"/>
      <c r="B107" s="104"/>
      <c r="C107" s="92" t="str">
        <f t="shared" si="1"/>
        <v/>
      </c>
      <c r="D107" s="113"/>
      <c r="E107" s="113"/>
      <c r="F107" s="113"/>
      <c r="G107" s="113"/>
      <c r="H107" s="128"/>
      <c r="I107" s="113"/>
      <c r="J107" s="113"/>
    </row>
    <row r="108" spans="1:10" ht="15.75" x14ac:dyDescent="0.25">
      <c r="A108" s="104"/>
      <c r="B108" s="104"/>
      <c r="C108" s="92" t="str">
        <f t="shared" si="1"/>
        <v/>
      </c>
      <c r="D108" s="113"/>
      <c r="E108" s="113"/>
      <c r="F108" s="113"/>
      <c r="G108" s="113"/>
      <c r="H108" s="128"/>
      <c r="I108" s="113"/>
      <c r="J108" s="113"/>
    </row>
    <row r="109" spans="1:10" ht="15.75" x14ac:dyDescent="0.25">
      <c r="A109" s="104"/>
      <c r="B109" s="104"/>
      <c r="C109" s="92" t="str">
        <f t="shared" si="1"/>
        <v/>
      </c>
      <c r="D109" s="113"/>
      <c r="E109" s="113"/>
      <c r="F109" s="113"/>
      <c r="G109" s="113"/>
      <c r="H109" s="128"/>
      <c r="I109" s="113"/>
      <c r="J109" s="113"/>
    </row>
    <row r="110" spans="1:10" ht="15.75" x14ac:dyDescent="0.25">
      <c r="A110" s="104"/>
      <c r="B110" s="104"/>
      <c r="C110" s="92" t="str">
        <f t="shared" si="1"/>
        <v/>
      </c>
      <c r="D110" s="113"/>
      <c r="E110" s="113"/>
      <c r="F110" s="113"/>
      <c r="G110" s="113"/>
      <c r="H110" s="128"/>
      <c r="I110" s="113"/>
      <c r="J110" s="113"/>
    </row>
    <row r="111" spans="1:10" ht="15.75" x14ac:dyDescent="0.25">
      <c r="A111" s="104"/>
      <c r="B111" s="104"/>
      <c r="C111" s="92" t="str">
        <f t="shared" si="1"/>
        <v/>
      </c>
      <c r="D111" s="113"/>
      <c r="E111" s="113"/>
      <c r="F111" s="113"/>
      <c r="G111" s="113"/>
      <c r="H111" s="128"/>
      <c r="I111" s="113"/>
      <c r="J111" s="113"/>
    </row>
    <row r="112" spans="1:10" ht="15.75" x14ac:dyDescent="0.25">
      <c r="A112" s="104"/>
      <c r="B112" s="104"/>
      <c r="C112" s="92" t="str">
        <f t="shared" si="1"/>
        <v/>
      </c>
      <c r="D112" s="113"/>
      <c r="E112" s="113"/>
      <c r="F112" s="113"/>
      <c r="G112" s="113"/>
      <c r="H112" s="128"/>
      <c r="I112" s="113"/>
      <c r="J112" s="113"/>
    </row>
    <row r="113" spans="1:10" ht="15.75" x14ac:dyDescent="0.25">
      <c r="A113" s="104"/>
      <c r="B113" s="104"/>
      <c r="C113" s="92" t="str">
        <f t="shared" si="1"/>
        <v/>
      </c>
      <c r="D113" s="113"/>
      <c r="E113" s="113"/>
      <c r="F113" s="113"/>
      <c r="G113" s="113"/>
      <c r="H113" s="128"/>
      <c r="I113" s="113"/>
      <c r="J113" s="113"/>
    </row>
    <row r="114" spans="1:10" ht="15.75" x14ac:dyDescent="0.25">
      <c r="A114" s="104"/>
      <c r="B114" s="104"/>
      <c r="C114" s="92" t="str">
        <f t="shared" si="1"/>
        <v/>
      </c>
      <c r="D114" s="113"/>
      <c r="E114" s="113"/>
      <c r="F114" s="113"/>
      <c r="G114" s="113"/>
      <c r="H114" s="128"/>
      <c r="I114" s="113"/>
      <c r="J114" s="113"/>
    </row>
    <row r="115" spans="1:10" ht="15.75" x14ac:dyDescent="0.25">
      <c r="A115" s="104"/>
      <c r="B115" s="104"/>
      <c r="C115" s="92" t="str">
        <f t="shared" si="1"/>
        <v/>
      </c>
      <c r="D115" s="113"/>
      <c r="E115" s="113"/>
      <c r="F115" s="113"/>
      <c r="G115" s="113"/>
      <c r="H115" s="128"/>
      <c r="I115" s="113"/>
      <c r="J115" s="113"/>
    </row>
    <row r="116" spans="1:10" ht="15.75" x14ac:dyDescent="0.25">
      <c r="A116" s="104"/>
      <c r="B116" s="104"/>
      <c r="C116" s="92" t="str">
        <f t="shared" si="1"/>
        <v/>
      </c>
      <c r="D116" s="113"/>
      <c r="E116" s="113"/>
      <c r="F116" s="113"/>
      <c r="G116" s="113"/>
      <c r="H116" s="128"/>
      <c r="I116" s="113"/>
      <c r="J116" s="113"/>
    </row>
    <row r="117" spans="1:10" ht="15.75" x14ac:dyDescent="0.25">
      <c r="A117" s="104"/>
      <c r="B117" s="104"/>
      <c r="C117" s="92" t="str">
        <f t="shared" si="1"/>
        <v/>
      </c>
      <c r="D117" s="113"/>
      <c r="E117" s="113"/>
      <c r="F117" s="113"/>
      <c r="G117" s="113"/>
      <c r="H117" s="128"/>
      <c r="I117" s="113"/>
      <c r="J117" s="113"/>
    </row>
    <row r="118" spans="1:10" ht="15.75" x14ac:dyDescent="0.25">
      <c r="A118" s="104"/>
      <c r="B118" s="104"/>
      <c r="C118" s="92" t="str">
        <f t="shared" si="1"/>
        <v/>
      </c>
      <c r="D118" s="113"/>
      <c r="E118" s="113"/>
      <c r="F118" s="113"/>
      <c r="G118" s="113"/>
      <c r="H118" s="128"/>
      <c r="I118" s="113"/>
      <c r="J118" s="113"/>
    </row>
    <row r="119" spans="1:10" ht="15.75" x14ac:dyDescent="0.25">
      <c r="A119" s="104"/>
      <c r="B119" s="104"/>
      <c r="C119" s="92" t="str">
        <f t="shared" si="1"/>
        <v/>
      </c>
      <c r="D119" s="113"/>
      <c r="E119" s="113"/>
      <c r="F119" s="113"/>
      <c r="G119" s="113"/>
      <c r="H119" s="128"/>
      <c r="I119" s="113"/>
      <c r="J119" s="113"/>
    </row>
    <row r="120" spans="1:10" ht="15.75" x14ac:dyDescent="0.25">
      <c r="A120" s="104"/>
      <c r="B120" s="104"/>
      <c r="C120" s="92" t="str">
        <f t="shared" si="1"/>
        <v/>
      </c>
      <c r="D120" s="113"/>
      <c r="E120" s="113"/>
      <c r="F120" s="113"/>
      <c r="G120" s="113"/>
      <c r="H120" s="128"/>
      <c r="I120" s="113"/>
      <c r="J120" s="113"/>
    </row>
    <row r="121" spans="1:10" ht="15.75" x14ac:dyDescent="0.25">
      <c r="A121" s="104"/>
      <c r="B121" s="104"/>
      <c r="C121" s="92" t="str">
        <f t="shared" si="1"/>
        <v/>
      </c>
      <c r="D121" s="113"/>
      <c r="E121" s="113"/>
      <c r="F121" s="113"/>
      <c r="G121" s="113"/>
      <c r="H121" s="128"/>
      <c r="I121" s="113"/>
      <c r="J121" s="113"/>
    </row>
    <row r="122" spans="1:10" ht="15.75" x14ac:dyDescent="0.25">
      <c r="A122" s="104"/>
      <c r="B122" s="104"/>
      <c r="C122" s="92" t="str">
        <f t="shared" si="1"/>
        <v/>
      </c>
      <c r="D122" s="113"/>
      <c r="E122" s="113"/>
      <c r="F122" s="113"/>
      <c r="G122" s="113"/>
      <c r="H122" s="128"/>
      <c r="I122" s="113"/>
      <c r="J122" s="113"/>
    </row>
    <row r="123" spans="1:10" ht="15.75" x14ac:dyDescent="0.25">
      <c r="A123" s="104"/>
      <c r="B123" s="104"/>
      <c r="C123" s="92" t="str">
        <f t="shared" si="1"/>
        <v/>
      </c>
      <c r="D123" s="113"/>
      <c r="E123" s="113"/>
      <c r="F123" s="113"/>
      <c r="G123" s="113"/>
      <c r="H123" s="128"/>
      <c r="I123" s="113"/>
      <c r="J123" s="113"/>
    </row>
    <row r="124" spans="1:10" ht="15.75" x14ac:dyDescent="0.25">
      <c r="A124" s="104"/>
      <c r="B124" s="104"/>
      <c r="C124" s="92" t="str">
        <f t="shared" si="1"/>
        <v/>
      </c>
      <c r="D124" s="113"/>
      <c r="E124" s="113"/>
      <c r="F124" s="113"/>
      <c r="G124" s="113"/>
      <c r="H124" s="128"/>
      <c r="I124" s="113"/>
      <c r="J124" s="113"/>
    </row>
    <row r="125" spans="1:10" ht="15.75" x14ac:dyDescent="0.25">
      <c r="A125" s="104"/>
      <c r="B125" s="104"/>
      <c r="C125" s="92" t="str">
        <f t="shared" si="1"/>
        <v/>
      </c>
      <c r="D125" s="113"/>
      <c r="E125" s="113"/>
      <c r="F125" s="113"/>
      <c r="G125" s="113"/>
      <c r="H125" s="128"/>
      <c r="I125" s="113"/>
      <c r="J125" s="113"/>
    </row>
    <row r="126" spans="1:10" ht="15.75" x14ac:dyDescent="0.25">
      <c r="A126" s="104"/>
      <c r="B126" s="104"/>
      <c r="C126" s="92" t="str">
        <f t="shared" si="1"/>
        <v/>
      </c>
      <c r="D126" s="113"/>
      <c r="E126" s="113"/>
      <c r="F126" s="113"/>
      <c r="G126" s="113"/>
      <c r="H126" s="128"/>
      <c r="I126" s="113"/>
      <c r="J126" s="113"/>
    </row>
    <row r="127" spans="1:10" ht="15.75" x14ac:dyDescent="0.25">
      <c r="A127" s="104"/>
      <c r="B127" s="104"/>
      <c r="C127" s="92" t="str">
        <f t="shared" si="1"/>
        <v/>
      </c>
      <c r="D127" s="113"/>
      <c r="E127" s="113"/>
      <c r="F127" s="113"/>
      <c r="G127" s="113"/>
      <c r="H127" s="128"/>
      <c r="I127" s="113"/>
      <c r="J127" s="113"/>
    </row>
    <row r="128" spans="1:10" ht="15.75" x14ac:dyDescent="0.25">
      <c r="A128" s="104"/>
      <c r="B128" s="104"/>
      <c r="C128" s="92" t="str">
        <f t="shared" si="1"/>
        <v/>
      </c>
      <c r="D128" s="113"/>
      <c r="E128" s="113"/>
      <c r="F128" s="113"/>
      <c r="G128" s="113"/>
      <c r="H128" s="128"/>
      <c r="I128" s="113"/>
      <c r="J128" s="113"/>
    </row>
    <row r="129" spans="1:10" ht="15.75" x14ac:dyDescent="0.25">
      <c r="A129" s="104"/>
      <c r="B129" s="104"/>
      <c r="C129" s="92" t="str">
        <f t="shared" si="1"/>
        <v/>
      </c>
      <c r="D129" s="113"/>
      <c r="E129" s="113"/>
      <c r="F129" s="113"/>
      <c r="G129" s="113"/>
      <c r="H129" s="128"/>
      <c r="I129" s="113"/>
      <c r="J129" s="113"/>
    </row>
    <row r="130" spans="1:10" ht="15.75" x14ac:dyDescent="0.25">
      <c r="A130" s="104"/>
      <c r="B130" s="104"/>
      <c r="C130" s="92" t="str">
        <f t="shared" si="1"/>
        <v/>
      </c>
      <c r="D130" s="113"/>
      <c r="E130" s="113"/>
      <c r="F130" s="113"/>
      <c r="G130" s="113"/>
      <c r="H130" s="128"/>
      <c r="I130" s="113"/>
      <c r="J130" s="113"/>
    </row>
    <row r="131" spans="1:10" ht="15.75" x14ac:dyDescent="0.25">
      <c r="A131" s="104"/>
      <c r="B131" s="104"/>
      <c r="C131" s="92" t="str">
        <f t="shared" si="1"/>
        <v/>
      </c>
      <c r="D131" s="113"/>
      <c r="E131" s="113"/>
      <c r="F131" s="113"/>
      <c r="G131" s="113"/>
      <c r="H131" s="128"/>
      <c r="I131" s="113"/>
      <c r="J131" s="113"/>
    </row>
    <row r="132" spans="1:10" ht="15.75" x14ac:dyDescent="0.25">
      <c r="A132" s="104"/>
      <c r="B132" s="104"/>
      <c r="C132" s="92" t="str">
        <f t="shared" si="1"/>
        <v/>
      </c>
      <c r="D132" s="113"/>
      <c r="E132" s="113"/>
      <c r="F132" s="113"/>
      <c r="G132" s="113"/>
      <c r="H132" s="128"/>
      <c r="I132" s="113"/>
      <c r="J132" s="113"/>
    </row>
    <row r="133" spans="1:10" ht="15.75" x14ac:dyDescent="0.25">
      <c r="A133" s="104"/>
      <c r="B133" s="104"/>
      <c r="C133" s="92" t="str">
        <f t="shared" si="1"/>
        <v/>
      </c>
      <c r="D133" s="113"/>
      <c r="E133" s="113"/>
      <c r="F133" s="113"/>
      <c r="G133" s="113"/>
      <c r="H133" s="128"/>
      <c r="I133" s="113"/>
      <c r="J133" s="113"/>
    </row>
    <row r="134" spans="1:10" ht="15.75" x14ac:dyDescent="0.25">
      <c r="A134" s="104"/>
      <c r="B134" s="104"/>
      <c r="C134" s="92" t="str">
        <f t="shared" si="1"/>
        <v/>
      </c>
      <c r="D134" s="113"/>
      <c r="E134" s="113"/>
      <c r="F134" s="113"/>
      <c r="G134" s="113"/>
      <c r="H134" s="128"/>
      <c r="I134" s="113"/>
      <c r="J134" s="113"/>
    </row>
    <row r="135" spans="1:10" ht="15.75" x14ac:dyDescent="0.25">
      <c r="A135" s="104"/>
      <c r="B135" s="104"/>
      <c r="C135" s="92" t="str">
        <f t="shared" si="1"/>
        <v/>
      </c>
      <c r="D135" s="113"/>
      <c r="E135" s="113"/>
      <c r="F135" s="113"/>
      <c r="G135" s="113"/>
      <c r="H135" s="128"/>
      <c r="I135" s="113"/>
      <c r="J135" s="113"/>
    </row>
    <row r="136" spans="1:10" ht="15.75" x14ac:dyDescent="0.25">
      <c r="A136" s="104"/>
      <c r="B136" s="104"/>
      <c r="C136" s="92" t="str">
        <f t="shared" si="1"/>
        <v/>
      </c>
      <c r="D136" s="113"/>
      <c r="E136" s="113"/>
      <c r="F136" s="113"/>
      <c r="G136" s="113"/>
      <c r="H136" s="128"/>
      <c r="I136" s="113"/>
      <c r="J136" s="113"/>
    </row>
    <row r="137" spans="1:10" ht="15.75" x14ac:dyDescent="0.25">
      <c r="A137" s="104"/>
      <c r="B137" s="104"/>
      <c r="C137" s="92" t="str">
        <f t="shared" si="1"/>
        <v/>
      </c>
      <c r="D137" s="113"/>
      <c r="E137" s="113"/>
      <c r="F137" s="113"/>
      <c r="G137" s="113"/>
      <c r="H137" s="128"/>
      <c r="I137" s="113"/>
      <c r="J137" s="113"/>
    </row>
    <row r="138" spans="1:10" ht="15.75" x14ac:dyDescent="0.25">
      <c r="A138" s="104"/>
      <c r="B138" s="104"/>
      <c r="C138" s="92" t="str">
        <f t="shared" si="1"/>
        <v/>
      </c>
      <c r="D138" s="113"/>
      <c r="E138" s="113"/>
      <c r="F138" s="113"/>
      <c r="G138" s="113"/>
      <c r="H138" s="128"/>
      <c r="I138" s="113"/>
      <c r="J138" s="113"/>
    </row>
    <row r="139" spans="1:10" ht="15.75" x14ac:dyDescent="0.25">
      <c r="A139" s="104"/>
      <c r="B139" s="104"/>
      <c r="C139" s="92" t="str">
        <f t="shared" si="1"/>
        <v/>
      </c>
      <c r="D139" s="113"/>
      <c r="E139" s="113"/>
      <c r="F139" s="113"/>
      <c r="G139" s="113"/>
      <c r="H139" s="128"/>
      <c r="I139" s="113"/>
      <c r="J139" s="113"/>
    </row>
    <row r="140" spans="1:10" ht="15.75" x14ac:dyDescent="0.25">
      <c r="A140" s="104"/>
      <c r="B140" s="104"/>
      <c r="C140" s="92" t="str">
        <f t="shared" si="1"/>
        <v/>
      </c>
      <c r="D140" s="113"/>
      <c r="E140" s="113"/>
      <c r="F140" s="113"/>
      <c r="G140" s="113"/>
      <c r="H140" s="128"/>
      <c r="I140" s="113"/>
      <c r="J140" s="113"/>
    </row>
    <row r="141" spans="1:10" ht="15.75" x14ac:dyDescent="0.25">
      <c r="A141" s="104"/>
      <c r="B141" s="104"/>
      <c r="C141" s="92" t="str">
        <f t="shared" si="1"/>
        <v/>
      </c>
      <c r="D141" s="113"/>
      <c r="E141" s="113"/>
      <c r="F141" s="113"/>
      <c r="G141" s="113"/>
      <c r="H141" s="128"/>
      <c r="I141" s="113"/>
      <c r="J141" s="113"/>
    </row>
    <row r="142" spans="1:10" ht="15.75" x14ac:dyDescent="0.25">
      <c r="A142" s="104"/>
      <c r="B142" s="104"/>
      <c r="C142" s="92" t="str">
        <f t="shared" si="1"/>
        <v/>
      </c>
      <c r="D142" s="113"/>
      <c r="E142" s="113"/>
      <c r="F142" s="113"/>
      <c r="G142" s="113"/>
      <c r="H142" s="128"/>
      <c r="I142" s="113"/>
      <c r="J142" s="113"/>
    </row>
    <row r="143" spans="1:10" ht="15.75" x14ac:dyDescent="0.25">
      <c r="A143" s="104"/>
      <c r="B143" s="104"/>
      <c r="C143" s="92" t="str">
        <f t="shared" si="1"/>
        <v/>
      </c>
      <c r="D143" s="113"/>
      <c r="E143" s="113"/>
      <c r="F143" s="113"/>
      <c r="G143" s="113"/>
      <c r="H143" s="128"/>
      <c r="I143" s="113"/>
      <c r="J143" s="113"/>
    </row>
    <row r="144" spans="1:10" ht="15.75" x14ac:dyDescent="0.25">
      <c r="A144" s="104"/>
      <c r="B144" s="104"/>
      <c r="C144" s="92" t="str">
        <f t="shared" si="1"/>
        <v/>
      </c>
      <c r="D144" s="113"/>
      <c r="E144" s="113"/>
      <c r="F144" s="113"/>
      <c r="G144" s="113"/>
      <c r="H144" s="128"/>
      <c r="I144" s="113"/>
      <c r="J144" s="113"/>
    </row>
    <row r="145" spans="1:10" ht="15.75" x14ac:dyDescent="0.25">
      <c r="A145" s="104"/>
      <c r="B145" s="104"/>
      <c r="C145" s="92" t="str">
        <f t="shared" si="1"/>
        <v/>
      </c>
      <c r="D145" s="113"/>
      <c r="E145" s="113"/>
      <c r="F145" s="113"/>
      <c r="G145" s="113"/>
      <c r="H145" s="128"/>
      <c r="I145" s="113"/>
      <c r="J145" s="113"/>
    </row>
    <row r="146" spans="1:10" ht="15.75" x14ac:dyDescent="0.25">
      <c r="A146" s="104"/>
      <c r="B146" s="104"/>
      <c r="C146" s="92" t="str">
        <f t="shared" si="1"/>
        <v/>
      </c>
      <c r="D146" s="113"/>
      <c r="E146" s="113"/>
      <c r="F146" s="113"/>
      <c r="G146" s="113"/>
      <c r="H146" s="128"/>
      <c r="I146" s="113"/>
      <c r="J146" s="113"/>
    </row>
    <row r="147" spans="1:10" ht="15.75" x14ac:dyDescent="0.25">
      <c r="A147" s="104"/>
      <c r="B147" s="104"/>
      <c r="C147" s="92" t="str">
        <f t="shared" si="1"/>
        <v/>
      </c>
      <c r="D147" s="113"/>
      <c r="E147" s="113"/>
      <c r="F147" s="113"/>
      <c r="G147" s="113"/>
      <c r="H147" s="128"/>
      <c r="I147" s="113"/>
      <c r="J147" s="113"/>
    </row>
    <row r="148" spans="1:10" ht="15.75" x14ac:dyDescent="0.25">
      <c r="A148" s="104"/>
      <c r="B148" s="104"/>
      <c r="C148" s="92" t="str">
        <f t="shared" ref="C148:C211" si="2">IF(A148=0,"","Steel02")</f>
        <v/>
      </c>
      <c r="D148" s="113"/>
      <c r="E148" s="113"/>
      <c r="F148" s="113"/>
      <c r="G148" s="113"/>
      <c r="H148" s="128"/>
      <c r="I148" s="113"/>
      <c r="J148" s="113"/>
    </row>
    <row r="149" spans="1:10" ht="15.75" x14ac:dyDescent="0.25">
      <c r="A149" s="104"/>
      <c r="B149" s="104"/>
      <c r="C149" s="92" t="str">
        <f t="shared" si="2"/>
        <v/>
      </c>
      <c r="D149" s="113"/>
      <c r="E149" s="113"/>
      <c r="F149" s="113"/>
      <c r="G149" s="113"/>
      <c r="H149" s="128"/>
      <c r="I149" s="113"/>
      <c r="J149" s="113"/>
    </row>
    <row r="150" spans="1:10" ht="15.75" x14ac:dyDescent="0.25">
      <c r="A150" s="104"/>
      <c r="B150" s="104"/>
      <c r="C150" s="92" t="str">
        <f t="shared" si="2"/>
        <v/>
      </c>
      <c r="D150" s="113"/>
      <c r="E150" s="113"/>
      <c r="F150" s="113"/>
      <c r="G150" s="113"/>
      <c r="H150" s="128"/>
      <c r="I150" s="113"/>
      <c r="J150" s="113"/>
    </row>
    <row r="151" spans="1:10" ht="15.75" x14ac:dyDescent="0.25">
      <c r="A151" s="104"/>
      <c r="B151" s="104"/>
      <c r="C151" s="92" t="str">
        <f t="shared" si="2"/>
        <v/>
      </c>
      <c r="D151" s="113"/>
      <c r="E151" s="113"/>
      <c r="F151" s="113"/>
      <c r="G151" s="113"/>
      <c r="H151" s="128"/>
      <c r="I151" s="113"/>
      <c r="J151" s="113"/>
    </row>
    <row r="152" spans="1:10" ht="15.75" x14ac:dyDescent="0.25">
      <c r="A152" s="104"/>
      <c r="B152" s="104"/>
      <c r="C152" s="92" t="str">
        <f t="shared" si="2"/>
        <v/>
      </c>
      <c r="D152" s="113"/>
      <c r="E152" s="113"/>
      <c r="F152" s="113"/>
      <c r="G152" s="113"/>
      <c r="H152" s="128"/>
      <c r="I152" s="113"/>
      <c r="J152" s="113"/>
    </row>
    <row r="153" spans="1:10" ht="15.75" x14ac:dyDescent="0.25">
      <c r="A153" s="104"/>
      <c r="B153" s="104"/>
      <c r="C153" s="92" t="str">
        <f t="shared" si="2"/>
        <v/>
      </c>
      <c r="D153" s="113"/>
      <c r="E153" s="113"/>
      <c r="F153" s="113"/>
      <c r="G153" s="113"/>
      <c r="H153" s="128"/>
      <c r="I153" s="113"/>
      <c r="J153" s="113"/>
    </row>
    <row r="154" spans="1:10" ht="15.75" x14ac:dyDescent="0.25">
      <c r="A154" s="104"/>
      <c r="B154" s="104"/>
      <c r="C154" s="92" t="str">
        <f t="shared" si="2"/>
        <v/>
      </c>
      <c r="D154" s="113"/>
      <c r="E154" s="113"/>
      <c r="F154" s="113"/>
      <c r="G154" s="113"/>
      <c r="H154" s="128"/>
      <c r="I154" s="113"/>
      <c r="J154" s="113"/>
    </row>
    <row r="155" spans="1:10" ht="15.75" x14ac:dyDescent="0.25">
      <c r="A155" s="104"/>
      <c r="B155" s="104"/>
      <c r="C155" s="92" t="str">
        <f t="shared" si="2"/>
        <v/>
      </c>
      <c r="D155" s="113"/>
      <c r="E155" s="113"/>
      <c r="F155" s="113"/>
      <c r="G155" s="113"/>
      <c r="H155" s="128"/>
      <c r="I155" s="113"/>
      <c r="J155" s="113"/>
    </row>
    <row r="156" spans="1:10" ht="15.75" x14ac:dyDescent="0.25">
      <c r="A156" s="104"/>
      <c r="B156" s="104"/>
      <c r="C156" s="92" t="str">
        <f t="shared" si="2"/>
        <v/>
      </c>
      <c r="D156" s="113"/>
      <c r="E156" s="113"/>
      <c r="F156" s="113"/>
      <c r="G156" s="113"/>
      <c r="H156" s="128"/>
      <c r="I156" s="113"/>
      <c r="J156" s="113"/>
    </row>
    <row r="157" spans="1:10" ht="15.75" x14ac:dyDescent="0.25">
      <c r="A157" s="104"/>
      <c r="B157" s="104"/>
      <c r="C157" s="92" t="str">
        <f t="shared" si="2"/>
        <v/>
      </c>
      <c r="D157" s="113"/>
      <c r="E157" s="113"/>
      <c r="F157" s="113"/>
      <c r="G157" s="113"/>
      <c r="H157" s="128"/>
      <c r="I157" s="113"/>
      <c r="J157" s="113"/>
    </row>
    <row r="158" spans="1:10" ht="15.75" x14ac:dyDescent="0.25">
      <c r="A158" s="104"/>
      <c r="B158" s="104"/>
      <c r="C158" s="92" t="str">
        <f t="shared" si="2"/>
        <v/>
      </c>
      <c r="D158" s="113"/>
      <c r="E158" s="113"/>
      <c r="F158" s="113"/>
      <c r="G158" s="113"/>
      <c r="H158" s="128"/>
      <c r="I158" s="113"/>
      <c r="J158" s="113"/>
    </row>
    <row r="159" spans="1:10" ht="15.75" x14ac:dyDescent="0.25">
      <c r="A159" s="104"/>
      <c r="B159" s="104"/>
      <c r="C159" s="92" t="str">
        <f t="shared" si="2"/>
        <v/>
      </c>
      <c r="D159" s="113"/>
      <c r="E159" s="113"/>
      <c r="F159" s="113"/>
      <c r="G159" s="113"/>
      <c r="H159" s="128"/>
      <c r="I159" s="113"/>
      <c r="J159" s="113"/>
    </row>
    <row r="160" spans="1:10" ht="15.75" x14ac:dyDescent="0.25">
      <c r="A160" s="104"/>
      <c r="B160" s="104"/>
      <c r="C160" s="92" t="str">
        <f t="shared" si="2"/>
        <v/>
      </c>
      <c r="D160" s="113"/>
      <c r="E160" s="113"/>
      <c r="F160" s="113"/>
      <c r="G160" s="113"/>
      <c r="H160" s="128"/>
      <c r="I160" s="113"/>
      <c r="J160" s="113"/>
    </row>
    <row r="161" spans="1:10" ht="15.75" x14ac:dyDescent="0.25">
      <c r="A161" s="104"/>
      <c r="B161" s="104"/>
      <c r="C161" s="92" t="str">
        <f t="shared" si="2"/>
        <v/>
      </c>
      <c r="D161" s="113"/>
      <c r="E161" s="113"/>
      <c r="F161" s="113"/>
      <c r="G161" s="113"/>
      <c r="H161" s="128"/>
      <c r="I161" s="113"/>
      <c r="J161" s="113"/>
    </row>
    <row r="162" spans="1:10" ht="15.75" x14ac:dyDescent="0.25">
      <c r="A162" s="104"/>
      <c r="B162" s="104"/>
      <c r="C162" s="92" t="str">
        <f t="shared" si="2"/>
        <v/>
      </c>
      <c r="D162" s="113"/>
      <c r="E162" s="113"/>
      <c r="F162" s="113"/>
      <c r="G162" s="113"/>
      <c r="H162" s="128"/>
      <c r="I162" s="113"/>
      <c r="J162" s="113"/>
    </row>
    <row r="163" spans="1:10" ht="15.75" x14ac:dyDescent="0.25">
      <c r="A163" s="104"/>
      <c r="B163" s="104"/>
      <c r="C163" s="92" t="str">
        <f t="shared" si="2"/>
        <v/>
      </c>
      <c r="D163" s="113"/>
      <c r="E163" s="113"/>
      <c r="F163" s="113"/>
      <c r="G163" s="113"/>
      <c r="H163" s="128"/>
      <c r="I163" s="113"/>
      <c r="J163" s="113"/>
    </row>
    <row r="164" spans="1:10" ht="15.75" x14ac:dyDescent="0.25">
      <c r="A164" s="104"/>
      <c r="B164" s="104"/>
      <c r="C164" s="92" t="str">
        <f t="shared" si="2"/>
        <v/>
      </c>
      <c r="D164" s="113"/>
      <c r="E164" s="113"/>
      <c r="F164" s="113"/>
      <c r="G164" s="113"/>
      <c r="H164" s="128"/>
      <c r="I164" s="113"/>
      <c r="J164" s="113"/>
    </row>
    <row r="165" spans="1:10" ht="15.75" x14ac:dyDescent="0.25">
      <c r="A165" s="104"/>
      <c r="B165" s="104"/>
      <c r="C165" s="92" t="str">
        <f t="shared" si="2"/>
        <v/>
      </c>
      <c r="D165" s="113"/>
      <c r="E165" s="113"/>
      <c r="F165" s="113"/>
      <c r="G165" s="113"/>
      <c r="H165" s="128"/>
      <c r="I165" s="113"/>
      <c r="J165" s="113"/>
    </row>
    <row r="166" spans="1:10" ht="15.75" x14ac:dyDescent="0.25">
      <c r="A166" s="104"/>
      <c r="B166" s="104"/>
      <c r="C166" s="92" t="str">
        <f t="shared" si="2"/>
        <v/>
      </c>
      <c r="D166" s="113"/>
      <c r="E166" s="113"/>
      <c r="F166" s="113"/>
      <c r="G166" s="113"/>
      <c r="H166" s="128"/>
      <c r="I166" s="113"/>
      <c r="J166" s="113"/>
    </row>
    <row r="167" spans="1:10" ht="15.75" x14ac:dyDescent="0.25">
      <c r="A167" s="104"/>
      <c r="B167" s="104"/>
      <c r="C167" s="92" t="str">
        <f t="shared" si="2"/>
        <v/>
      </c>
      <c r="D167" s="113"/>
      <c r="E167" s="113"/>
      <c r="F167" s="113"/>
      <c r="G167" s="113"/>
      <c r="H167" s="128"/>
      <c r="I167" s="113"/>
      <c r="J167" s="113"/>
    </row>
    <row r="168" spans="1:10" ht="15.75" x14ac:dyDescent="0.25">
      <c r="A168" s="104"/>
      <c r="B168" s="104"/>
      <c r="C168" s="92" t="str">
        <f t="shared" si="2"/>
        <v/>
      </c>
      <c r="D168" s="113"/>
      <c r="E168" s="113"/>
      <c r="F168" s="113"/>
      <c r="G168" s="113"/>
      <c r="H168" s="128"/>
      <c r="I168" s="113"/>
      <c r="J168" s="113"/>
    </row>
    <row r="169" spans="1:10" ht="15.75" x14ac:dyDescent="0.25">
      <c r="A169" s="104"/>
      <c r="B169" s="104"/>
      <c r="C169" s="92" t="str">
        <f t="shared" si="2"/>
        <v/>
      </c>
      <c r="D169" s="113"/>
      <c r="E169" s="113"/>
      <c r="F169" s="113"/>
      <c r="G169" s="113"/>
      <c r="H169" s="128"/>
      <c r="I169" s="113"/>
      <c r="J169" s="113"/>
    </row>
    <row r="170" spans="1:10" ht="15.75" x14ac:dyDescent="0.25">
      <c r="A170" s="104"/>
      <c r="B170" s="104"/>
      <c r="C170" s="92" t="str">
        <f t="shared" si="2"/>
        <v/>
      </c>
      <c r="D170" s="113"/>
      <c r="E170" s="113"/>
      <c r="F170" s="113"/>
      <c r="G170" s="113"/>
      <c r="H170" s="128"/>
      <c r="I170" s="113"/>
      <c r="J170" s="113"/>
    </row>
    <row r="171" spans="1:10" ht="15.75" x14ac:dyDescent="0.25">
      <c r="A171" s="104"/>
      <c r="B171" s="104"/>
      <c r="C171" s="92" t="str">
        <f t="shared" si="2"/>
        <v/>
      </c>
      <c r="D171" s="113"/>
      <c r="E171" s="113"/>
      <c r="F171" s="113"/>
      <c r="G171" s="113"/>
      <c r="H171" s="128"/>
      <c r="I171" s="113"/>
      <c r="J171" s="113"/>
    </row>
    <row r="172" spans="1:10" ht="15.75" x14ac:dyDescent="0.25">
      <c r="A172" s="104"/>
      <c r="B172" s="104"/>
      <c r="C172" s="92" t="str">
        <f t="shared" si="2"/>
        <v/>
      </c>
      <c r="D172" s="113"/>
      <c r="E172" s="113"/>
      <c r="F172" s="113"/>
      <c r="G172" s="113"/>
      <c r="H172" s="128"/>
      <c r="I172" s="113"/>
      <c r="J172" s="113"/>
    </row>
    <row r="173" spans="1:10" ht="15.75" x14ac:dyDescent="0.25">
      <c r="A173" s="104"/>
      <c r="B173" s="104"/>
      <c r="C173" s="92" t="str">
        <f t="shared" si="2"/>
        <v/>
      </c>
      <c r="D173" s="113"/>
      <c r="E173" s="113"/>
      <c r="F173" s="113"/>
      <c r="G173" s="113"/>
      <c r="H173" s="128"/>
      <c r="I173" s="113"/>
      <c r="J173" s="113"/>
    </row>
    <row r="174" spans="1:10" ht="15.75" x14ac:dyDescent="0.25">
      <c r="A174" s="104"/>
      <c r="B174" s="104"/>
      <c r="C174" s="92" t="str">
        <f t="shared" si="2"/>
        <v/>
      </c>
      <c r="D174" s="113"/>
      <c r="E174" s="113"/>
      <c r="F174" s="113"/>
      <c r="G174" s="113"/>
      <c r="H174" s="128"/>
      <c r="I174" s="113"/>
      <c r="J174" s="113"/>
    </row>
    <row r="175" spans="1:10" ht="15.75" x14ac:dyDescent="0.25">
      <c r="A175" s="104"/>
      <c r="B175" s="104"/>
      <c r="C175" s="92" t="str">
        <f t="shared" si="2"/>
        <v/>
      </c>
      <c r="D175" s="113"/>
      <c r="E175" s="113"/>
      <c r="F175" s="113"/>
      <c r="G175" s="113"/>
      <c r="H175" s="128"/>
      <c r="I175" s="113"/>
      <c r="J175" s="113"/>
    </row>
    <row r="176" spans="1:10" ht="15.75" x14ac:dyDescent="0.25">
      <c r="A176" s="104"/>
      <c r="B176" s="104"/>
      <c r="C176" s="92" t="str">
        <f t="shared" si="2"/>
        <v/>
      </c>
      <c r="D176" s="113"/>
      <c r="E176" s="113"/>
      <c r="F176" s="113"/>
      <c r="G176" s="113"/>
      <c r="H176" s="128"/>
      <c r="I176" s="113"/>
      <c r="J176" s="113"/>
    </row>
    <row r="177" spans="1:10" ht="15.75" x14ac:dyDescent="0.25">
      <c r="A177" s="104"/>
      <c r="B177" s="104"/>
      <c r="C177" s="92" t="str">
        <f t="shared" si="2"/>
        <v/>
      </c>
      <c r="D177" s="113"/>
      <c r="E177" s="113"/>
      <c r="F177" s="113"/>
      <c r="G177" s="113"/>
      <c r="H177" s="128"/>
      <c r="I177" s="113"/>
      <c r="J177" s="113"/>
    </row>
    <row r="178" spans="1:10" ht="15.75" x14ac:dyDescent="0.25">
      <c r="A178" s="104"/>
      <c r="B178" s="104"/>
      <c r="C178" s="92" t="str">
        <f t="shared" si="2"/>
        <v/>
      </c>
      <c r="D178" s="113"/>
      <c r="E178" s="113"/>
      <c r="F178" s="113"/>
      <c r="G178" s="113"/>
      <c r="H178" s="128"/>
      <c r="I178" s="113"/>
      <c r="J178" s="113"/>
    </row>
    <row r="179" spans="1:10" ht="15.75" x14ac:dyDescent="0.25">
      <c r="A179" s="104"/>
      <c r="B179" s="104"/>
      <c r="C179" s="92" t="str">
        <f t="shared" si="2"/>
        <v/>
      </c>
      <c r="D179" s="113"/>
      <c r="E179" s="113"/>
      <c r="F179" s="113"/>
      <c r="G179" s="113"/>
      <c r="H179" s="128"/>
      <c r="I179" s="113"/>
      <c r="J179" s="113"/>
    </row>
    <row r="180" spans="1:10" ht="15.75" x14ac:dyDescent="0.25">
      <c r="A180" s="104"/>
      <c r="B180" s="104"/>
      <c r="C180" s="92" t="str">
        <f t="shared" si="2"/>
        <v/>
      </c>
      <c r="D180" s="113"/>
      <c r="E180" s="113"/>
      <c r="F180" s="113"/>
      <c r="G180" s="113"/>
      <c r="H180" s="128"/>
      <c r="I180" s="113"/>
      <c r="J180" s="113"/>
    </row>
    <row r="181" spans="1:10" ht="15.75" x14ac:dyDescent="0.25">
      <c r="A181" s="104"/>
      <c r="B181" s="104"/>
      <c r="C181" s="92" t="str">
        <f t="shared" si="2"/>
        <v/>
      </c>
      <c r="D181" s="113"/>
      <c r="E181" s="113"/>
      <c r="F181" s="113"/>
      <c r="G181" s="113"/>
      <c r="H181" s="128"/>
      <c r="I181" s="113"/>
      <c r="J181" s="113"/>
    </row>
    <row r="182" spans="1:10" ht="15.75" x14ac:dyDescent="0.25">
      <c r="A182" s="104"/>
      <c r="B182" s="104"/>
      <c r="C182" s="92" t="str">
        <f t="shared" si="2"/>
        <v/>
      </c>
      <c r="D182" s="113"/>
      <c r="E182" s="113"/>
      <c r="F182" s="113"/>
      <c r="G182" s="113"/>
      <c r="H182" s="128"/>
      <c r="I182" s="113"/>
      <c r="J182" s="113"/>
    </row>
    <row r="183" spans="1:10" ht="15.75" x14ac:dyDescent="0.25">
      <c r="A183" s="104"/>
      <c r="B183" s="104"/>
      <c r="C183" s="92" t="str">
        <f t="shared" si="2"/>
        <v/>
      </c>
      <c r="D183" s="113"/>
      <c r="E183" s="113"/>
      <c r="F183" s="113"/>
      <c r="G183" s="113"/>
      <c r="H183" s="128"/>
      <c r="I183" s="113"/>
      <c r="J183" s="113"/>
    </row>
    <row r="184" spans="1:10" ht="15.75" x14ac:dyDescent="0.25">
      <c r="A184" s="104"/>
      <c r="B184" s="104"/>
      <c r="C184" s="92" t="str">
        <f t="shared" si="2"/>
        <v/>
      </c>
      <c r="D184" s="113"/>
      <c r="E184" s="113"/>
      <c r="F184" s="113"/>
      <c r="G184" s="113"/>
      <c r="H184" s="128"/>
      <c r="I184" s="113"/>
      <c r="J184" s="113"/>
    </row>
    <row r="185" spans="1:10" ht="15.75" x14ac:dyDescent="0.25">
      <c r="A185" s="104"/>
      <c r="B185" s="104"/>
      <c r="C185" s="92" t="str">
        <f t="shared" si="2"/>
        <v/>
      </c>
      <c r="D185" s="113"/>
      <c r="E185" s="113"/>
      <c r="F185" s="113"/>
      <c r="G185" s="113"/>
      <c r="H185" s="128"/>
      <c r="I185" s="113"/>
      <c r="J185" s="113"/>
    </row>
    <row r="186" spans="1:10" ht="15.75" x14ac:dyDescent="0.25">
      <c r="A186" s="104"/>
      <c r="B186" s="104"/>
      <c r="C186" s="92" t="str">
        <f t="shared" si="2"/>
        <v/>
      </c>
      <c r="D186" s="113"/>
      <c r="E186" s="113"/>
      <c r="F186" s="113"/>
      <c r="G186" s="113"/>
      <c r="H186" s="128"/>
      <c r="I186" s="113"/>
      <c r="J186" s="113"/>
    </row>
    <row r="187" spans="1:10" ht="15.75" x14ac:dyDescent="0.25">
      <c r="A187" s="104"/>
      <c r="B187" s="104"/>
      <c r="C187" s="92" t="str">
        <f t="shared" si="2"/>
        <v/>
      </c>
      <c r="D187" s="113"/>
      <c r="E187" s="113"/>
      <c r="F187" s="113"/>
      <c r="G187" s="113"/>
      <c r="H187" s="128"/>
      <c r="I187" s="113"/>
      <c r="J187" s="113"/>
    </row>
    <row r="188" spans="1:10" ht="15.75" x14ac:dyDescent="0.25">
      <c r="A188" s="104"/>
      <c r="B188" s="104"/>
      <c r="C188" s="92" t="str">
        <f t="shared" si="2"/>
        <v/>
      </c>
      <c r="D188" s="113"/>
      <c r="E188" s="113"/>
      <c r="F188" s="113"/>
      <c r="G188" s="113"/>
      <c r="H188" s="128"/>
      <c r="I188" s="113"/>
      <c r="J188" s="113"/>
    </row>
    <row r="189" spans="1:10" ht="15.75" x14ac:dyDescent="0.25">
      <c r="A189" s="104"/>
      <c r="B189" s="104"/>
      <c r="C189" s="92" t="str">
        <f t="shared" si="2"/>
        <v/>
      </c>
      <c r="D189" s="113"/>
      <c r="E189" s="113"/>
      <c r="F189" s="113"/>
      <c r="G189" s="113"/>
      <c r="H189" s="128"/>
      <c r="I189" s="113"/>
      <c r="J189" s="113"/>
    </row>
    <row r="190" spans="1:10" ht="15.75" x14ac:dyDescent="0.25">
      <c r="A190" s="104"/>
      <c r="B190" s="104"/>
      <c r="C190" s="92" t="str">
        <f t="shared" si="2"/>
        <v/>
      </c>
      <c r="D190" s="113"/>
      <c r="E190" s="113"/>
      <c r="F190" s="113"/>
      <c r="G190" s="113"/>
      <c r="H190" s="128"/>
      <c r="I190" s="113"/>
      <c r="J190" s="113"/>
    </row>
    <row r="191" spans="1:10" ht="15.75" x14ac:dyDescent="0.25">
      <c r="A191" s="104"/>
      <c r="B191" s="104"/>
      <c r="C191" s="92" t="str">
        <f t="shared" si="2"/>
        <v/>
      </c>
      <c r="D191" s="113"/>
      <c r="E191" s="113"/>
      <c r="F191" s="113"/>
      <c r="G191" s="113"/>
      <c r="H191" s="128"/>
      <c r="I191" s="113"/>
      <c r="J191" s="113"/>
    </row>
    <row r="192" spans="1:10" ht="15.75" x14ac:dyDescent="0.25">
      <c r="A192" s="104"/>
      <c r="B192" s="104"/>
      <c r="C192" s="92" t="str">
        <f t="shared" si="2"/>
        <v/>
      </c>
      <c r="D192" s="113"/>
      <c r="E192" s="113"/>
      <c r="F192" s="113"/>
      <c r="G192" s="113"/>
      <c r="H192" s="128"/>
      <c r="I192" s="113"/>
      <c r="J192" s="113"/>
    </row>
    <row r="193" spans="1:10" ht="15.75" x14ac:dyDescent="0.25">
      <c r="A193" s="104"/>
      <c r="B193" s="104"/>
      <c r="C193" s="92" t="str">
        <f t="shared" si="2"/>
        <v/>
      </c>
      <c r="D193" s="113"/>
      <c r="E193" s="113"/>
      <c r="F193" s="113"/>
      <c r="G193" s="113"/>
      <c r="H193" s="128"/>
      <c r="I193" s="113"/>
      <c r="J193" s="113"/>
    </row>
    <row r="194" spans="1:10" ht="15.75" x14ac:dyDescent="0.25">
      <c r="A194" s="104"/>
      <c r="B194" s="104"/>
      <c r="C194" s="92" t="str">
        <f t="shared" si="2"/>
        <v/>
      </c>
      <c r="D194" s="113"/>
      <c r="E194" s="113"/>
      <c r="F194" s="113"/>
      <c r="G194" s="113"/>
      <c r="H194" s="128"/>
      <c r="I194" s="113"/>
      <c r="J194" s="113"/>
    </row>
    <row r="195" spans="1:10" ht="15.75" x14ac:dyDescent="0.25">
      <c r="A195" s="104"/>
      <c r="B195" s="104"/>
      <c r="C195" s="92" t="str">
        <f t="shared" si="2"/>
        <v/>
      </c>
      <c r="D195" s="113"/>
      <c r="E195" s="113"/>
      <c r="F195" s="113"/>
      <c r="G195" s="113"/>
      <c r="H195" s="128"/>
      <c r="I195" s="113"/>
      <c r="J195" s="113"/>
    </row>
    <row r="196" spans="1:10" ht="15.75" x14ac:dyDescent="0.25">
      <c r="A196" s="104"/>
      <c r="B196" s="104"/>
      <c r="C196" s="92" t="str">
        <f t="shared" si="2"/>
        <v/>
      </c>
      <c r="D196" s="113"/>
      <c r="E196" s="113"/>
      <c r="F196" s="113"/>
      <c r="G196" s="113"/>
      <c r="H196" s="128"/>
      <c r="I196" s="113"/>
      <c r="J196" s="113"/>
    </row>
    <row r="197" spans="1:10" ht="15.75" x14ac:dyDescent="0.25">
      <c r="A197" s="104"/>
      <c r="B197" s="104"/>
      <c r="C197" s="92" t="str">
        <f t="shared" si="2"/>
        <v/>
      </c>
      <c r="D197" s="113"/>
      <c r="E197" s="113"/>
      <c r="F197" s="113"/>
      <c r="G197" s="113"/>
      <c r="H197" s="128"/>
      <c r="I197" s="113"/>
      <c r="J197" s="113"/>
    </row>
    <row r="198" spans="1:10" ht="15.75" x14ac:dyDescent="0.25">
      <c r="A198" s="104"/>
      <c r="B198" s="104"/>
      <c r="C198" s="92" t="str">
        <f t="shared" si="2"/>
        <v/>
      </c>
      <c r="D198" s="113"/>
      <c r="E198" s="113"/>
      <c r="F198" s="113"/>
      <c r="G198" s="113"/>
      <c r="H198" s="128"/>
      <c r="I198" s="113"/>
      <c r="J198" s="113"/>
    </row>
    <row r="199" spans="1:10" ht="15.75" x14ac:dyDescent="0.25">
      <c r="A199" s="104"/>
      <c r="B199" s="104"/>
      <c r="C199" s="92" t="str">
        <f t="shared" si="2"/>
        <v/>
      </c>
      <c r="D199" s="113"/>
      <c r="E199" s="113"/>
      <c r="F199" s="113"/>
      <c r="G199" s="113"/>
      <c r="H199" s="128"/>
      <c r="I199" s="113"/>
      <c r="J199" s="113"/>
    </row>
    <row r="200" spans="1:10" ht="15.75" x14ac:dyDescent="0.25">
      <c r="A200" s="104"/>
      <c r="B200" s="104"/>
      <c r="C200" s="92" t="str">
        <f t="shared" si="2"/>
        <v/>
      </c>
      <c r="D200" s="113"/>
      <c r="E200" s="113"/>
      <c r="F200" s="113"/>
      <c r="G200" s="113"/>
      <c r="H200" s="128"/>
      <c r="I200" s="113"/>
      <c r="J200" s="113"/>
    </row>
    <row r="201" spans="1:10" ht="15.75" x14ac:dyDescent="0.25">
      <c r="A201" s="104"/>
      <c r="B201" s="104"/>
      <c r="C201" s="92" t="str">
        <f t="shared" si="2"/>
        <v/>
      </c>
      <c r="D201" s="113"/>
      <c r="E201" s="113"/>
      <c r="F201" s="113"/>
      <c r="G201" s="113"/>
      <c r="H201" s="128"/>
      <c r="I201" s="113"/>
      <c r="J201" s="113"/>
    </row>
    <row r="202" spans="1:10" ht="15.75" x14ac:dyDescent="0.25">
      <c r="A202" s="104"/>
      <c r="B202" s="104"/>
      <c r="C202" s="92" t="str">
        <f t="shared" si="2"/>
        <v/>
      </c>
      <c r="D202" s="113"/>
      <c r="E202" s="113"/>
      <c r="F202" s="113"/>
      <c r="G202" s="113"/>
      <c r="H202" s="128"/>
      <c r="I202" s="113"/>
      <c r="J202" s="113"/>
    </row>
    <row r="203" spans="1:10" ht="15.75" x14ac:dyDescent="0.25">
      <c r="A203" s="104"/>
      <c r="B203" s="104"/>
      <c r="C203" s="92" t="str">
        <f t="shared" si="2"/>
        <v/>
      </c>
      <c r="D203" s="113"/>
      <c r="E203" s="113"/>
      <c r="F203" s="113"/>
      <c r="G203" s="113"/>
      <c r="H203" s="128"/>
      <c r="I203" s="113"/>
      <c r="J203" s="113"/>
    </row>
    <row r="204" spans="1:10" ht="15.75" x14ac:dyDescent="0.25">
      <c r="A204" s="104"/>
      <c r="B204" s="104"/>
      <c r="C204" s="92" t="str">
        <f t="shared" si="2"/>
        <v/>
      </c>
      <c r="D204" s="113"/>
      <c r="E204" s="113"/>
      <c r="F204" s="113"/>
      <c r="G204" s="113"/>
      <c r="H204" s="128"/>
      <c r="I204" s="113"/>
      <c r="J204" s="113"/>
    </row>
    <row r="205" spans="1:10" ht="15.75" x14ac:dyDescent="0.25">
      <c r="A205" s="104"/>
      <c r="B205" s="104"/>
      <c r="C205" s="92" t="str">
        <f t="shared" si="2"/>
        <v/>
      </c>
      <c r="D205" s="113"/>
      <c r="E205" s="113"/>
      <c r="F205" s="113"/>
      <c r="G205" s="113"/>
      <c r="H205" s="128"/>
      <c r="I205" s="113"/>
      <c r="J205" s="113"/>
    </row>
    <row r="206" spans="1:10" ht="15.75" x14ac:dyDescent="0.25">
      <c r="A206" s="104"/>
      <c r="B206" s="104"/>
      <c r="C206" s="92" t="str">
        <f t="shared" si="2"/>
        <v/>
      </c>
      <c r="D206" s="113"/>
      <c r="E206" s="113"/>
      <c r="F206" s="113"/>
      <c r="G206" s="113"/>
      <c r="H206" s="128"/>
      <c r="I206" s="113"/>
      <c r="J206" s="113"/>
    </row>
    <row r="207" spans="1:10" ht="15.75" x14ac:dyDescent="0.25">
      <c r="A207" s="104"/>
      <c r="B207" s="104"/>
      <c r="C207" s="92" t="str">
        <f t="shared" si="2"/>
        <v/>
      </c>
      <c r="D207" s="113"/>
      <c r="E207" s="113"/>
      <c r="F207" s="113"/>
      <c r="G207" s="113"/>
      <c r="H207" s="128"/>
      <c r="I207" s="113"/>
      <c r="J207" s="113"/>
    </row>
    <row r="208" spans="1:10" ht="15.75" x14ac:dyDescent="0.25">
      <c r="A208" s="104"/>
      <c r="B208" s="104"/>
      <c r="C208" s="92" t="str">
        <f t="shared" si="2"/>
        <v/>
      </c>
      <c r="D208" s="113"/>
      <c r="E208" s="113"/>
      <c r="F208" s="113"/>
      <c r="G208" s="113"/>
      <c r="H208" s="128"/>
      <c r="I208" s="113"/>
      <c r="J208" s="113"/>
    </row>
    <row r="209" spans="1:10" ht="15.75" x14ac:dyDescent="0.25">
      <c r="A209" s="104"/>
      <c r="B209" s="104"/>
      <c r="C209" s="92" t="str">
        <f t="shared" si="2"/>
        <v/>
      </c>
      <c r="D209" s="113"/>
      <c r="E209" s="113"/>
      <c r="F209" s="113"/>
      <c r="G209" s="113"/>
      <c r="H209" s="128"/>
      <c r="I209" s="113"/>
      <c r="J209" s="113"/>
    </row>
    <row r="210" spans="1:10" ht="15.75" x14ac:dyDescent="0.25">
      <c r="A210" s="104"/>
      <c r="B210" s="104"/>
      <c r="C210" s="92" t="str">
        <f t="shared" si="2"/>
        <v/>
      </c>
      <c r="D210" s="113"/>
      <c r="E210" s="113"/>
      <c r="F210" s="113"/>
      <c r="G210" s="113"/>
      <c r="H210" s="128"/>
      <c r="I210" s="113"/>
      <c r="J210" s="113"/>
    </row>
    <row r="211" spans="1:10" ht="15.75" x14ac:dyDescent="0.25">
      <c r="A211" s="104"/>
      <c r="B211" s="104"/>
      <c r="C211" s="92" t="str">
        <f t="shared" si="2"/>
        <v/>
      </c>
      <c r="D211" s="113"/>
      <c r="E211" s="113"/>
      <c r="F211" s="113"/>
      <c r="G211" s="113"/>
      <c r="H211" s="128"/>
      <c r="I211" s="113"/>
      <c r="J211" s="113"/>
    </row>
    <row r="212" spans="1:10" ht="15.75" x14ac:dyDescent="0.25">
      <c r="A212" s="104"/>
      <c r="B212" s="104"/>
      <c r="C212" s="92" t="str">
        <f t="shared" ref="C212:C275" si="3">IF(A212=0,"","Steel02")</f>
        <v/>
      </c>
      <c r="D212" s="113"/>
      <c r="E212" s="113"/>
      <c r="F212" s="113"/>
      <c r="G212" s="113"/>
      <c r="H212" s="128"/>
      <c r="I212" s="113"/>
      <c r="J212" s="113"/>
    </row>
    <row r="213" spans="1:10" ht="15.75" x14ac:dyDescent="0.25">
      <c r="A213" s="104"/>
      <c r="B213" s="104"/>
      <c r="C213" s="92" t="str">
        <f t="shared" si="3"/>
        <v/>
      </c>
      <c r="D213" s="113"/>
      <c r="E213" s="113"/>
      <c r="F213" s="113"/>
      <c r="G213" s="113"/>
      <c r="H213" s="128"/>
      <c r="I213" s="113"/>
      <c r="J213" s="113"/>
    </row>
    <row r="214" spans="1:10" ht="15.75" x14ac:dyDescent="0.25">
      <c r="A214" s="104"/>
      <c r="B214" s="104"/>
      <c r="C214" s="92" t="str">
        <f t="shared" si="3"/>
        <v/>
      </c>
      <c r="D214" s="113"/>
      <c r="E214" s="113"/>
      <c r="F214" s="113"/>
      <c r="G214" s="113"/>
      <c r="H214" s="128"/>
      <c r="I214" s="113"/>
      <c r="J214" s="113"/>
    </row>
    <row r="215" spans="1:10" ht="15.75" x14ac:dyDescent="0.25">
      <c r="A215" s="104"/>
      <c r="B215" s="104"/>
      <c r="C215" s="92" t="str">
        <f t="shared" si="3"/>
        <v/>
      </c>
      <c r="D215" s="113"/>
      <c r="E215" s="113"/>
      <c r="F215" s="113"/>
      <c r="G215" s="113"/>
      <c r="H215" s="128"/>
      <c r="I215" s="113"/>
      <c r="J215" s="113"/>
    </row>
    <row r="216" spans="1:10" ht="15.75" x14ac:dyDescent="0.25">
      <c r="A216" s="104"/>
      <c r="B216" s="104"/>
      <c r="C216" s="92" t="str">
        <f t="shared" si="3"/>
        <v/>
      </c>
      <c r="D216" s="113"/>
      <c r="E216" s="113"/>
      <c r="F216" s="113"/>
      <c r="G216" s="113"/>
      <c r="H216" s="128"/>
      <c r="I216" s="113"/>
      <c r="J216" s="113"/>
    </row>
    <row r="217" spans="1:10" ht="15.75" x14ac:dyDescent="0.25">
      <c r="A217" s="104"/>
      <c r="B217" s="104"/>
      <c r="C217" s="92" t="str">
        <f t="shared" si="3"/>
        <v/>
      </c>
      <c r="D217" s="113"/>
      <c r="E217" s="113"/>
      <c r="F217" s="113"/>
      <c r="G217" s="113"/>
      <c r="H217" s="128"/>
      <c r="I217" s="113"/>
      <c r="J217" s="113"/>
    </row>
    <row r="218" spans="1:10" ht="15.75" x14ac:dyDescent="0.25">
      <c r="A218" s="104"/>
      <c r="B218" s="104"/>
      <c r="C218" s="92" t="str">
        <f t="shared" si="3"/>
        <v/>
      </c>
      <c r="D218" s="113"/>
      <c r="E218" s="113"/>
      <c r="F218" s="113"/>
      <c r="G218" s="113"/>
      <c r="H218" s="128"/>
      <c r="I218" s="113"/>
      <c r="J218" s="113"/>
    </row>
    <row r="219" spans="1:10" ht="15.75" x14ac:dyDescent="0.25">
      <c r="A219" s="104"/>
      <c r="B219" s="104"/>
      <c r="C219" s="92" t="str">
        <f t="shared" si="3"/>
        <v/>
      </c>
      <c r="D219" s="113"/>
      <c r="E219" s="113"/>
      <c r="F219" s="113"/>
      <c r="G219" s="113"/>
      <c r="H219" s="128"/>
      <c r="I219" s="113"/>
      <c r="J219" s="113"/>
    </row>
    <row r="220" spans="1:10" ht="15.75" x14ac:dyDescent="0.25">
      <c r="A220" s="104"/>
      <c r="B220" s="104"/>
      <c r="C220" s="92" t="str">
        <f t="shared" si="3"/>
        <v/>
      </c>
      <c r="D220" s="113"/>
      <c r="E220" s="113"/>
      <c r="F220" s="113"/>
      <c r="G220" s="113"/>
      <c r="H220" s="128"/>
      <c r="I220" s="113"/>
      <c r="J220" s="113"/>
    </row>
    <row r="221" spans="1:10" ht="15.75" x14ac:dyDescent="0.25">
      <c r="A221" s="104"/>
      <c r="B221" s="104"/>
      <c r="C221" s="92" t="str">
        <f t="shared" si="3"/>
        <v/>
      </c>
      <c r="D221" s="113"/>
      <c r="E221" s="113"/>
      <c r="F221" s="113"/>
      <c r="G221" s="113"/>
      <c r="H221" s="128"/>
      <c r="I221" s="113"/>
      <c r="J221" s="113"/>
    </row>
    <row r="222" spans="1:10" ht="15.75" x14ac:dyDescent="0.25">
      <c r="A222" s="104"/>
      <c r="B222" s="104"/>
      <c r="C222" s="92" t="str">
        <f t="shared" si="3"/>
        <v/>
      </c>
      <c r="D222" s="113"/>
      <c r="E222" s="113"/>
      <c r="F222" s="113"/>
      <c r="G222" s="113"/>
      <c r="H222" s="128"/>
      <c r="I222" s="113"/>
      <c r="J222" s="113"/>
    </row>
    <row r="223" spans="1:10" ht="15.75" x14ac:dyDescent="0.25">
      <c r="A223" s="104"/>
      <c r="B223" s="104"/>
      <c r="C223" s="92" t="str">
        <f t="shared" si="3"/>
        <v/>
      </c>
      <c r="D223" s="113"/>
      <c r="E223" s="113"/>
      <c r="F223" s="113"/>
      <c r="G223" s="113"/>
      <c r="H223" s="128"/>
      <c r="I223" s="113"/>
      <c r="J223" s="113"/>
    </row>
    <row r="224" spans="1:10" ht="15.75" x14ac:dyDescent="0.25">
      <c r="A224" s="104"/>
      <c r="B224" s="104"/>
      <c r="C224" s="92" t="str">
        <f t="shared" si="3"/>
        <v/>
      </c>
      <c r="D224" s="113"/>
      <c r="E224" s="113"/>
      <c r="F224" s="113"/>
      <c r="G224" s="113"/>
      <c r="H224" s="128"/>
      <c r="I224" s="113"/>
      <c r="J224" s="113"/>
    </row>
    <row r="225" spans="1:10" ht="15.75" x14ac:dyDescent="0.25">
      <c r="A225" s="104"/>
      <c r="B225" s="104"/>
      <c r="C225" s="92" t="str">
        <f t="shared" si="3"/>
        <v/>
      </c>
      <c r="D225" s="113"/>
      <c r="E225" s="113"/>
      <c r="F225" s="113"/>
      <c r="G225" s="113"/>
      <c r="H225" s="128"/>
      <c r="I225" s="113"/>
      <c r="J225" s="113"/>
    </row>
    <row r="226" spans="1:10" ht="15.75" x14ac:dyDescent="0.25">
      <c r="A226" s="104"/>
      <c r="B226" s="104"/>
      <c r="C226" s="92" t="str">
        <f t="shared" si="3"/>
        <v/>
      </c>
      <c r="D226" s="113"/>
      <c r="E226" s="113"/>
      <c r="F226" s="113"/>
      <c r="G226" s="113"/>
      <c r="H226" s="128"/>
      <c r="I226" s="113"/>
      <c r="J226" s="113"/>
    </row>
    <row r="227" spans="1:10" ht="15.75" x14ac:dyDescent="0.25">
      <c r="A227" s="104"/>
      <c r="B227" s="104"/>
      <c r="C227" s="92" t="str">
        <f t="shared" si="3"/>
        <v/>
      </c>
      <c r="D227" s="113"/>
      <c r="E227" s="113"/>
      <c r="F227" s="113"/>
      <c r="G227" s="113"/>
      <c r="H227" s="128"/>
      <c r="I227" s="113"/>
      <c r="J227" s="113"/>
    </row>
    <row r="228" spans="1:10" ht="15.75" x14ac:dyDescent="0.25">
      <c r="A228" s="104"/>
      <c r="B228" s="104"/>
      <c r="C228" s="92" t="str">
        <f t="shared" si="3"/>
        <v/>
      </c>
      <c r="D228" s="113"/>
      <c r="E228" s="113"/>
      <c r="F228" s="113"/>
      <c r="G228" s="113"/>
      <c r="H228" s="128"/>
      <c r="I228" s="113"/>
      <c r="J228" s="113"/>
    </row>
    <row r="229" spans="1:10" ht="15.75" x14ac:dyDescent="0.25">
      <c r="A229" s="104"/>
      <c r="B229" s="104"/>
      <c r="C229" s="92" t="str">
        <f t="shared" si="3"/>
        <v/>
      </c>
      <c r="D229" s="113"/>
      <c r="E229" s="113"/>
      <c r="F229" s="113"/>
      <c r="G229" s="113"/>
      <c r="H229" s="128"/>
      <c r="I229" s="113"/>
      <c r="J229" s="113"/>
    </row>
    <row r="230" spans="1:10" ht="15.75" x14ac:dyDescent="0.25">
      <c r="A230" s="104"/>
      <c r="B230" s="104"/>
      <c r="C230" s="92" t="str">
        <f t="shared" si="3"/>
        <v/>
      </c>
      <c r="D230" s="113"/>
      <c r="E230" s="113"/>
      <c r="F230" s="113"/>
      <c r="G230" s="113"/>
      <c r="H230" s="128"/>
      <c r="I230" s="113"/>
      <c r="J230" s="113"/>
    </row>
    <row r="231" spans="1:10" ht="15.75" x14ac:dyDescent="0.25">
      <c r="A231" s="104"/>
      <c r="B231" s="104"/>
      <c r="C231" s="92" t="str">
        <f t="shared" si="3"/>
        <v/>
      </c>
      <c r="D231" s="113"/>
      <c r="E231" s="113"/>
      <c r="F231" s="113"/>
      <c r="G231" s="113"/>
      <c r="H231" s="128"/>
      <c r="I231" s="113"/>
      <c r="J231" s="113"/>
    </row>
    <row r="232" spans="1:10" ht="15.75" x14ac:dyDescent="0.25">
      <c r="A232" s="104"/>
      <c r="B232" s="104"/>
      <c r="C232" s="92" t="str">
        <f t="shared" si="3"/>
        <v/>
      </c>
      <c r="D232" s="113"/>
      <c r="E232" s="113"/>
      <c r="F232" s="113"/>
      <c r="G232" s="113"/>
      <c r="H232" s="128"/>
      <c r="I232" s="113"/>
      <c r="J232" s="113"/>
    </row>
    <row r="233" spans="1:10" ht="15.75" x14ac:dyDescent="0.25">
      <c r="A233" s="104"/>
      <c r="B233" s="104"/>
      <c r="C233" s="92" t="str">
        <f t="shared" si="3"/>
        <v/>
      </c>
      <c r="D233" s="113"/>
      <c r="E233" s="113"/>
      <c r="F233" s="113"/>
      <c r="G233" s="113"/>
      <c r="H233" s="128"/>
      <c r="I233" s="113"/>
      <c r="J233" s="113"/>
    </row>
    <row r="234" spans="1:10" ht="15.75" x14ac:dyDescent="0.25">
      <c r="A234" s="104"/>
      <c r="B234" s="104"/>
      <c r="C234" s="92" t="str">
        <f t="shared" si="3"/>
        <v/>
      </c>
      <c r="D234" s="113"/>
      <c r="E234" s="113"/>
      <c r="F234" s="113"/>
      <c r="G234" s="113"/>
      <c r="H234" s="128"/>
      <c r="I234" s="113"/>
      <c r="J234" s="113"/>
    </row>
    <row r="235" spans="1:10" ht="15.75" x14ac:dyDescent="0.25">
      <c r="A235" s="104"/>
      <c r="B235" s="104"/>
      <c r="C235" s="92" t="str">
        <f t="shared" si="3"/>
        <v/>
      </c>
      <c r="D235" s="113"/>
      <c r="E235" s="113"/>
      <c r="F235" s="113"/>
      <c r="G235" s="113"/>
      <c r="H235" s="128"/>
      <c r="I235" s="113"/>
      <c r="J235" s="113"/>
    </row>
    <row r="236" spans="1:10" ht="15.75" x14ac:dyDescent="0.25">
      <c r="A236" s="104"/>
      <c r="B236" s="104"/>
      <c r="C236" s="92" t="str">
        <f t="shared" si="3"/>
        <v/>
      </c>
      <c r="D236" s="113"/>
      <c r="E236" s="113"/>
      <c r="F236" s="113"/>
      <c r="G236" s="113"/>
      <c r="H236" s="128"/>
      <c r="I236" s="113"/>
      <c r="J236" s="113"/>
    </row>
    <row r="237" spans="1:10" ht="15.75" x14ac:dyDescent="0.25">
      <c r="A237" s="104"/>
      <c r="B237" s="104"/>
      <c r="C237" s="92" t="str">
        <f t="shared" si="3"/>
        <v/>
      </c>
      <c r="D237" s="113"/>
      <c r="E237" s="113"/>
      <c r="F237" s="113"/>
      <c r="G237" s="113"/>
      <c r="H237" s="128"/>
      <c r="I237" s="113"/>
      <c r="J237" s="113"/>
    </row>
    <row r="238" spans="1:10" ht="15.75" x14ac:dyDescent="0.25">
      <c r="A238" s="104"/>
      <c r="B238" s="104"/>
      <c r="C238" s="92" t="str">
        <f t="shared" si="3"/>
        <v/>
      </c>
      <c r="D238" s="113"/>
      <c r="E238" s="113"/>
      <c r="F238" s="113"/>
      <c r="G238" s="113"/>
      <c r="H238" s="128"/>
      <c r="I238" s="113"/>
      <c r="J238" s="113"/>
    </row>
    <row r="239" spans="1:10" ht="15.75" x14ac:dyDescent="0.25">
      <c r="A239" s="104"/>
      <c r="B239" s="104"/>
      <c r="C239" s="92" t="str">
        <f t="shared" si="3"/>
        <v/>
      </c>
      <c r="D239" s="113"/>
      <c r="E239" s="113"/>
      <c r="F239" s="113"/>
      <c r="G239" s="113"/>
      <c r="H239" s="128"/>
      <c r="I239" s="113"/>
      <c r="J239" s="113"/>
    </row>
    <row r="240" spans="1:10" ht="15.75" x14ac:dyDescent="0.25">
      <c r="A240" s="104"/>
      <c r="B240" s="104"/>
      <c r="C240" s="92" t="str">
        <f t="shared" si="3"/>
        <v/>
      </c>
      <c r="D240" s="113"/>
      <c r="E240" s="113"/>
      <c r="F240" s="113"/>
      <c r="G240" s="113"/>
      <c r="H240" s="128"/>
      <c r="I240" s="113"/>
      <c r="J240" s="113"/>
    </row>
    <row r="241" spans="1:10" ht="15.75" x14ac:dyDescent="0.25">
      <c r="A241" s="104"/>
      <c r="B241" s="104"/>
      <c r="C241" s="92" t="str">
        <f t="shared" si="3"/>
        <v/>
      </c>
      <c r="D241" s="113"/>
      <c r="E241" s="113"/>
      <c r="F241" s="113"/>
      <c r="G241" s="113"/>
      <c r="H241" s="128"/>
      <c r="I241" s="113"/>
      <c r="J241" s="113"/>
    </row>
    <row r="242" spans="1:10" ht="15.75" x14ac:dyDescent="0.25">
      <c r="A242" s="104"/>
      <c r="B242" s="104"/>
      <c r="C242" s="92" t="str">
        <f t="shared" si="3"/>
        <v/>
      </c>
      <c r="D242" s="113"/>
      <c r="E242" s="113"/>
      <c r="F242" s="113"/>
      <c r="G242" s="113"/>
      <c r="H242" s="128"/>
      <c r="I242" s="113"/>
      <c r="J242" s="113"/>
    </row>
    <row r="243" spans="1:10" ht="15.75" x14ac:dyDescent="0.25">
      <c r="A243" s="104"/>
      <c r="B243" s="104"/>
      <c r="C243" s="92" t="str">
        <f t="shared" si="3"/>
        <v/>
      </c>
      <c r="D243" s="113"/>
      <c r="E243" s="113"/>
      <c r="F243" s="113"/>
      <c r="G243" s="113"/>
      <c r="H243" s="128"/>
      <c r="I243" s="113"/>
      <c r="J243" s="113"/>
    </row>
    <row r="244" spans="1:10" ht="15.75" x14ac:dyDescent="0.25">
      <c r="A244" s="104"/>
      <c r="B244" s="104"/>
      <c r="C244" s="92" t="str">
        <f t="shared" si="3"/>
        <v/>
      </c>
      <c r="D244" s="113"/>
      <c r="E244" s="113"/>
      <c r="F244" s="113"/>
      <c r="G244" s="113"/>
      <c r="H244" s="128"/>
      <c r="I244" s="113"/>
      <c r="J244" s="113"/>
    </row>
    <row r="245" spans="1:10" ht="15.75" x14ac:dyDescent="0.25">
      <c r="A245" s="104"/>
      <c r="B245" s="104"/>
      <c r="C245" s="92" t="str">
        <f t="shared" si="3"/>
        <v/>
      </c>
      <c r="D245" s="113"/>
      <c r="E245" s="113"/>
      <c r="F245" s="113"/>
      <c r="G245" s="113"/>
      <c r="H245" s="128"/>
      <c r="I245" s="113"/>
      <c r="J245" s="113"/>
    </row>
    <row r="246" spans="1:10" ht="15.75" x14ac:dyDescent="0.25">
      <c r="A246" s="104"/>
      <c r="B246" s="104"/>
      <c r="C246" s="92" t="str">
        <f t="shared" si="3"/>
        <v/>
      </c>
      <c r="D246" s="113"/>
      <c r="E246" s="113"/>
      <c r="F246" s="113"/>
      <c r="G246" s="113"/>
      <c r="H246" s="128"/>
      <c r="I246" s="113"/>
      <c r="J246" s="113"/>
    </row>
    <row r="247" spans="1:10" ht="15.75" x14ac:dyDescent="0.25">
      <c r="A247" s="104"/>
      <c r="B247" s="104"/>
      <c r="C247" s="92" t="str">
        <f t="shared" si="3"/>
        <v/>
      </c>
      <c r="D247" s="113"/>
      <c r="E247" s="113"/>
      <c r="F247" s="113"/>
      <c r="G247" s="113"/>
      <c r="H247" s="128"/>
      <c r="I247" s="113"/>
      <c r="J247" s="113"/>
    </row>
    <row r="248" spans="1:10" ht="15.75" x14ac:dyDescent="0.25">
      <c r="A248" s="104"/>
      <c r="B248" s="104"/>
      <c r="C248" s="92" t="str">
        <f t="shared" si="3"/>
        <v/>
      </c>
      <c r="D248" s="113"/>
      <c r="E248" s="113"/>
      <c r="F248" s="113"/>
      <c r="G248" s="113"/>
      <c r="H248" s="128"/>
      <c r="I248" s="113"/>
      <c r="J248" s="113"/>
    </row>
    <row r="249" spans="1:10" ht="15.75" x14ac:dyDescent="0.25">
      <c r="A249" s="104"/>
      <c r="B249" s="104"/>
      <c r="C249" s="92" t="str">
        <f t="shared" si="3"/>
        <v/>
      </c>
      <c r="D249" s="113"/>
      <c r="E249" s="113"/>
      <c r="F249" s="113"/>
      <c r="G249" s="113"/>
      <c r="H249" s="128"/>
      <c r="I249" s="113"/>
      <c r="J249" s="113"/>
    </row>
    <row r="250" spans="1:10" ht="15.75" x14ac:dyDescent="0.25">
      <c r="A250" s="104"/>
      <c r="B250" s="104"/>
      <c r="C250" s="92" t="str">
        <f t="shared" si="3"/>
        <v/>
      </c>
      <c r="D250" s="113"/>
      <c r="E250" s="113"/>
      <c r="F250" s="113"/>
      <c r="G250" s="113"/>
      <c r="H250" s="128"/>
      <c r="I250" s="113"/>
      <c r="J250" s="113"/>
    </row>
    <row r="251" spans="1:10" ht="15.75" x14ac:dyDescent="0.25">
      <c r="A251" s="104"/>
      <c r="B251" s="104"/>
      <c r="C251" s="92" t="str">
        <f t="shared" si="3"/>
        <v/>
      </c>
      <c r="D251" s="113"/>
      <c r="E251" s="113"/>
      <c r="F251" s="113"/>
      <c r="G251" s="113"/>
      <c r="H251" s="128"/>
      <c r="I251" s="113"/>
      <c r="J251" s="113"/>
    </row>
    <row r="252" spans="1:10" ht="15.75" x14ac:dyDescent="0.25">
      <c r="A252" s="104"/>
      <c r="B252" s="104"/>
      <c r="C252" s="92" t="str">
        <f t="shared" si="3"/>
        <v/>
      </c>
      <c r="D252" s="113"/>
      <c r="E252" s="113"/>
      <c r="F252" s="113"/>
      <c r="G252" s="113"/>
      <c r="H252" s="128"/>
      <c r="I252" s="113"/>
      <c r="J252" s="113"/>
    </row>
    <row r="253" spans="1:10" ht="15.75" x14ac:dyDescent="0.25">
      <c r="A253" s="104"/>
      <c r="B253" s="104"/>
      <c r="C253" s="92" t="str">
        <f t="shared" si="3"/>
        <v/>
      </c>
      <c r="D253" s="113"/>
      <c r="E253" s="113"/>
      <c r="F253" s="113"/>
      <c r="G253" s="113"/>
      <c r="H253" s="128"/>
      <c r="I253" s="113"/>
      <c r="J253" s="113"/>
    </row>
    <row r="254" spans="1:10" ht="15.75" x14ac:dyDescent="0.25">
      <c r="A254" s="104"/>
      <c r="B254" s="104"/>
      <c r="C254" s="92" t="str">
        <f t="shared" si="3"/>
        <v/>
      </c>
      <c r="D254" s="113"/>
      <c r="E254" s="113"/>
      <c r="F254" s="113"/>
      <c r="G254" s="113"/>
      <c r="H254" s="128"/>
      <c r="I254" s="113"/>
      <c r="J254" s="113"/>
    </row>
    <row r="255" spans="1:10" ht="15.75" x14ac:dyDescent="0.25">
      <c r="A255" s="104"/>
      <c r="B255" s="104"/>
      <c r="C255" s="92" t="str">
        <f t="shared" si="3"/>
        <v/>
      </c>
      <c r="D255" s="113"/>
      <c r="E255" s="113"/>
      <c r="F255" s="113"/>
      <c r="G255" s="113"/>
      <c r="H255" s="128"/>
      <c r="I255" s="113"/>
      <c r="J255" s="113"/>
    </row>
    <row r="256" spans="1:10" ht="15.75" x14ac:dyDescent="0.25">
      <c r="A256" s="104"/>
      <c r="B256" s="104"/>
      <c r="C256" s="92" t="str">
        <f t="shared" si="3"/>
        <v/>
      </c>
      <c r="D256" s="113"/>
      <c r="E256" s="113"/>
      <c r="F256" s="113"/>
      <c r="G256" s="113"/>
      <c r="H256" s="128"/>
      <c r="I256" s="113"/>
      <c r="J256" s="113"/>
    </row>
    <row r="257" spans="1:10" ht="15.75" x14ac:dyDescent="0.25">
      <c r="A257" s="104"/>
      <c r="B257" s="104"/>
      <c r="C257" s="92" t="str">
        <f t="shared" si="3"/>
        <v/>
      </c>
      <c r="D257" s="113"/>
      <c r="E257" s="113"/>
      <c r="F257" s="113"/>
      <c r="G257" s="113"/>
      <c r="H257" s="128"/>
      <c r="I257" s="113"/>
      <c r="J257" s="113"/>
    </row>
    <row r="258" spans="1:10" ht="15.75" x14ac:dyDescent="0.25">
      <c r="A258" s="104"/>
      <c r="B258" s="104"/>
      <c r="C258" s="92" t="str">
        <f t="shared" si="3"/>
        <v/>
      </c>
      <c r="D258" s="113"/>
      <c r="E258" s="113"/>
      <c r="F258" s="113"/>
      <c r="G258" s="113"/>
      <c r="H258" s="128"/>
      <c r="I258" s="113"/>
      <c r="J258" s="113"/>
    </row>
    <row r="259" spans="1:10" ht="15.75" x14ac:dyDescent="0.25">
      <c r="A259" s="104"/>
      <c r="B259" s="104"/>
      <c r="C259" s="92" t="str">
        <f t="shared" si="3"/>
        <v/>
      </c>
      <c r="D259" s="113"/>
      <c r="E259" s="113"/>
      <c r="F259" s="113"/>
      <c r="G259" s="113"/>
      <c r="H259" s="128"/>
      <c r="I259" s="113"/>
      <c r="J259" s="113"/>
    </row>
    <row r="260" spans="1:10" ht="15.75" x14ac:dyDescent="0.25">
      <c r="A260" s="104"/>
      <c r="B260" s="104"/>
      <c r="C260" s="92" t="str">
        <f t="shared" si="3"/>
        <v/>
      </c>
      <c r="D260" s="113"/>
      <c r="E260" s="113"/>
      <c r="F260" s="113"/>
      <c r="G260" s="113"/>
      <c r="H260" s="128"/>
      <c r="I260" s="113"/>
      <c r="J260" s="113"/>
    </row>
    <row r="261" spans="1:10" ht="15.75" x14ac:dyDescent="0.25">
      <c r="A261" s="104"/>
      <c r="B261" s="104"/>
      <c r="C261" s="92" t="str">
        <f t="shared" si="3"/>
        <v/>
      </c>
      <c r="D261" s="113"/>
      <c r="E261" s="113"/>
      <c r="F261" s="113"/>
      <c r="G261" s="113"/>
      <c r="H261" s="128"/>
      <c r="I261" s="113"/>
      <c r="J261" s="113"/>
    </row>
    <row r="262" spans="1:10" ht="15.75" x14ac:dyDescent="0.25">
      <c r="A262" s="104"/>
      <c r="B262" s="104"/>
      <c r="C262" s="92" t="str">
        <f t="shared" si="3"/>
        <v/>
      </c>
      <c r="D262" s="113"/>
      <c r="E262" s="113"/>
      <c r="F262" s="113"/>
      <c r="G262" s="113"/>
      <c r="H262" s="128"/>
      <c r="I262" s="113"/>
      <c r="J262" s="113"/>
    </row>
    <row r="263" spans="1:10" ht="15.75" x14ac:dyDescent="0.25">
      <c r="A263" s="104"/>
      <c r="B263" s="104"/>
      <c r="C263" s="92" t="str">
        <f t="shared" si="3"/>
        <v/>
      </c>
      <c r="D263" s="113"/>
      <c r="E263" s="113"/>
      <c r="F263" s="113"/>
      <c r="G263" s="113"/>
      <c r="H263" s="128"/>
      <c r="I263" s="113"/>
      <c r="J263" s="113"/>
    </row>
    <row r="264" spans="1:10" ht="15.75" x14ac:dyDescent="0.25">
      <c r="A264" s="104"/>
      <c r="B264" s="104"/>
      <c r="C264" s="92" t="str">
        <f t="shared" si="3"/>
        <v/>
      </c>
      <c r="D264" s="113"/>
      <c r="E264" s="113"/>
      <c r="F264" s="113"/>
      <c r="G264" s="113"/>
      <c r="H264" s="128"/>
      <c r="I264" s="113"/>
      <c r="J264" s="113"/>
    </row>
    <row r="265" spans="1:10" ht="15.75" x14ac:dyDescent="0.25">
      <c r="A265" s="104"/>
      <c r="B265" s="104"/>
      <c r="C265" s="92" t="str">
        <f t="shared" si="3"/>
        <v/>
      </c>
      <c r="D265" s="113"/>
      <c r="E265" s="113"/>
      <c r="F265" s="113"/>
      <c r="G265" s="113"/>
      <c r="H265" s="128"/>
      <c r="I265" s="113"/>
      <c r="J265" s="113"/>
    </row>
    <row r="266" spans="1:10" ht="15.75" x14ac:dyDescent="0.25">
      <c r="A266" s="104"/>
      <c r="B266" s="104"/>
      <c r="C266" s="92" t="str">
        <f t="shared" si="3"/>
        <v/>
      </c>
      <c r="D266" s="113"/>
      <c r="E266" s="113"/>
      <c r="F266" s="113"/>
      <c r="G266" s="113"/>
      <c r="H266" s="128"/>
      <c r="I266" s="113"/>
      <c r="J266" s="113"/>
    </row>
    <row r="267" spans="1:10" ht="15.75" x14ac:dyDescent="0.25">
      <c r="A267" s="104"/>
      <c r="B267" s="104"/>
      <c r="C267" s="92" t="str">
        <f t="shared" si="3"/>
        <v/>
      </c>
      <c r="D267" s="113"/>
      <c r="E267" s="113"/>
      <c r="F267" s="113"/>
      <c r="G267" s="113"/>
      <c r="H267" s="128"/>
      <c r="I267" s="113"/>
      <c r="J267" s="113"/>
    </row>
    <row r="268" spans="1:10" ht="15.75" x14ac:dyDescent="0.25">
      <c r="A268" s="104"/>
      <c r="B268" s="104"/>
      <c r="C268" s="92" t="str">
        <f t="shared" si="3"/>
        <v/>
      </c>
      <c r="D268" s="113"/>
      <c r="E268" s="113"/>
      <c r="F268" s="113"/>
      <c r="G268" s="113"/>
      <c r="H268" s="128"/>
      <c r="I268" s="113"/>
      <c r="J268" s="113"/>
    </row>
    <row r="269" spans="1:10" ht="15.75" x14ac:dyDescent="0.25">
      <c r="A269" s="104"/>
      <c r="B269" s="104"/>
      <c r="C269" s="92" t="str">
        <f t="shared" si="3"/>
        <v/>
      </c>
      <c r="D269" s="113"/>
      <c r="E269" s="113"/>
      <c r="F269" s="113"/>
      <c r="G269" s="113"/>
      <c r="H269" s="128"/>
      <c r="I269" s="113"/>
      <c r="J269" s="113"/>
    </row>
    <row r="270" spans="1:10" ht="15.75" x14ac:dyDescent="0.25">
      <c r="A270" s="104"/>
      <c r="B270" s="104"/>
      <c r="C270" s="92" t="str">
        <f t="shared" si="3"/>
        <v/>
      </c>
      <c r="D270" s="113"/>
      <c r="E270" s="113"/>
      <c r="F270" s="113"/>
      <c r="G270" s="113"/>
      <c r="H270" s="128"/>
      <c r="I270" s="113"/>
      <c r="J270" s="113"/>
    </row>
    <row r="271" spans="1:10" ht="15.75" x14ac:dyDescent="0.25">
      <c r="A271" s="104"/>
      <c r="B271" s="104"/>
      <c r="C271" s="92" t="str">
        <f t="shared" si="3"/>
        <v/>
      </c>
      <c r="D271" s="113"/>
      <c r="E271" s="113"/>
      <c r="F271" s="113"/>
      <c r="G271" s="113"/>
      <c r="H271" s="128"/>
      <c r="I271" s="113"/>
      <c r="J271" s="113"/>
    </row>
    <row r="272" spans="1:10" ht="15.75" x14ac:dyDescent="0.25">
      <c r="A272" s="104"/>
      <c r="B272" s="104"/>
      <c r="C272" s="92" t="str">
        <f t="shared" si="3"/>
        <v/>
      </c>
      <c r="D272" s="113"/>
      <c r="E272" s="113"/>
      <c r="F272" s="113"/>
      <c r="G272" s="113"/>
      <c r="H272" s="128"/>
      <c r="I272" s="113"/>
      <c r="J272" s="113"/>
    </row>
    <row r="273" spans="1:10" ht="15.75" x14ac:dyDescent="0.25">
      <c r="A273" s="104"/>
      <c r="B273" s="104"/>
      <c r="C273" s="92" t="str">
        <f t="shared" si="3"/>
        <v/>
      </c>
      <c r="D273" s="113"/>
      <c r="E273" s="113"/>
      <c r="F273" s="113"/>
      <c r="G273" s="113"/>
      <c r="H273" s="128"/>
      <c r="I273" s="113"/>
      <c r="J273" s="113"/>
    </row>
    <row r="274" spans="1:10" ht="15.75" x14ac:dyDescent="0.25">
      <c r="A274" s="104"/>
      <c r="B274" s="104"/>
      <c r="C274" s="92" t="str">
        <f t="shared" si="3"/>
        <v/>
      </c>
      <c r="D274" s="113"/>
      <c r="E274" s="113"/>
      <c r="F274" s="113"/>
      <c r="G274" s="113"/>
      <c r="H274" s="128"/>
      <c r="I274" s="113"/>
      <c r="J274" s="113"/>
    </row>
    <row r="275" spans="1:10" ht="15.75" x14ac:dyDescent="0.25">
      <c r="A275" s="104"/>
      <c r="B275" s="104"/>
      <c r="C275" s="92" t="str">
        <f t="shared" si="3"/>
        <v/>
      </c>
      <c r="D275" s="113"/>
      <c r="E275" s="113"/>
      <c r="F275" s="113"/>
      <c r="G275" s="113"/>
      <c r="H275" s="128"/>
      <c r="I275" s="113"/>
      <c r="J275" s="113"/>
    </row>
    <row r="276" spans="1:10" ht="15.75" x14ac:dyDescent="0.25">
      <c r="A276" s="104"/>
      <c r="B276" s="104"/>
      <c r="C276" s="92" t="str">
        <f t="shared" ref="C276:C339" si="4">IF(A276=0,"","Steel02")</f>
        <v/>
      </c>
      <c r="D276" s="113"/>
      <c r="E276" s="113"/>
      <c r="F276" s="113"/>
      <c r="G276" s="113"/>
      <c r="H276" s="128"/>
      <c r="I276" s="113"/>
      <c r="J276" s="113"/>
    </row>
    <row r="277" spans="1:10" ht="15.75" x14ac:dyDescent="0.25">
      <c r="A277" s="104"/>
      <c r="B277" s="104"/>
      <c r="C277" s="92" t="str">
        <f t="shared" si="4"/>
        <v/>
      </c>
      <c r="D277" s="113"/>
      <c r="E277" s="113"/>
      <c r="F277" s="113"/>
      <c r="G277" s="113"/>
      <c r="H277" s="128"/>
      <c r="I277" s="113"/>
      <c r="J277" s="113"/>
    </row>
    <row r="278" spans="1:10" ht="15.75" x14ac:dyDescent="0.25">
      <c r="A278" s="104"/>
      <c r="B278" s="104"/>
      <c r="C278" s="92" t="str">
        <f t="shared" si="4"/>
        <v/>
      </c>
      <c r="D278" s="113"/>
      <c r="E278" s="113"/>
      <c r="F278" s="113"/>
      <c r="G278" s="113"/>
      <c r="H278" s="128"/>
      <c r="I278" s="113"/>
      <c r="J278" s="113"/>
    </row>
    <row r="279" spans="1:10" ht="15.75" x14ac:dyDescent="0.25">
      <c r="A279" s="104"/>
      <c r="B279" s="104"/>
      <c r="C279" s="92" t="str">
        <f t="shared" si="4"/>
        <v/>
      </c>
      <c r="D279" s="113"/>
      <c r="E279" s="113"/>
      <c r="F279" s="113"/>
      <c r="G279" s="113"/>
      <c r="H279" s="128"/>
      <c r="I279" s="113"/>
      <c r="J279" s="113"/>
    </row>
    <row r="280" spans="1:10" ht="15.75" x14ac:dyDescent="0.25">
      <c r="A280" s="104"/>
      <c r="B280" s="104"/>
      <c r="C280" s="92" t="str">
        <f t="shared" si="4"/>
        <v/>
      </c>
      <c r="D280" s="113"/>
      <c r="E280" s="113"/>
      <c r="F280" s="113"/>
      <c r="G280" s="113"/>
      <c r="H280" s="128"/>
      <c r="I280" s="113"/>
      <c r="J280" s="113"/>
    </row>
    <row r="281" spans="1:10" ht="15.75" x14ac:dyDescent="0.25">
      <c r="A281" s="104"/>
      <c r="B281" s="104"/>
      <c r="C281" s="92" t="str">
        <f t="shared" si="4"/>
        <v/>
      </c>
      <c r="D281" s="113"/>
      <c r="E281" s="113"/>
      <c r="F281" s="113"/>
      <c r="G281" s="113"/>
      <c r="H281" s="128"/>
      <c r="I281" s="113"/>
      <c r="J281" s="113"/>
    </row>
    <row r="282" spans="1:10" ht="15.75" x14ac:dyDescent="0.25">
      <c r="A282" s="104"/>
      <c r="B282" s="104"/>
      <c r="C282" s="92" t="str">
        <f t="shared" si="4"/>
        <v/>
      </c>
      <c r="D282" s="113"/>
      <c r="E282" s="113"/>
      <c r="F282" s="113"/>
      <c r="G282" s="113"/>
      <c r="H282" s="128"/>
      <c r="I282" s="113"/>
      <c r="J282" s="113"/>
    </row>
    <row r="283" spans="1:10" ht="15.75" x14ac:dyDescent="0.25">
      <c r="A283" s="104"/>
      <c r="B283" s="104"/>
      <c r="C283" s="92" t="str">
        <f t="shared" si="4"/>
        <v/>
      </c>
      <c r="D283" s="113"/>
      <c r="E283" s="113"/>
      <c r="F283" s="113"/>
      <c r="G283" s="113"/>
      <c r="H283" s="128"/>
      <c r="I283" s="113"/>
      <c r="J283" s="113"/>
    </row>
    <row r="284" spans="1:10" ht="15.75" x14ac:dyDescent="0.25">
      <c r="A284" s="104"/>
      <c r="B284" s="104"/>
      <c r="C284" s="92" t="str">
        <f t="shared" si="4"/>
        <v/>
      </c>
      <c r="D284" s="113"/>
      <c r="E284" s="113"/>
      <c r="F284" s="113"/>
      <c r="G284" s="113"/>
      <c r="H284" s="128"/>
      <c r="I284" s="113"/>
      <c r="J284" s="113"/>
    </row>
    <row r="285" spans="1:10" ht="15.75" x14ac:dyDescent="0.25">
      <c r="A285" s="104"/>
      <c r="B285" s="104"/>
      <c r="C285" s="92" t="str">
        <f t="shared" si="4"/>
        <v/>
      </c>
      <c r="D285" s="113"/>
      <c r="E285" s="113"/>
      <c r="F285" s="113"/>
      <c r="G285" s="113"/>
      <c r="H285" s="128"/>
      <c r="I285" s="113"/>
      <c r="J285" s="113"/>
    </row>
    <row r="286" spans="1:10" ht="15.75" x14ac:dyDescent="0.25">
      <c r="A286" s="104"/>
      <c r="B286" s="104"/>
      <c r="C286" s="92" t="str">
        <f t="shared" si="4"/>
        <v/>
      </c>
      <c r="D286" s="113"/>
      <c r="E286" s="113"/>
      <c r="F286" s="113"/>
      <c r="G286" s="113"/>
      <c r="H286" s="128"/>
      <c r="I286" s="113"/>
      <c r="J286" s="113"/>
    </row>
    <row r="287" spans="1:10" ht="15.75" x14ac:dyDescent="0.25">
      <c r="A287" s="104"/>
      <c r="B287" s="104"/>
      <c r="C287" s="92" t="str">
        <f t="shared" si="4"/>
        <v/>
      </c>
      <c r="D287" s="113"/>
      <c r="E287" s="113"/>
      <c r="F287" s="113"/>
      <c r="G287" s="113"/>
      <c r="H287" s="128"/>
      <c r="I287" s="113"/>
      <c r="J287" s="113"/>
    </row>
    <row r="288" spans="1:10" ht="15.75" x14ac:dyDescent="0.25">
      <c r="A288" s="104"/>
      <c r="B288" s="104"/>
      <c r="C288" s="92" t="str">
        <f t="shared" si="4"/>
        <v/>
      </c>
      <c r="D288" s="113"/>
      <c r="E288" s="113"/>
      <c r="F288" s="113"/>
      <c r="G288" s="113"/>
      <c r="H288" s="128"/>
      <c r="I288" s="113"/>
      <c r="J288" s="113"/>
    </row>
    <row r="289" spans="1:10" ht="15.75" x14ac:dyDescent="0.25">
      <c r="A289" s="104"/>
      <c r="B289" s="104"/>
      <c r="C289" s="92" t="str">
        <f t="shared" si="4"/>
        <v/>
      </c>
      <c r="D289" s="113"/>
      <c r="E289" s="113"/>
      <c r="F289" s="113"/>
      <c r="G289" s="113"/>
      <c r="H289" s="128"/>
      <c r="I289" s="113"/>
      <c r="J289" s="113"/>
    </row>
    <row r="290" spans="1:10" ht="15.75" x14ac:dyDescent="0.25">
      <c r="A290" s="104"/>
      <c r="B290" s="104"/>
      <c r="C290" s="92" t="str">
        <f t="shared" si="4"/>
        <v/>
      </c>
      <c r="D290" s="113"/>
      <c r="E290" s="113"/>
      <c r="F290" s="113"/>
      <c r="G290" s="113"/>
      <c r="H290" s="128"/>
      <c r="I290" s="113"/>
      <c r="J290" s="113"/>
    </row>
    <row r="291" spans="1:10" ht="15.75" x14ac:dyDescent="0.25">
      <c r="A291" s="104"/>
      <c r="B291" s="104"/>
      <c r="C291" s="92" t="str">
        <f t="shared" si="4"/>
        <v/>
      </c>
      <c r="D291" s="113"/>
      <c r="E291" s="113"/>
      <c r="F291" s="113"/>
      <c r="G291" s="113"/>
      <c r="H291" s="128"/>
      <c r="I291" s="113"/>
      <c r="J291" s="113"/>
    </row>
    <row r="292" spans="1:10" ht="15.75" x14ac:dyDescent="0.25">
      <c r="A292" s="104"/>
      <c r="B292" s="104"/>
      <c r="C292" s="92" t="str">
        <f t="shared" si="4"/>
        <v/>
      </c>
      <c r="D292" s="113"/>
      <c r="E292" s="113"/>
      <c r="F292" s="113"/>
      <c r="G292" s="113"/>
      <c r="H292" s="128"/>
      <c r="I292" s="113"/>
      <c r="J292" s="113"/>
    </row>
    <row r="293" spans="1:10" ht="15.75" x14ac:dyDescent="0.25">
      <c r="A293" s="104"/>
      <c r="B293" s="104"/>
      <c r="C293" s="92" t="str">
        <f t="shared" si="4"/>
        <v/>
      </c>
      <c r="D293" s="113"/>
      <c r="E293" s="113"/>
      <c r="F293" s="113"/>
      <c r="G293" s="113"/>
      <c r="H293" s="128"/>
      <c r="I293" s="113"/>
      <c r="J293" s="113"/>
    </row>
    <row r="294" spans="1:10" ht="15.75" x14ac:dyDescent="0.25">
      <c r="A294" s="104"/>
      <c r="B294" s="104"/>
      <c r="C294" s="92" t="str">
        <f t="shared" si="4"/>
        <v/>
      </c>
      <c r="D294" s="113"/>
      <c r="E294" s="113"/>
      <c r="F294" s="113"/>
      <c r="G294" s="113"/>
      <c r="H294" s="128"/>
      <c r="I294" s="113"/>
      <c r="J294" s="113"/>
    </row>
    <row r="295" spans="1:10" ht="15.75" x14ac:dyDescent="0.25">
      <c r="A295" s="104"/>
      <c r="B295" s="104"/>
      <c r="C295" s="92" t="str">
        <f t="shared" si="4"/>
        <v/>
      </c>
      <c r="D295" s="113"/>
      <c r="E295" s="113"/>
      <c r="F295" s="113"/>
      <c r="G295" s="113"/>
      <c r="H295" s="128"/>
      <c r="I295" s="113"/>
      <c r="J295" s="113"/>
    </row>
    <row r="296" spans="1:10" ht="15.75" x14ac:dyDescent="0.25">
      <c r="A296" s="104"/>
      <c r="B296" s="104"/>
      <c r="C296" s="92" t="str">
        <f t="shared" si="4"/>
        <v/>
      </c>
      <c r="D296" s="113"/>
      <c r="E296" s="113"/>
      <c r="F296" s="113"/>
      <c r="G296" s="113"/>
      <c r="H296" s="128"/>
      <c r="I296" s="113"/>
      <c r="J296" s="113"/>
    </row>
    <row r="297" spans="1:10" ht="15.75" x14ac:dyDescent="0.25">
      <c r="A297" s="104"/>
      <c r="B297" s="104"/>
      <c r="C297" s="92" t="str">
        <f t="shared" si="4"/>
        <v/>
      </c>
      <c r="D297" s="113"/>
      <c r="E297" s="113"/>
      <c r="F297" s="113"/>
      <c r="G297" s="113"/>
      <c r="H297" s="128"/>
      <c r="I297" s="113"/>
      <c r="J297" s="113"/>
    </row>
    <row r="298" spans="1:10" ht="15.75" x14ac:dyDescent="0.25">
      <c r="A298" s="104"/>
      <c r="B298" s="104"/>
      <c r="C298" s="92" t="str">
        <f t="shared" si="4"/>
        <v/>
      </c>
      <c r="D298" s="113"/>
      <c r="E298" s="113"/>
      <c r="F298" s="113"/>
      <c r="G298" s="113"/>
      <c r="H298" s="128"/>
      <c r="I298" s="113"/>
      <c r="J298" s="113"/>
    </row>
    <row r="299" spans="1:10" ht="15.75" x14ac:dyDescent="0.25">
      <c r="A299" s="104"/>
      <c r="B299" s="104"/>
      <c r="C299" s="92" t="str">
        <f t="shared" si="4"/>
        <v/>
      </c>
      <c r="D299" s="113"/>
      <c r="E299" s="113"/>
      <c r="F299" s="113"/>
      <c r="G299" s="113"/>
      <c r="H299" s="128"/>
      <c r="I299" s="113"/>
      <c r="J299" s="113"/>
    </row>
    <row r="300" spans="1:10" ht="15.75" x14ac:dyDescent="0.25">
      <c r="A300" s="104"/>
      <c r="B300" s="104"/>
      <c r="C300" s="92" t="str">
        <f t="shared" si="4"/>
        <v/>
      </c>
      <c r="D300" s="113"/>
      <c r="E300" s="113"/>
      <c r="F300" s="113"/>
      <c r="G300" s="113"/>
      <c r="H300" s="128"/>
      <c r="I300" s="113"/>
      <c r="J300" s="113"/>
    </row>
    <row r="301" spans="1:10" ht="15.75" x14ac:dyDescent="0.25">
      <c r="A301" s="104"/>
      <c r="B301" s="104"/>
      <c r="C301" s="92" t="str">
        <f t="shared" si="4"/>
        <v/>
      </c>
      <c r="D301" s="113"/>
      <c r="E301" s="113"/>
      <c r="F301" s="113"/>
      <c r="G301" s="113"/>
      <c r="H301" s="128"/>
      <c r="I301" s="113"/>
      <c r="J301" s="113"/>
    </row>
    <row r="302" spans="1:10" ht="15.75" x14ac:dyDescent="0.25">
      <c r="A302" s="104"/>
      <c r="B302" s="104"/>
      <c r="C302" s="92" t="str">
        <f t="shared" si="4"/>
        <v/>
      </c>
      <c r="D302" s="113"/>
      <c r="E302" s="113"/>
      <c r="F302" s="113"/>
      <c r="G302" s="113"/>
      <c r="H302" s="128"/>
      <c r="I302" s="113"/>
      <c r="J302" s="113"/>
    </row>
    <row r="303" spans="1:10" ht="15.75" x14ac:dyDescent="0.25">
      <c r="A303" s="104"/>
      <c r="B303" s="104"/>
      <c r="C303" s="92" t="str">
        <f t="shared" si="4"/>
        <v/>
      </c>
      <c r="D303" s="113"/>
      <c r="E303" s="113"/>
      <c r="F303" s="113"/>
      <c r="G303" s="113"/>
      <c r="H303" s="128"/>
      <c r="I303" s="113"/>
      <c r="J303" s="113"/>
    </row>
    <row r="304" spans="1:10" ht="15.75" x14ac:dyDescent="0.25">
      <c r="A304" s="104"/>
      <c r="B304" s="104"/>
      <c r="C304" s="92" t="str">
        <f t="shared" si="4"/>
        <v/>
      </c>
      <c r="D304" s="113"/>
      <c r="E304" s="113"/>
      <c r="F304" s="113"/>
      <c r="G304" s="113"/>
      <c r="H304" s="128"/>
      <c r="I304" s="113"/>
      <c r="J304" s="113"/>
    </row>
    <row r="305" spans="1:10" ht="15.75" x14ac:dyDescent="0.25">
      <c r="A305" s="104"/>
      <c r="B305" s="104"/>
      <c r="C305" s="92" t="str">
        <f t="shared" si="4"/>
        <v/>
      </c>
      <c r="D305" s="113"/>
      <c r="E305" s="113"/>
      <c r="F305" s="113"/>
      <c r="G305" s="113"/>
      <c r="H305" s="128"/>
      <c r="I305" s="113"/>
      <c r="J305" s="113"/>
    </row>
    <row r="306" spans="1:10" ht="15.75" x14ac:dyDescent="0.25">
      <c r="A306" s="104"/>
      <c r="B306" s="104"/>
      <c r="C306" s="92" t="str">
        <f t="shared" si="4"/>
        <v/>
      </c>
      <c r="D306" s="113"/>
      <c r="E306" s="113"/>
      <c r="F306" s="113"/>
      <c r="G306" s="113"/>
      <c r="H306" s="128"/>
      <c r="I306" s="113"/>
      <c r="J306" s="113"/>
    </row>
    <row r="307" spans="1:10" ht="15.75" x14ac:dyDescent="0.25">
      <c r="A307" s="104"/>
      <c r="B307" s="104"/>
      <c r="C307" s="92" t="str">
        <f t="shared" si="4"/>
        <v/>
      </c>
      <c r="D307" s="113"/>
      <c r="E307" s="113"/>
      <c r="F307" s="113"/>
      <c r="G307" s="113"/>
      <c r="H307" s="128"/>
      <c r="I307" s="113"/>
      <c r="J307" s="113"/>
    </row>
    <row r="308" spans="1:10" ht="15.75" x14ac:dyDescent="0.25">
      <c r="A308" s="104"/>
      <c r="B308" s="104"/>
      <c r="C308" s="92" t="str">
        <f t="shared" si="4"/>
        <v/>
      </c>
      <c r="D308" s="113"/>
      <c r="E308" s="113"/>
      <c r="F308" s="113"/>
      <c r="G308" s="113"/>
      <c r="H308" s="128"/>
      <c r="I308" s="113"/>
      <c r="J308" s="113"/>
    </row>
    <row r="309" spans="1:10" ht="15.75" x14ac:dyDescent="0.25">
      <c r="A309" s="104"/>
      <c r="B309" s="104"/>
      <c r="C309" s="92" t="str">
        <f t="shared" si="4"/>
        <v/>
      </c>
      <c r="D309" s="113"/>
      <c r="E309" s="113"/>
      <c r="F309" s="113"/>
      <c r="G309" s="113"/>
      <c r="H309" s="128"/>
      <c r="I309" s="113"/>
      <c r="J309" s="113"/>
    </row>
    <row r="310" spans="1:10" ht="15.75" x14ac:dyDescent="0.25">
      <c r="A310" s="104"/>
      <c r="B310" s="104"/>
      <c r="C310" s="92" t="str">
        <f t="shared" si="4"/>
        <v/>
      </c>
      <c r="D310" s="113"/>
      <c r="E310" s="113"/>
      <c r="F310" s="113"/>
      <c r="G310" s="113"/>
      <c r="H310" s="128"/>
      <c r="I310" s="113"/>
      <c r="J310" s="113"/>
    </row>
    <row r="311" spans="1:10" ht="15.75" x14ac:dyDescent="0.25">
      <c r="A311" s="104"/>
      <c r="B311" s="104"/>
      <c r="C311" s="92" t="str">
        <f t="shared" si="4"/>
        <v/>
      </c>
      <c r="D311" s="113"/>
      <c r="E311" s="113"/>
      <c r="F311" s="113"/>
      <c r="G311" s="113"/>
      <c r="H311" s="128"/>
      <c r="I311" s="113"/>
      <c r="J311" s="113"/>
    </row>
    <row r="312" spans="1:10" ht="15.75" x14ac:dyDescent="0.25">
      <c r="A312" s="104"/>
      <c r="B312" s="104"/>
      <c r="C312" s="92" t="str">
        <f t="shared" si="4"/>
        <v/>
      </c>
      <c r="D312" s="113"/>
      <c r="E312" s="113"/>
      <c r="F312" s="113"/>
      <c r="G312" s="113"/>
      <c r="H312" s="128"/>
      <c r="I312" s="113"/>
      <c r="J312" s="113"/>
    </row>
    <row r="313" spans="1:10" ht="15.75" x14ac:dyDescent="0.25">
      <c r="A313" s="104"/>
      <c r="B313" s="104"/>
      <c r="C313" s="92" t="str">
        <f t="shared" si="4"/>
        <v/>
      </c>
      <c r="D313" s="113"/>
      <c r="E313" s="113"/>
      <c r="F313" s="113"/>
      <c r="G313" s="113"/>
      <c r="H313" s="128"/>
      <c r="I313" s="113"/>
      <c r="J313" s="113"/>
    </row>
    <row r="314" spans="1:10" ht="15.75" x14ac:dyDescent="0.25">
      <c r="A314" s="104"/>
      <c r="B314" s="104"/>
      <c r="C314" s="92" t="str">
        <f t="shared" si="4"/>
        <v/>
      </c>
      <c r="D314" s="113"/>
      <c r="E314" s="113"/>
      <c r="F314" s="113"/>
      <c r="G314" s="113"/>
      <c r="H314" s="128"/>
      <c r="I314" s="113"/>
      <c r="J314" s="113"/>
    </row>
    <row r="315" spans="1:10" ht="15.75" x14ac:dyDescent="0.25">
      <c r="A315" s="104"/>
      <c r="B315" s="104"/>
      <c r="C315" s="92" t="str">
        <f t="shared" si="4"/>
        <v/>
      </c>
      <c r="D315" s="113"/>
      <c r="E315" s="113"/>
      <c r="F315" s="113"/>
      <c r="G315" s="113"/>
      <c r="H315" s="128"/>
      <c r="I315" s="113"/>
      <c r="J315" s="113"/>
    </row>
    <row r="316" spans="1:10" ht="15.75" x14ac:dyDescent="0.25">
      <c r="A316" s="104"/>
      <c r="B316" s="104"/>
      <c r="C316" s="92" t="str">
        <f t="shared" si="4"/>
        <v/>
      </c>
      <c r="D316" s="113"/>
      <c r="E316" s="113"/>
      <c r="F316" s="113"/>
      <c r="G316" s="113"/>
      <c r="H316" s="128"/>
      <c r="I316" s="113"/>
      <c r="J316" s="113"/>
    </row>
    <row r="317" spans="1:10" ht="15.75" x14ac:dyDescent="0.25">
      <c r="A317" s="104"/>
      <c r="B317" s="104"/>
      <c r="C317" s="92" t="str">
        <f t="shared" si="4"/>
        <v/>
      </c>
      <c r="D317" s="113"/>
      <c r="E317" s="113"/>
      <c r="F317" s="113"/>
      <c r="G317" s="113"/>
      <c r="H317" s="128"/>
      <c r="I317" s="113"/>
      <c r="J317" s="113"/>
    </row>
    <row r="318" spans="1:10" ht="15.75" x14ac:dyDescent="0.25">
      <c r="A318" s="104"/>
      <c r="B318" s="104"/>
      <c r="C318" s="92" t="str">
        <f t="shared" si="4"/>
        <v/>
      </c>
      <c r="D318" s="113"/>
      <c r="E318" s="113"/>
      <c r="F318" s="113"/>
      <c r="G318" s="113"/>
      <c r="H318" s="128"/>
      <c r="I318" s="113"/>
      <c r="J318" s="113"/>
    </row>
    <row r="319" spans="1:10" ht="15.75" x14ac:dyDescent="0.25">
      <c r="A319" s="104"/>
      <c r="B319" s="104"/>
      <c r="C319" s="92" t="str">
        <f t="shared" si="4"/>
        <v/>
      </c>
      <c r="D319" s="113"/>
      <c r="E319" s="113"/>
      <c r="F319" s="113"/>
      <c r="G319" s="113"/>
      <c r="H319" s="128"/>
      <c r="I319" s="113"/>
      <c r="J319" s="113"/>
    </row>
    <row r="320" spans="1:10" ht="15.75" x14ac:dyDescent="0.25">
      <c r="A320" s="104"/>
      <c r="B320" s="104"/>
      <c r="C320" s="92" t="str">
        <f t="shared" si="4"/>
        <v/>
      </c>
      <c r="D320" s="113"/>
      <c r="E320" s="113"/>
      <c r="F320" s="113"/>
      <c r="G320" s="113"/>
      <c r="H320" s="128"/>
      <c r="I320" s="113"/>
      <c r="J320" s="113"/>
    </row>
    <row r="321" spans="1:10" ht="15.75" x14ac:dyDescent="0.25">
      <c r="A321" s="104"/>
      <c r="B321" s="104"/>
      <c r="C321" s="92" t="str">
        <f t="shared" si="4"/>
        <v/>
      </c>
      <c r="D321" s="113"/>
      <c r="E321" s="113"/>
      <c r="F321" s="113"/>
      <c r="G321" s="113"/>
      <c r="H321" s="128"/>
      <c r="I321" s="113"/>
      <c r="J321" s="113"/>
    </row>
    <row r="322" spans="1:10" ht="15.75" x14ac:dyDescent="0.25">
      <c r="A322" s="104"/>
      <c r="B322" s="104"/>
      <c r="C322" s="92" t="str">
        <f t="shared" si="4"/>
        <v/>
      </c>
      <c r="D322" s="113"/>
      <c r="E322" s="113"/>
      <c r="F322" s="113"/>
      <c r="G322" s="113"/>
      <c r="H322" s="128"/>
      <c r="I322" s="113"/>
      <c r="J322" s="113"/>
    </row>
    <row r="323" spans="1:10" ht="15.75" x14ac:dyDescent="0.25">
      <c r="A323" s="104"/>
      <c r="B323" s="104"/>
      <c r="C323" s="92" t="str">
        <f t="shared" si="4"/>
        <v/>
      </c>
      <c r="D323" s="113"/>
      <c r="E323" s="113"/>
      <c r="F323" s="113"/>
      <c r="G323" s="113"/>
      <c r="H323" s="128"/>
      <c r="I323" s="113"/>
      <c r="J323" s="113"/>
    </row>
    <row r="324" spans="1:10" ht="15.75" x14ac:dyDescent="0.25">
      <c r="A324" s="104"/>
      <c r="B324" s="104"/>
      <c r="C324" s="92" t="str">
        <f t="shared" si="4"/>
        <v/>
      </c>
      <c r="D324" s="113"/>
      <c r="E324" s="113"/>
      <c r="F324" s="113"/>
      <c r="G324" s="113"/>
      <c r="H324" s="128"/>
      <c r="I324" s="113"/>
      <c r="J324" s="113"/>
    </row>
    <row r="325" spans="1:10" ht="15.75" x14ac:dyDescent="0.25">
      <c r="A325" s="104"/>
      <c r="B325" s="104"/>
      <c r="C325" s="92" t="str">
        <f t="shared" si="4"/>
        <v/>
      </c>
      <c r="D325" s="113"/>
      <c r="E325" s="113"/>
      <c r="F325" s="113"/>
      <c r="G325" s="113"/>
      <c r="H325" s="128"/>
      <c r="I325" s="113"/>
      <c r="J325" s="113"/>
    </row>
    <row r="326" spans="1:10" ht="15.75" x14ac:dyDescent="0.25">
      <c r="A326" s="104"/>
      <c r="B326" s="104"/>
      <c r="C326" s="92" t="str">
        <f t="shared" si="4"/>
        <v/>
      </c>
      <c r="D326" s="113"/>
      <c r="E326" s="113"/>
      <c r="F326" s="113"/>
      <c r="G326" s="113"/>
      <c r="H326" s="128"/>
      <c r="I326" s="113"/>
      <c r="J326" s="113"/>
    </row>
    <row r="327" spans="1:10" ht="15.75" x14ac:dyDescent="0.25">
      <c r="A327" s="104"/>
      <c r="B327" s="104"/>
      <c r="C327" s="92" t="str">
        <f t="shared" si="4"/>
        <v/>
      </c>
      <c r="D327" s="113"/>
      <c r="E327" s="113"/>
      <c r="F327" s="113"/>
      <c r="G327" s="113"/>
      <c r="H327" s="128"/>
      <c r="I327" s="113"/>
      <c r="J327" s="113"/>
    </row>
    <row r="328" spans="1:10" ht="15.75" x14ac:dyDescent="0.25">
      <c r="A328" s="104"/>
      <c r="B328" s="104"/>
      <c r="C328" s="92" t="str">
        <f t="shared" si="4"/>
        <v/>
      </c>
      <c r="D328" s="113"/>
      <c r="E328" s="113"/>
      <c r="F328" s="113"/>
      <c r="G328" s="113"/>
      <c r="H328" s="128"/>
      <c r="I328" s="113"/>
      <c r="J328" s="113"/>
    </row>
    <row r="329" spans="1:10" ht="15.75" x14ac:dyDescent="0.25">
      <c r="A329" s="104"/>
      <c r="B329" s="104"/>
      <c r="C329" s="92" t="str">
        <f t="shared" si="4"/>
        <v/>
      </c>
      <c r="D329" s="113"/>
      <c r="E329" s="113"/>
      <c r="F329" s="113"/>
      <c r="G329" s="113"/>
      <c r="H329" s="128"/>
      <c r="I329" s="113"/>
      <c r="J329" s="113"/>
    </row>
    <row r="330" spans="1:10" ht="15.75" x14ac:dyDescent="0.25">
      <c r="A330" s="104"/>
      <c r="B330" s="104"/>
      <c r="C330" s="92" t="str">
        <f t="shared" si="4"/>
        <v/>
      </c>
      <c r="D330" s="113"/>
      <c r="E330" s="113"/>
      <c r="F330" s="113"/>
      <c r="G330" s="113"/>
      <c r="H330" s="128"/>
      <c r="I330" s="113"/>
      <c r="J330" s="113"/>
    </row>
    <row r="331" spans="1:10" ht="15.75" x14ac:dyDescent="0.25">
      <c r="A331" s="104"/>
      <c r="B331" s="104"/>
      <c r="C331" s="92" t="str">
        <f t="shared" si="4"/>
        <v/>
      </c>
      <c r="D331" s="113"/>
      <c r="E331" s="113"/>
      <c r="F331" s="113"/>
      <c r="G331" s="113"/>
      <c r="H331" s="128"/>
      <c r="I331" s="113"/>
      <c r="J331" s="113"/>
    </row>
    <row r="332" spans="1:10" ht="15.75" x14ac:dyDescent="0.25">
      <c r="A332" s="104"/>
      <c r="B332" s="104"/>
      <c r="C332" s="92" t="str">
        <f t="shared" si="4"/>
        <v/>
      </c>
      <c r="D332" s="113"/>
      <c r="E332" s="113"/>
      <c r="F332" s="113"/>
      <c r="G332" s="113"/>
      <c r="H332" s="128"/>
      <c r="I332" s="113"/>
      <c r="J332" s="113"/>
    </row>
    <row r="333" spans="1:10" ht="15.75" x14ac:dyDescent="0.25">
      <c r="A333" s="104"/>
      <c r="B333" s="104"/>
      <c r="C333" s="92" t="str">
        <f t="shared" si="4"/>
        <v/>
      </c>
      <c r="D333" s="113"/>
      <c r="E333" s="113"/>
      <c r="F333" s="113"/>
      <c r="G333" s="113"/>
      <c r="H333" s="128"/>
      <c r="I333" s="113"/>
      <c r="J333" s="113"/>
    </row>
    <row r="334" spans="1:10" ht="15.75" x14ac:dyDescent="0.25">
      <c r="A334" s="104"/>
      <c r="B334" s="104"/>
      <c r="C334" s="92" t="str">
        <f t="shared" si="4"/>
        <v/>
      </c>
      <c r="D334" s="113"/>
      <c r="E334" s="113"/>
      <c r="F334" s="113"/>
      <c r="G334" s="113"/>
      <c r="H334" s="128"/>
      <c r="I334" s="113"/>
      <c r="J334" s="113"/>
    </row>
    <row r="335" spans="1:10" ht="15.75" x14ac:dyDescent="0.25">
      <c r="A335" s="104"/>
      <c r="B335" s="104"/>
      <c r="C335" s="92" t="str">
        <f t="shared" si="4"/>
        <v/>
      </c>
      <c r="D335" s="113"/>
      <c r="E335" s="113"/>
      <c r="F335" s="113"/>
      <c r="G335" s="113"/>
      <c r="H335" s="128"/>
      <c r="I335" s="113"/>
      <c r="J335" s="113"/>
    </row>
    <row r="336" spans="1:10" ht="15.75" x14ac:dyDescent="0.25">
      <c r="A336" s="104"/>
      <c r="B336" s="104"/>
      <c r="C336" s="92" t="str">
        <f t="shared" si="4"/>
        <v/>
      </c>
      <c r="D336" s="113"/>
      <c r="E336" s="113"/>
      <c r="F336" s="113"/>
      <c r="G336" s="113"/>
      <c r="H336" s="128"/>
      <c r="I336" s="113"/>
      <c r="J336" s="113"/>
    </row>
    <row r="337" spans="1:10" ht="15.75" x14ac:dyDescent="0.25">
      <c r="A337" s="104"/>
      <c r="B337" s="104"/>
      <c r="C337" s="92" t="str">
        <f t="shared" si="4"/>
        <v/>
      </c>
      <c r="D337" s="113"/>
      <c r="E337" s="113"/>
      <c r="F337" s="113"/>
      <c r="G337" s="113"/>
      <c r="H337" s="128"/>
      <c r="I337" s="113"/>
      <c r="J337" s="113"/>
    </row>
    <row r="338" spans="1:10" ht="15.75" x14ac:dyDescent="0.25">
      <c r="A338" s="104"/>
      <c r="B338" s="104"/>
      <c r="C338" s="92" t="str">
        <f t="shared" si="4"/>
        <v/>
      </c>
      <c r="D338" s="113"/>
      <c r="E338" s="113"/>
      <c r="F338" s="113"/>
      <c r="G338" s="113"/>
      <c r="H338" s="128"/>
      <c r="I338" s="113"/>
      <c r="J338" s="113"/>
    </row>
    <row r="339" spans="1:10" ht="15.75" x14ac:dyDescent="0.25">
      <c r="A339" s="104"/>
      <c r="B339" s="104"/>
      <c r="C339" s="92" t="str">
        <f t="shared" si="4"/>
        <v/>
      </c>
      <c r="D339" s="113"/>
      <c r="E339" s="113"/>
      <c r="F339" s="113"/>
      <c r="G339" s="113"/>
      <c r="H339" s="128"/>
      <c r="I339" s="113"/>
      <c r="J339" s="113"/>
    </row>
    <row r="340" spans="1:10" ht="15.75" x14ac:dyDescent="0.25">
      <c r="A340" s="104"/>
      <c r="B340" s="104"/>
      <c r="C340" s="92" t="str">
        <f t="shared" ref="C340:C403" si="5">IF(A340=0,"","Steel02")</f>
        <v/>
      </c>
      <c r="D340" s="113"/>
      <c r="E340" s="113"/>
      <c r="F340" s="113"/>
      <c r="G340" s="113"/>
      <c r="H340" s="128"/>
      <c r="I340" s="113"/>
      <c r="J340" s="113"/>
    </row>
    <row r="341" spans="1:10" ht="15.75" x14ac:dyDescent="0.25">
      <c r="A341" s="104"/>
      <c r="B341" s="104"/>
      <c r="C341" s="92" t="str">
        <f t="shared" si="5"/>
        <v/>
      </c>
      <c r="D341" s="113"/>
      <c r="E341" s="113"/>
      <c r="F341" s="113"/>
      <c r="G341" s="113"/>
      <c r="H341" s="128"/>
      <c r="I341" s="113"/>
      <c r="J341" s="113"/>
    </row>
    <row r="342" spans="1:10" ht="15.75" x14ac:dyDescent="0.25">
      <c r="A342" s="104"/>
      <c r="B342" s="104"/>
      <c r="C342" s="92" t="str">
        <f t="shared" si="5"/>
        <v/>
      </c>
      <c r="D342" s="113"/>
      <c r="E342" s="113"/>
      <c r="F342" s="113"/>
      <c r="G342" s="113"/>
      <c r="H342" s="128"/>
      <c r="I342" s="113"/>
      <c r="J342" s="113"/>
    </row>
    <row r="343" spans="1:10" ht="15.75" x14ac:dyDescent="0.25">
      <c r="A343" s="104"/>
      <c r="B343" s="104"/>
      <c r="C343" s="92" t="str">
        <f t="shared" si="5"/>
        <v/>
      </c>
      <c r="D343" s="113"/>
      <c r="E343" s="113"/>
      <c r="F343" s="113"/>
      <c r="G343" s="113"/>
      <c r="H343" s="128"/>
      <c r="I343" s="113"/>
      <c r="J343" s="113"/>
    </row>
    <row r="344" spans="1:10" ht="15.75" x14ac:dyDescent="0.25">
      <c r="A344" s="104"/>
      <c r="B344" s="104"/>
      <c r="C344" s="92" t="str">
        <f t="shared" si="5"/>
        <v/>
      </c>
      <c r="D344" s="113"/>
      <c r="E344" s="113"/>
      <c r="F344" s="113"/>
      <c r="G344" s="113"/>
      <c r="H344" s="128"/>
      <c r="I344" s="113"/>
      <c r="J344" s="113"/>
    </row>
    <row r="345" spans="1:10" ht="15.75" x14ac:dyDescent="0.25">
      <c r="A345" s="104"/>
      <c r="B345" s="104"/>
      <c r="C345" s="92" t="str">
        <f t="shared" si="5"/>
        <v/>
      </c>
      <c r="D345" s="113"/>
      <c r="E345" s="113"/>
      <c r="F345" s="113"/>
      <c r="G345" s="113"/>
      <c r="H345" s="128"/>
      <c r="I345" s="113"/>
      <c r="J345" s="113"/>
    </row>
    <row r="346" spans="1:10" ht="15.75" x14ac:dyDescent="0.25">
      <c r="A346" s="104"/>
      <c r="B346" s="104"/>
      <c r="C346" s="92" t="str">
        <f t="shared" si="5"/>
        <v/>
      </c>
      <c r="D346" s="113"/>
      <c r="E346" s="113"/>
      <c r="F346" s="113"/>
      <c r="G346" s="113"/>
      <c r="H346" s="128"/>
      <c r="I346" s="113"/>
      <c r="J346" s="113"/>
    </row>
    <row r="347" spans="1:10" ht="15.75" x14ac:dyDescent="0.25">
      <c r="A347" s="104"/>
      <c r="B347" s="104"/>
      <c r="C347" s="92" t="str">
        <f t="shared" si="5"/>
        <v/>
      </c>
      <c r="D347" s="113"/>
      <c r="E347" s="113"/>
      <c r="F347" s="113"/>
      <c r="G347" s="113"/>
      <c r="H347" s="128"/>
      <c r="I347" s="113"/>
      <c r="J347" s="113"/>
    </row>
    <row r="348" spans="1:10" ht="15.75" x14ac:dyDescent="0.25">
      <c r="A348" s="104"/>
      <c r="B348" s="104"/>
      <c r="C348" s="92" t="str">
        <f t="shared" si="5"/>
        <v/>
      </c>
      <c r="D348" s="113"/>
      <c r="E348" s="113"/>
      <c r="F348" s="113"/>
      <c r="G348" s="113"/>
      <c r="H348" s="128"/>
      <c r="I348" s="113"/>
      <c r="J348" s="113"/>
    </row>
    <row r="349" spans="1:10" ht="15.75" x14ac:dyDescent="0.25">
      <c r="A349" s="104"/>
      <c r="B349" s="104"/>
      <c r="C349" s="92" t="str">
        <f t="shared" si="5"/>
        <v/>
      </c>
      <c r="D349" s="113"/>
      <c r="E349" s="113"/>
      <c r="F349" s="113"/>
      <c r="G349" s="113"/>
      <c r="H349" s="128"/>
      <c r="I349" s="113"/>
      <c r="J349" s="113"/>
    </row>
    <row r="350" spans="1:10" ht="15.75" x14ac:dyDescent="0.25">
      <c r="A350" s="104"/>
      <c r="B350" s="104"/>
      <c r="C350" s="92" t="str">
        <f t="shared" si="5"/>
        <v/>
      </c>
      <c r="D350" s="113"/>
      <c r="E350" s="113"/>
      <c r="F350" s="113"/>
      <c r="G350" s="113"/>
      <c r="H350" s="128"/>
      <c r="I350" s="113"/>
      <c r="J350" s="113"/>
    </row>
    <row r="351" spans="1:10" ht="15.75" x14ac:dyDescent="0.25">
      <c r="A351" s="104"/>
      <c r="B351" s="104"/>
      <c r="C351" s="92" t="str">
        <f t="shared" si="5"/>
        <v/>
      </c>
      <c r="D351" s="113"/>
      <c r="E351" s="113"/>
      <c r="F351" s="113"/>
      <c r="G351" s="113"/>
      <c r="H351" s="128"/>
      <c r="I351" s="113"/>
      <c r="J351" s="113"/>
    </row>
    <row r="352" spans="1:10" ht="15.75" x14ac:dyDescent="0.25">
      <c r="A352" s="104"/>
      <c r="B352" s="104"/>
      <c r="C352" s="92" t="str">
        <f t="shared" si="5"/>
        <v/>
      </c>
      <c r="D352" s="113"/>
      <c r="E352" s="113"/>
      <c r="F352" s="113"/>
      <c r="G352" s="113"/>
      <c r="H352" s="128"/>
      <c r="I352" s="113"/>
      <c r="J352" s="113"/>
    </row>
    <row r="353" spans="1:10" ht="15.75" x14ac:dyDescent="0.25">
      <c r="A353" s="104"/>
      <c r="B353" s="104"/>
      <c r="C353" s="92" t="str">
        <f t="shared" si="5"/>
        <v/>
      </c>
      <c r="D353" s="113"/>
      <c r="E353" s="113"/>
      <c r="F353" s="113"/>
      <c r="G353" s="113"/>
      <c r="H353" s="128"/>
      <c r="I353" s="113"/>
      <c r="J353" s="113"/>
    </row>
    <row r="354" spans="1:10" ht="15.75" x14ac:dyDescent="0.25">
      <c r="A354" s="104"/>
      <c r="B354" s="104"/>
      <c r="C354" s="92" t="str">
        <f t="shared" si="5"/>
        <v/>
      </c>
      <c r="D354" s="113"/>
      <c r="E354" s="113"/>
      <c r="F354" s="113"/>
      <c r="G354" s="113"/>
      <c r="H354" s="128"/>
      <c r="I354" s="113"/>
      <c r="J354" s="113"/>
    </row>
    <row r="355" spans="1:10" ht="15.75" x14ac:dyDescent="0.25">
      <c r="A355" s="104"/>
      <c r="B355" s="104"/>
      <c r="C355" s="92" t="str">
        <f t="shared" si="5"/>
        <v/>
      </c>
      <c r="D355" s="113"/>
      <c r="E355" s="113"/>
      <c r="F355" s="113"/>
      <c r="G355" s="113"/>
      <c r="H355" s="128"/>
      <c r="I355" s="113"/>
      <c r="J355" s="113"/>
    </row>
    <row r="356" spans="1:10" ht="15.75" x14ac:dyDescent="0.25">
      <c r="A356" s="104"/>
      <c r="B356" s="104"/>
      <c r="C356" s="92" t="str">
        <f t="shared" si="5"/>
        <v/>
      </c>
      <c r="D356" s="113"/>
      <c r="E356" s="113"/>
      <c r="F356" s="113"/>
      <c r="G356" s="113"/>
      <c r="H356" s="128"/>
      <c r="I356" s="113"/>
      <c r="J356" s="113"/>
    </row>
    <row r="357" spans="1:10" ht="15.75" x14ac:dyDescent="0.25">
      <c r="A357" s="104"/>
      <c r="B357" s="104"/>
      <c r="C357" s="92" t="str">
        <f t="shared" si="5"/>
        <v/>
      </c>
      <c r="D357" s="113"/>
      <c r="E357" s="113"/>
      <c r="F357" s="113"/>
      <c r="G357" s="113"/>
      <c r="H357" s="128"/>
      <c r="I357" s="113"/>
      <c r="J357" s="113"/>
    </row>
    <row r="358" spans="1:10" ht="15.75" x14ac:dyDescent="0.25">
      <c r="A358" s="104"/>
      <c r="B358" s="104"/>
      <c r="C358" s="92" t="str">
        <f t="shared" si="5"/>
        <v/>
      </c>
      <c r="D358" s="113"/>
      <c r="E358" s="113"/>
      <c r="F358" s="113"/>
      <c r="G358" s="113"/>
      <c r="H358" s="128"/>
      <c r="I358" s="113"/>
      <c r="J358" s="113"/>
    </row>
    <row r="359" spans="1:10" ht="15.75" x14ac:dyDescent="0.25">
      <c r="A359" s="104"/>
      <c r="B359" s="104"/>
      <c r="C359" s="92" t="str">
        <f t="shared" si="5"/>
        <v/>
      </c>
      <c r="D359" s="113"/>
      <c r="E359" s="113"/>
      <c r="F359" s="113"/>
      <c r="G359" s="113"/>
      <c r="H359" s="128"/>
      <c r="I359" s="113"/>
      <c r="J359" s="113"/>
    </row>
    <row r="360" spans="1:10" ht="15.75" x14ac:dyDescent="0.25">
      <c r="A360" s="104"/>
      <c r="B360" s="104"/>
      <c r="C360" s="92" t="str">
        <f t="shared" si="5"/>
        <v/>
      </c>
      <c r="D360" s="113"/>
      <c r="E360" s="113"/>
      <c r="F360" s="113"/>
      <c r="G360" s="113"/>
      <c r="H360" s="128"/>
      <c r="I360" s="113"/>
      <c r="J360" s="113"/>
    </row>
    <row r="361" spans="1:10" ht="15.75" x14ac:dyDescent="0.25">
      <c r="A361" s="104"/>
      <c r="B361" s="104"/>
      <c r="C361" s="92" t="str">
        <f t="shared" si="5"/>
        <v/>
      </c>
      <c r="D361" s="113"/>
      <c r="E361" s="113"/>
      <c r="F361" s="113"/>
      <c r="G361" s="113"/>
      <c r="H361" s="128"/>
      <c r="I361" s="113"/>
      <c r="J361" s="113"/>
    </row>
    <row r="362" spans="1:10" ht="15.75" x14ac:dyDescent="0.25">
      <c r="A362" s="104"/>
      <c r="B362" s="104"/>
      <c r="C362" s="92" t="str">
        <f t="shared" si="5"/>
        <v/>
      </c>
      <c r="D362" s="113"/>
      <c r="E362" s="113"/>
      <c r="F362" s="113"/>
      <c r="G362" s="113"/>
      <c r="H362" s="128"/>
      <c r="I362" s="113"/>
      <c r="J362" s="113"/>
    </row>
    <row r="363" spans="1:10" ht="15.75" x14ac:dyDescent="0.25">
      <c r="A363" s="104"/>
      <c r="B363" s="104"/>
      <c r="C363" s="92" t="str">
        <f t="shared" si="5"/>
        <v/>
      </c>
      <c r="D363" s="113"/>
      <c r="E363" s="113"/>
      <c r="F363" s="113"/>
      <c r="G363" s="113"/>
      <c r="H363" s="128"/>
      <c r="I363" s="113"/>
      <c r="J363" s="113"/>
    </row>
    <row r="364" spans="1:10" ht="15.75" x14ac:dyDescent="0.25">
      <c r="A364" s="104"/>
      <c r="B364" s="104"/>
      <c r="C364" s="92" t="str">
        <f t="shared" si="5"/>
        <v/>
      </c>
      <c r="D364" s="113"/>
      <c r="E364" s="113"/>
      <c r="F364" s="113"/>
      <c r="G364" s="113"/>
      <c r="H364" s="128"/>
      <c r="I364" s="113"/>
      <c r="J364" s="113"/>
    </row>
    <row r="365" spans="1:10" ht="15.75" x14ac:dyDescent="0.25">
      <c r="A365" s="104"/>
      <c r="B365" s="104"/>
      <c r="C365" s="92" t="str">
        <f t="shared" si="5"/>
        <v/>
      </c>
      <c r="D365" s="113"/>
      <c r="E365" s="113"/>
      <c r="F365" s="113"/>
      <c r="G365" s="113"/>
      <c r="H365" s="128"/>
      <c r="I365" s="113"/>
      <c r="J365" s="113"/>
    </row>
    <row r="366" spans="1:10" ht="15.75" x14ac:dyDescent="0.25">
      <c r="A366" s="104"/>
      <c r="B366" s="104"/>
      <c r="C366" s="92" t="str">
        <f t="shared" si="5"/>
        <v/>
      </c>
      <c r="D366" s="113"/>
      <c r="E366" s="113"/>
      <c r="F366" s="113"/>
      <c r="G366" s="113"/>
      <c r="H366" s="128"/>
      <c r="I366" s="113"/>
      <c r="J366" s="113"/>
    </row>
    <row r="367" spans="1:10" ht="15.75" x14ac:dyDescent="0.25">
      <c r="A367" s="104"/>
      <c r="B367" s="104"/>
      <c r="C367" s="92" t="str">
        <f t="shared" si="5"/>
        <v/>
      </c>
      <c r="D367" s="113"/>
      <c r="E367" s="113"/>
      <c r="F367" s="113"/>
      <c r="G367" s="113"/>
      <c r="H367" s="128"/>
      <c r="I367" s="113"/>
      <c r="J367" s="113"/>
    </row>
    <row r="368" spans="1:10" ht="15.75" x14ac:dyDescent="0.25">
      <c r="A368" s="104"/>
      <c r="B368" s="104"/>
      <c r="C368" s="92" t="str">
        <f t="shared" si="5"/>
        <v/>
      </c>
      <c r="D368" s="113"/>
      <c r="E368" s="113"/>
      <c r="F368" s="113"/>
      <c r="G368" s="113"/>
      <c r="H368" s="128"/>
      <c r="I368" s="113"/>
      <c r="J368" s="113"/>
    </row>
    <row r="369" spans="1:10" ht="15.75" x14ac:dyDescent="0.25">
      <c r="A369" s="104"/>
      <c r="B369" s="104"/>
      <c r="C369" s="92" t="str">
        <f t="shared" si="5"/>
        <v/>
      </c>
      <c r="D369" s="113"/>
      <c r="E369" s="113"/>
      <c r="F369" s="113"/>
      <c r="G369" s="113"/>
      <c r="H369" s="128"/>
      <c r="I369" s="113"/>
      <c r="J369" s="113"/>
    </row>
    <row r="370" spans="1:10" ht="15.75" x14ac:dyDescent="0.25">
      <c r="A370" s="104"/>
      <c r="B370" s="104"/>
      <c r="C370" s="92" t="str">
        <f t="shared" si="5"/>
        <v/>
      </c>
      <c r="D370" s="113"/>
      <c r="E370" s="113"/>
      <c r="F370" s="113"/>
      <c r="G370" s="113"/>
      <c r="H370" s="128"/>
      <c r="I370" s="113"/>
      <c r="J370" s="113"/>
    </row>
    <row r="371" spans="1:10" ht="15.75" x14ac:dyDescent="0.25">
      <c r="A371" s="104"/>
      <c r="B371" s="104"/>
      <c r="C371" s="92" t="str">
        <f t="shared" si="5"/>
        <v/>
      </c>
      <c r="D371" s="113"/>
      <c r="E371" s="113"/>
      <c r="F371" s="113"/>
      <c r="G371" s="113"/>
      <c r="H371" s="128"/>
      <c r="I371" s="113"/>
      <c r="J371" s="113"/>
    </row>
    <row r="372" spans="1:10" ht="15.75" x14ac:dyDescent="0.25">
      <c r="A372" s="104"/>
      <c r="B372" s="104"/>
      <c r="C372" s="92" t="str">
        <f t="shared" si="5"/>
        <v/>
      </c>
      <c r="D372" s="113"/>
      <c r="E372" s="113"/>
      <c r="F372" s="113"/>
      <c r="G372" s="113"/>
      <c r="H372" s="128"/>
      <c r="I372" s="113"/>
      <c r="J372" s="113"/>
    </row>
    <row r="373" spans="1:10" ht="15.75" x14ac:dyDescent="0.25">
      <c r="A373" s="104"/>
      <c r="B373" s="104"/>
      <c r="C373" s="92" t="str">
        <f t="shared" si="5"/>
        <v/>
      </c>
      <c r="D373" s="113"/>
      <c r="E373" s="113"/>
      <c r="F373" s="113"/>
      <c r="G373" s="113"/>
      <c r="H373" s="128"/>
      <c r="I373" s="113"/>
      <c r="J373" s="113"/>
    </row>
    <row r="374" spans="1:10" ht="15.75" x14ac:dyDescent="0.25">
      <c r="A374" s="104"/>
      <c r="B374" s="104"/>
      <c r="C374" s="92" t="str">
        <f t="shared" si="5"/>
        <v/>
      </c>
      <c r="D374" s="113"/>
      <c r="E374" s="113"/>
      <c r="F374" s="113"/>
      <c r="G374" s="113"/>
      <c r="H374" s="128"/>
      <c r="I374" s="113"/>
      <c r="J374" s="113"/>
    </row>
    <row r="375" spans="1:10" ht="15.75" x14ac:dyDescent="0.25">
      <c r="A375" s="104"/>
      <c r="B375" s="104"/>
      <c r="C375" s="92" t="str">
        <f t="shared" si="5"/>
        <v/>
      </c>
      <c r="D375" s="113"/>
      <c r="E375" s="113"/>
      <c r="F375" s="113"/>
      <c r="G375" s="113"/>
      <c r="H375" s="128"/>
      <c r="I375" s="113"/>
      <c r="J375" s="113"/>
    </row>
    <row r="376" spans="1:10" ht="15.75" x14ac:dyDescent="0.25">
      <c r="A376" s="104"/>
      <c r="B376" s="104"/>
      <c r="C376" s="92" t="str">
        <f t="shared" si="5"/>
        <v/>
      </c>
      <c r="D376" s="113"/>
      <c r="E376" s="113"/>
      <c r="F376" s="113"/>
      <c r="G376" s="113"/>
      <c r="H376" s="128"/>
      <c r="I376" s="113"/>
      <c r="J376" s="113"/>
    </row>
    <row r="377" spans="1:10" ht="15.75" x14ac:dyDescent="0.25">
      <c r="A377" s="104"/>
      <c r="B377" s="104"/>
      <c r="C377" s="92" t="str">
        <f t="shared" si="5"/>
        <v/>
      </c>
      <c r="D377" s="113"/>
      <c r="E377" s="113"/>
      <c r="F377" s="113"/>
      <c r="G377" s="113"/>
      <c r="H377" s="128"/>
      <c r="I377" s="113"/>
      <c r="J377" s="113"/>
    </row>
    <row r="378" spans="1:10" ht="15.75" x14ac:dyDescent="0.25">
      <c r="A378" s="104"/>
      <c r="B378" s="104"/>
      <c r="C378" s="92" t="str">
        <f t="shared" si="5"/>
        <v/>
      </c>
      <c r="D378" s="113"/>
      <c r="E378" s="113"/>
      <c r="F378" s="113"/>
      <c r="G378" s="113"/>
      <c r="H378" s="128"/>
      <c r="I378" s="113"/>
      <c r="J378" s="113"/>
    </row>
    <row r="379" spans="1:10" ht="15.75" x14ac:dyDescent="0.25">
      <c r="A379" s="104"/>
      <c r="B379" s="104"/>
      <c r="C379" s="92" t="str">
        <f t="shared" si="5"/>
        <v/>
      </c>
      <c r="D379" s="113"/>
      <c r="E379" s="113"/>
      <c r="F379" s="113"/>
      <c r="G379" s="113"/>
      <c r="H379" s="128"/>
      <c r="I379" s="113"/>
      <c r="J379" s="113"/>
    </row>
    <row r="380" spans="1:10" ht="15.75" x14ac:dyDescent="0.25">
      <c r="A380" s="104"/>
      <c r="B380" s="104"/>
      <c r="C380" s="92" t="str">
        <f t="shared" si="5"/>
        <v/>
      </c>
      <c r="D380" s="113"/>
      <c r="E380" s="113"/>
      <c r="F380" s="113"/>
      <c r="G380" s="113"/>
      <c r="H380" s="128"/>
      <c r="I380" s="113"/>
      <c r="J380" s="113"/>
    </row>
    <row r="381" spans="1:10" ht="15.75" x14ac:dyDescent="0.25">
      <c r="A381" s="104"/>
      <c r="B381" s="104"/>
      <c r="C381" s="92" t="str">
        <f t="shared" si="5"/>
        <v/>
      </c>
      <c r="D381" s="113"/>
      <c r="E381" s="113"/>
      <c r="F381" s="113"/>
      <c r="G381" s="113"/>
      <c r="H381" s="128"/>
      <c r="I381" s="113"/>
      <c r="J381" s="113"/>
    </row>
    <row r="382" spans="1:10" ht="15.75" x14ac:dyDescent="0.25">
      <c r="A382" s="104"/>
      <c r="B382" s="104"/>
      <c r="C382" s="92" t="str">
        <f t="shared" si="5"/>
        <v/>
      </c>
      <c r="D382" s="113"/>
      <c r="E382" s="113"/>
      <c r="F382" s="113"/>
      <c r="G382" s="113"/>
      <c r="H382" s="128"/>
      <c r="I382" s="113"/>
      <c r="J382" s="113"/>
    </row>
    <row r="383" spans="1:10" ht="15.75" x14ac:dyDescent="0.25">
      <c r="A383" s="104"/>
      <c r="B383" s="104"/>
      <c r="C383" s="92" t="str">
        <f t="shared" si="5"/>
        <v/>
      </c>
      <c r="D383" s="113"/>
      <c r="E383" s="113"/>
      <c r="F383" s="113"/>
      <c r="G383" s="113"/>
      <c r="H383" s="128"/>
      <c r="I383" s="113"/>
      <c r="J383" s="113"/>
    </row>
    <row r="384" spans="1:10" ht="15.75" x14ac:dyDescent="0.25">
      <c r="A384" s="104"/>
      <c r="B384" s="104"/>
      <c r="C384" s="92" t="str">
        <f t="shared" si="5"/>
        <v/>
      </c>
      <c r="D384" s="113"/>
      <c r="E384" s="113"/>
      <c r="F384" s="113"/>
      <c r="G384" s="113"/>
      <c r="H384" s="128"/>
      <c r="I384" s="113"/>
      <c r="J384" s="113"/>
    </row>
    <row r="385" spans="1:10" ht="15.75" x14ac:dyDescent="0.25">
      <c r="A385" s="104"/>
      <c r="B385" s="104"/>
      <c r="C385" s="92" t="str">
        <f t="shared" si="5"/>
        <v/>
      </c>
      <c r="D385" s="113"/>
      <c r="E385" s="113"/>
      <c r="F385" s="113"/>
      <c r="G385" s="113"/>
      <c r="H385" s="128"/>
      <c r="I385" s="113"/>
      <c r="J385" s="113"/>
    </row>
    <row r="386" spans="1:10" ht="15.75" x14ac:dyDescent="0.25">
      <c r="A386" s="104"/>
      <c r="B386" s="104"/>
      <c r="C386" s="92" t="str">
        <f t="shared" si="5"/>
        <v/>
      </c>
      <c r="D386" s="113"/>
      <c r="E386" s="113"/>
      <c r="F386" s="113"/>
      <c r="G386" s="113"/>
      <c r="H386" s="128"/>
      <c r="I386" s="113"/>
      <c r="J386" s="113"/>
    </row>
    <row r="387" spans="1:10" ht="15.75" x14ac:dyDescent="0.25">
      <c r="A387" s="104"/>
      <c r="B387" s="104"/>
      <c r="C387" s="92" t="str">
        <f t="shared" si="5"/>
        <v/>
      </c>
      <c r="D387" s="113"/>
      <c r="E387" s="113"/>
      <c r="F387" s="113"/>
      <c r="G387" s="113"/>
      <c r="H387" s="128"/>
      <c r="I387" s="113"/>
      <c r="J387" s="113"/>
    </row>
    <row r="388" spans="1:10" ht="15.75" x14ac:dyDescent="0.25">
      <c r="A388" s="104"/>
      <c r="B388" s="104"/>
      <c r="C388" s="92" t="str">
        <f t="shared" si="5"/>
        <v/>
      </c>
      <c r="D388" s="113"/>
      <c r="E388" s="113"/>
      <c r="F388" s="113"/>
      <c r="G388" s="113"/>
      <c r="H388" s="128"/>
      <c r="I388" s="113"/>
      <c r="J388" s="113"/>
    </row>
    <row r="389" spans="1:10" ht="15.75" x14ac:dyDescent="0.25">
      <c r="A389" s="104"/>
      <c r="B389" s="104"/>
      <c r="C389" s="92" t="str">
        <f t="shared" si="5"/>
        <v/>
      </c>
      <c r="D389" s="113"/>
      <c r="E389" s="113"/>
      <c r="F389" s="113"/>
      <c r="G389" s="113"/>
      <c r="H389" s="128"/>
      <c r="I389" s="113"/>
      <c r="J389" s="113"/>
    </row>
    <row r="390" spans="1:10" ht="15.75" x14ac:dyDescent="0.25">
      <c r="A390" s="104"/>
      <c r="B390" s="104"/>
      <c r="C390" s="92" t="str">
        <f t="shared" si="5"/>
        <v/>
      </c>
      <c r="D390" s="113"/>
      <c r="E390" s="113"/>
      <c r="F390" s="113"/>
      <c r="G390" s="113"/>
      <c r="H390" s="128"/>
      <c r="I390" s="113"/>
      <c r="J390" s="113"/>
    </row>
    <row r="391" spans="1:10" ht="15.75" x14ac:dyDescent="0.25">
      <c r="A391" s="104"/>
      <c r="B391" s="104"/>
      <c r="C391" s="92" t="str">
        <f t="shared" si="5"/>
        <v/>
      </c>
      <c r="D391" s="113"/>
      <c r="E391" s="113"/>
      <c r="F391" s="113"/>
      <c r="G391" s="113"/>
      <c r="H391" s="128"/>
      <c r="I391" s="113"/>
      <c r="J391" s="113"/>
    </row>
    <row r="392" spans="1:10" ht="15.75" x14ac:dyDescent="0.25">
      <c r="A392" s="104"/>
      <c r="B392" s="104"/>
      <c r="C392" s="92" t="str">
        <f t="shared" si="5"/>
        <v/>
      </c>
      <c r="D392" s="113"/>
      <c r="E392" s="113"/>
      <c r="F392" s="113"/>
      <c r="G392" s="113"/>
      <c r="H392" s="128"/>
      <c r="I392" s="113"/>
      <c r="J392" s="113"/>
    </row>
    <row r="393" spans="1:10" ht="15.75" x14ac:dyDescent="0.25">
      <c r="A393" s="104"/>
      <c r="B393" s="104"/>
      <c r="C393" s="92" t="str">
        <f t="shared" si="5"/>
        <v/>
      </c>
      <c r="D393" s="113"/>
      <c r="E393" s="113"/>
      <c r="F393" s="113"/>
      <c r="G393" s="113"/>
      <c r="H393" s="128"/>
      <c r="I393" s="113"/>
      <c r="J393" s="113"/>
    </row>
    <row r="394" spans="1:10" ht="15.75" x14ac:dyDescent="0.25">
      <c r="A394" s="104"/>
      <c r="B394" s="104"/>
      <c r="C394" s="92" t="str">
        <f t="shared" si="5"/>
        <v/>
      </c>
      <c r="D394" s="113"/>
      <c r="E394" s="113"/>
      <c r="F394" s="113"/>
      <c r="G394" s="113"/>
      <c r="H394" s="128"/>
      <c r="I394" s="113"/>
      <c r="J394" s="113"/>
    </row>
    <row r="395" spans="1:10" ht="15.75" x14ac:dyDescent="0.25">
      <c r="A395" s="104"/>
      <c r="B395" s="104"/>
      <c r="C395" s="92" t="str">
        <f t="shared" si="5"/>
        <v/>
      </c>
      <c r="D395" s="113"/>
      <c r="E395" s="113"/>
      <c r="F395" s="113"/>
      <c r="G395" s="113"/>
      <c r="H395" s="128"/>
      <c r="I395" s="113"/>
      <c r="J395" s="113"/>
    </row>
    <row r="396" spans="1:10" ht="15.75" x14ac:dyDescent="0.25">
      <c r="A396" s="104"/>
      <c r="B396" s="104"/>
      <c r="C396" s="92" t="str">
        <f t="shared" si="5"/>
        <v/>
      </c>
      <c r="D396" s="113"/>
      <c r="E396" s="113"/>
      <c r="F396" s="113"/>
      <c r="G396" s="113"/>
      <c r="H396" s="128"/>
      <c r="I396" s="113"/>
      <c r="J396" s="113"/>
    </row>
    <row r="397" spans="1:10" ht="15.75" x14ac:dyDescent="0.25">
      <c r="A397" s="104"/>
      <c r="B397" s="104"/>
      <c r="C397" s="92" t="str">
        <f t="shared" si="5"/>
        <v/>
      </c>
      <c r="D397" s="113"/>
      <c r="E397" s="113"/>
      <c r="F397" s="113"/>
      <c r="G397" s="113"/>
      <c r="H397" s="128"/>
      <c r="I397" s="113"/>
      <c r="J397" s="113"/>
    </row>
    <row r="398" spans="1:10" ht="15.75" x14ac:dyDescent="0.25">
      <c r="A398" s="104"/>
      <c r="B398" s="104"/>
      <c r="C398" s="92" t="str">
        <f t="shared" si="5"/>
        <v/>
      </c>
      <c r="D398" s="113"/>
      <c r="E398" s="113"/>
      <c r="F398" s="113"/>
      <c r="G398" s="113"/>
      <c r="H398" s="128"/>
      <c r="I398" s="113"/>
      <c r="J398" s="113"/>
    </row>
    <row r="399" spans="1:10" ht="15.75" x14ac:dyDescent="0.25">
      <c r="A399" s="104"/>
      <c r="B399" s="104"/>
      <c r="C399" s="92" t="str">
        <f t="shared" si="5"/>
        <v/>
      </c>
      <c r="D399" s="113"/>
      <c r="E399" s="113"/>
      <c r="F399" s="113"/>
      <c r="G399" s="113"/>
      <c r="H399" s="128"/>
      <c r="I399" s="113"/>
      <c r="J399" s="113"/>
    </row>
    <row r="400" spans="1:10" ht="15.75" x14ac:dyDescent="0.25">
      <c r="A400" s="104"/>
      <c r="B400" s="104"/>
      <c r="C400" s="92" t="str">
        <f t="shared" si="5"/>
        <v/>
      </c>
      <c r="D400" s="113"/>
      <c r="E400" s="113"/>
      <c r="F400" s="113"/>
      <c r="G400" s="113"/>
      <c r="H400" s="128"/>
      <c r="I400" s="113"/>
      <c r="J400" s="113"/>
    </row>
    <row r="401" spans="1:10" ht="15.75" x14ac:dyDescent="0.25">
      <c r="A401" s="104"/>
      <c r="B401" s="104"/>
      <c r="C401" s="92" t="str">
        <f t="shared" si="5"/>
        <v/>
      </c>
      <c r="D401" s="113"/>
      <c r="E401" s="113"/>
      <c r="F401" s="113"/>
      <c r="G401" s="113"/>
      <c r="H401" s="128"/>
      <c r="I401" s="113"/>
      <c r="J401" s="113"/>
    </row>
    <row r="402" spans="1:10" ht="15.75" x14ac:dyDescent="0.25">
      <c r="A402" s="104"/>
      <c r="B402" s="104"/>
      <c r="C402" s="92" t="str">
        <f t="shared" si="5"/>
        <v/>
      </c>
      <c r="D402" s="113"/>
      <c r="E402" s="113"/>
      <c r="F402" s="113"/>
      <c r="G402" s="113"/>
      <c r="H402" s="128"/>
      <c r="I402" s="113"/>
      <c r="J402" s="113"/>
    </row>
    <row r="403" spans="1:10" ht="15.75" x14ac:dyDescent="0.25">
      <c r="A403" s="104"/>
      <c r="B403" s="104"/>
      <c r="C403" s="92" t="str">
        <f t="shared" si="5"/>
        <v/>
      </c>
      <c r="D403" s="113"/>
      <c r="E403" s="113"/>
      <c r="F403" s="113"/>
      <c r="G403" s="113"/>
      <c r="H403" s="128"/>
      <c r="I403" s="113"/>
      <c r="J403" s="113"/>
    </row>
    <row r="404" spans="1:10" ht="15.75" x14ac:dyDescent="0.25">
      <c r="A404" s="104"/>
      <c r="B404" s="104"/>
      <c r="C404" s="92" t="str">
        <f t="shared" ref="C404:C467" si="6">IF(A404=0,"","Steel02")</f>
        <v/>
      </c>
      <c r="D404" s="113"/>
      <c r="E404" s="113"/>
      <c r="F404" s="113"/>
      <c r="G404" s="113"/>
      <c r="H404" s="128"/>
      <c r="I404" s="113"/>
      <c r="J404" s="113"/>
    </row>
    <row r="405" spans="1:10" ht="15.75" x14ac:dyDescent="0.25">
      <c r="A405" s="104"/>
      <c r="B405" s="104"/>
      <c r="C405" s="92" t="str">
        <f t="shared" si="6"/>
        <v/>
      </c>
      <c r="D405" s="113"/>
      <c r="E405" s="113"/>
      <c r="F405" s="113"/>
      <c r="G405" s="113"/>
      <c r="H405" s="128"/>
      <c r="I405" s="113"/>
      <c r="J405" s="113"/>
    </row>
    <row r="406" spans="1:10" ht="15.75" x14ac:dyDescent="0.25">
      <c r="A406" s="104"/>
      <c r="B406" s="104"/>
      <c r="C406" s="92" t="str">
        <f t="shared" si="6"/>
        <v/>
      </c>
      <c r="D406" s="113"/>
      <c r="E406" s="113"/>
      <c r="F406" s="113"/>
      <c r="G406" s="113"/>
      <c r="H406" s="128"/>
      <c r="I406" s="113"/>
      <c r="J406" s="113"/>
    </row>
    <row r="407" spans="1:10" ht="15.75" x14ac:dyDescent="0.25">
      <c r="A407" s="104"/>
      <c r="B407" s="104"/>
      <c r="C407" s="92" t="str">
        <f t="shared" si="6"/>
        <v/>
      </c>
      <c r="D407" s="113"/>
      <c r="E407" s="113"/>
      <c r="F407" s="113"/>
      <c r="G407" s="113"/>
      <c r="H407" s="128"/>
      <c r="I407" s="113"/>
      <c r="J407" s="113"/>
    </row>
    <row r="408" spans="1:10" ht="15.75" x14ac:dyDescent="0.25">
      <c r="A408" s="104"/>
      <c r="B408" s="104"/>
      <c r="C408" s="92" t="str">
        <f t="shared" si="6"/>
        <v/>
      </c>
      <c r="D408" s="113"/>
      <c r="E408" s="113"/>
      <c r="F408" s="113"/>
      <c r="G408" s="113"/>
      <c r="H408" s="128"/>
      <c r="I408" s="113"/>
      <c r="J408" s="113"/>
    </row>
    <row r="409" spans="1:10" ht="15.75" x14ac:dyDescent="0.25">
      <c r="A409" s="104"/>
      <c r="B409" s="104"/>
      <c r="C409" s="92" t="str">
        <f t="shared" si="6"/>
        <v/>
      </c>
      <c r="D409" s="113"/>
      <c r="E409" s="113"/>
      <c r="F409" s="113"/>
      <c r="G409" s="113"/>
      <c r="H409" s="128"/>
      <c r="I409" s="113"/>
      <c r="J409" s="113"/>
    </row>
    <row r="410" spans="1:10" ht="15.75" x14ac:dyDescent="0.25">
      <c r="A410" s="104"/>
      <c r="B410" s="104"/>
      <c r="C410" s="92" t="str">
        <f t="shared" si="6"/>
        <v/>
      </c>
      <c r="D410" s="113"/>
      <c r="E410" s="113"/>
      <c r="F410" s="113"/>
      <c r="G410" s="113"/>
      <c r="H410" s="128"/>
      <c r="I410" s="113"/>
      <c r="J410" s="113"/>
    </row>
    <row r="411" spans="1:10" ht="15.75" x14ac:dyDescent="0.25">
      <c r="A411" s="104"/>
      <c r="B411" s="104"/>
      <c r="C411" s="92" t="str">
        <f t="shared" si="6"/>
        <v/>
      </c>
      <c r="D411" s="113"/>
      <c r="E411" s="113"/>
      <c r="F411" s="113"/>
      <c r="G411" s="113"/>
      <c r="H411" s="128"/>
      <c r="I411" s="113"/>
      <c r="J411" s="113"/>
    </row>
    <row r="412" spans="1:10" ht="15.75" x14ac:dyDescent="0.25">
      <c r="A412" s="104"/>
      <c r="B412" s="104"/>
      <c r="C412" s="92" t="str">
        <f t="shared" si="6"/>
        <v/>
      </c>
      <c r="D412" s="113"/>
      <c r="E412" s="113"/>
      <c r="F412" s="113"/>
      <c r="G412" s="113"/>
      <c r="H412" s="128"/>
      <c r="I412" s="113"/>
      <c r="J412" s="113"/>
    </row>
    <row r="413" spans="1:10" ht="15.75" x14ac:dyDescent="0.25">
      <c r="A413" s="104"/>
      <c r="B413" s="104"/>
      <c r="C413" s="92" t="str">
        <f t="shared" si="6"/>
        <v/>
      </c>
      <c r="D413" s="113"/>
      <c r="E413" s="113"/>
      <c r="F413" s="113"/>
      <c r="G413" s="113"/>
      <c r="H413" s="128"/>
      <c r="I413" s="113"/>
      <c r="J413" s="113"/>
    </row>
    <row r="414" spans="1:10" ht="15.75" x14ac:dyDescent="0.25">
      <c r="A414" s="104"/>
      <c r="B414" s="104"/>
      <c r="C414" s="92" t="str">
        <f t="shared" si="6"/>
        <v/>
      </c>
      <c r="D414" s="113"/>
      <c r="E414" s="113"/>
      <c r="F414" s="113"/>
      <c r="G414" s="113"/>
      <c r="H414" s="128"/>
      <c r="I414" s="113"/>
      <c r="J414" s="113"/>
    </row>
    <row r="415" spans="1:10" ht="15.75" x14ac:dyDescent="0.25">
      <c r="A415" s="104"/>
      <c r="B415" s="104"/>
      <c r="C415" s="92" t="str">
        <f t="shared" si="6"/>
        <v/>
      </c>
      <c r="D415" s="113"/>
      <c r="E415" s="113"/>
      <c r="F415" s="113"/>
      <c r="G415" s="113"/>
      <c r="H415" s="128"/>
      <c r="I415" s="113"/>
      <c r="J415" s="113"/>
    </row>
    <row r="416" spans="1:10" ht="15.75" x14ac:dyDescent="0.25">
      <c r="A416" s="104"/>
      <c r="B416" s="104"/>
      <c r="C416" s="92" t="str">
        <f t="shared" si="6"/>
        <v/>
      </c>
      <c r="D416" s="113"/>
      <c r="E416" s="113"/>
      <c r="F416" s="113"/>
      <c r="G416" s="113"/>
      <c r="H416" s="128"/>
      <c r="I416" s="113"/>
      <c r="J416" s="113"/>
    </row>
    <row r="417" spans="1:10" ht="15.75" x14ac:dyDescent="0.25">
      <c r="A417" s="104"/>
      <c r="B417" s="104"/>
      <c r="C417" s="92" t="str">
        <f t="shared" si="6"/>
        <v/>
      </c>
      <c r="D417" s="113"/>
      <c r="E417" s="113"/>
      <c r="F417" s="113"/>
      <c r="G417" s="113"/>
      <c r="H417" s="128"/>
      <c r="I417" s="113"/>
      <c r="J417" s="113"/>
    </row>
    <row r="418" spans="1:10" ht="15.75" x14ac:dyDescent="0.25">
      <c r="A418" s="104"/>
      <c r="B418" s="104"/>
      <c r="C418" s="92" t="str">
        <f t="shared" si="6"/>
        <v/>
      </c>
      <c r="D418" s="113"/>
      <c r="E418" s="113"/>
      <c r="F418" s="113"/>
      <c r="G418" s="113"/>
      <c r="H418" s="128"/>
      <c r="I418" s="113"/>
      <c r="J418" s="113"/>
    </row>
    <row r="419" spans="1:10" ht="15.75" x14ac:dyDescent="0.25">
      <c r="A419" s="104"/>
      <c r="B419" s="104"/>
      <c r="C419" s="92" t="str">
        <f t="shared" si="6"/>
        <v/>
      </c>
      <c r="D419" s="113"/>
      <c r="E419" s="113"/>
      <c r="F419" s="113"/>
      <c r="G419" s="113"/>
      <c r="H419" s="128"/>
      <c r="I419" s="113"/>
      <c r="J419" s="113"/>
    </row>
    <row r="420" spans="1:10" ht="15.75" x14ac:dyDescent="0.25">
      <c r="A420" s="104"/>
      <c r="B420" s="104"/>
      <c r="C420" s="92" t="str">
        <f t="shared" si="6"/>
        <v/>
      </c>
      <c r="D420" s="113"/>
      <c r="E420" s="113"/>
      <c r="F420" s="113"/>
      <c r="G420" s="113"/>
      <c r="H420" s="128"/>
      <c r="I420" s="113"/>
      <c r="J420" s="113"/>
    </row>
    <row r="421" spans="1:10" ht="15.75" x14ac:dyDescent="0.25">
      <c r="A421" s="104"/>
      <c r="B421" s="104"/>
      <c r="C421" s="92" t="str">
        <f t="shared" si="6"/>
        <v/>
      </c>
      <c r="D421" s="113"/>
      <c r="E421" s="113"/>
      <c r="F421" s="113"/>
      <c r="G421" s="113"/>
      <c r="H421" s="128"/>
      <c r="I421" s="113"/>
      <c r="J421" s="113"/>
    </row>
    <row r="422" spans="1:10" ht="15.75" x14ac:dyDescent="0.25">
      <c r="A422" s="104"/>
      <c r="B422" s="104"/>
      <c r="C422" s="92" t="str">
        <f t="shared" si="6"/>
        <v/>
      </c>
      <c r="D422" s="113"/>
      <c r="E422" s="113"/>
      <c r="F422" s="113"/>
      <c r="G422" s="113"/>
      <c r="H422" s="128"/>
      <c r="I422" s="113"/>
      <c r="J422" s="113"/>
    </row>
    <row r="423" spans="1:10" ht="15.75" x14ac:dyDescent="0.25">
      <c r="A423" s="104"/>
      <c r="B423" s="104"/>
      <c r="C423" s="92" t="str">
        <f t="shared" si="6"/>
        <v/>
      </c>
      <c r="D423" s="113"/>
      <c r="E423" s="113"/>
      <c r="F423" s="113"/>
      <c r="G423" s="113"/>
      <c r="H423" s="128"/>
      <c r="I423" s="113"/>
      <c r="J423" s="113"/>
    </row>
    <row r="424" spans="1:10" ht="15.75" x14ac:dyDescent="0.25">
      <c r="A424" s="104"/>
      <c r="B424" s="104"/>
      <c r="C424" s="92" t="str">
        <f t="shared" si="6"/>
        <v/>
      </c>
      <c r="D424" s="113"/>
      <c r="E424" s="113"/>
      <c r="F424" s="113"/>
      <c r="G424" s="113"/>
      <c r="H424" s="128"/>
      <c r="I424" s="113"/>
      <c r="J424" s="113"/>
    </row>
    <row r="425" spans="1:10" ht="15.75" x14ac:dyDescent="0.25">
      <c r="A425" s="104"/>
      <c r="B425" s="104"/>
      <c r="C425" s="92" t="str">
        <f t="shared" si="6"/>
        <v/>
      </c>
      <c r="D425" s="113"/>
      <c r="E425" s="113"/>
      <c r="F425" s="113"/>
      <c r="G425" s="113"/>
      <c r="H425" s="128"/>
      <c r="I425" s="113"/>
      <c r="J425" s="113"/>
    </row>
    <row r="426" spans="1:10" ht="15.75" x14ac:dyDescent="0.25">
      <c r="A426" s="104"/>
      <c r="B426" s="104"/>
      <c r="C426" s="92" t="str">
        <f t="shared" si="6"/>
        <v/>
      </c>
      <c r="D426" s="113"/>
      <c r="E426" s="113"/>
      <c r="F426" s="113"/>
      <c r="G426" s="113"/>
      <c r="H426" s="128"/>
      <c r="I426" s="113"/>
      <c r="J426" s="113"/>
    </row>
    <row r="427" spans="1:10" ht="15.75" x14ac:dyDescent="0.25">
      <c r="A427" s="104"/>
      <c r="B427" s="104"/>
      <c r="C427" s="92" t="str">
        <f t="shared" si="6"/>
        <v/>
      </c>
      <c r="D427" s="113"/>
      <c r="E427" s="113"/>
      <c r="F427" s="113"/>
      <c r="G427" s="113"/>
      <c r="H427" s="128"/>
      <c r="I427" s="113"/>
      <c r="J427" s="113"/>
    </row>
    <row r="428" spans="1:10" ht="15.75" x14ac:dyDescent="0.25">
      <c r="A428" s="104"/>
      <c r="B428" s="104"/>
      <c r="C428" s="92" t="str">
        <f t="shared" si="6"/>
        <v/>
      </c>
      <c r="D428" s="113"/>
      <c r="E428" s="113"/>
      <c r="F428" s="113"/>
      <c r="G428" s="113"/>
      <c r="H428" s="128"/>
      <c r="I428" s="113"/>
      <c r="J428" s="113"/>
    </row>
    <row r="429" spans="1:10" ht="15.75" x14ac:dyDescent="0.25">
      <c r="A429" s="104"/>
      <c r="B429" s="104"/>
      <c r="C429" s="92" t="str">
        <f t="shared" si="6"/>
        <v/>
      </c>
      <c r="D429" s="113"/>
      <c r="E429" s="113"/>
      <c r="F429" s="113"/>
      <c r="G429" s="113"/>
      <c r="H429" s="128"/>
      <c r="I429" s="113"/>
      <c r="J429" s="113"/>
    </row>
    <row r="430" spans="1:10" ht="15.75" x14ac:dyDescent="0.25">
      <c r="A430" s="104"/>
      <c r="B430" s="104"/>
      <c r="C430" s="92" t="str">
        <f t="shared" si="6"/>
        <v/>
      </c>
      <c r="D430" s="113"/>
      <c r="E430" s="113"/>
      <c r="F430" s="113"/>
      <c r="G430" s="113"/>
      <c r="H430" s="128"/>
      <c r="I430" s="113"/>
      <c r="J430" s="113"/>
    </row>
    <row r="431" spans="1:10" ht="15.75" x14ac:dyDescent="0.25">
      <c r="A431" s="104"/>
      <c r="B431" s="104"/>
      <c r="C431" s="92" t="str">
        <f t="shared" si="6"/>
        <v/>
      </c>
      <c r="D431" s="113"/>
      <c r="E431" s="113"/>
      <c r="F431" s="113"/>
      <c r="G431" s="113"/>
      <c r="H431" s="128"/>
      <c r="I431" s="113"/>
      <c r="J431" s="113"/>
    </row>
    <row r="432" spans="1:10" ht="15.75" x14ac:dyDescent="0.25">
      <c r="A432" s="104"/>
      <c r="B432" s="104"/>
      <c r="C432" s="92" t="str">
        <f t="shared" si="6"/>
        <v/>
      </c>
      <c r="D432" s="113"/>
      <c r="E432" s="113"/>
      <c r="F432" s="113"/>
      <c r="G432" s="113"/>
      <c r="H432" s="128"/>
      <c r="I432" s="113"/>
      <c r="J432" s="113"/>
    </row>
    <row r="433" spans="1:10" ht="15.75" x14ac:dyDescent="0.25">
      <c r="A433" s="104"/>
      <c r="B433" s="104"/>
      <c r="C433" s="92" t="str">
        <f t="shared" si="6"/>
        <v/>
      </c>
      <c r="D433" s="113"/>
      <c r="E433" s="113"/>
      <c r="F433" s="113"/>
      <c r="G433" s="113"/>
      <c r="H433" s="128"/>
      <c r="I433" s="113"/>
      <c r="J433" s="113"/>
    </row>
    <row r="434" spans="1:10" ht="15.75" x14ac:dyDescent="0.25">
      <c r="A434" s="104"/>
      <c r="B434" s="104"/>
      <c r="C434" s="92" t="str">
        <f t="shared" si="6"/>
        <v/>
      </c>
      <c r="D434" s="113"/>
      <c r="E434" s="113"/>
      <c r="F434" s="113"/>
      <c r="G434" s="113"/>
      <c r="H434" s="128"/>
      <c r="I434" s="113"/>
      <c r="J434" s="113"/>
    </row>
    <row r="435" spans="1:10" ht="15.75" x14ac:dyDescent="0.25">
      <c r="A435" s="104"/>
      <c r="B435" s="104"/>
      <c r="C435" s="92" t="str">
        <f t="shared" si="6"/>
        <v/>
      </c>
      <c r="D435" s="113"/>
      <c r="E435" s="113"/>
      <c r="F435" s="113"/>
      <c r="G435" s="113"/>
      <c r="H435" s="128"/>
      <c r="I435" s="113"/>
      <c r="J435" s="113"/>
    </row>
    <row r="436" spans="1:10" ht="15.75" x14ac:dyDescent="0.25">
      <c r="A436" s="104"/>
      <c r="B436" s="104"/>
      <c r="C436" s="92" t="str">
        <f t="shared" si="6"/>
        <v/>
      </c>
      <c r="D436" s="113"/>
      <c r="E436" s="113"/>
      <c r="F436" s="113"/>
      <c r="G436" s="113"/>
      <c r="H436" s="128"/>
      <c r="I436" s="113"/>
      <c r="J436" s="113"/>
    </row>
    <row r="437" spans="1:10" ht="15.75" x14ac:dyDescent="0.25">
      <c r="A437" s="104"/>
      <c r="B437" s="104"/>
      <c r="C437" s="92" t="str">
        <f t="shared" si="6"/>
        <v/>
      </c>
      <c r="D437" s="113"/>
      <c r="E437" s="113"/>
      <c r="F437" s="113"/>
      <c r="G437" s="113"/>
      <c r="H437" s="128"/>
      <c r="I437" s="113"/>
      <c r="J437" s="113"/>
    </row>
    <row r="438" spans="1:10" ht="15.75" x14ac:dyDescent="0.25">
      <c r="A438" s="104"/>
      <c r="B438" s="104"/>
      <c r="C438" s="92" t="str">
        <f t="shared" si="6"/>
        <v/>
      </c>
      <c r="D438" s="113"/>
      <c r="E438" s="113"/>
      <c r="F438" s="113"/>
      <c r="G438" s="113"/>
      <c r="H438" s="128"/>
      <c r="I438" s="113"/>
      <c r="J438" s="113"/>
    </row>
    <row r="439" spans="1:10" ht="15.75" x14ac:dyDescent="0.25">
      <c r="A439" s="104"/>
      <c r="B439" s="104"/>
      <c r="C439" s="92" t="str">
        <f t="shared" si="6"/>
        <v/>
      </c>
      <c r="D439" s="113"/>
      <c r="E439" s="113"/>
      <c r="F439" s="113"/>
      <c r="G439" s="113"/>
      <c r="H439" s="128"/>
      <c r="I439" s="113"/>
      <c r="J439" s="113"/>
    </row>
    <row r="440" spans="1:10" ht="15.75" x14ac:dyDescent="0.25">
      <c r="A440" s="104"/>
      <c r="B440" s="104"/>
      <c r="C440" s="92" t="str">
        <f t="shared" si="6"/>
        <v/>
      </c>
      <c r="D440" s="113"/>
      <c r="E440" s="113"/>
      <c r="F440" s="113"/>
      <c r="G440" s="113"/>
      <c r="H440" s="128"/>
      <c r="I440" s="113"/>
      <c r="J440" s="113"/>
    </row>
    <row r="441" spans="1:10" ht="15.75" x14ac:dyDescent="0.25">
      <c r="A441" s="104"/>
      <c r="B441" s="104"/>
      <c r="C441" s="92" t="str">
        <f t="shared" si="6"/>
        <v/>
      </c>
      <c r="D441" s="113"/>
      <c r="E441" s="113"/>
      <c r="F441" s="113"/>
      <c r="G441" s="113"/>
      <c r="H441" s="128"/>
      <c r="I441" s="113"/>
      <c r="J441" s="113"/>
    </row>
    <row r="442" spans="1:10" ht="15.75" x14ac:dyDescent="0.25">
      <c r="A442" s="104"/>
      <c r="B442" s="104"/>
      <c r="C442" s="92" t="str">
        <f t="shared" si="6"/>
        <v/>
      </c>
      <c r="D442" s="113"/>
      <c r="E442" s="113"/>
      <c r="F442" s="113"/>
      <c r="G442" s="113"/>
      <c r="H442" s="128"/>
      <c r="I442" s="113"/>
      <c r="J442" s="113"/>
    </row>
    <row r="443" spans="1:10" ht="15.75" x14ac:dyDescent="0.25">
      <c r="A443" s="104"/>
      <c r="B443" s="104"/>
      <c r="C443" s="92" t="str">
        <f t="shared" si="6"/>
        <v/>
      </c>
      <c r="D443" s="113"/>
      <c r="E443" s="113"/>
      <c r="F443" s="113"/>
      <c r="G443" s="113"/>
      <c r="H443" s="128"/>
      <c r="I443" s="113"/>
      <c r="J443" s="113"/>
    </row>
    <row r="444" spans="1:10" ht="15.75" x14ac:dyDescent="0.25">
      <c r="A444" s="104"/>
      <c r="B444" s="104"/>
      <c r="C444" s="92" t="str">
        <f t="shared" si="6"/>
        <v/>
      </c>
      <c r="D444" s="113"/>
      <c r="E444" s="113"/>
      <c r="F444" s="113"/>
      <c r="G444" s="113"/>
      <c r="H444" s="128"/>
      <c r="I444" s="113"/>
      <c r="J444" s="113"/>
    </row>
    <row r="445" spans="1:10" ht="15.75" x14ac:dyDescent="0.25">
      <c r="A445" s="104"/>
      <c r="B445" s="104"/>
      <c r="C445" s="92" t="str">
        <f t="shared" si="6"/>
        <v/>
      </c>
      <c r="D445" s="113"/>
      <c r="E445" s="113"/>
      <c r="F445" s="113"/>
      <c r="G445" s="113"/>
      <c r="H445" s="128"/>
      <c r="I445" s="113"/>
      <c r="J445" s="113"/>
    </row>
    <row r="446" spans="1:10" ht="15.75" x14ac:dyDescent="0.25">
      <c r="A446" s="104"/>
      <c r="B446" s="104"/>
      <c r="C446" s="92" t="str">
        <f t="shared" si="6"/>
        <v/>
      </c>
      <c r="D446" s="113"/>
      <c r="E446" s="113"/>
      <c r="F446" s="113"/>
      <c r="G446" s="113"/>
      <c r="H446" s="128"/>
      <c r="I446" s="113"/>
      <c r="J446" s="113"/>
    </row>
    <row r="447" spans="1:10" ht="15.75" x14ac:dyDescent="0.25">
      <c r="A447" s="104"/>
      <c r="B447" s="104"/>
      <c r="C447" s="92" t="str">
        <f t="shared" si="6"/>
        <v/>
      </c>
      <c r="D447" s="113"/>
      <c r="E447" s="113"/>
      <c r="F447" s="113"/>
      <c r="G447" s="113"/>
      <c r="H447" s="128"/>
      <c r="I447" s="113"/>
      <c r="J447" s="113"/>
    </row>
    <row r="448" spans="1:10" ht="15.75" x14ac:dyDescent="0.25">
      <c r="A448" s="104"/>
      <c r="B448" s="104"/>
      <c r="C448" s="92" t="str">
        <f t="shared" si="6"/>
        <v/>
      </c>
      <c r="D448" s="113"/>
      <c r="E448" s="113"/>
      <c r="F448" s="113"/>
      <c r="G448" s="113"/>
      <c r="H448" s="128"/>
      <c r="I448" s="113"/>
      <c r="J448" s="113"/>
    </row>
    <row r="449" spans="1:10" ht="15.75" x14ac:dyDescent="0.25">
      <c r="A449" s="104"/>
      <c r="B449" s="104"/>
      <c r="C449" s="92" t="str">
        <f t="shared" si="6"/>
        <v/>
      </c>
      <c r="D449" s="113"/>
      <c r="E449" s="113"/>
      <c r="F449" s="113"/>
      <c r="G449" s="113"/>
      <c r="H449" s="128"/>
      <c r="I449" s="113"/>
      <c r="J449" s="113"/>
    </row>
    <row r="450" spans="1:10" ht="15.75" x14ac:dyDescent="0.25">
      <c r="A450" s="104"/>
      <c r="B450" s="104"/>
      <c r="C450" s="92" t="str">
        <f t="shared" si="6"/>
        <v/>
      </c>
      <c r="D450" s="113"/>
      <c r="E450" s="113"/>
      <c r="F450" s="113"/>
      <c r="G450" s="113"/>
      <c r="H450" s="128"/>
      <c r="I450" s="113"/>
      <c r="J450" s="113"/>
    </row>
    <row r="451" spans="1:10" ht="15.75" x14ac:dyDescent="0.25">
      <c r="A451" s="104"/>
      <c r="B451" s="104"/>
      <c r="C451" s="92" t="str">
        <f t="shared" si="6"/>
        <v/>
      </c>
      <c r="D451" s="113"/>
      <c r="E451" s="113"/>
      <c r="F451" s="113"/>
      <c r="G451" s="113"/>
      <c r="H451" s="128"/>
      <c r="I451" s="113"/>
      <c r="J451" s="113"/>
    </row>
    <row r="452" spans="1:10" ht="15.75" x14ac:dyDescent="0.25">
      <c r="A452" s="104"/>
      <c r="B452" s="104"/>
      <c r="C452" s="92" t="str">
        <f t="shared" si="6"/>
        <v/>
      </c>
      <c r="D452" s="113"/>
      <c r="E452" s="113"/>
      <c r="F452" s="113"/>
      <c r="G452" s="113"/>
      <c r="H452" s="128"/>
      <c r="I452" s="113"/>
      <c r="J452" s="113"/>
    </row>
    <row r="453" spans="1:10" ht="15.75" x14ac:dyDescent="0.25">
      <c r="A453" s="104"/>
      <c r="B453" s="104"/>
      <c r="C453" s="92" t="str">
        <f t="shared" si="6"/>
        <v/>
      </c>
      <c r="D453" s="113"/>
      <c r="E453" s="113"/>
      <c r="F453" s="113"/>
      <c r="G453" s="113"/>
      <c r="H453" s="128"/>
      <c r="I453" s="113"/>
      <c r="J453" s="113"/>
    </row>
    <row r="454" spans="1:10" ht="15.75" x14ac:dyDescent="0.25">
      <c r="A454" s="104"/>
      <c r="B454" s="104"/>
      <c r="C454" s="92" t="str">
        <f t="shared" si="6"/>
        <v/>
      </c>
      <c r="D454" s="113"/>
      <c r="E454" s="113"/>
      <c r="F454" s="113"/>
      <c r="G454" s="113"/>
      <c r="H454" s="128"/>
      <c r="I454" s="113"/>
      <c r="J454" s="113"/>
    </row>
    <row r="455" spans="1:10" ht="15.75" x14ac:dyDescent="0.25">
      <c r="A455" s="104"/>
      <c r="B455" s="104"/>
      <c r="C455" s="92" t="str">
        <f t="shared" si="6"/>
        <v/>
      </c>
      <c r="D455" s="113"/>
      <c r="E455" s="113"/>
      <c r="F455" s="113"/>
      <c r="G455" s="113"/>
      <c r="H455" s="128"/>
      <c r="I455" s="113"/>
      <c r="J455" s="113"/>
    </row>
    <row r="456" spans="1:10" ht="15.75" x14ac:dyDescent="0.25">
      <c r="A456" s="104"/>
      <c r="B456" s="104"/>
      <c r="C456" s="92" t="str">
        <f t="shared" si="6"/>
        <v/>
      </c>
      <c r="D456" s="113"/>
      <c r="E456" s="113"/>
      <c r="F456" s="113"/>
      <c r="G456" s="113"/>
      <c r="H456" s="128"/>
      <c r="I456" s="113"/>
      <c r="J456" s="113"/>
    </row>
    <row r="457" spans="1:10" ht="15.75" x14ac:dyDescent="0.25">
      <c r="A457" s="104"/>
      <c r="B457" s="104"/>
      <c r="C457" s="92" t="str">
        <f t="shared" si="6"/>
        <v/>
      </c>
      <c r="D457" s="113"/>
      <c r="E457" s="113"/>
      <c r="F457" s="113"/>
      <c r="G457" s="113"/>
      <c r="H457" s="128"/>
      <c r="I457" s="113"/>
      <c r="J457" s="113"/>
    </row>
    <row r="458" spans="1:10" ht="15.75" x14ac:dyDescent="0.25">
      <c r="A458" s="104"/>
      <c r="B458" s="104"/>
      <c r="C458" s="92" t="str">
        <f t="shared" si="6"/>
        <v/>
      </c>
      <c r="D458" s="113"/>
      <c r="E458" s="113"/>
      <c r="F458" s="113"/>
      <c r="G458" s="113"/>
      <c r="H458" s="128"/>
      <c r="I458" s="113"/>
      <c r="J458" s="113"/>
    </row>
    <row r="459" spans="1:10" ht="15.75" x14ac:dyDescent="0.25">
      <c r="A459" s="104"/>
      <c r="B459" s="104"/>
      <c r="C459" s="92" t="str">
        <f t="shared" si="6"/>
        <v/>
      </c>
      <c r="D459" s="113"/>
      <c r="E459" s="113"/>
      <c r="F459" s="113"/>
      <c r="G459" s="113"/>
      <c r="H459" s="128"/>
      <c r="I459" s="113"/>
      <c r="J459" s="113"/>
    </row>
    <row r="460" spans="1:10" ht="15.75" x14ac:dyDescent="0.25">
      <c r="A460" s="104"/>
      <c r="B460" s="104"/>
      <c r="C460" s="92" t="str">
        <f t="shared" si="6"/>
        <v/>
      </c>
      <c r="D460" s="113"/>
      <c r="E460" s="113"/>
      <c r="F460" s="113"/>
      <c r="G460" s="113"/>
      <c r="H460" s="128"/>
      <c r="I460" s="113"/>
      <c r="J460" s="113"/>
    </row>
    <row r="461" spans="1:10" ht="15.75" x14ac:dyDescent="0.25">
      <c r="A461" s="104"/>
      <c r="B461" s="104"/>
      <c r="C461" s="92" t="str">
        <f t="shared" si="6"/>
        <v/>
      </c>
      <c r="D461" s="113"/>
      <c r="E461" s="113"/>
      <c r="F461" s="113"/>
      <c r="G461" s="113"/>
      <c r="H461" s="128"/>
      <c r="I461" s="113"/>
      <c r="J461" s="113"/>
    </row>
    <row r="462" spans="1:10" ht="15.75" x14ac:dyDescent="0.25">
      <c r="A462" s="104"/>
      <c r="B462" s="104"/>
      <c r="C462" s="92" t="str">
        <f t="shared" si="6"/>
        <v/>
      </c>
      <c r="D462" s="113"/>
      <c r="E462" s="113"/>
      <c r="F462" s="113"/>
      <c r="G462" s="113"/>
      <c r="H462" s="128"/>
      <c r="I462" s="113"/>
      <c r="J462" s="113"/>
    </row>
    <row r="463" spans="1:10" ht="15.75" x14ac:dyDescent="0.25">
      <c r="A463" s="104"/>
      <c r="B463" s="104"/>
      <c r="C463" s="92" t="str">
        <f t="shared" si="6"/>
        <v/>
      </c>
      <c r="D463" s="113"/>
      <c r="E463" s="113"/>
      <c r="F463" s="113"/>
      <c r="G463" s="113"/>
      <c r="H463" s="128"/>
      <c r="I463" s="113"/>
      <c r="J463" s="113"/>
    </row>
    <row r="464" spans="1:10" ht="15.75" x14ac:dyDescent="0.25">
      <c r="A464" s="104"/>
      <c r="B464" s="104"/>
      <c r="C464" s="92" t="str">
        <f t="shared" si="6"/>
        <v/>
      </c>
      <c r="D464" s="113"/>
      <c r="E464" s="113"/>
      <c r="F464" s="113"/>
      <c r="G464" s="113"/>
      <c r="H464" s="128"/>
      <c r="I464" s="113"/>
      <c r="J464" s="113"/>
    </row>
    <row r="465" spans="1:10" ht="15.75" x14ac:dyDescent="0.25">
      <c r="A465" s="104"/>
      <c r="B465" s="104"/>
      <c r="C465" s="92" t="str">
        <f t="shared" si="6"/>
        <v/>
      </c>
      <c r="D465" s="113"/>
      <c r="E465" s="113"/>
      <c r="F465" s="113"/>
      <c r="G465" s="113"/>
      <c r="H465" s="128"/>
      <c r="I465" s="113"/>
      <c r="J465" s="113"/>
    </row>
    <row r="466" spans="1:10" ht="15.75" x14ac:dyDescent="0.25">
      <c r="A466" s="104"/>
      <c r="B466" s="104"/>
      <c r="C466" s="92" t="str">
        <f t="shared" si="6"/>
        <v/>
      </c>
      <c r="D466" s="113"/>
      <c r="E466" s="113"/>
      <c r="F466" s="113"/>
      <c r="G466" s="113"/>
      <c r="H466" s="128"/>
      <c r="I466" s="113"/>
      <c r="J466" s="113"/>
    </row>
    <row r="467" spans="1:10" ht="15.75" x14ac:dyDescent="0.25">
      <c r="A467" s="104"/>
      <c r="B467" s="104"/>
      <c r="C467" s="92" t="str">
        <f t="shared" si="6"/>
        <v/>
      </c>
      <c r="D467" s="113"/>
      <c r="E467" s="113"/>
      <c r="F467" s="113"/>
      <c r="G467" s="113"/>
      <c r="H467" s="128"/>
      <c r="I467" s="113"/>
      <c r="J467" s="113"/>
    </row>
    <row r="468" spans="1:10" ht="15.75" x14ac:dyDescent="0.25">
      <c r="A468" s="104"/>
      <c r="B468" s="104"/>
      <c r="C468" s="92" t="str">
        <f t="shared" ref="C468:C531" si="7">IF(A468=0,"","Steel02")</f>
        <v/>
      </c>
      <c r="D468" s="113"/>
      <c r="E468" s="113"/>
      <c r="F468" s="113"/>
      <c r="G468" s="113"/>
      <c r="H468" s="128"/>
      <c r="I468" s="113"/>
      <c r="J468" s="113"/>
    </row>
    <row r="469" spans="1:10" ht="15.75" x14ac:dyDescent="0.25">
      <c r="A469" s="104"/>
      <c r="B469" s="104"/>
      <c r="C469" s="92" t="str">
        <f t="shared" si="7"/>
        <v/>
      </c>
      <c r="D469" s="113"/>
      <c r="E469" s="113"/>
      <c r="F469" s="113"/>
      <c r="G469" s="113"/>
      <c r="H469" s="128"/>
      <c r="I469" s="113"/>
      <c r="J469" s="113"/>
    </row>
    <row r="470" spans="1:10" ht="15.75" x14ac:dyDescent="0.25">
      <c r="A470" s="104"/>
      <c r="B470" s="104"/>
      <c r="C470" s="92" t="str">
        <f t="shared" si="7"/>
        <v/>
      </c>
      <c r="D470" s="113"/>
      <c r="E470" s="113"/>
      <c r="F470" s="113"/>
      <c r="G470" s="113"/>
      <c r="H470" s="128"/>
      <c r="I470" s="113"/>
      <c r="J470" s="113"/>
    </row>
    <row r="471" spans="1:10" ht="15.75" x14ac:dyDescent="0.25">
      <c r="A471" s="104"/>
      <c r="B471" s="104"/>
      <c r="C471" s="92" t="str">
        <f t="shared" si="7"/>
        <v/>
      </c>
      <c r="D471" s="113"/>
      <c r="E471" s="113"/>
      <c r="F471" s="113"/>
      <c r="G471" s="113"/>
      <c r="H471" s="128"/>
      <c r="I471" s="113"/>
      <c r="J471" s="113"/>
    </row>
    <row r="472" spans="1:10" ht="15.75" x14ac:dyDescent="0.25">
      <c r="A472" s="104"/>
      <c r="B472" s="104"/>
      <c r="C472" s="92" t="str">
        <f t="shared" si="7"/>
        <v/>
      </c>
      <c r="D472" s="113"/>
      <c r="E472" s="113"/>
      <c r="F472" s="113"/>
      <c r="G472" s="113"/>
      <c r="H472" s="128"/>
      <c r="I472" s="113"/>
      <c r="J472" s="113"/>
    </row>
    <row r="473" spans="1:10" ht="15.75" x14ac:dyDescent="0.25">
      <c r="A473" s="104"/>
      <c r="B473" s="104"/>
      <c r="C473" s="92" t="str">
        <f t="shared" si="7"/>
        <v/>
      </c>
      <c r="D473" s="113"/>
      <c r="E473" s="113"/>
      <c r="F473" s="113"/>
      <c r="G473" s="113"/>
      <c r="H473" s="128"/>
      <c r="I473" s="113"/>
      <c r="J473" s="113"/>
    </row>
    <row r="474" spans="1:10" ht="15.75" x14ac:dyDescent="0.25">
      <c r="A474" s="104"/>
      <c r="B474" s="104"/>
      <c r="C474" s="92" t="str">
        <f t="shared" si="7"/>
        <v/>
      </c>
      <c r="D474" s="113"/>
      <c r="E474" s="113"/>
      <c r="F474" s="113"/>
      <c r="G474" s="113"/>
      <c r="H474" s="128"/>
      <c r="I474" s="113"/>
      <c r="J474" s="113"/>
    </row>
    <row r="475" spans="1:10" ht="15.75" x14ac:dyDescent="0.25">
      <c r="A475" s="104"/>
      <c r="B475" s="104"/>
      <c r="C475" s="92" t="str">
        <f t="shared" si="7"/>
        <v/>
      </c>
      <c r="D475" s="113"/>
      <c r="E475" s="113"/>
      <c r="F475" s="113"/>
      <c r="G475" s="113"/>
      <c r="H475" s="128"/>
      <c r="I475" s="113"/>
      <c r="J475" s="113"/>
    </row>
    <row r="476" spans="1:10" ht="15.75" x14ac:dyDescent="0.25">
      <c r="A476" s="104"/>
      <c r="B476" s="104"/>
      <c r="C476" s="92" t="str">
        <f t="shared" si="7"/>
        <v/>
      </c>
      <c r="D476" s="113"/>
      <c r="E476" s="113"/>
      <c r="F476" s="113"/>
      <c r="G476" s="113"/>
      <c r="H476" s="128"/>
      <c r="I476" s="113"/>
      <c r="J476" s="113"/>
    </row>
    <row r="477" spans="1:10" ht="15.75" x14ac:dyDescent="0.25">
      <c r="A477" s="104"/>
      <c r="B477" s="104"/>
      <c r="C477" s="92" t="str">
        <f t="shared" si="7"/>
        <v/>
      </c>
      <c r="D477" s="113"/>
      <c r="E477" s="113"/>
      <c r="F477" s="113"/>
      <c r="G477" s="113"/>
      <c r="H477" s="128"/>
      <c r="I477" s="113"/>
      <c r="J477" s="113"/>
    </row>
    <row r="478" spans="1:10" ht="15.75" x14ac:dyDescent="0.25">
      <c r="A478" s="104"/>
      <c r="B478" s="104"/>
      <c r="C478" s="92" t="str">
        <f t="shared" si="7"/>
        <v/>
      </c>
      <c r="D478" s="113"/>
      <c r="E478" s="113"/>
      <c r="F478" s="113"/>
      <c r="G478" s="113"/>
      <c r="H478" s="128"/>
      <c r="I478" s="113"/>
      <c r="J478" s="113"/>
    </row>
    <row r="479" spans="1:10" ht="15.75" x14ac:dyDescent="0.25">
      <c r="A479" s="104"/>
      <c r="B479" s="104"/>
      <c r="C479" s="92" t="str">
        <f t="shared" si="7"/>
        <v/>
      </c>
      <c r="D479" s="113"/>
      <c r="E479" s="113"/>
      <c r="F479" s="113"/>
      <c r="G479" s="113"/>
      <c r="H479" s="128"/>
      <c r="I479" s="113"/>
      <c r="J479" s="113"/>
    </row>
    <row r="480" spans="1:10" ht="15.75" x14ac:dyDescent="0.25">
      <c r="A480" s="104"/>
      <c r="B480" s="104"/>
      <c r="C480" s="92" t="str">
        <f t="shared" si="7"/>
        <v/>
      </c>
      <c r="D480" s="113"/>
      <c r="E480" s="113"/>
      <c r="F480" s="113"/>
      <c r="G480" s="113"/>
      <c r="H480" s="128"/>
      <c r="I480" s="113"/>
      <c r="J480" s="113"/>
    </row>
    <row r="481" spans="1:10" ht="15.75" x14ac:dyDescent="0.25">
      <c r="A481" s="104"/>
      <c r="B481" s="104"/>
      <c r="C481" s="92" t="str">
        <f t="shared" si="7"/>
        <v/>
      </c>
      <c r="D481" s="113"/>
      <c r="E481" s="113"/>
      <c r="F481" s="113"/>
      <c r="G481" s="113"/>
      <c r="H481" s="128"/>
      <c r="I481" s="113"/>
      <c r="J481" s="113"/>
    </row>
    <row r="482" spans="1:10" ht="15.75" x14ac:dyDescent="0.25">
      <c r="A482" s="104"/>
      <c r="B482" s="104"/>
      <c r="C482" s="92" t="str">
        <f t="shared" si="7"/>
        <v/>
      </c>
      <c r="D482" s="113"/>
      <c r="E482" s="113"/>
      <c r="F482" s="113"/>
      <c r="G482" s="113"/>
      <c r="H482" s="128"/>
      <c r="I482" s="113"/>
      <c r="J482" s="113"/>
    </row>
    <row r="483" spans="1:10" ht="15.75" x14ac:dyDescent="0.25">
      <c r="A483" s="104"/>
      <c r="B483" s="104"/>
      <c r="C483" s="92" t="str">
        <f t="shared" si="7"/>
        <v/>
      </c>
      <c r="D483" s="113"/>
      <c r="E483" s="113"/>
      <c r="F483" s="113"/>
      <c r="G483" s="113"/>
      <c r="H483" s="128"/>
      <c r="I483" s="113"/>
      <c r="J483" s="113"/>
    </row>
    <row r="484" spans="1:10" ht="15.75" x14ac:dyDescent="0.25">
      <c r="A484" s="104"/>
      <c r="B484" s="104"/>
      <c r="C484" s="92" t="str">
        <f t="shared" si="7"/>
        <v/>
      </c>
      <c r="D484" s="113"/>
      <c r="E484" s="113"/>
      <c r="F484" s="113"/>
      <c r="G484" s="113"/>
      <c r="H484" s="128"/>
      <c r="I484" s="113"/>
      <c r="J484" s="113"/>
    </row>
    <row r="485" spans="1:10" ht="15.75" x14ac:dyDescent="0.25">
      <c r="A485" s="104"/>
      <c r="B485" s="104"/>
      <c r="C485" s="92" t="str">
        <f t="shared" si="7"/>
        <v/>
      </c>
      <c r="D485" s="113"/>
      <c r="E485" s="113"/>
      <c r="F485" s="113"/>
      <c r="G485" s="113"/>
      <c r="H485" s="128"/>
      <c r="I485" s="113"/>
      <c r="J485" s="113"/>
    </row>
    <row r="486" spans="1:10" ht="15.75" x14ac:dyDescent="0.25">
      <c r="A486" s="104"/>
      <c r="B486" s="104"/>
      <c r="C486" s="92" t="str">
        <f t="shared" si="7"/>
        <v/>
      </c>
      <c r="D486" s="113"/>
      <c r="E486" s="113"/>
      <c r="F486" s="113"/>
      <c r="G486" s="113"/>
      <c r="H486" s="128"/>
      <c r="I486" s="113"/>
      <c r="J486" s="113"/>
    </row>
    <row r="487" spans="1:10" ht="15.75" x14ac:dyDescent="0.25">
      <c r="A487" s="104"/>
      <c r="B487" s="104"/>
      <c r="C487" s="92" t="str">
        <f t="shared" si="7"/>
        <v/>
      </c>
      <c r="D487" s="113"/>
      <c r="E487" s="113"/>
      <c r="F487" s="113"/>
      <c r="G487" s="113"/>
      <c r="H487" s="128"/>
      <c r="I487" s="113"/>
      <c r="J487" s="113"/>
    </row>
    <row r="488" spans="1:10" ht="15.75" x14ac:dyDescent="0.25">
      <c r="A488" s="104"/>
      <c r="B488" s="104"/>
      <c r="C488" s="92" t="str">
        <f t="shared" si="7"/>
        <v/>
      </c>
      <c r="D488" s="113"/>
      <c r="E488" s="113"/>
      <c r="F488" s="113"/>
      <c r="G488" s="113"/>
      <c r="H488" s="128"/>
      <c r="I488" s="113"/>
      <c r="J488" s="113"/>
    </row>
    <row r="489" spans="1:10" ht="15.75" x14ac:dyDescent="0.25">
      <c r="A489" s="104"/>
      <c r="B489" s="104"/>
      <c r="C489" s="92" t="str">
        <f t="shared" si="7"/>
        <v/>
      </c>
      <c r="D489" s="113"/>
      <c r="E489" s="113"/>
      <c r="F489" s="113"/>
      <c r="G489" s="113"/>
      <c r="H489" s="128"/>
      <c r="I489" s="113"/>
      <c r="J489" s="113"/>
    </row>
    <row r="490" spans="1:10" ht="15.75" x14ac:dyDescent="0.25">
      <c r="A490" s="104"/>
      <c r="B490" s="104"/>
      <c r="C490" s="92" t="str">
        <f t="shared" si="7"/>
        <v/>
      </c>
      <c r="D490" s="113"/>
      <c r="E490" s="113"/>
      <c r="F490" s="113"/>
      <c r="G490" s="113"/>
      <c r="H490" s="128"/>
      <c r="I490" s="113"/>
      <c r="J490" s="113"/>
    </row>
    <row r="491" spans="1:10" ht="15.75" x14ac:dyDescent="0.25">
      <c r="A491" s="104"/>
      <c r="B491" s="104"/>
      <c r="C491" s="92" t="str">
        <f t="shared" si="7"/>
        <v/>
      </c>
      <c r="D491" s="113"/>
      <c r="E491" s="113"/>
      <c r="F491" s="113"/>
      <c r="G491" s="113"/>
      <c r="H491" s="128"/>
      <c r="I491" s="113"/>
      <c r="J491" s="113"/>
    </row>
    <row r="492" spans="1:10" ht="15.75" x14ac:dyDescent="0.25">
      <c r="A492" s="104"/>
      <c r="B492" s="104"/>
      <c r="C492" s="92" t="str">
        <f t="shared" si="7"/>
        <v/>
      </c>
      <c r="D492" s="113"/>
      <c r="E492" s="113"/>
      <c r="F492" s="113"/>
      <c r="G492" s="113"/>
      <c r="H492" s="128"/>
      <c r="I492" s="113"/>
      <c r="J492" s="113"/>
    </row>
    <row r="493" spans="1:10" ht="15.75" x14ac:dyDescent="0.25">
      <c r="A493" s="104"/>
      <c r="B493" s="104"/>
      <c r="C493" s="92" t="str">
        <f t="shared" si="7"/>
        <v/>
      </c>
      <c r="D493" s="113"/>
      <c r="E493" s="113"/>
      <c r="F493" s="113"/>
      <c r="G493" s="113"/>
      <c r="H493" s="128"/>
      <c r="I493" s="113"/>
      <c r="J493" s="113"/>
    </row>
    <row r="494" spans="1:10" ht="15.75" x14ac:dyDescent="0.25">
      <c r="A494" s="104"/>
      <c r="B494" s="104"/>
      <c r="C494" s="92" t="str">
        <f t="shared" si="7"/>
        <v/>
      </c>
      <c r="D494" s="113"/>
      <c r="E494" s="113"/>
      <c r="F494" s="113"/>
      <c r="G494" s="113"/>
      <c r="H494" s="128"/>
      <c r="I494" s="113"/>
      <c r="J494" s="113"/>
    </row>
    <row r="495" spans="1:10" ht="15.75" x14ac:dyDescent="0.25">
      <c r="A495" s="104"/>
      <c r="B495" s="104"/>
      <c r="C495" s="92" t="str">
        <f t="shared" si="7"/>
        <v/>
      </c>
      <c r="D495" s="113"/>
      <c r="E495" s="113"/>
      <c r="F495" s="113"/>
      <c r="G495" s="113"/>
      <c r="H495" s="128"/>
      <c r="I495" s="113"/>
      <c r="J495" s="113"/>
    </row>
    <row r="496" spans="1:10" ht="15.75" x14ac:dyDescent="0.25">
      <c r="A496" s="104"/>
      <c r="B496" s="104"/>
      <c r="C496" s="92" t="str">
        <f t="shared" si="7"/>
        <v/>
      </c>
      <c r="D496" s="113"/>
      <c r="E496" s="113"/>
      <c r="F496" s="113"/>
      <c r="G496" s="113"/>
      <c r="H496" s="128"/>
      <c r="I496" s="113"/>
      <c r="J496" s="113"/>
    </row>
    <row r="497" spans="1:10" ht="15.75" x14ac:dyDescent="0.25">
      <c r="A497" s="104"/>
      <c r="B497" s="104"/>
      <c r="C497" s="92" t="str">
        <f t="shared" si="7"/>
        <v/>
      </c>
      <c r="D497" s="113"/>
      <c r="E497" s="113"/>
      <c r="F497" s="113"/>
      <c r="G497" s="113"/>
      <c r="H497" s="128"/>
      <c r="I497" s="113"/>
      <c r="J497" s="113"/>
    </row>
    <row r="498" spans="1:10" ht="15.75" x14ac:dyDescent="0.25">
      <c r="A498" s="104"/>
      <c r="B498" s="104"/>
      <c r="C498" s="92" t="str">
        <f t="shared" si="7"/>
        <v/>
      </c>
      <c r="D498" s="113"/>
      <c r="E498" s="113"/>
      <c r="F498" s="113"/>
      <c r="G498" s="113"/>
      <c r="H498" s="128"/>
      <c r="I498" s="113"/>
      <c r="J498" s="113"/>
    </row>
    <row r="499" spans="1:10" ht="15.75" x14ac:dyDescent="0.25">
      <c r="A499" s="104"/>
      <c r="B499" s="104"/>
      <c r="C499" s="92" t="str">
        <f t="shared" si="7"/>
        <v/>
      </c>
      <c r="D499" s="113"/>
      <c r="E499" s="113"/>
      <c r="F499" s="113"/>
      <c r="G499" s="113"/>
      <c r="H499" s="128"/>
      <c r="I499" s="113"/>
      <c r="J499" s="113"/>
    </row>
    <row r="500" spans="1:10" ht="15.75" x14ac:dyDescent="0.25">
      <c r="A500" s="104"/>
      <c r="B500" s="104"/>
      <c r="C500" s="92" t="str">
        <f t="shared" si="7"/>
        <v/>
      </c>
      <c r="D500" s="113"/>
      <c r="E500" s="113"/>
      <c r="F500" s="113"/>
      <c r="G500" s="113"/>
      <c r="H500" s="128"/>
      <c r="I500" s="113"/>
      <c r="J500" s="113"/>
    </row>
    <row r="501" spans="1:10" ht="15.75" x14ac:dyDescent="0.25">
      <c r="A501" s="104"/>
      <c r="B501" s="104"/>
      <c r="C501" s="92" t="str">
        <f t="shared" si="7"/>
        <v/>
      </c>
      <c r="D501" s="113"/>
      <c r="E501" s="113"/>
      <c r="F501" s="113"/>
      <c r="G501" s="113"/>
      <c r="H501" s="128"/>
      <c r="I501" s="113"/>
      <c r="J501" s="113"/>
    </row>
    <row r="502" spans="1:10" ht="15.75" x14ac:dyDescent="0.25">
      <c r="A502" s="104"/>
      <c r="B502" s="104"/>
      <c r="C502" s="92" t="str">
        <f t="shared" si="7"/>
        <v/>
      </c>
      <c r="D502" s="113"/>
      <c r="E502" s="113"/>
      <c r="F502" s="113"/>
      <c r="G502" s="113"/>
      <c r="H502" s="128"/>
      <c r="I502" s="113"/>
      <c r="J502" s="113"/>
    </row>
    <row r="503" spans="1:10" ht="15.75" x14ac:dyDescent="0.25">
      <c r="A503" s="104"/>
      <c r="B503" s="104"/>
      <c r="C503" s="92" t="str">
        <f t="shared" si="7"/>
        <v/>
      </c>
      <c r="D503" s="113"/>
      <c r="E503" s="113"/>
      <c r="F503" s="113"/>
      <c r="G503" s="113"/>
      <c r="H503" s="128"/>
      <c r="I503" s="113"/>
      <c r="J503" s="113"/>
    </row>
    <row r="504" spans="1:10" ht="15.75" x14ac:dyDescent="0.25">
      <c r="A504" s="104"/>
      <c r="B504" s="104"/>
      <c r="C504" s="92" t="str">
        <f t="shared" si="7"/>
        <v/>
      </c>
      <c r="D504" s="113"/>
      <c r="E504" s="113"/>
      <c r="F504" s="113"/>
      <c r="G504" s="113"/>
      <c r="H504" s="128"/>
      <c r="I504" s="113"/>
      <c r="J504" s="113"/>
    </row>
    <row r="505" spans="1:10" ht="15.75" x14ac:dyDescent="0.25">
      <c r="A505" s="104"/>
      <c r="B505" s="104"/>
      <c r="C505" s="92" t="str">
        <f t="shared" si="7"/>
        <v/>
      </c>
      <c r="D505" s="113"/>
      <c r="E505" s="113"/>
      <c r="F505" s="113"/>
      <c r="G505" s="113"/>
      <c r="H505" s="128"/>
      <c r="I505" s="113"/>
      <c r="J505" s="113"/>
    </row>
    <row r="506" spans="1:10" ht="15.75" x14ac:dyDescent="0.25">
      <c r="A506" s="104"/>
      <c r="B506" s="104"/>
      <c r="C506" s="92" t="str">
        <f t="shared" si="7"/>
        <v/>
      </c>
      <c r="D506" s="113"/>
      <c r="E506" s="113"/>
      <c r="F506" s="113"/>
      <c r="G506" s="113"/>
      <c r="H506" s="128"/>
      <c r="I506" s="113"/>
      <c r="J506" s="113"/>
    </row>
    <row r="507" spans="1:10" ht="15.75" x14ac:dyDescent="0.25">
      <c r="A507" s="104"/>
      <c r="B507" s="104"/>
      <c r="C507" s="92" t="str">
        <f t="shared" si="7"/>
        <v/>
      </c>
      <c r="D507" s="113"/>
      <c r="E507" s="113"/>
      <c r="F507" s="113"/>
      <c r="G507" s="113"/>
      <c r="H507" s="128"/>
      <c r="I507" s="113"/>
      <c r="J507" s="113"/>
    </row>
    <row r="508" spans="1:10" ht="15.75" x14ac:dyDescent="0.25">
      <c r="A508" s="104"/>
      <c r="B508" s="104"/>
      <c r="C508" s="92" t="str">
        <f t="shared" si="7"/>
        <v/>
      </c>
      <c r="D508" s="113"/>
      <c r="E508" s="113"/>
      <c r="F508" s="113"/>
      <c r="G508" s="113"/>
      <c r="H508" s="128"/>
      <c r="I508" s="113"/>
      <c r="J508" s="113"/>
    </row>
    <row r="509" spans="1:10" ht="15.75" x14ac:dyDescent="0.25">
      <c r="A509" s="104"/>
      <c r="B509" s="104"/>
      <c r="C509" s="92" t="str">
        <f t="shared" si="7"/>
        <v/>
      </c>
      <c r="D509" s="113"/>
      <c r="E509" s="113"/>
      <c r="F509" s="113"/>
      <c r="G509" s="113"/>
      <c r="H509" s="128"/>
      <c r="I509" s="113"/>
      <c r="J509" s="113"/>
    </row>
    <row r="510" spans="1:10" ht="15.75" x14ac:dyDescent="0.25">
      <c r="A510" s="104"/>
      <c r="B510" s="104"/>
      <c r="C510" s="92" t="str">
        <f t="shared" si="7"/>
        <v/>
      </c>
      <c r="D510" s="113"/>
      <c r="E510" s="113"/>
      <c r="F510" s="113"/>
      <c r="G510" s="113"/>
      <c r="H510" s="128"/>
      <c r="I510" s="113"/>
      <c r="J510" s="113"/>
    </row>
    <row r="511" spans="1:10" ht="15.75" x14ac:dyDescent="0.25">
      <c r="A511" s="104"/>
      <c r="B511" s="104"/>
      <c r="C511" s="92" t="str">
        <f t="shared" si="7"/>
        <v/>
      </c>
      <c r="D511" s="113"/>
      <c r="E511" s="113"/>
      <c r="F511" s="113"/>
      <c r="G511" s="113"/>
      <c r="H511" s="128"/>
      <c r="I511" s="113"/>
      <c r="J511" s="113"/>
    </row>
    <row r="512" spans="1:10" ht="15.75" x14ac:dyDescent="0.25">
      <c r="A512" s="104"/>
      <c r="B512" s="104"/>
      <c r="C512" s="92" t="str">
        <f t="shared" si="7"/>
        <v/>
      </c>
      <c r="D512" s="113"/>
      <c r="E512" s="113"/>
      <c r="F512" s="113"/>
      <c r="G512" s="113"/>
      <c r="H512" s="128"/>
      <c r="I512" s="113"/>
      <c r="J512" s="113"/>
    </row>
    <row r="513" spans="1:10" ht="15.75" x14ac:dyDescent="0.25">
      <c r="A513" s="104"/>
      <c r="B513" s="104"/>
      <c r="C513" s="92" t="str">
        <f t="shared" si="7"/>
        <v/>
      </c>
      <c r="D513" s="113"/>
      <c r="E513" s="113"/>
      <c r="F513" s="113"/>
      <c r="G513" s="113"/>
      <c r="H513" s="128"/>
      <c r="I513" s="113"/>
      <c r="J513" s="113"/>
    </row>
    <row r="514" spans="1:10" ht="15.75" x14ac:dyDescent="0.25">
      <c r="A514" s="104"/>
      <c r="B514" s="104"/>
      <c r="C514" s="92" t="str">
        <f t="shared" si="7"/>
        <v/>
      </c>
      <c r="D514" s="113"/>
      <c r="E514" s="113"/>
      <c r="F514" s="113"/>
      <c r="G514" s="113"/>
      <c r="H514" s="128"/>
      <c r="I514" s="113"/>
      <c r="J514" s="113"/>
    </row>
    <row r="515" spans="1:10" ht="15.75" x14ac:dyDescent="0.25">
      <c r="A515" s="104"/>
      <c r="B515" s="104"/>
      <c r="C515" s="92" t="str">
        <f t="shared" si="7"/>
        <v/>
      </c>
      <c r="D515" s="113"/>
      <c r="E515" s="113"/>
      <c r="F515" s="113"/>
      <c r="G515" s="113"/>
      <c r="H515" s="128"/>
      <c r="I515" s="113"/>
      <c r="J515" s="113"/>
    </row>
    <row r="516" spans="1:10" ht="15.75" x14ac:dyDescent="0.25">
      <c r="A516" s="104"/>
      <c r="B516" s="104"/>
      <c r="C516" s="92" t="str">
        <f t="shared" si="7"/>
        <v/>
      </c>
      <c r="D516" s="113"/>
      <c r="E516" s="113"/>
      <c r="F516" s="113"/>
      <c r="G516" s="113"/>
      <c r="H516" s="128"/>
      <c r="I516" s="113"/>
      <c r="J516" s="113"/>
    </row>
    <row r="517" spans="1:10" ht="15.75" x14ac:dyDescent="0.25">
      <c r="A517" s="104"/>
      <c r="B517" s="104"/>
      <c r="C517" s="92" t="str">
        <f t="shared" si="7"/>
        <v/>
      </c>
      <c r="D517" s="113"/>
      <c r="E517" s="113"/>
      <c r="F517" s="113"/>
      <c r="G517" s="113"/>
      <c r="H517" s="128"/>
      <c r="I517" s="113"/>
      <c r="J517" s="113"/>
    </row>
    <row r="518" spans="1:10" ht="15.75" x14ac:dyDescent="0.25">
      <c r="A518" s="104"/>
      <c r="B518" s="104"/>
      <c r="C518" s="92" t="str">
        <f t="shared" si="7"/>
        <v/>
      </c>
      <c r="D518" s="113"/>
      <c r="E518" s="113"/>
      <c r="F518" s="113"/>
      <c r="G518" s="113"/>
      <c r="H518" s="128"/>
      <c r="I518" s="113"/>
      <c r="J518" s="113"/>
    </row>
    <row r="519" spans="1:10" ht="15.75" x14ac:dyDescent="0.25">
      <c r="A519" s="104"/>
      <c r="B519" s="104"/>
      <c r="C519" s="92" t="str">
        <f t="shared" si="7"/>
        <v/>
      </c>
      <c r="D519" s="113"/>
      <c r="E519" s="113"/>
      <c r="F519" s="113"/>
      <c r="G519" s="113"/>
      <c r="H519" s="128"/>
      <c r="I519" s="113"/>
      <c r="J519" s="113"/>
    </row>
    <row r="520" spans="1:10" ht="15.75" x14ac:dyDescent="0.25">
      <c r="A520" s="104"/>
      <c r="B520" s="104"/>
      <c r="C520" s="92" t="str">
        <f t="shared" si="7"/>
        <v/>
      </c>
      <c r="D520" s="113"/>
      <c r="E520" s="113"/>
      <c r="F520" s="113"/>
      <c r="G520" s="113"/>
      <c r="H520" s="128"/>
      <c r="I520" s="113"/>
      <c r="J520" s="113"/>
    </row>
    <row r="521" spans="1:10" ht="15.75" x14ac:dyDescent="0.25">
      <c r="A521" s="104"/>
      <c r="B521" s="104"/>
      <c r="C521" s="92" t="str">
        <f t="shared" si="7"/>
        <v/>
      </c>
      <c r="D521" s="113"/>
      <c r="E521" s="113"/>
      <c r="F521" s="113"/>
      <c r="G521" s="113"/>
      <c r="H521" s="128"/>
      <c r="I521" s="113"/>
      <c r="J521" s="113"/>
    </row>
    <row r="522" spans="1:10" ht="15.75" x14ac:dyDescent="0.25">
      <c r="A522" s="104"/>
      <c r="B522" s="104"/>
      <c r="C522" s="92" t="str">
        <f t="shared" si="7"/>
        <v/>
      </c>
      <c r="D522" s="113"/>
      <c r="E522" s="113"/>
      <c r="F522" s="113"/>
      <c r="G522" s="113"/>
      <c r="H522" s="128"/>
      <c r="I522" s="113"/>
      <c r="J522" s="113"/>
    </row>
    <row r="523" spans="1:10" ht="15.75" x14ac:dyDescent="0.25">
      <c r="A523" s="104"/>
      <c r="B523" s="104"/>
      <c r="C523" s="92" t="str">
        <f t="shared" si="7"/>
        <v/>
      </c>
      <c r="D523" s="113"/>
      <c r="E523" s="113"/>
      <c r="F523" s="113"/>
      <c r="G523" s="113"/>
      <c r="H523" s="128"/>
      <c r="I523" s="113"/>
      <c r="J523" s="113"/>
    </row>
    <row r="524" spans="1:10" ht="15.75" x14ac:dyDescent="0.25">
      <c r="A524" s="104"/>
      <c r="B524" s="104"/>
      <c r="C524" s="92" t="str">
        <f t="shared" si="7"/>
        <v/>
      </c>
      <c r="D524" s="113"/>
      <c r="E524" s="113"/>
      <c r="F524" s="113"/>
      <c r="G524" s="113"/>
      <c r="H524" s="128"/>
      <c r="I524" s="113"/>
      <c r="J524" s="113"/>
    </row>
    <row r="525" spans="1:10" ht="15.75" x14ac:dyDescent="0.25">
      <c r="A525" s="104"/>
      <c r="B525" s="104"/>
      <c r="C525" s="92" t="str">
        <f t="shared" si="7"/>
        <v/>
      </c>
      <c r="D525" s="113"/>
      <c r="E525" s="113"/>
      <c r="F525" s="113"/>
      <c r="G525" s="113"/>
      <c r="H525" s="128"/>
      <c r="I525" s="113"/>
      <c r="J525" s="113"/>
    </row>
    <row r="526" spans="1:10" ht="15.75" x14ac:dyDescent="0.25">
      <c r="A526" s="104"/>
      <c r="B526" s="104"/>
      <c r="C526" s="92" t="str">
        <f t="shared" si="7"/>
        <v/>
      </c>
      <c r="D526" s="113"/>
      <c r="E526" s="113"/>
      <c r="F526" s="113"/>
      <c r="G526" s="113"/>
      <c r="H526" s="128"/>
      <c r="I526" s="113"/>
      <c r="J526" s="113"/>
    </row>
    <row r="527" spans="1:10" ht="15.75" x14ac:dyDescent="0.25">
      <c r="A527" s="104"/>
      <c r="B527" s="104"/>
      <c r="C527" s="92" t="str">
        <f t="shared" si="7"/>
        <v/>
      </c>
      <c r="D527" s="113"/>
      <c r="E527" s="113"/>
      <c r="F527" s="113"/>
      <c r="G527" s="113"/>
      <c r="H527" s="128"/>
      <c r="I527" s="113"/>
      <c r="J527" s="113"/>
    </row>
    <row r="528" spans="1:10" ht="15.75" x14ac:dyDescent="0.25">
      <c r="A528" s="104"/>
      <c r="B528" s="104"/>
      <c r="C528" s="92" t="str">
        <f t="shared" si="7"/>
        <v/>
      </c>
      <c r="D528" s="113"/>
      <c r="E528" s="113"/>
      <c r="F528" s="113"/>
      <c r="G528" s="113"/>
      <c r="H528" s="128"/>
      <c r="I528" s="113"/>
      <c r="J528" s="113"/>
    </row>
    <row r="529" spans="1:10" ht="15.75" x14ac:dyDescent="0.25">
      <c r="A529" s="104"/>
      <c r="B529" s="104"/>
      <c r="C529" s="92" t="str">
        <f t="shared" si="7"/>
        <v/>
      </c>
      <c r="D529" s="113"/>
      <c r="E529" s="113"/>
      <c r="F529" s="113"/>
      <c r="G529" s="113"/>
      <c r="H529" s="128"/>
      <c r="I529" s="113"/>
      <c r="J529" s="113"/>
    </row>
    <row r="530" spans="1:10" ht="15.75" x14ac:dyDescent="0.25">
      <c r="A530" s="104"/>
      <c r="B530" s="104"/>
      <c r="C530" s="92" t="str">
        <f t="shared" si="7"/>
        <v/>
      </c>
      <c r="D530" s="113"/>
      <c r="E530" s="113"/>
      <c r="F530" s="113"/>
      <c r="G530" s="113"/>
      <c r="H530" s="128"/>
      <c r="I530" s="113"/>
      <c r="J530" s="113"/>
    </row>
    <row r="531" spans="1:10" ht="15.75" x14ac:dyDescent="0.25">
      <c r="A531" s="104"/>
      <c r="B531" s="104"/>
      <c r="C531" s="92" t="str">
        <f t="shared" si="7"/>
        <v/>
      </c>
      <c r="D531" s="113"/>
      <c r="E531" s="113"/>
      <c r="F531" s="113"/>
      <c r="G531" s="113"/>
      <c r="H531" s="128"/>
      <c r="I531" s="113"/>
      <c r="J531" s="113"/>
    </row>
    <row r="532" spans="1:10" ht="15.75" x14ac:dyDescent="0.25">
      <c r="A532" s="104"/>
      <c r="B532" s="104"/>
      <c r="C532" s="92" t="str">
        <f t="shared" ref="C532:C595" si="8">IF(A532=0,"","Steel02")</f>
        <v/>
      </c>
      <c r="D532" s="113"/>
      <c r="E532" s="113"/>
      <c r="F532" s="113"/>
      <c r="G532" s="113"/>
      <c r="H532" s="128"/>
      <c r="I532" s="113"/>
      <c r="J532" s="113"/>
    </row>
    <row r="533" spans="1:10" ht="15.75" x14ac:dyDescent="0.25">
      <c r="A533" s="104"/>
      <c r="B533" s="104"/>
      <c r="C533" s="92" t="str">
        <f t="shared" si="8"/>
        <v/>
      </c>
      <c r="D533" s="113"/>
      <c r="E533" s="113"/>
      <c r="F533" s="113"/>
      <c r="G533" s="113"/>
      <c r="H533" s="128"/>
      <c r="I533" s="113"/>
      <c r="J533" s="113"/>
    </row>
    <row r="534" spans="1:10" ht="15.75" x14ac:dyDescent="0.25">
      <c r="A534" s="104"/>
      <c r="B534" s="104"/>
      <c r="C534" s="92" t="str">
        <f t="shared" si="8"/>
        <v/>
      </c>
      <c r="D534" s="113"/>
      <c r="E534" s="113"/>
      <c r="F534" s="113"/>
      <c r="G534" s="113"/>
      <c r="H534" s="128"/>
      <c r="I534" s="113"/>
      <c r="J534" s="113"/>
    </row>
    <row r="535" spans="1:10" ht="15.75" x14ac:dyDescent="0.25">
      <c r="A535" s="104"/>
      <c r="B535" s="104"/>
      <c r="C535" s="92" t="str">
        <f t="shared" si="8"/>
        <v/>
      </c>
      <c r="D535" s="113"/>
      <c r="E535" s="113"/>
      <c r="F535" s="113"/>
      <c r="G535" s="113"/>
      <c r="H535" s="128"/>
      <c r="I535" s="113"/>
      <c r="J535" s="113"/>
    </row>
    <row r="536" spans="1:10" ht="15.75" x14ac:dyDescent="0.25">
      <c r="A536" s="104"/>
      <c r="B536" s="104"/>
      <c r="C536" s="92" t="str">
        <f t="shared" si="8"/>
        <v/>
      </c>
      <c r="D536" s="113"/>
      <c r="E536" s="113"/>
      <c r="F536" s="113"/>
      <c r="G536" s="113"/>
      <c r="H536" s="128"/>
      <c r="I536" s="113"/>
      <c r="J536" s="113"/>
    </row>
    <row r="537" spans="1:10" ht="15.75" x14ac:dyDescent="0.25">
      <c r="A537" s="104"/>
      <c r="B537" s="104"/>
      <c r="C537" s="92" t="str">
        <f t="shared" si="8"/>
        <v/>
      </c>
      <c r="D537" s="113"/>
      <c r="E537" s="113"/>
      <c r="F537" s="113"/>
      <c r="G537" s="113"/>
      <c r="H537" s="128"/>
      <c r="I537" s="113"/>
      <c r="J537" s="113"/>
    </row>
    <row r="538" spans="1:10" ht="15.75" x14ac:dyDescent="0.25">
      <c r="A538" s="104"/>
      <c r="B538" s="104"/>
      <c r="C538" s="92" t="str">
        <f t="shared" si="8"/>
        <v/>
      </c>
      <c r="D538" s="113"/>
      <c r="E538" s="113"/>
      <c r="F538" s="113"/>
      <c r="G538" s="113"/>
      <c r="H538" s="128"/>
      <c r="I538" s="113"/>
      <c r="J538" s="113"/>
    </row>
    <row r="539" spans="1:10" ht="15.75" x14ac:dyDescent="0.25">
      <c r="A539" s="104"/>
      <c r="B539" s="104"/>
      <c r="C539" s="92" t="str">
        <f t="shared" si="8"/>
        <v/>
      </c>
      <c r="D539" s="113"/>
      <c r="E539" s="113"/>
      <c r="F539" s="113"/>
      <c r="G539" s="113"/>
      <c r="H539" s="128"/>
      <c r="I539" s="113"/>
      <c r="J539" s="113"/>
    </row>
    <row r="540" spans="1:10" ht="15.75" x14ac:dyDescent="0.25">
      <c r="A540" s="104"/>
      <c r="B540" s="104"/>
      <c r="C540" s="92" t="str">
        <f t="shared" si="8"/>
        <v/>
      </c>
      <c r="D540" s="113"/>
      <c r="E540" s="113"/>
      <c r="F540" s="113"/>
      <c r="G540" s="113"/>
      <c r="H540" s="128"/>
      <c r="I540" s="113"/>
      <c r="J540" s="113"/>
    </row>
    <row r="541" spans="1:10" ht="15.75" x14ac:dyDescent="0.25">
      <c r="A541" s="104"/>
      <c r="B541" s="104"/>
      <c r="C541" s="92" t="str">
        <f t="shared" si="8"/>
        <v/>
      </c>
      <c r="D541" s="113"/>
      <c r="E541" s="113"/>
      <c r="F541" s="113"/>
      <c r="G541" s="113"/>
      <c r="H541" s="128"/>
      <c r="I541" s="113"/>
      <c r="J541" s="113"/>
    </row>
    <row r="542" spans="1:10" ht="15.75" x14ac:dyDescent="0.25">
      <c r="A542" s="104"/>
      <c r="B542" s="104"/>
      <c r="C542" s="92" t="str">
        <f t="shared" si="8"/>
        <v/>
      </c>
      <c r="D542" s="113"/>
      <c r="E542" s="113"/>
      <c r="F542" s="113"/>
      <c r="G542" s="113"/>
      <c r="H542" s="128"/>
      <c r="I542" s="113"/>
      <c r="J542" s="113"/>
    </row>
    <row r="543" spans="1:10" ht="15.75" x14ac:dyDescent="0.25">
      <c r="A543" s="104"/>
      <c r="B543" s="104"/>
      <c r="C543" s="92" t="str">
        <f t="shared" si="8"/>
        <v/>
      </c>
      <c r="D543" s="113"/>
      <c r="E543" s="113"/>
      <c r="F543" s="113"/>
      <c r="G543" s="113"/>
      <c r="H543" s="128"/>
      <c r="I543" s="113"/>
      <c r="J543" s="113"/>
    </row>
    <row r="544" spans="1:10" ht="15.75" x14ac:dyDescent="0.25">
      <c r="A544" s="104"/>
      <c r="B544" s="104"/>
      <c r="C544" s="92" t="str">
        <f t="shared" si="8"/>
        <v/>
      </c>
      <c r="D544" s="113"/>
      <c r="E544" s="113"/>
      <c r="F544" s="113"/>
      <c r="G544" s="113"/>
      <c r="H544" s="128"/>
      <c r="I544" s="113"/>
      <c r="J544" s="113"/>
    </row>
    <row r="545" spans="1:10" ht="15.75" x14ac:dyDescent="0.25">
      <c r="A545" s="104"/>
      <c r="B545" s="104"/>
      <c r="C545" s="92" t="str">
        <f t="shared" si="8"/>
        <v/>
      </c>
      <c r="D545" s="113"/>
      <c r="E545" s="113"/>
      <c r="F545" s="113"/>
      <c r="G545" s="113"/>
      <c r="H545" s="128"/>
      <c r="I545" s="113"/>
      <c r="J545" s="113"/>
    </row>
    <row r="546" spans="1:10" ht="15.75" x14ac:dyDescent="0.25">
      <c r="A546" s="104"/>
      <c r="B546" s="104"/>
      <c r="C546" s="92" t="str">
        <f t="shared" si="8"/>
        <v/>
      </c>
      <c r="D546" s="113"/>
      <c r="E546" s="113"/>
      <c r="F546" s="113"/>
      <c r="G546" s="113"/>
      <c r="H546" s="128"/>
      <c r="I546" s="113"/>
      <c r="J546" s="113"/>
    </row>
    <row r="547" spans="1:10" ht="15.75" x14ac:dyDescent="0.25">
      <c r="A547" s="104"/>
      <c r="B547" s="104"/>
      <c r="C547" s="92" t="str">
        <f t="shared" si="8"/>
        <v/>
      </c>
      <c r="D547" s="113"/>
      <c r="E547" s="113"/>
      <c r="F547" s="113"/>
      <c r="G547" s="113"/>
      <c r="H547" s="128"/>
      <c r="I547" s="113"/>
      <c r="J547" s="113"/>
    </row>
    <row r="548" spans="1:10" ht="15.75" x14ac:dyDescent="0.25">
      <c r="A548" s="104"/>
      <c r="B548" s="104"/>
      <c r="C548" s="92" t="str">
        <f t="shared" si="8"/>
        <v/>
      </c>
      <c r="D548" s="113"/>
      <c r="E548" s="113"/>
      <c r="F548" s="113"/>
      <c r="G548" s="113"/>
      <c r="H548" s="128"/>
      <c r="I548" s="113"/>
      <c r="J548" s="113"/>
    </row>
    <row r="549" spans="1:10" ht="15.75" x14ac:dyDescent="0.25">
      <c r="A549" s="104"/>
      <c r="B549" s="104"/>
      <c r="C549" s="92" t="str">
        <f t="shared" si="8"/>
        <v/>
      </c>
      <c r="D549" s="113"/>
      <c r="E549" s="113"/>
      <c r="F549" s="113"/>
      <c r="G549" s="113"/>
      <c r="H549" s="128"/>
      <c r="I549" s="113"/>
      <c r="J549" s="113"/>
    </row>
    <row r="550" spans="1:10" ht="15.75" x14ac:dyDescent="0.25">
      <c r="A550" s="104"/>
      <c r="B550" s="104"/>
      <c r="C550" s="92" t="str">
        <f t="shared" si="8"/>
        <v/>
      </c>
      <c r="D550" s="113"/>
      <c r="E550" s="113"/>
      <c r="F550" s="113"/>
      <c r="G550" s="113"/>
      <c r="H550" s="128"/>
      <c r="I550" s="113"/>
      <c r="J550" s="113"/>
    </row>
    <row r="551" spans="1:10" ht="15.75" x14ac:dyDescent="0.25">
      <c r="A551" s="104"/>
      <c r="B551" s="104"/>
      <c r="C551" s="92" t="str">
        <f t="shared" si="8"/>
        <v/>
      </c>
      <c r="D551" s="113"/>
      <c r="E551" s="113"/>
      <c r="F551" s="113"/>
      <c r="G551" s="113"/>
      <c r="H551" s="128"/>
      <c r="I551" s="113"/>
      <c r="J551" s="113"/>
    </row>
    <row r="552" spans="1:10" ht="15.75" x14ac:dyDescent="0.25">
      <c r="A552" s="104"/>
      <c r="B552" s="104"/>
      <c r="C552" s="92" t="str">
        <f t="shared" si="8"/>
        <v/>
      </c>
      <c r="D552" s="113"/>
      <c r="E552" s="113"/>
      <c r="F552" s="113"/>
      <c r="G552" s="113"/>
      <c r="H552" s="128"/>
      <c r="I552" s="113"/>
      <c r="J552" s="113"/>
    </row>
    <row r="553" spans="1:10" ht="15.75" x14ac:dyDescent="0.25">
      <c r="A553" s="104"/>
      <c r="B553" s="104"/>
      <c r="C553" s="92" t="str">
        <f t="shared" si="8"/>
        <v/>
      </c>
      <c r="D553" s="113"/>
      <c r="E553" s="113"/>
      <c r="F553" s="113"/>
      <c r="G553" s="113"/>
      <c r="H553" s="128"/>
      <c r="I553" s="113"/>
      <c r="J553" s="113"/>
    </row>
    <row r="554" spans="1:10" ht="15.75" x14ac:dyDescent="0.25">
      <c r="A554" s="104"/>
      <c r="B554" s="104"/>
      <c r="C554" s="92" t="str">
        <f t="shared" si="8"/>
        <v/>
      </c>
      <c r="D554" s="113"/>
      <c r="E554" s="113"/>
      <c r="F554" s="113"/>
      <c r="G554" s="113"/>
      <c r="H554" s="128"/>
      <c r="I554" s="113"/>
      <c r="J554" s="113"/>
    </row>
    <row r="555" spans="1:10" ht="15.75" x14ac:dyDescent="0.25">
      <c r="A555" s="104"/>
      <c r="B555" s="104"/>
      <c r="C555" s="92" t="str">
        <f t="shared" si="8"/>
        <v/>
      </c>
      <c r="D555" s="113"/>
      <c r="E555" s="113"/>
      <c r="F555" s="113"/>
      <c r="G555" s="113"/>
      <c r="H555" s="128"/>
      <c r="I555" s="113"/>
      <c r="J555" s="113"/>
    </row>
    <row r="556" spans="1:10" ht="15.75" x14ac:dyDescent="0.25">
      <c r="A556" s="104"/>
      <c r="B556" s="104"/>
      <c r="C556" s="92" t="str">
        <f t="shared" si="8"/>
        <v/>
      </c>
      <c r="D556" s="113"/>
      <c r="E556" s="113"/>
      <c r="F556" s="113"/>
      <c r="G556" s="113"/>
      <c r="H556" s="128"/>
      <c r="I556" s="113"/>
      <c r="J556" s="113"/>
    </row>
    <row r="557" spans="1:10" ht="15.75" x14ac:dyDescent="0.25">
      <c r="A557" s="104"/>
      <c r="B557" s="104"/>
      <c r="C557" s="92" t="str">
        <f t="shared" si="8"/>
        <v/>
      </c>
      <c r="D557" s="113"/>
      <c r="E557" s="113"/>
      <c r="F557" s="113"/>
      <c r="G557" s="113"/>
      <c r="H557" s="128"/>
      <c r="I557" s="113"/>
      <c r="J557" s="113"/>
    </row>
    <row r="558" spans="1:10" ht="15.75" x14ac:dyDescent="0.25">
      <c r="A558" s="104"/>
      <c r="B558" s="104"/>
      <c r="C558" s="92" t="str">
        <f t="shared" si="8"/>
        <v/>
      </c>
      <c r="D558" s="113"/>
      <c r="E558" s="113"/>
      <c r="F558" s="113"/>
      <c r="G558" s="113"/>
      <c r="H558" s="128"/>
      <c r="I558" s="113"/>
      <c r="J558" s="113"/>
    </row>
    <row r="559" spans="1:10" ht="15.75" x14ac:dyDescent="0.25">
      <c r="A559" s="104"/>
      <c r="B559" s="104"/>
      <c r="C559" s="92" t="str">
        <f t="shared" si="8"/>
        <v/>
      </c>
      <c r="D559" s="113"/>
      <c r="E559" s="113"/>
      <c r="F559" s="113"/>
      <c r="G559" s="113"/>
      <c r="H559" s="128"/>
      <c r="I559" s="113"/>
      <c r="J559" s="113"/>
    </row>
    <row r="560" spans="1:10" ht="15.75" x14ac:dyDescent="0.25">
      <c r="A560" s="104"/>
      <c r="B560" s="104"/>
      <c r="C560" s="92" t="str">
        <f t="shared" si="8"/>
        <v/>
      </c>
      <c r="D560" s="113"/>
      <c r="E560" s="113"/>
      <c r="F560" s="113"/>
      <c r="G560" s="113"/>
      <c r="H560" s="128"/>
      <c r="I560" s="113"/>
      <c r="J560" s="113"/>
    </row>
    <row r="561" spans="1:10" ht="15.75" x14ac:dyDescent="0.25">
      <c r="A561" s="104"/>
      <c r="B561" s="104"/>
      <c r="C561" s="92" t="str">
        <f t="shared" si="8"/>
        <v/>
      </c>
      <c r="D561" s="113"/>
      <c r="E561" s="113"/>
      <c r="F561" s="113"/>
      <c r="G561" s="113"/>
      <c r="H561" s="128"/>
      <c r="I561" s="113"/>
      <c r="J561" s="113"/>
    </row>
    <row r="562" spans="1:10" ht="15.75" x14ac:dyDescent="0.25">
      <c r="A562" s="104"/>
      <c r="B562" s="104"/>
      <c r="C562" s="92" t="str">
        <f t="shared" si="8"/>
        <v/>
      </c>
      <c r="D562" s="113"/>
      <c r="E562" s="113"/>
      <c r="F562" s="113"/>
      <c r="G562" s="113"/>
      <c r="H562" s="128"/>
      <c r="I562" s="113"/>
      <c r="J562" s="113"/>
    </row>
    <row r="563" spans="1:10" ht="15.75" x14ac:dyDescent="0.25">
      <c r="A563" s="104"/>
      <c r="B563" s="104"/>
      <c r="C563" s="92" t="str">
        <f t="shared" si="8"/>
        <v/>
      </c>
      <c r="D563" s="113"/>
      <c r="E563" s="113"/>
      <c r="F563" s="113"/>
      <c r="G563" s="113"/>
      <c r="H563" s="128"/>
      <c r="I563" s="113"/>
      <c r="J563" s="113"/>
    </row>
    <row r="564" spans="1:10" ht="15.75" x14ac:dyDescent="0.25">
      <c r="A564" s="104"/>
      <c r="B564" s="104"/>
      <c r="C564" s="92" t="str">
        <f t="shared" si="8"/>
        <v/>
      </c>
      <c r="D564" s="113"/>
      <c r="E564" s="113"/>
      <c r="F564" s="113"/>
      <c r="G564" s="113"/>
      <c r="H564" s="128"/>
      <c r="I564" s="113"/>
      <c r="J564" s="113"/>
    </row>
    <row r="565" spans="1:10" ht="15.75" x14ac:dyDescent="0.25">
      <c r="A565" s="104"/>
      <c r="B565" s="104"/>
      <c r="C565" s="92" t="str">
        <f t="shared" si="8"/>
        <v/>
      </c>
      <c r="D565" s="113"/>
      <c r="E565" s="113"/>
      <c r="F565" s="113"/>
      <c r="G565" s="113"/>
      <c r="H565" s="128"/>
      <c r="I565" s="113"/>
      <c r="J565" s="113"/>
    </row>
    <row r="566" spans="1:10" ht="15.75" x14ac:dyDescent="0.25">
      <c r="A566" s="104"/>
      <c r="B566" s="104"/>
      <c r="C566" s="92" t="str">
        <f t="shared" si="8"/>
        <v/>
      </c>
      <c r="D566" s="113"/>
      <c r="E566" s="113"/>
      <c r="F566" s="113"/>
      <c r="G566" s="113"/>
      <c r="H566" s="128"/>
      <c r="I566" s="113"/>
      <c r="J566" s="113"/>
    </row>
    <row r="567" spans="1:10" ht="15.75" x14ac:dyDescent="0.25">
      <c r="A567" s="104"/>
      <c r="B567" s="104"/>
      <c r="C567" s="92" t="str">
        <f t="shared" si="8"/>
        <v/>
      </c>
      <c r="D567" s="113"/>
      <c r="E567" s="113"/>
      <c r="F567" s="113"/>
      <c r="G567" s="113"/>
      <c r="H567" s="128"/>
      <c r="I567" s="113"/>
      <c r="J567" s="113"/>
    </row>
    <row r="568" spans="1:10" ht="15.75" x14ac:dyDescent="0.25">
      <c r="A568" s="104"/>
      <c r="B568" s="104"/>
      <c r="C568" s="92" t="str">
        <f t="shared" si="8"/>
        <v/>
      </c>
      <c r="D568" s="113"/>
      <c r="E568" s="113"/>
      <c r="F568" s="113"/>
      <c r="G568" s="113"/>
      <c r="H568" s="128"/>
      <c r="I568" s="113"/>
      <c r="J568" s="113"/>
    </row>
    <row r="569" spans="1:10" ht="15.75" x14ac:dyDescent="0.25">
      <c r="A569" s="104"/>
      <c r="B569" s="104"/>
      <c r="C569" s="92" t="str">
        <f t="shared" si="8"/>
        <v/>
      </c>
      <c r="D569" s="113"/>
      <c r="E569" s="113"/>
      <c r="F569" s="113"/>
      <c r="G569" s="113"/>
      <c r="H569" s="128"/>
      <c r="I569" s="113"/>
      <c r="J569" s="113"/>
    </row>
    <row r="570" spans="1:10" ht="15.75" x14ac:dyDescent="0.25">
      <c r="A570" s="104"/>
      <c r="B570" s="104"/>
      <c r="C570" s="92" t="str">
        <f t="shared" si="8"/>
        <v/>
      </c>
      <c r="D570" s="113"/>
      <c r="E570" s="113"/>
      <c r="F570" s="113"/>
      <c r="G570" s="113"/>
      <c r="H570" s="128"/>
      <c r="I570" s="113"/>
      <c r="J570" s="113"/>
    </row>
    <row r="571" spans="1:10" ht="15.75" x14ac:dyDescent="0.25">
      <c r="A571" s="104"/>
      <c r="B571" s="104"/>
      <c r="C571" s="92" t="str">
        <f t="shared" si="8"/>
        <v/>
      </c>
      <c r="D571" s="113"/>
      <c r="E571" s="113"/>
      <c r="F571" s="113"/>
      <c r="G571" s="113"/>
      <c r="H571" s="128"/>
      <c r="I571" s="113"/>
      <c r="J571" s="113"/>
    </row>
    <row r="572" spans="1:10" ht="15.75" x14ac:dyDescent="0.25">
      <c r="A572" s="104"/>
      <c r="B572" s="104"/>
      <c r="C572" s="92" t="str">
        <f t="shared" si="8"/>
        <v/>
      </c>
      <c r="D572" s="113"/>
      <c r="E572" s="113"/>
      <c r="F572" s="113"/>
      <c r="G572" s="113"/>
      <c r="H572" s="128"/>
      <c r="I572" s="113"/>
      <c r="J572" s="113"/>
    </row>
    <row r="573" spans="1:10" ht="15.75" x14ac:dyDescent="0.25">
      <c r="A573" s="104"/>
      <c r="B573" s="104"/>
      <c r="C573" s="92" t="str">
        <f t="shared" si="8"/>
        <v/>
      </c>
      <c r="D573" s="113"/>
      <c r="E573" s="113"/>
      <c r="F573" s="113"/>
      <c r="G573" s="113"/>
      <c r="H573" s="128"/>
      <c r="I573" s="113"/>
      <c r="J573" s="113"/>
    </row>
    <row r="574" spans="1:10" ht="15.75" x14ac:dyDescent="0.25">
      <c r="A574" s="104"/>
      <c r="B574" s="104"/>
      <c r="C574" s="92" t="str">
        <f t="shared" si="8"/>
        <v/>
      </c>
      <c r="D574" s="113"/>
      <c r="E574" s="113"/>
      <c r="F574" s="113"/>
      <c r="G574" s="113"/>
      <c r="H574" s="128"/>
      <c r="I574" s="113"/>
      <c r="J574" s="113"/>
    </row>
    <row r="575" spans="1:10" ht="15.75" x14ac:dyDescent="0.25">
      <c r="A575" s="104"/>
      <c r="B575" s="104"/>
      <c r="C575" s="92" t="str">
        <f t="shared" si="8"/>
        <v/>
      </c>
      <c r="D575" s="113"/>
      <c r="E575" s="113"/>
      <c r="F575" s="113"/>
      <c r="G575" s="113"/>
      <c r="H575" s="128"/>
      <c r="I575" s="113"/>
      <c r="J575" s="113"/>
    </row>
    <row r="576" spans="1:10" ht="15.75" x14ac:dyDescent="0.25">
      <c r="A576" s="104"/>
      <c r="B576" s="104"/>
      <c r="C576" s="92" t="str">
        <f t="shared" si="8"/>
        <v/>
      </c>
      <c r="D576" s="113"/>
      <c r="E576" s="113"/>
      <c r="F576" s="113"/>
      <c r="G576" s="113"/>
      <c r="H576" s="128"/>
      <c r="I576" s="113"/>
      <c r="J576" s="113"/>
    </row>
    <row r="577" spans="1:10" ht="15.75" x14ac:dyDescent="0.25">
      <c r="A577" s="104"/>
      <c r="B577" s="104"/>
      <c r="C577" s="92" t="str">
        <f t="shared" si="8"/>
        <v/>
      </c>
      <c r="D577" s="113"/>
      <c r="E577" s="113"/>
      <c r="F577" s="113"/>
      <c r="G577" s="113"/>
      <c r="H577" s="128"/>
      <c r="I577" s="113"/>
      <c r="J577" s="113"/>
    </row>
    <row r="578" spans="1:10" ht="15.75" x14ac:dyDescent="0.25">
      <c r="A578" s="104"/>
      <c r="B578" s="104"/>
      <c r="C578" s="92" t="str">
        <f t="shared" si="8"/>
        <v/>
      </c>
      <c r="D578" s="113"/>
      <c r="E578" s="113"/>
      <c r="F578" s="113"/>
      <c r="G578" s="113"/>
      <c r="H578" s="128"/>
      <c r="I578" s="113"/>
      <c r="J578" s="113"/>
    </row>
    <row r="579" spans="1:10" ht="15.75" x14ac:dyDescent="0.25">
      <c r="A579" s="104"/>
      <c r="B579" s="104"/>
      <c r="C579" s="92" t="str">
        <f t="shared" si="8"/>
        <v/>
      </c>
      <c r="D579" s="113"/>
      <c r="E579" s="113"/>
      <c r="F579" s="113"/>
      <c r="G579" s="113"/>
      <c r="H579" s="128"/>
      <c r="I579" s="113"/>
      <c r="J579" s="113"/>
    </row>
    <row r="580" spans="1:10" ht="15.75" x14ac:dyDescent="0.25">
      <c r="A580" s="104"/>
      <c r="B580" s="104"/>
      <c r="C580" s="92" t="str">
        <f t="shared" si="8"/>
        <v/>
      </c>
      <c r="D580" s="113"/>
      <c r="E580" s="113"/>
      <c r="F580" s="113"/>
      <c r="G580" s="113"/>
      <c r="H580" s="128"/>
      <c r="I580" s="113"/>
      <c r="J580" s="113"/>
    </row>
    <row r="581" spans="1:10" ht="15.75" x14ac:dyDescent="0.25">
      <c r="A581" s="104"/>
      <c r="B581" s="104"/>
      <c r="C581" s="92" t="str">
        <f t="shared" si="8"/>
        <v/>
      </c>
      <c r="D581" s="113"/>
      <c r="E581" s="113"/>
      <c r="F581" s="113"/>
      <c r="G581" s="113"/>
      <c r="H581" s="128"/>
      <c r="I581" s="113"/>
      <c r="J581" s="113"/>
    </row>
    <row r="582" spans="1:10" ht="15.75" x14ac:dyDescent="0.25">
      <c r="A582" s="104"/>
      <c r="B582" s="104"/>
      <c r="C582" s="92" t="str">
        <f t="shared" si="8"/>
        <v/>
      </c>
      <c r="D582" s="113"/>
      <c r="E582" s="113"/>
      <c r="F582" s="113"/>
      <c r="G582" s="113"/>
      <c r="H582" s="128"/>
      <c r="I582" s="113"/>
      <c r="J582" s="113"/>
    </row>
    <row r="583" spans="1:10" ht="15.75" x14ac:dyDescent="0.25">
      <c r="A583" s="104"/>
      <c r="B583" s="104"/>
      <c r="C583" s="92" t="str">
        <f t="shared" si="8"/>
        <v/>
      </c>
      <c r="D583" s="113"/>
      <c r="E583" s="113"/>
      <c r="F583" s="113"/>
      <c r="G583" s="113"/>
      <c r="H583" s="128"/>
      <c r="I583" s="113"/>
      <c r="J583" s="113"/>
    </row>
    <row r="584" spans="1:10" ht="15.75" x14ac:dyDescent="0.25">
      <c r="A584" s="104"/>
      <c r="B584" s="104"/>
      <c r="C584" s="92" t="str">
        <f t="shared" si="8"/>
        <v/>
      </c>
      <c r="D584" s="113"/>
      <c r="E584" s="113"/>
      <c r="F584" s="113"/>
      <c r="G584" s="113"/>
      <c r="H584" s="128"/>
      <c r="I584" s="113"/>
      <c r="J584" s="113"/>
    </row>
    <row r="585" spans="1:10" ht="15.75" x14ac:dyDescent="0.25">
      <c r="A585" s="104"/>
      <c r="B585" s="104"/>
      <c r="C585" s="92" t="str">
        <f t="shared" si="8"/>
        <v/>
      </c>
      <c r="D585" s="113"/>
      <c r="E585" s="113"/>
      <c r="F585" s="113"/>
      <c r="G585" s="113"/>
      <c r="H585" s="128"/>
      <c r="I585" s="113"/>
      <c r="J585" s="113"/>
    </row>
    <row r="586" spans="1:10" ht="15.75" x14ac:dyDescent="0.25">
      <c r="A586" s="104"/>
      <c r="B586" s="104"/>
      <c r="C586" s="92" t="str">
        <f t="shared" si="8"/>
        <v/>
      </c>
      <c r="D586" s="113"/>
      <c r="E586" s="113"/>
      <c r="F586" s="113"/>
      <c r="G586" s="113"/>
      <c r="H586" s="128"/>
      <c r="I586" s="113"/>
      <c r="J586" s="113"/>
    </row>
    <row r="587" spans="1:10" ht="15.75" x14ac:dyDescent="0.25">
      <c r="A587" s="104"/>
      <c r="B587" s="104"/>
      <c r="C587" s="92" t="str">
        <f t="shared" si="8"/>
        <v/>
      </c>
      <c r="D587" s="113"/>
      <c r="E587" s="113"/>
      <c r="F587" s="113"/>
      <c r="G587" s="113"/>
      <c r="H587" s="128"/>
      <c r="I587" s="113"/>
      <c r="J587" s="113"/>
    </row>
    <row r="588" spans="1:10" ht="15.75" x14ac:dyDescent="0.25">
      <c r="A588" s="104"/>
      <c r="B588" s="104"/>
      <c r="C588" s="92" t="str">
        <f t="shared" si="8"/>
        <v/>
      </c>
      <c r="D588" s="113"/>
      <c r="E588" s="113"/>
      <c r="F588" s="113"/>
      <c r="G588" s="113"/>
      <c r="H588" s="128"/>
      <c r="I588" s="113"/>
      <c r="J588" s="113"/>
    </row>
    <row r="589" spans="1:10" ht="15.75" x14ac:dyDescent="0.25">
      <c r="A589" s="104"/>
      <c r="B589" s="104"/>
      <c r="C589" s="92" t="str">
        <f t="shared" si="8"/>
        <v/>
      </c>
      <c r="D589" s="113"/>
      <c r="E589" s="113"/>
      <c r="F589" s="113"/>
      <c r="G589" s="113"/>
      <c r="H589" s="128"/>
      <c r="I589" s="113"/>
      <c r="J589" s="113"/>
    </row>
    <row r="590" spans="1:10" ht="15.75" x14ac:dyDescent="0.25">
      <c r="A590" s="104"/>
      <c r="B590" s="104"/>
      <c r="C590" s="92" t="str">
        <f t="shared" si="8"/>
        <v/>
      </c>
      <c r="D590" s="113"/>
      <c r="E590" s="113"/>
      <c r="F590" s="113"/>
      <c r="G590" s="113"/>
      <c r="H590" s="128"/>
      <c r="I590" s="113"/>
      <c r="J590" s="113"/>
    </row>
    <row r="591" spans="1:10" ht="15.75" x14ac:dyDescent="0.25">
      <c r="A591" s="104"/>
      <c r="B591" s="104"/>
      <c r="C591" s="92" t="str">
        <f t="shared" si="8"/>
        <v/>
      </c>
      <c r="D591" s="113"/>
      <c r="E591" s="113"/>
      <c r="F591" s="113"/>
      <c r="G591" s="113"/>
      <c r="H591" s="128"/>
      <c r="I591" s="113"/>
      <c r="J591" s="113"/>
    </row>
    <row r="592" spans="1:10" ht="15.75" x14ac:dyDescent="0.25">
      <c r="A592" s="104"/>
      <c r="B592" s="104"/>
      <c r="C592" s="92" t="str">
        <f t="shared" si="8"/>
        <v/>
      </c>
      <c r="D592" s="113"/>
      <c r="E592" s="113"/>
      <c r="F592" s="113"/>
      <c r="G592" s="113"/>
      <c r="H592" s="128"/>
      <c r="I592" s="113"/>
      <c r="J592" s="113"/>
    </row>
    <row r="593" spans="1:10" ht="15.75" x14ac:dyDescent="0.25">
      <c r="A593" s="104"/>
      <c r="B593" s="104"/>
      <c r="C593" s="92" t="str">
        <f t="shared" si="8"/>
        <v/>
      </c>
      <c r="D593" s="113"/>
      <c r="E593" s="113"/>
      <c r="F593" s="113"/>
      <c r="G593" s="113"/>
      <c r="H593" s="128"/>
      <c r="I593" s="113"/>
      <c r="J593" s="113"/>
    </row>
    <row r="594" spans="1:10" ht="15.75" x14ac:dyDescent="0.25">
      <c r="A594" s="104"/>
      <c r="B594" s="104"/>
      <c r="C594" s="92" t="str">
        <f t="shared" si="8"/>
        <v/>
      </c>
      <c r="D594" s="113"/>
      <c r="E594" s="113"/>
      <c r="F594" s="113"/>
      <c r="G594" s="113"/>
      <c r="H594" s="128"/>
      <c r="I594" s="113"/>
      <c r="J594" s="113"/>
    </row>
    <row r="595" spans="1:10" ht="15.75" x14ac:dyDescent="0.25">
      <c r="A595" s="104"/>
      <c r="B595" s="104"/>
      <c r="C595" s="92" t="str">
        <f t="shared" si="8"/>
        <v/>
      </c>
      <c r="D595" s="113"/>
      <c r="E595" s="113"/>
      <c r="F595" s="113"/>
      <c r="G595" s="113"/>
      <c r="H595" s="128"/>
      <c r="I595" s="113"/>
      <c r="J595" s="113"/>
    </row>
    <row r="596" spans="1:10" ht="15.75" x14ac:dyDescent="0.25">
      <c r="A596" s="104"/>
      <c r="B596" s="104"/>
      <c r="C596" s="92" t="str">
        <f t="shared" ref="C596:C659" si="9">IF(A596=0,"","Steel02")</f>
        <v/>
      </c>
      <c r="D596" s="113"/>
      <c r="E596" s="113"/>
      <c r="F596" s="113"/>
      <c r="G596" s="113"/>
      <c r="H596" s="128"/>
      <c r="I596" s="113"/>
      <c r="J596" s="113"/>
    </row>
    <row r="597" spans="1:10" ht="15.75" x14ac:dyDescent="0.25">
      <c r="A597" s="104"/>
      <c r="B597" s="104"/>
      <c r="C597" s="92" t="str">
        <f t="shared" si="9"/>
        <v/>
      </c>
      <c r="D597" s="113"/>
      <c r="E597" s="113"/>
      <c r="F597" s="113"/>
      <c r="G597" s="113"/>
      <c r="H597" s="128"/>
      <c r="I597" s="113"/>
      <c r="J597" s="113"/>
    </row>
    <row r="598" spans="1:10" ht="15.75" x14ac:dyDescent="0.25">
      <c r="A598" s="104"/>
      <c r="B598" s="104"/>
      <c r="C598" s="92" t="str">
        <f t="shared" si="9"/>
        <v/>
      </c>
      <c r="D598" s="113"/>
      <c r="E598" s="113"/>
      <c r="F598" s="113"/>
      <c r="G598" s="113"/>
      <c r="H598" s="128"/>
      <c r="I598" s="113"/>
      <c r="J598" s="113"/>
    </row>
    <row r="599" spans="1:10" ht="15.75" x14ac:dyDescent="0.25">
      <c r="A599" s="104"/>
      <c r="B599" s="104"/>
      <c r="C599" s="92" t="str">
        <f t="shared" si="9"/>
        <v/>
      </c>
      <c r="D599" s="113"/>
      <c r="E599" s="113"/>
      <c r="F599" s="113"/>
      <c r="G599" s="113"/>
      <c r="H599" s="128"/>
      <c r="I599" s="113"/>
      <c r="J599" s="113"/>
    </row>
    <row r="600" spans="1:10" ht="15.75" x14ac:dyDescent="0.25">
      <c r="A600" s="104"/>
      <c r="B600" s="104"/>
      <c r="C600" s="92" t="str">
        <f t="shared" si="9"/>
        <v/>
      </c>
      <c r="D600" s="113"/>
      <c r="E600" s="113"/>
      <c r="F600" s="113"/>
      <c r="G600" s="113"/>
      <c r="H600" s="128"/>
      <c r="I600" s="113"/>
      <c r="J600" s="113"/>
    </row>
    <row r="601" spans="1:10" ht="15.75" x14ac:dyDescent="0.25">
      <c r="A601" s="104"/>
      <c r="B601" s="104"/>
      <c r="C601" s="92" t="str">
        <f t="shared" si="9"/>
        <v/>
      </c>
      <c r="D601" s="113"/>
      <c r="E601" s="113"/>
      <c r="F601" s="113"/>
      <c r="G601" s="113"/>
      <c r="H601" s="128"/>
      <c r="I601" s="113"/>
      <c r="J601" s="113"/>
    </row>
    <row r="602" spans="1:10" ht="15.75" x14ac:dyDescent="0.25">
      <c r="A602" s="104"/>
      <c r="B602" s="104"/>
      <c r="C602" s="92" t="str">
        <f t="shared" si="9"/>
        <v/>
      </c>
      <c r="D602" s="113"/>
      <c r="E602" s="113"/>
      <c r="F602" s="113"/>
      <c r="G602" s="113"/>
      <c r="H602" s="128"/>
      <c r="I602" s="113"/>
      <c r="J602" s="113"/>
    </row>
    <row r="603" spans="1:10" ht="15.75" x14ac:dyDescent="0.25">
      <c r="A603" s="104"/>
      <c r="B603" s="104"/>
      <c r="C603" s="92" t="str">
        <f t="shared" si="9"/>
        <v/>
      </c>
      <c r="D603" s="113"/>
      <c r="E603" s="113"/>
      <c r="F603" s="113"/>
      <c r="G603" s="113"/>
      <c r="H603" s="128"/>
      <c r="I603" s="113"/>
      <c r="J603" s="113"/>
    </row>
    <row r="604" spans="1:10" ht="15.75" x14ac:dyDescent="0.25">
      <c r="A604" s="104"/>
      <c r="B604" s="104"/>
      <c r="C604" s="92" t="str">
        <f t="shared" si="9"/>
        <v/>
      </c>
      <c r="D604" s="113"/>
      <c r="E604" s="113"/>
      <c r="F604" s="113"/>
      <c r="G604" s="113"/>
      <c r="H604" s="128"/>
      <c r="I604" s="113"/>
      <c r="J604" s="113"/>
    </row>
    <row r="605" spans="1:10" ht="15.75" x14ac:dyDescent="0.25">
      <c r="A605" s="104"/>
      <c r="B605" s="104"/>
      <c r="C605" s="92" t="str">
        <f t="shared" si="9"/>
        <v/>
      </c>
      <c r="D605" s="113"/>
      <c r="E605" s="113"/>
      <c r="F605" s="113"/>
      <c r="G605" s="113"/>
      <c r="H605" s="128"/>
      <c r="I605" s="113"/>
      <c r="J605" s="113"/>
    </row>
    <row r="606" spans="1:10" ht="15.75" x14ac:dyDescent="0.25">
      <c r="A606" s="104"/>
      <c r="B606" s="104"/>
      <c r="C606" s="92" t="str">
        <f t="shared" si="9"/>
        <v/>
      </c>
      <c r="D606" s="113"/>
      <c r="E606" s="113"/>
      <c r="F606" s="113"/>
      <c r="G606" s="113"/>
      <c r="H606" s="128"/>
      <c r="I606" s="113"/>
      <c r="J606" s="113"/>
    </row>
    <row r="607" spans="1:10" ht="15.75" x14ac:dyDescent="0.25">
      <c r="A607" s="104"/>
      <c r="B607" s="104"/>
      <c r="C607" s="92" t="str">
        <f t="shared" si="9"/>
        <v/>
      </c>
      <c r="D607" s="113"/>
      <c r="E607" s="113"/>
      <c r="F607" s="113"/>
      <c r="G607" s="113"/>
      <c r="H607" s="128"/>
      <c r="I607" s="113"/>
      <c r="J607" s="113"/>
    </row>
    <row r="608" spans="1:10" ht="15.75" x14ac:dyDescent="0.25">
      <c r="A608" s="104"/>
      <c r="B608" s="104"/>
      <c r="C608" s="92" t="str">
        <f t="shared" si="9"/>
        <v/>
      </c>
      <c r="D608" s="113"/>
      <c r="E608" s="113"/>
      <c r="F608" s="113"/>
      <c r="G608" s="113"/>
      <c r="H608" s="128"/>
      <c r="I608" s="113"/>
      <c r="J608" s="113"/>
    </row>
    <row r="609" spans="1:10" ht="15.75" x14ac:dyDescent="0.25">
      <c r="A609" s="104"/>
      <c r="B609" s="104"/>
      <c r="C609" s="92" t="str">
        <f t="shared" si="9"/>
        <v/>
      </c>
      <c r="D609" s="113"/>
      <c r="E609" s="113"/>
      <c r="F609" s="113"/>
      <c r="G609" s="113"/>
      <c r="H609" s="128"/>
      <c r="I609" s="113"/>
      <c r="J609" s="113"/>
    </row>
    <row r="610" spans="1:10" ht="15.75" x14ac:dyDescent="0.25">
      <c r="A610" s="104"/>
      <c r="B610" s="104"/>
      <c r="C610" s="92" t="str">
        <f t="shared" si="9"/>
        <v/>
      </c>
      <c r="D610" s="113"/>
      <c r="E610" s="113"/>
      <c r="F610" s="113"/>
      <c r="G610" s="113"/>
      <c r="H610" s="128"/>
      <c r="I610" s="113"/>
      <c r="J610" s="113"/>
    </row>
    <row r="611" spans="1:10" ht="15.75" x14ac:dyDescent="0.25">
      <c r="A611" s="104"/>
      <c r="B611" s="104"/>
      <c r="C611" s="92" t="str">
        <f t="shared" si="9"/>
        <v/>
      </c>
      <c r="D611" s="113"/>
      <c r="E611" s="113"/>
      <c r="F611" s="113"/>
      <c r="G611" s="113"/>
      <c r="H611" s="128"/>
      <c r="I611" s="113"/>
      <c r="J611" s="113"/>
    </row>
    <row r="612" spans="1:10" ht="15.75" x14ac:dyDescent="0.25">
      <c r="A612" s="104"/>
      <c r="B612" s="104"/>
      <c r="C612" s="92" t="str">
        <f t="shared" si="9"/>
        <v/>
      </c>
      <c r="D612" s="113"/>
      <c r="E612" s="113"/>
      <c r="F612" s="113"/>
      <c r="G612" s="113"/>
      <c r="H612" s="128"/>
      <c r="I612" s="113"/>
      <c r="J612" s="113"/>
    </row>
    <row r="613" spans="1:10" ht="15.75" x14ac:dyDescent="0.25">
      <c r="A613" s="104"/>
      <c r="B613" s="104"/>
      <c r="C613" s="92" t="str">
        <f t="shared" si="9"/>
        <v/>
      </c>
      <c r="D613" s="113"/>
      <c r="E613" s="113"/>
      <c r="F613" s="113"/>
      <c r="G613" s="113"/>
      <c r="H613" s="128"/>
      <c r="I613" s="113"/>
      <c r="J613" s="113"/>
    </row>
    <row r="614" spans="1:10" ht="15.75" x14ac:dyDescent="0.25">
      <c r="A614" s="104"/>
      <c r="B614" s="104"/>
      <c r="C614" s="92" t="str">
        <f t="shared" si="9"/>
        <v/>
      </c>
      <c r="D614" s="113"/>
      <c r="E614" s="113"/>
      <c r="F614" s="113"/>
      <c r="G614" s="113"/>
      <c r="H614" s="128"/>
      <c r="I614" s="113"/>
      <c r="J614" s="113"/>
    </row>
    <row r="615" spans="1:10" ht="15.75" x14ac:dyDescent="0.25">
      <c r="A615" s="104"/>
      <c r="B615" s="104"/>
      <c r="C615" s="92" t="str">
        <f t="shared" si="9"/>
        <v/>
      </c>
      <c r="D615" s="113"/>
      <c r="E615" s="113"/>
      <c r="F615" s="113"/>
      <c r="G615" s="113"/>
      <c r="H615" s="128"/>
      <c r="I615" s="113"/>
      <c r="J615" s="113"/>
    </row>
    <row r="616" spans="1:10" ht="15.75" x14ac:dyDescent="0.25">
      <c r="A616" s="104"/>
      <c r="B616" s="104"/>
      <c r="C616" s="92" t="str">
        <f t="shared" si="9"/>
        <v/>
      </c>
      <c r="D616" s="113"/>
      <c r="E616" s="113"/>
      <c r="F616" s="113"/>
      <c r="G616" s="113"/>
      <c r="H616" s="128"/>
      <c r="I616" s="113"/>
      <c r="J616" s="113"/>
    </row>
    <row r="617" spans="1:10" ht="15.75" x14ac:dyDescent="0.25">
      <c r="A617" s="104"/>
      <c r="B617" s="104"/>
      <c r="C617" s="92" t="str">
        <f t="shared" si="9"/>
        <v/>
      </c>
      <c r="D617" s="113"/>
      <c r="E617" s="113"/>
      <c r="F617" s="113"/>
      <c r="G617" s="113"/>
      <c r="H617" s="128"/>
      <c r="I617" s="113"/>
      <c r="J617" s="113"/>
    </row>
    <row r="618" spans="1:10" ht="15.75" x14ac:dyDescent="0.25">
      <c r="A618" s="104"/>
      <c r="B618" s="104"/>
      <c r="C618" s="92" t="str">
        <f t="shared" si="9"/>
        <v/>
      </c>
      <c r="D618" s="113"/>
      <c r="E618" s="113"/>
      <c r="F618" s="113"/>
      <c r="G618" s="113"/>
      <c r="H618" s="128"/>
      <c r="I618" s="113"/>
      <c r="J618" s="113"/>
    </row>
    <row r="619" spans="1:10" ht="15.75" x14ac:dyDescent="0.25">
      <c r="A619" s="104"/>
      <c r="B619" s="104"/>
      <c r="C619" s="92" t="str">
        <f t="shared" si="9"/>
        <v/>
      </c>
      <c r="D619" s="113"/>
      <c r="E619" s="113"/>
      <c r="F619" s="113"/>
      <c r="G619" s="113"/>
      <c r="H619" s="128"/>
      <c r="I619" s="113"/>
      <c r="J619" s="113"/>
    </row>
    <row r="620" spans="1:10" ht="15.75" x14ac:dyDescent="0.25">
      <c r="A620" s="104"/>
      <c r="B620" s="104"/>
      <c r="C620" s="92" t="str">
        <f t="shared" si="9"/>
        <v/>
      </c>
      <c r="D620" s="113"/>
      <c r="E620" s="113"/>
      <c r="F620" s="113"/>
      <c r="G620" s="113"/>
      <c r="H620" s="128"/>
      <c r="I620" s="113"/>
      <c r="J620" s="113"/>
    </row>
    <row r="621" spans="1:10" ht="15.75" x14ac:dyDescent="0.25">
      <c r="A621" s="104"/>
      <c r="B621" s="104"/>
      <c r="C621" s="92" t="str">
        <f t="shared" si="9"/>
        <v/>
      </c>
      <c r="D621" s="113"/>
      <c r="E621" s="113"/>
      <c r="F621" s="113"/>
      <c r="G621" s="113"/>
      <c r="H621" s="128"/>
      <c r="I621" s="113"/>
      <c r="J621" s="113"/>
    </row>
    <row r="622" spans="1:10" ht="15.75" x14ac:dyDescent="0.25">
      <c r="A622" s="104"/>
      <c r="B622" s="104"/>
      <c r="C622" s="92" t="str">
        <f t="shared" si="9"/>
        <v/>
      </c>
      <c r="D622" s="113"/>
      <c r="E622" s="113"/>
      <c r="F622" s="113"/>
      <c r="G622" s="113"/>
      <c r="H622" s="128"/>
      <c r="I622" s="113"/>
      <c r="J622" s="113"/>
    </row>
    <row r="623" spans="1:10" ht="15.75" x14ac:dyDescent="0.25">
      <c r="A623" s="104"/>
      <c r="B623" s="104"/>
      <c r="C623" s="92" t="str">
        <f t="shared" si="9"/>
        <v/>
      </c>
      <c r="D623" s="113"/>
      <c r="E623" s="113"/>
      <c r="F623" s="113"/>
      <c r="G623" s="113"/>
      <c r="H623" s="128"/>
      <c r="I623" s="113"/>
      <c r="J623" s="113"/>
    </row>
    <row r="624" spans="1:10" ht="15.75" x14ac:dyDescent="0.25">
      <c r="A624" s="104"/>
      <c r="B624" s="104"/>
      <c r="C624" s="92" t="str">
        <f t="shared" si="9"/>
        <v/>
      </c>
      <c r="D624" s="113"/>
      <c r="E624" s="113"/>
      <c r="F624" s="113"/>
      <c r="G624" s="113"/>
      <c r="H624" s="128"/>
      <c r="I624" s="113"/>
      <c r="J624" s="113"/>
    </row>
    <row r="625" spans="1:10" ht="15.75" x14ac:dyDescent="0.25">
      <c r="A625" s="104"/>
      <c r="B625" s="104"/>
      <c r="C625" s="92" t="str">
        <f t="shared" si="9"/>
        <v/>
      </c>
      <c r="D625" s="113"/>
      <c r="E625" s="113"/>
      <c r="F625" s="113"/>
      <c r="G625" s="113"/>
      <c r="H625" s="128"/>
      <c r="I625" s="113"/>
      <c r="J625" s="113"/>
    </row>
    <row r="626" spans="1:10" ht="15.75" x14ac:dyDescent="0.25">
      <c r="A626" s="104"/>
      <c r="B626" s="104"/>
      <c r="C626" s="92" t="str">
        <f t="shared" si="9"/>
        <v/>
      </c>
      <c r="D626" s="113"/>
      <c r="E626" s="113"/>
      <c r="F626" s="113"/>
      <c r="G626" s="113"/>
      <c r="H626" s="128"/>
      <c r="I626" s="113"/>
      <c r="J626" s="113"/>
    </row>
    <row r="627" spans="1:10" ht="15.75" x14ac:dyDescent="0.25">
      <c r="A627" s="104"/>
      <c r="B627" s="104"/>
      <c r="C627" s="92" t="str">
        <f t="shared" si="9"/>
        <v/>
      </c>
      <c r="D627" s="113"/>
      <c r="E627" s="113"/>
      <c r="F627" s="113"/>
      <c r="G627" s="113"/>
      <c r="H627" s="128"/>
      <c r="I627" s="113"/>
      <c r="J627" s="113"/>
    </row>
    <row r="628" spans="1:10" ht="15.75" x14ac:dyDescent="0.25">
      <c r="A628" s="104"/>
      <c r="B628" s="104"/>
      <c r="C628" s="92" t="str">
        <f t="shared" si="9"/>
        <v/>
      </c>
      <c r="D628" s="113"/>
      <c r="E628" s="113"/>
      <c r="F628" s="113"/>
      <c r="G628" s="113"/>
      <c r="H628" s="128"/>
      <c r="I628" s="113"/>
      <c r="J628" s="113"/>
    </row>
    <row r="629" spans="1:10" ht="15.75" x14ac:dyDescent="0.25">
      <c r="A629" s="104"/>
      <c r="B629" s="104"/>
      <c r="C629" s="92" t="str">
        <f t="shared" si="9"/>
        <v/>
      </c>
      <c r="D629" s="113"/>
      <c r="E629" s="113"/>
      <c r="F629" s="113"/>
      <c r="G629" s="113"/>
      <c r="H629" s="128"/>
      <c r="I629" s="113"/>
      <c r="J629" s="113"/>
    </row>
    <row r="630" spans="1:10" ht="15.75" x14ac:dyDescent="0.25">
      <c r="A630" s="104"/>
      <c r="B630" s="104"/>
      <c r="C630" s="92" t="str">
        <f t="shared" si="9"/>
        <v/>
      </c>
      <c r="D630" s="113"/>
      <c r="E630" s="113"/>
      <c r="F630" s="113"/>
      <c r="G630" s="113"/>
      <c r="H630" s="128"/>
      <c r="I630" s="113"/>
      <c r="J630" s="113"/>
    </row>
    <row r="631" spans="1:10" ht="15.75" x14ac:dyDescent="0.25">
      <c r="A631" s="104"/>
      <c r="B631" s="104"/>
      <c r="C631" s="92" t="str">
        <f t="shared" si="9"/>
        <v/>
      </c>
      <c r="D631" s="113"/>
      <c r="E631" s="113"/>
      <c r="F631" s="113"/>
      <c r="G631" s="113"/>
      <c r="H631" s="128"/>
      <c r="I631" s="113"/>
      <c r="J631" s="113"/>
    </row>
    <row r="632" spans="1:10" ht="15.75" x14ac:dyDescent="0.25">
      <c r="A632" s="104"/>
      <c r="B632" s="104"/>
      <c r="C632" s="92" t="str">
        <f t="shared" si="9"/>
        <v/>
      </c>
      <c r="D632" s="113"/>
      <c r="E632" s="113"/>
      <c r="F632" s="113"/>
      <c r="G632" s="113"/>
      <c r="H632" s="128"/>
      <c r="I632" s="113"/>
      <c r="J632" s="113"/>
    </row>
    <row r="633" spans="1:10" ht="15.75" x14ac:dyDescent="0.25">
      <c r="A633" s="104"/>
      <c r="B633" s="104"/>
      <c r="C633" s="92" t="str">
        <f t="shared" si="9"/>
        <v/>
      </c>
      <c r="D633" s="113"/>
      <c r="E633" s="113"/>
      <c r="F633" s="113"/>
      <c r="G633" s="113"/>
      <c r="H633" s="128"/>
      <c r="I633" s="113"/>
      <c r="J633" s="113"/>
    </row>
    <row r="634" spans="1:10" ht="15.75" x14ac:dyDescent="0.25">
      <c r="A634" s="104"/>
      <c r="B634" s="104"/>
      <c r="C634" s="92" t="str">
        <f t="shared" si="9"/>
        <v/>
      </c>
      <c r="D634" s="113"/>
      <c r="E634" s="113"/>
      <c r="F634" s="113"/>
      <c r="G634" s="113"/>
      <c r="H634" s="128"/>
      <c r="I634" s="113"/>
      <c r="J634" s="113"/>
    </row>
    <row r="635" spans="1:10" ht="15.75" x14ac:dyDescent="0.25">
      <c r="A635" s="104"/>
      <c r="B635" s="104"/>
      <c r="C635" s="92" t="str">
        <f t="shared" si="9"/>
        <v/>
      </c>
      <c r="D635" s="113"/>
      <c r="E635" s="113"/>
      <c r="F635" s="113"/>
      <c r="G635" s="113"/>
      <c r="H635" s="128"/>
      <c r="I635" s="113"/>
      <c r="J635" s="113"/>
    </row>
    <row r="636" spans="1:10" ht="15.75" x14ac:dyDescent="0.25">
      <c r="A636" s="104"/>
      <c r="B636" s="104"/>
      <c r="C636" s="92" t="str">
        <f t="shared" si="9"/>
        <v/>
      </c>
      <c r="D636" s="113"/>
      <c r="E636" s="113"/>
      <c r="F636" s="113"/>
      <c r="G636" s="113"/>
      <c r="H636" s="128"/>
      <c r="I636" s="113"/>
      <c r="J636" s="113"/>
    </row>
    <row r="637" spans="1:10" ht="15.75" x14ac:dyDescent="0.25">
      <c r="A637" s="104"/>
      <c r="B637" s="104"/>
      <c r="C637" s="92" t="str">
        <f t="shared" si="9"/>
        <v/>
      </c>
      <c r="D637" s="113"/>
      <c r="E637" s="113"/>
      <c r="F637" s="113"/>
      <c r="G637" s="113"/>
      <c r="H637" s="128"/>
      <c r="I637" s="113"/>
      <c r="J637" s="113"/>
    </row>
    <row r="638" spans="1:10" ht="15.75" x14ac:dyDescent="0.25">
      <c r="A638" s="104"/>
      <c r="B638" s="104"/>
      <c r="C638" s="92" t="str">
        <f t="shared" si="9"/>
        <v/>
      </c>
      <c r="D638" s="113"/>
      <c r="E638" s="113"/>
      <c r="F638" s="113"/>
      <c r="G638" s="113"/>
      <c r="H638" s="128"/>
      <c r="I638" s="113"/>
      <c r="J638" s="113"/>
    </row>
    <row r="639" spans="1:10" ht="15.75" x14ac:dyDescent="0.25">
      <c r="A639" s="104"/>
      <c r="B639" s="104"/>
      <c r="C639" s="92" t="str">
        <f t="shared" si="9"/>
        <v/>
      </c>
      <c r="D639" s="113"/>
      <c r="E639" s="113"/>
      <c r="F639" s="113"/>
      <c r="G639" s="113"/>
      <c r="H639" s="128"/>
      <c r="I639" s="113"/>
      <c r="J639" s="113"/>
    </row>
    <row r="640" spans="1:10" ht="15.75" x14ac:dyDescent="0.25">
      <c r="A640" s="104"/>
      <c r="B640" s="104"/>
      <c r="C640" s="92" t="str">
        <f t="shared" si="9"/>
        <v/>
      </c>
      <c r="D640" s="113"/>
      <c r="E640" s="113"/>
      <c r="F640" s="113"/>
      <c r="G640" s="113"/>
      <c r="H640" s="128"/>
      <c r="I640" s="113"/>
      <c r="J640" s="113"/>
    </row>
    <row r="641" spans="1:10" ht="15.75" x14ac:dyDescent="0.25">
      <c r="A641" s="104"/>
      <c r="B641" s="104"/>
      <c r="C641" s="92" t="str">
        <f t="shared" si="9"/>
        <v/>
      </c>
      <c r="D641" s="113"/>
      <c r="E641" s="113"/>
      <c r="F641" s="113"/>
      <c r="G641" s="113"/>
      <c r="H641" s="128"/>
      <c r="I641" s="113"/>
      <c r="J641" s="113"/>
    </row>
    <row r="642" spans="1:10" ht="15.75" x14ac:dyDescent="0.25">
      <c r="A642" s="104"/>
      <c r="B642" s="104"/>
      <c r="C642" s="92" t="str">
        <f t="shared" si="9"/>
        <v/>
      </c>
      <c r="D642" s="113"/>
      <c r="E642" s="113"/>
      <c r="F642" s="113"/>
      <c r="G642" s="113"/>
      <c r="H642" s="128"/>
      <c r="I642" s="113"/>
      <c r="J642" s="113"/>
    </row>
    <row r="643" spans="1:10" ht="15.75" x14ac:dyDescent="0.25">
      <c r="A643" s="104"/>
      <c r="B643" s="104"/>
      <c r="C643" s="92" t="str">
        <f t="shared" si="9"/>
        <v/>
      </c>
      <c r="D643" s="113"/>
      <c r="E643" s="113"/>
      <c r="F643" s="113"/>
      <c r="G643" s="113"/>
      <c r="H643" s="128"/>
      <c r="I643" s="113"/>
      <c r="J643" s="113"/>
    </row>
    <row r="644" spans="1:10" ht="15.75" x14ac:dyDescent="0.25">
      <c r="A644" s="104"/>
      <c r="B644" s="104"/>
      <c r="C644" s="92" t="str">
        <f t="shared" si="9"/>
        <v/>
      </c>
      <c r="D644" s="113"/>
      <c r="E644" s="113"/>
      <c r="F644" s="113"/>
      <c r="G644" s="113"/>
      <c r="H644" s="128"/>
      <c r="I644" s="113"/>
      <c r="J644" s="113"/>
    </row>
    <row r="645" spans="1:10" ht="15.75" x14ac:dyDescent="0.25">
      <c r="A645" s="104"/>
      <c r="B645" s="104"/>
      <c r="C645" s="92" t="str">
        <f t="shared" si="9"/>
        <v/>
      </c>
      <c r="D645" s="113"/>
      <c r="E645" s="113"/>
      <c r="F645" s="113"/>
      <c r="G645" s="113"/>
      <c r="H645" s="128"/>
      <c r="I645" s="113"/>
      <c r="J645" s="113"/>
    </row>
    <row r="646" spans="1:10" ht="15.75" x14ac:dyDescent="0.25">
      <c r="A646" s="104"/>
      <c r="B646" s="104"/>
      <c r="C646" s="92" t="str">
        <f t="shared" si="9"/>
        <v/>
      </c>
      <c r="D646" s="113"/>
      <c r="E646" s="113"/>
      <c r="F646" s="113"/>
      <c r="G646" s="113"/>
      <c r="H646" s="128"/>
      <c r="I646" s="113"/>
      <c r="J646" s="113"/>
    </row>
    <row r="647" spans="1:10" ht="15.75" x14ac:dyDescent="0.25">
      <c r="A647" s="104"/>
      <c r="B647" s="104"/>
      <c r="C647" s="92" t="str">
        <f t="shared" si="9"/>
        <v/>
      </c>
      <c r="D647" s="113"/>
      <c r="E647" s="113"/>
      <c r="F647" s="113"/>
      <c r="G647" s="113"/>
      <c r="H647" s="128"/>
      <c r="I647" s="113"/>
      <c r="J647" s="113"/>
    </row>
    <row r="648" spans="1:10" ht="15.75" x14ac:dyDescent="0.25">
      <c r="A648" s="104"/>
      <c r="B648" s="104"/>
      <c r="C648" s="92" t="str">
        <f t="shared" si="9"/>
        <v/>
      </c>
      <c r="D648" s="113"/>
      <c r="E648" s="113"/>
      <c r="F648" s="113"/>
      <c r="G648" s="113"/>
      <c r="H648" s="128"/>
      <c r="I648" s="113"/>
      <c r="J648" s="113"/>
    </row>
    <row r="649" spans="1:10" ht="15.75" x14ac:dyDescent="0.25">
      <c r="A649" s="104"/>
      <c r="B649" s="104"/>
      <c r="C649" s="92" t="str">
        <f t="shared" si="9"/>
        <v/>
      </c>
      <c r="D649" s="113"/>
      <c r="E649" s="113"/>
      <c r="F649" s="113"/>
      <c r="G649" s="113"/>
      <c r="H649" s="128"/>
      <c r="I649" s="113"/>
      <c r="J649" s="113"/>
    </row>
    <row r="650" spans="1:10" ht="15.75" x14ac:dyDescent="0.25">
      <c r="A650" s="104"/>
      <c r="B650" s="104"/>
      <c r="C650" s="92" t="str">
        <f t="shared" si="9"/>
        <v/>
      </c>
      <c r="D650" s="113"/>
      <c r="E650" s="113"/>
      <c r="F650" s="113"/>
      <c r="G650" s="113"/>
      <c r="H650" s="128"/>
      <c r="I650" s="113"/>
      <c r="J650" s="113"/>
    </row>
    <row r="651" spans="1:10" ht="15.75" x14ac:dyDescent="0.25">
      <c r="A651" s="104"/>
      <c r="B651" s="104"/>
      <c r="C651" s="92" t="str">
        <f t="shared" si="9"/>
        <v/>
      </c>
      <c r="D651" s="113"/>
      <c r="E651" s="113"/>
      <c r="F651" s="113"/>
      <c r="G651" s="113"/>
      <c r="H651" s="128"/>
      <c r="I651" s="113"/>
      <c r="J651" s="113"/>
    </row>
    <row r="652" spans="1:10" ht="15.75" x14ac:dyDescent="0.25">
      <c r="A652" s="104"/>
      <c r="B652" s="104"/>
      <c r="C652" s="92" t="str">
        <f t="shared" si="9"/>
        <v/>
      </c>
      <c r="D652" s="113"/>
      <c r="E652" s="113"/>
      <c r="F652" s="113"/>
      <c r="G652" s="113"/>
      <c r="H652" s="128"/>
      <c r="I652" s="113"/>
      <c r="J652" s="113"/>
    </row>
    <row r="653" spans="1:10" ht="15.75" x14ac:dyDescent="0.25">
      <c r="A653" s="104"/>
      <c r="B653" s="104"/>
      <c r="C653" s="92" t="str">
        <f t="shared" si="9"/>
        <v/>
      </c>
      <c r="D653" s="113"/>
      <c r="E653" s="113"/>
      <c r="F653" s="113"/>
      <c r="G653" s="113"/>
      <c r="H653" s="128"/>
      <c r="I653" s="113"/>
      <c r="J653" s="113"/>
    </row>
    <row r="654" spans="1:10" ht="15.75" x14ac:dyDescent="0.25">
      <c r="A654" s="104"/>
      <c r="B654" s="104"/>
      <c r="C654" s="92" t="str">
        <f t="shared" si="9"/>
        <v/>
      </c>
      <c r="D654" s="113"/>
      <c r="E654" s="113"/>
      <c r="F654" s="113"/>
      <c r="G654" s="113"/>
      <c r="H654" s="128"/>
      <c r="I654" s="113"/>
      <c r="J654" s="113"/>
    </row>
    <row r="655" spans="1:10" ht="15.75" x14ac:dyDescent="0.25">
      <c r="A655" s="104"/>
      <c r="B655" s="104"/>
      <c r="C655" s="92" t="str">
        <f t="shared" si="9"/>
        <v/>
      </c>
      <c r="D655" s="113"/>
      <c r="E655" s="113"/>
      <c r="F655" s="113"/>
      <c r="G655" s="113"/>
      <c r="H655" s="128"/>
      <c r="I655" s="113"/>
      <c r="J655" s="113"/>
    </row>
    <row r="656" spans="1:10" ht="15.75" x14ac:dyDescent="0.25">
      <c r="A656" s="104"/>
      <c r="B656" s="104"/>
      <c r="C656" s="92" t="str">
        <f t="shared" si="9"/>
        <v/>
      </c>
      <c r="D656" s="113"/>
      <c r="E656" s="113"/>
      <c r="F656" s="113"/>
      <c r="G656" s="113"/>
      <c r="H656" s="128"/>
      <c r="I656" s="113"/>
      <c r="J656" s="113"/>
    </row>
    <row r="657" spans="1:10" ht="15.75" x14ac:dyDescent="0.25">
      <c r="A657" s="104"/>
      <c r="B657" s="104"/>
      <c r="C657" s="92" t="str">
        <f t="shared" si="9"/>
        <v/>
      </c>
      <c r="D657" s="113"/>
      <c r="E657" s="113"/>
      <c r="F657" s="113"/>
      <c r="G657" s="113"/>
      <c r="H657" s="128"/>
      <c r="I657" s="113"/>
      <c r="J657" s="113"/>
    </row>
    <row r="658" spans="1:10" ht="15.75" x14ac:dyDescent="0.25">
      <c r="A658" s="104"/>
      <c r="B658" s="104"/>
      <c r="C658" s="92" t="str">
        <f t="shared" si="9"/>
        <v/>
      </c>
      <c r="D658" s="113"/>
      <c r="E658" s="113"/>
      <c r="F658" s="113"/>
      <c r="G658" s="113"/>
      <c r="H658" s="128"/>
      <c r="I658" s="113"/>
      <c r="J658" s="113"/>
    </row>
    <row r="659" spans="1:10" ht="15.75" x14ac:dyDescent="0.25">
      <c r="A659" s="104"/>
      <c r="B659" s="104"/>
      <c r="C659" s="92" t="str">
        <f t="shared" si="9"/>
        <v/>
      </c>
      <c r="D659" s="113"/>
      <c r="E659" s="113"/>
      <c r="F659" s="113"/>
      <c r="G659" s="113"/>
      <c r="H659" s="128"/>
      <c r="I659" s="113"/>
      <c r="J659" s="113"/>
    </row>
    <row r="660" spans="1:10" ht="15.75" x14ac:dyDescent="0.25">
      <c r="A660" s="104"/>
      <c r="B660" s="104"/>
      <c r="C660" s="92" t="str">
        <f t="shared" ref="C660:C723" si="10">IF(A660=0,"","Steel02")</f>
        <v/>
      </c>
      <c r="D660" s="113"/>
      <c r="E660" s="113"/>
      <c r="F660" s="113"/>
      <c r="G660" s="113"/>
      <c r="H660" s="128"/>
      <c r="I660" s="113"/>
      <c r="J660" s="113"/>
    </row>
    <row r="661" spans="1:10" ht="15.75" x14ac:dyDescent="0.25">
      <c r="A661" s="104"/>
      <c r="B661" s="104"/>
      <c r="C661" s="92" t="str">
        <f t="shared" si="10"/>
        <v/>
      </c>
      <c r="D661" s="113"/>
      <c r="E661" s="113"/>
      <c r="F661" s="113"/>
      <c r="G661" s="113"/>
      <c r="H661" s="128"/>
      <c r="I661" s="113"/>
      <c r="J661" s="113"/>
    </row>
    <row r="662" spans="1:10" ht="15.75" x14ac:dyDescent="0.25">
      <c r="A662" s="104"/>
      <c r="B662" s="104"/>
      <c r="C662" s="92" t="str">
        <f t="shared" si="10"/>
        <v/>
      </c>
      <c r="D662" s="113"/>
      <c r="E662" s="113"/>
      <c r="F662" s="113"/>
      <c r="G662" s="113"/>
      <c r="H662" s="128"/>
      <c r="I662" s="113"/>
      <c r="J662" s="113"/>
    </row>
    <row r="663" spans="1:10" ht="15.75" x14ac:dyDescent="0.25">
      <c r="A663" s="104"/>
      <c r="B663" s="104"/>
      <c r="C663" s="92" t="str">
        <f t="shared" si="10"/>
        <v/>
      </c>
      <c r="D663" s="113"/>
      <c r="E663" s="113"/>
      <c r="F663" s="113"/>
      <c r="G663" s="113"/>
      <c r="H663" s="128"/>
      <c r="I663" s="113"/>
      <c r="J663" s="113"/>
    </row>
    <row r="664" spans="1:10" ht="15.75" x14ac:dyDescent="0.25">
      <c r="A664" s="104"/>
      <c r="B664" s="104"/>
      <c r="C664" s="92" t="str">
        <f t="shared" si="10"/>
        <v/>
      </c>
      <c r="D664" s="113"/>
      <c r="E664" s="113"/>
      <c r="F664" s="113"/>
      <c r="G664" s="113"/>
      <c r="H664" s="128"/>
      <c r="I664" s="113"/>
      <c r="J664" s="113"/>
    </row>
    <row r="665" spans="1:10" ht="15.75" x14ac:dyDescent="0.25">
      <c r="A665" s="104"/>
      <c r="B665" s="104"/>
      <c r="C665" s="92" t="str">
        <f t="shared" si="10"/>
        <v/>
      </c>
      <c r="D665" s="113"/>
      <c r="E665" s="113"/>
      <c r="F665" s="113"/>
      <c r="G665" s="113"/>
      <c r="H665" s="128"/>
      <c r="I665" s="113"/>
      <c r="J665" s="113"/>
    </row>
    <row r="666" spans="1:10" ht="15.75" x14ac:dyDescent="0.25">
      <c r="A666" s="104"/>
      <c r="B666" s="104"/>
      <c r="C666" s="92" t="str">
        <f t="shared" si="10"/>
        <v/>
      </c>
      <c r="D666" s="113"/>
      <c r="E666" s="113"/>
      <c r="F666" s="113"/>
      <c r="G666" s="113"/>
      <c r="H666" s="128"/>
      <c r="I666" s="113"/>
      <c r="J666" s="113"/>
    </row>
    <row r="667" spans="1:10" ht="15.75" x14ac:dyDescent="0.25">
      <c r="A667" s="104"/>
      <c r="B667" s="104"/>
      <c r="C667" s="92" t="str">
        <f t="shared" si="10"/>
        <v/>
      </c>
      <c r="D667" s="113"/>
      <c r="E667" s="113"/>
      <c r="F667" s="113"/>
      <c r="G667" s="113"/>
      <c r="H667" s="128"/>
      <c r="I667" s="113"/>
      <c r="J667" s="113"/>
    </row>
    <row r="668" spans="1:10" ht="15.75" x14ac:dyDescent="0.25">
      <c r="A668" s="104"/>
      <c r="B668" s="104"/>
      <c r="C668" s="92" t="str">
        <f t="shared" si="10"/>
        <v/>
      </c>
      <c r="D668" s="113"/>
      <c r="E668" s="113"/>
      <c r="F668" s="113"/>
      <c r="G668" s="113"/>
      <c r="H668" s="128"/>
      <c r="I668" s="113"/>
      <c r="J668" s="113"/>
    </row>
    <row r="669" spans="1:10" ht="15.75" x14ac:dyDescent="0.25">
      <c r="A669" s="104"/>
      <c r="B669" s="104"/>
      <c r="C669" s="92" t="str">
        <f t="shared" si="10"/>
        <v/>
      </c>
      <c r="D669" s="113"/>
      <c r="E669" s="113"/>
      <c r="F669" s="113"/>
      <c r="G669" s="113"/>
      <c r="H669" s="128"/>
      <c r="I669" s="113"/>
      <c r="J669" s="113"/>
    </row>
    <row r="670" spans="1:10" ht="15.75" x14ac:dyDescent="0.25">
      <c r="A670" s="104"/>
      <c r="B670" s="104"/>
      <c r="C670" s="92" t="str">
        <f t="shared" si="10"/>
        <v/>
      </c>
      <c r="D670" s="113"/>
      <c r="E670" s="113"/>
      <c r="F670" s="113"/>
      <c r="G670" s="113"/>
      <c r="H670" s="128"/>
      <c r="I670" s="113"/>
      <c r="J670" s="113"/>
    </row>
    <row r="671" spans="1:10" ht="15.75" x14ac:dyDescent="0.25">
      <c r="A671" s="104"/>
      <c r="B671" s="104"/>
      <c r="C671" s="92" t="str">
        <f t="shared" si="10"/>
        <v/>
      </c>
      <c r="D671" s="113"/>
      <c r="E671" s="113"/>
      <c r="F671" s="113"/>
      <c r="G671" s="113"/>
      <c r="H671" s="128"/>
      <c r="I671" s="113"/>
      <c r="J671" s="113"/>
    </row>
    <row r="672" spans="1:10" ht="15.75" x14ac:dyDescent="0.25">
      <c r="A672" s="104"/>
      <c r="B672" s="104"/>
      <c r="C672" s="92" t="str">
        <f t="shared" si="10"/>
        <v/>
      </c>
      <c r="D672" s="113"/>
      <c r="E672" s="113"/>
      <c r="F672" s="113"/>
      <c r="G672" s="113"/>
      <c r="H672" s="128"/>
      <c r="I672" s="113"/>
      <c r="J672" s="113"/>
    </row>
    <row r="673" spans="1:10" ht="15.75" x14ac:dyDescent="0.25">
      <c r="A673" s="104"/>
      <c r="B673" s="104"/>
      <c r="C673" s="92" t="str">
        <f t="shared" si="10"/>
        <v/>
      </c>
      <c r="D673" s="113"/>
      <c r="E673" s="113"/>
      <c r="F673" s="113"/>
      <c r="G673" s="113"/>
      <c r="H673" s="128"/>
      <c r="I673" s="113"/>
      <c r="J673" s="113"/>
    </row>
    <row r="674" spans="1:10" ht="15.75" x14ac:dyDescent="0.25">
      <c r="A674" s="104"/>
      <c r="B674" s="104"/>
      <c r="C674" s="92" t="str">
        <f t="shared" si="10"/>
        <v/>
      </c>
      <c r="D674" s="113"/>
      <c r="E674" s="113"/>
      <c r="F674" s="113"/>
      <c r="G674" s="113"/>
      <c r="H674" s="128"/>
      <c r="I674" s="113"/>
      <c r="J674" s="113"/>
    </row>
    <row r="675" spans="1:10" ht="15.75" x14ac:dyDescent="0.25">
      <c r="A675" s="104"/>
      <c r="B675" s="104"/>
      <c r="C675" s="92" t="str">
        <f t="shared" si="10"/>
        <v/>
      </c>
      <c r="D675" s="113"/>
      <c r="E675" s="113"/>
      <c r="F675" s="113"/>
      <c r="G675" s="113"/>
      <c r="H675" s="128"/>
      <c r="I675" s="113"/>
      <c r="J675" s="113"/>
    </row>
    <row r="676" spans="1:10" ht="15.75" x14ac:dyDescent="0.25">
      <c r="A676" s="104"/>
      <c r="B676" s="104"/>
      <c r="C676" s="92" t="str">
        <f t="shared" si="10"/>
        <v/>
      </c>
      <c r="D676" s="113"/>
      <c r="E676" s="113"/>
      <c r="F676" s="113"/>
      <c r="G676" s="113"/>
      <c r="H676" s="128"/>
      <c r="I676" s="113"/>
      <c r="J676" s="113"/>
    </row>
    <row r="677" spans="1:10" ht="15.75" x14ac:dyDescent="0.25">
      <c r="A677" s="104"/>
      <c r="B677" s="104"/>
      <c r="C677" s="92" t="str">
        <f t="shared" si="10"/>
        <v/>
      </c>
      <c r="D677" s="113"/>
      <c r="E677" s="113"/>
      <c r="F677" s="113"/>
      <c r="G677" s="113"/>
      <c r="H677" s="128"/>
      <c r="I677" s="113"/>
      <c r="J677" s="113"/>
    </row>
    <row r="678" spans="1:10" ht="15.75" x14ac:dyDescent="0.25">
      <c r="A678" s="104"/>
      <c r="B678" s="104"/>
      <c r="C678" s="92" t="str">
        <f t="shared" si="10"/>
        <v/>
      </c>
      <c r="D678" s="113"/>
      <c r="E678" s="113"/>
      <c r="F678" s="113"/>
      <c r="G678" s="113"/>
      <c r="H678" s="128"/>
      <c r="I678" s="113"/>
      <c r="J678" s="113"/>
    </row>
    <row r="679" spans="1:10" ht="15.75" x14ac:dyDescent="0.25">
      <c r="A679" s="104"/>
      <c r="B679" s="104"/>
      <c r="C679" s="92" t="str">
        <f t="shared" si="10"/>
        <v/>
      </c>
      <c r="D679" s="113"/>
      <c r="E679" s="113"/>
      <c r="F679" s="113"/>
      <c r="G679" s="113"/>
      <c r="H679" s="128"/>
      <c r="I679" s="113"/>
      <c r="J679" s="113"/>
    </row>
    <row r="680" spans="1:10" ht="15.75" x14ac:dyDescent="0.25">
      <c r="A680" s="104"/>
      <c r="B680" s="104"/>
      <c r="C680" s="92" t="str">
        <f t="shared" si="10"/>
        <v/>
      </c>
      <c r="D680" s="113"/>
      <c r="E680" s="113"/>
      <c r="F680" s="113"/>
      <c r="G680" s="113"/>
      <c r="H680" s="128"/>
      <c r="I680" s="113"/>
      <c r="J680" s="113"/>
    </row>
    <row r="681" spans="1:10" ht="15.75" x14ac:dyDescent="0.25">
      <c r="A681" s="104"/>
      <c r="B681" s="104"/>
      <c r="C681" s="92" t="str">
        <f t="shared" si="10"/>
        <v/>
      </c>
      <c r="D681" s="113"/>
      <c r="E681" s="113"/>
      <c r="F681" s="113"/>
      <c r="G681" s="113"/>
      <c r="H681" s="128"/>
      <c r="I681" s="113"/>
      <c r="J681" s="113"/>
    </row>
    <row r="682" spans="1:10" ht="15.75" x14ac:dyDescent="0.25">
      <c r="A682" s="104"/>
      <c r="B682" s="104"/>
      <c r="C682" s="92" t="str">
        <f t="shared" si="10"/>
        <v/>
      </c>
      <c r="D682" s="113"/>
      <c r="E682" s="113"/>
      <c r="F682" s="113"/>
      <c r="G682" s="113"/>
      <c r="H682" s="128"/>
      <c r="I682" s="113"/>
      <c r="J682" s="113"/>
    </row>
    <row r="683" spans="1:10" ht="15.75" x14ac:dyDescent="0.25">
      <c r="A683" s="104"/>
      <c r="B683" s="104"/>
      <c r="C683" s="92" t="str">
        <f t="shared" si="10"/>
        <v/>
      </c>
      <c r="D683" s="113"/>
      <c r="E683" s="113"/>
      <c r="F683" s="113"/>
      <c r="G683" s="113"/>
      <c r="H683" s="128"/>
      <c r="I683" s="113"/>
      <c r="J683" s="113"/>
    </row>
    <row r="684" spans="1:10" ht="15.75" x14ac:dyDescent="0.25">
      <c r="A684" s="104"/>
      <c r="B684" s="104"/>
      <c r="C684" s="92" t="str">
        <f t="shared" si="10"/>
        <v/>
      </c>
      <c r="D684" s="113"/>
      <c r="E684" s="113"/>
      <c r="F684" s="113"/>
      <c r="G684" s="113"/>
      <c r="H684" s="128"/>
      <c r="I684" s="113"/>
      <c r="J684" s="113"/>
    </row>
    <row r="685" spans="1:10" ht="15.75" x14ac:dyDescent="0.25">
      <c r="A685" s="104"/>
      <c r="B685" s="104"/>
      <c r="C685" s="92" t="str">
        <f t="shared" si="10"/>
        <v/>
      </c>
      <c r="D685" s="113"/>
      <c r="E685" s="113"/>
      <c r="F685" s="113"/>
      <c r="G685" s="113"/>
      <c r="H685" s="128"/>
      <c r="I685" s="113"/>
      <c r="J685" s="113"/>
    </row>
    <row r="686" spans="1:10" ht="15.75" x14ac:dyDescent="0.25">
      <c r="A686" s="104"/>
      <c r="B686" s="104"/>
      <c r="C686" s="92" t="str">
        <f t="shared" si="10"/>
        <v/>
      </c>
      <c r="D686" s="113"/>
      <c r="E686" s="113"/>
      <c r="F686" s="113"/>
      <c r="G686" s="113"/>
      <c r="H686" s="128"/>
      <c r="I686" s="113"/>
      <c r="J686" s="113"/>
    </row>
    <row r="687" spans="1:10" ht="15.75" x14ac:dyDescent="0.25">
      <c r="A687" s="104"/>
      <c r="B687" s="104"/>
      <c r="C687" s="92" t="str">
        <f t="shared" si="10"/>
        <v/>
      </c>
      <c r="D687" s="113"/>
      <c r="E687" s="113"/>
      <c r="F687" s="113"/>
      <c r="G687" s="113"/>
      <c r="H687" s="128"/>
      <c r="I687" s="113"/>
      <c r="J687" s="113"/>
    </row>
    <row r="688" spans="1:10" ht="15.75" x14ac:dyDescent="0.25">
      <c r="A688" s="104"/>
      <c r="B688" s="104"/>
      <c r="C688" s="92" t="str">
        <f t="shared" si="10"/>
        <v/>
      </c>
      <c r="D688" s="113"/>
      <c r="E688" s="113"/>
      <c r="F688" s="113"/>
      <c r="G688" s="113"/>
      <c r="H688" s="128"/>
      <c r="I688" s="113"/>
      <c r="J688" s="113"/>
    </row>
    <row r="689" spans="1:10" ht="15.75" x14ac:dyDescent="0.25">
      <c r="A689" s="104"/>
      <c r="B689" s="104"/>
      <c r="C689" s="92" t="str">
        <f t="shared" si="10"/>
        <v/>
      </c>
      <c r="D689" s="113"/>
      <c r="E689" s="113"/>
      <c r="F689" s="113"/>
      <c r="G689" s="113"/>
      <c r="H689" s="128"/>
      <c r="I689" s="113"/>
      <c r="J689" s="113"/>
    </row>
    <row r="690" spans="1:10" ht="15.75" x14ac:dyDescent="0.25">
      <c r="A690" s="104"/>
      <c r="B690" s="104"/>
      <c r="C690" s="92" t="str">
        <f t="shared" si="10"/>
        <v/>
      </c>
      <c r="D690" s="113"/>
      <c r="E690" s="113"/>
      <c r="F690" s="113"/>
      <c r="G690" s="113"/>
      <c r="H690" s="128"/>
      <c r="I690" s="113"/>
      <c r="J690" s="113"/>
    </row>
    <row r="691" spans="1:10" ht="15.75" x14ac:dyDescent="0.25">
      <c r="A691" s="104"/>
      <c r="B691" s="104"/>
      <c r="C691" s="92" t="str">
        <f t="shared" si="10"/>
        <v/>
      </c>
      <c r="D691" s="113"/>
      <c r="E691" s="113"/>
      <c r="F691" s="113"/>
      <c r="G691" s="113"/>
      <c r="H691" s="128"/>
      <c r="I691" s="113"/>
      <c r="J691" s="113"/>
    </row>
    <row r="692" spans="1:10" ht="15.75" x14ac:dyDescent="0.25">
      <c r="A692" s="104"/>
      <c r="B692" s="104"/>
      <c r="C692" s="92" t="str">
        <f t="shared" si="10"/>
        <v/>
      </c>
      <c r="D692" s="113"/>
      <c r="E692" s="113"/>
      <c r="F692" s="113"/>
      <c r="G692" s="113"/>
      <c r="H692" s="128"/>
      <c r="I692" s="113"/>
      <c r="J692" s="113"/>
    </row>
    <row r="693" spans="1:10" ht="15.75" x14ac:dyDescent="0.25">
      <c r="A693" s="104"/>
      <c r="B693" s="104"/>
      <c r="C693" s="92" t="str">
        <f t="shared" si="10"/>
        <v/>
      </c>
      <c r="D693" s="113"/>
      <c r="E693" s="113"/>
      <c r="F693" s="113"/>
      <c r="G693" s="113"/>
      <c r="H693" s="128"/>
      <c r="I693" s="113"/>
      <c r="J693" s="113"/>
    </row>
    <row r="694" spans="1:10" ht="15.75" x14ac:dyDescent="0.25">
      <c r="A694" s="104"/>
      <c r="B694" s="104"/>
      <c r="C694" s="92" t="str">
        <f t="shared" si="10"/>
        <v/>
      </c>
      <c r="D694" s="113"/>
      <c r="E694" s="113"/>
      <c r="F694" s="113"/>
      <c r="G694" s="113"/>
      <c r="H694" s="128"/>
      <c r="I694" s="113"/>
      <c r="J694" s="113"/>
    </row>
    <row r="695" spans="1:10" ht="15.75" x14ac:dyDescent="0.25">
      <c r="A695" s="104"/>
      <c r="B695" s="104"/>
      <c r="C695" s="92" t="str">
        <f t="shared" si="10"/>
        <v/>
      </c>
      <c r="D695" s="113"/>
      <c r="E695" s="113"/>
      <c r="F695" s="113"/>
      <c r="G695" s="113"/>
      <c r="H695" s="128"/>
      <c r="I695" s="113"/>
      <c r="J695" s="113"/>
    </row>
    <row r="696" spans="1:10" ht="15.75" x14ac:dyDescent="0.25">
      <c r="A696" s="104"/>
      <c r="B696" s="104"/>
      <c r="C696" s="92" t="str">
        <f t="shared" si="10"/>
        <v/>
      </c>
      <c r="D696" s="113"/>
      <c r="E696" s="113"/>
      <c r="F696" s="113"/>
      <c r="G696" s="113"/>
      <c r="H696" s="128"/>
      <c r="I696" s="113"/>
      <c r="J696" s="113"/>
    </row>
    <row r="697" spans="1:10" ht="15.75" x14ac:dyDescent="0.25">
      <c r="A697" s="104"/>
      <c r="B697" s="104"/>
      <c r="C697" s="92" t="str">
        <f t="shared" si="10"/>
        <v/>
      </c>
      <c r="D697" s="113"/>
      <c r="E697" s="113"/>
      <c r="F697" s="113"/>
      <c r="G697" s="113"/>
      <c r="H697" s="128"/>
      <c r="I697" s="113"/>
      <c r="J697" s="113"/>
    </row>
    <row r="698" spans="1:10" ht="15.75" x14ac:dyDescent="0.25">
      <c r="A698" s="104"/>
      <c r="B698" s="104"/>
      <c r="C698" s="92" t="str">
        <f t="shared" si="10"/>
        <v/>
      </c>
      <c r="D698" s="113"/>
      <c r="E698" s="113"/>
      <c r="F698" s="113"/>
      <c r="G698" s="113"/>
      <c r="H698" s="128"/>
      <c r="I698" s="113"/>
      <c r="J698" s="113"/>
    </row>
    <row r="699" spans="1:10" ht="15.75" x14ac:dyDescent="0.25">
      <c r="A699" s="104"/>
      <c r="B699" s="104"/>
      <c r="C699" s="92" t="str">
        <f t="shared" si="10"/>
        <v/>
      </c>
      <c r="D699" s="113"/>
      <c r="E699" s="113"/>
      <c r="F699" s="113"/>
      <c r="G699" s="113"/>
      <c r="H699" s="128"/>
      <c r="I699" s="113"/>
      <c r="J699" s="113"/>
    </row>
    <row r="700" spans="1:10" ht="15.75" x14ac:dyDescent="0.25">
      <c r="A700" s="104"/>
      <c r="B700" s="104"/>
      <c r="C700" s="92" t="str">
        <f t="shared" si="10"/>
        <v/>
      </c>
      <c r="D700" s="113"/>
      <c r="E700" s="113"/>
      <c r="F700" s="113"/>
      <c r="G700" s="113"/>
      <c r="H700" s="128"/>
      <c r="I700" s="113"/>
      <c r="J700" s="113"/>
    </row>
    <row r="701" spans="1:10" ht="15.75" x14ac:dyDescent="0.25">
      <c r="A701" s="104"/>
      <c r="B701" s="104"/>
      <c r="C701" s="92" t="str">
        <f t="shared" si="10"/>
        <v/>
      </c>
      <c r="D701" s="113"/>
      <c r="E701" s="113"/>
      <c r="F701" s="113"/>
      <c r="G701" s="113"/>
      <c r="H701" s="128"/>
      <c r="I701" s="113"/>
      <c r="J701" s="113"/>
    </row>
    <row r="702" spans="1:10" ht="15.75" x14ac:dyDescent="0.25">
      <c r="A702" s="104"/>
      <c r="B702" s="104"/>
      <c r="C702" s="92" t="str">
        <f t="shared" si="10"/>
        <v/>
      </c>
      <c r="D702" s="113"/>
      <c r="E702" s="113"/>
      <c r="F702" s="113"/>
      <c r="G702" s="113"/>
      <c r="H702" s="128"/>
      <c r="I702" s="113"/>
      <c r="J702" s="113"/>
    </row>
    <row r="703" spans="1:10" ht="15.75" x14ac:dyDescent="0.25">
      <c r="A703" s="104"/>
      <c r="B703" s="104"/>
      <c r="C703" s="92" t="str">
        <f t="shared" si="10"/>
        <v/>
      </c>
      <c r="D703" s="113"/>
      <c r="E703" s="113"/>
      <c r="F703" s="113"/>
      <c r="G703" s="113"/>
      <c r="H703" s="128"/>
      <c r="I703" s="113"/>
      <c r="J703" s="113"/>
    </row>
    <row r="704" spans="1:10" ht="15.75" x14ac:dyDescent="0.25">
      <c r="A704" s="104"/>
      <c r="B704" s="104"/>
      <c r="C704" s="92" t="str">
        <f t="shared" si="10"/>
        <v/>
      </c>
      <c r="D704" s="113"/>
      <c r="E704" s="113"/>
      <c r="F704" s="113"/>
      <c r="G704" s="113"/>
      <c r="H704" s="128"/>
      <c r="I704" s="113"/>
      <c r="J704" s="113"/>
    </row>
    <row r="705" spans="1:10" ht="15.75" x14ac:dyDescent="0.25">
      <c r="A705" s="104"/>
      <c r="B705" s="104"/>
      <c r="C705" s="92" t="str">
        <f t="shared" si="10"/>
        <v/>
      </c>
      <c r="D705" s="113"/>
      <c r="E705" s="113"/>
      <c r="F705" s="113"/>
      <c r="G705" s="113"/>
      <c r="H705" s="128"/>
      <c r="I705" s="113"/>
      <c r="J705" s="113"/>
    </row>
    <row r="706" spans="1:10" ht="15.75" x14ac:dyDescent="0.25">
      <c r="A706" s="104"/>
      <c r="B706" s="104"/>
      <c r="C706" s="92" t="str">
        <f t="shared" si="10"/>
        <v/>
      </c>
      <c r="D706" s="113"/>
      <c r="E706" s="113"/>
      <c r="F706" s="113"/>
      <c r="G706" s="113"/>
      <c r="H706" s="128"/>
      <c r="I706" s="113"/>
      <c r="J706" s="113"/>
    </row>
    <row r="707" spans="1:10" ht="15.75" x14ac:dyDescent="0.25">
      <c r="A707" s="104"/>
      <c r="B707" s="104"/>
      <c r="C707" s="92" t="str">
        <f t="shared" si="10"/>
        <v/>
      </c>
      <c r="D707" s="113"/>
      <c r="E707" s="113"/>
      <c r="F707" s="113"/>
      <c r="G707" s="113"/>
      <c r="H707" s="128"/>
      <c r="I707" s="113"/>
      <c r="J707" s="113"/>
    </row>
    <row r="708" spans="1:10" ht="15.75" x14ac:dyDescent="0.25">
      <c r="A708" s="104"/>
      <c r="B708" s="104"/>
      <c r="C708" s="92" t="str">
        <f t="shared" si="10"/>
        <v/>
      </c>
      <c r="D708" s="113"/>
      <c r="E708" s="113"/>
      <c r="F708" s="113"/>
      <c r="G708" s="113"/>
      <c r="H708" s="128"/>
      <c r="I708" s="113"/>
      <c r="J708" s="113"/>
    </row>
    <row r="709" spans="1:10" ht="15.75" x14ac:dyDescent="0.25">
      <c r="A709" s="104"/>
      <c r="B709" s="104"/>
      <c r="C709" s="92" t="str">
        <f t="shared" si="10"/>
        <v/>
      </c>
      <c r="D709" s="113"/>
      <c r="E709" s="113"/>
      <c r="F709" s="113"/>
      <c r="G709" s="113"/>
      <c r="H709" s="128"/>
      <c r="I709" s="113"/>
      <c r="J709" s="113"/>
    </row>
    <row r="710" spans="1:10" ht="15.75" x14ac:dyDescent="0.25">
      <c r="A710" s="104"/>
      <c r="B710" s="104"/>
      <c r="C710" s="92" t="str">
        <f t="shared" si="10"/>
        <v/>
      </c>
      <c r="D710" s="113"/>
      <c r="E710" s="113"/>
      <c r="F710" s="113"/>
      <c r="G710" s="113"/>
      <c r="H710" s="128"/>
      <c r="I710" s="113"/>
      <c r="J710" s="113"/>
    </row>
    <row r="711" spans="1:10" ht="15.75" x14ac:dyDescent="0.25">
      <c r="A711" s="104"/>
      <c r="B711" s="104"/>
      <c r="C711" s="92" t="str">
        <f t="shared" si="10"/>
        <v/>
      </c>
      <c r="D711" s="113"/>
      <c r="E711" s="113"/>
      <c r="F711" s="113"/>
      <c r="G711" s="113"/>
      <c r="H711" s="128"/>
      <c r="I711" s="113"/>
      <c r="J711" s="113"/>
    </row>
    <row r="712" spans="1:10" ht="15.75" x14ac:dyDescent="0.25">
      <c r="A712" s="104"/>
      <c r="B712" s="104"/>
      <c r="C712" s="92" t="str">
        <f t="shared" si="10"/>
        <v/>
      </c>
      <c r="D712" s="113"/>
      <c r="E712" s="113"/>
      <c r="F712" s="113"/>
      <c r="G712" s="113"/>
      <c r="H712" s="128"/>
      <c r="I712" s="113"/>
      <c r="J712" s="113"/>
    </row>
    <row r="713" spans="1:10" ht="15.75" x14ac:dyDescent="0.25">
      <c r="A713" s="104"/>
      <c r="B713" s="104"/>
      <c r="C713" s="92" t="str">
        <f t="shared" si="10"/>
        <v/>
      </c>
      <c r="D713" s="113"/>
      <c r="E713" s="113"/>
      <c r="F713" s="113"/>
      <c r="G713" s="113"/>
      <c r="H713" s="128"/>
      <c r="I713" s="113"/>
      <c r="J713" s="113"/>
    </row>
    <row r="714" spans="1:10" ht="15.75" x14ac:dyDescent="0.25">
      <c r="A714" s="104"/>
      <c r="B714" s="104"/>
      <c r="C714" s="92" t="str">
        <f t="shared" si="10"/>
        <v/>
      </c>
      <c r="D714" s="113"/>
      <c r="E714" s="113"/>
      <c r="F714" s="113"/>
      <c r="G714" s="113"/>
      <c r="H714" s="128"/>
      <c r="I714" s="113"/>
      <c r="J714" s="113"/>
    </row>
    <row r="715" spans="1:10" ht="15.75" x14ac:dyDescent="0.25">
      <c r="A715" s="104"/>
      <c r="B715" s="104"/>
      <c r="C715" s="92" t="str">
        <f t="shared" si="10"/>
        <v/>
      </c>
      <c r="D715" s="113"/>
      <c r="E715" s="113"/>
      <c r="F715" s="113"/>
      <c r="G715" s="113"/>
      <c r="H715" s="128"/>
      <c r="I715" s="113"/>
      <c r="J715" s="113"/>
    </row>
    <row r="716" spans="1:10" ht="15.75" x14ac:dyDescent="0.25">
      <c r="A716" s="104"/>
      <c r="B716" s="104"/>
      <c r="C716" s="92" t="str">
        <f t="shared" si="10"/>
        <v/>
      </c>
      <c r="D716" s="113"/>
      <c r="E716" s="113"/>
      <c r="F716" s="113"/>
      <c r="G716" s="113"/>
      <c r="H716" s="128"/>
      <c r="I716" s="113"/>
      <c r="J716" s="113"/>
    </row>
    <row r="717" spans="1:10" ht="15.75" x14ac:dyDescent="0.25">
      <c r="A717" s="104"/>
      <c r="B717" s="104"/>
      <c r="C717" s="92" t="str">
        <f t="shared" si="10"/>
        <v/>
      </c>
      <c r="D717" s="113"/>
      <c r="E717" s="113"/>
      <c r="F717" s="113"/>
      <c r="G717" s="113"/>
      <c r="H717" s="128"/>
      <c r="I717" s="113"/>
      <c r="J717" s="113"/>
    </row>
    <row r="718" spans="1:10" ht="15.75" x14ac:dyDescent="0.25">
      <c r="A718" s="104"/>
      <c r="B718" s="104"/>
      <c r="C718" s="92" t="str">
        <f t="shared" si="10"/>
        <v/>
      </c>
      <c r="D718" s="113"/>
      <c r="E718" s="113"/>
      <c r="F718" s="113"/>
      <c r="G718" s="113"/>
      <c r="H718" s="128"/>
      <c r="I718" s="113"/>
      <c r="J718" s="113"/>
    </row>
    <row r="719" spans="1:10" ht="15.75" x14ac:dyDescent="0.25">
      <c r="A719" s="104"/>
      <c r="B719" s="104"/>
      <c r="C719" s="92" t="str">
        <f t="shared" si="10"/>
        <v/>
      </c>
      <c r="D719" s="113"/>
      <c r="E719" s="113"/>
      <c r="F719" s="113"/>
      <c r="G719" s="113"/>
      <c r="H719" s="128"/>
      <c r="I719" s="113"/>
      <c r="J719" s="113"/>
    </row>
    <row r="720" spans="1:10" ht="15.75" x14ac:dyDescent="0.25">
      <c r="A720" s="104"/>
      <c r="B720" s="104"/>
      <c r="C720" s="92" t="str">
        <f t="shared" si="10"/>
        <v/>
      </c>
      <c r="D720" s="113"/>
      <c r="E720" s="113"/>
      <c r="F720" s="113"/>
      <c r="G720" s="113"/>
      <c r="H720" s="128"/>
      <c r="I720" s="113"/>
      <c r="J720" s="113"/>
    </row>
    <row r="721" spans="1:10" ht="15.75" x14ac:dyDescent="0.25">
      <c r="A721" s="104"/>
      <c r="B721" s="104"/>
      <c r="C721" s="92" t="str">
        <f t="shared" si="10"/>
        <v/>
      </c>
      <c r="D721" s="113"/>
      <c r="E721" s="113"/>
      <c r="F721" s="113"/>
      <c r="G721" s="113"/>
      <c r="H721" s="128"/>
      <c r="I721" s="113"/>
      <c r="J721" s="113"/>
    </row>
    <row r="722" spans="1:10" ht="15.75" x14ac:dyDescent="0.25">
      <c r="A722" s="104"/>
      <c r="B722" s="104"/>
      <c r="C722" s="92" t="str">
        <f t="shared" si="10"/>
        <v/>
      </c>
      <c r="D722" s="113"/>
      <c r="E722" s="113"/>
      <c r="F722" s="113"/>
      <c r="G722" s="113"/>
      <c r="H722" s="128"/>
      <c r="I722" s="113"/>
      <c r="J722" s="113"/>
    </row>
    <row r="723" spans="1:10" ht="15.75" x14ac:dyDescent="0.25">
      <c r="A723" s="104"/>
      <c r="B723" s="104"/>
      <c r="C723" s="92" t="str">
        <f t="shared" si="10"/>
        <v/>
      </c>
      <c r="D723" s="113"/>
      <c r="E723" s="113"/>
      <c r="F723" s="113"/>
      <c r="G723" s="113"/>
      <c r="H723" s="128"/>
      <c r="I723" s="113"/>
      <c r="J723" s="113"/>
    </row>
    <row r="724" spans="1:10" ht="15.75" x14ac:dyDescent="0.25">
      <c r="A724" s="104"/>
      <c r="B724" s="104"/>
      <c r="C724" s="92" t="str">
        <f t="shared" ref="C724:C787" si="11">IF(A724=0,"","Steel02")</f>
        <v/>
      </c>
      <c r="D724" s="113"/>
      <c r="E724" s="113"/>
      <c r="F724" s="113"/>
      <c r="G724" s="113"/>
      <c r="H724" s="128"/>
      <c r="I724" s="113"/>
      <c r="J724" s="113"/>
    </row>
    <row r="725" spans="1:10" ht="15.75" x14ac:dyDescent="0.25">
      <c r="A725" s="104"/>
      <c r="B725" s="104"/>
      <c r="C725" s="92" t="str">
        <f t="shared" si="11"/>
        <v/>
      </c>
      <c r="D725" s="113"/>
      <c r="E725" s="113"/>
      <c r="F725" s="113"/>
      <c r="G725" s="113"/>
      <c r="H725" s="128"/>
      <c r="I725" s="113"/>
      <c r="J725" s="113"/>
    </row>
    <row r="726" spans="1:10" ht="15.75" x14ac:dyDescent="0.25">
      <c r="A726" s="104"/>
      <c r="B726" s="104"/>
      <c r="C726" s="92" t="str">
        <f t="shared" si="11"/>
        <v/>
      </c>
      <c r="D726" s="113"/>
      <c r="E726" s="113"/>
      <c r="F726" s="113"/>
      <c r="G726" s="113"/>
      <c r="H726" s="128"/>
      <c r="I726" s="113"/>
      <c r="J726" s="113"/>
    </row>
    <row r="727" spans="1:10" ht="15.75" x14ac:dyDescent="0.25">
      <c r="A727" s="104"/>
      <c r="B727" s="104"/>
      <c r="C727" s="92" t="str">
        <f t="shared" si="11"/>
        <v/>
      </c>
      <c r="D727" s="113"/>
      <c r="E727" s="113"/>
      <c r="F727" s="113"/>
      <c r="G727" s="113"/>
      <c r="H727" s="128"/>
      <c r="I727" s="113"/>
      <c r="J727" s="113"/>
    </row>
    <row r="728" spans="1:10" ht="15.75" x14ac:dyDescent="0.25">
      <c r="A728" s="104"/>
      <c r="B728" s="104"/>
      <c r="C728" s="92" t="str">
        <f t="shared" si="11"/>
        <v/>
      </c>
      <c r="D728" s="113"/>
      <c r="E728" s="113"/>
      <c r="F728" s="113"/>
      <c r="G728" s="113"/>
      <c r="H728" s="128"/>
      <c r="I728" s="113"/>
      <c r="J728" s="113"/>
    </row>
    <row r="729" spans="1:10" ht="15.75" x14ac:dyDescent="0.25">
      <c r="A729" s="104"/>
      <c r="B729" s="104"/>
      <c r="C729" s="92" t="str">
        <f t="shared" si="11"/>
        <v/>
      </c>
      <c r="D729" s="113"/>
      <c r="E729" s="113"/>
      <c r="F729" s="113"/>
      <c r="G729" s="113"/>
      <c r="H729" s="128"/>
      <c r="I729" s="113"/>
      <c r="J729" s="113"/>
    </row>
    <row r="730" spans="1:10" ht="15.75" x14ac:dyDescent="0.25">
      <c r="A730" s="104"/>
      <c r="B730" s="104"/>
      <c r="C730" s="92" t="str">
        <f t="shared" si="11"/>
        <v/>
      </c>
      <c r="D730" s="113"/>
      <c r="E730" s="113"/>
      <c r="F730" s="113"/>
      <c r="G730" s="113"/>
      <c r="H730" s="128"/>
      <c r="I730" s="113"/>
      <c r="J730" s="113"/>
    </row>
    <row r="731" spans="1:10" ht="15.75" x14ac:dyDescent="0.25">
      <c r="A731" s="104"/>
      <c r="B731" s="104"/>
      <c r="C731" s="92" t="str">
        <f t="shared" si="11"/>
        <v/>
      </c>
      <c r="D731" s="113"/>
      <c r="E731" s="113"/>
      <c r="F731" s="113"/>
      <c r="G731" s="113"/>
      <c r="H731" s="128"/>
      <c r="I731" s="113"/>
      <c r="J731" s="113"/>
    </row>
    <row r="732" spans="1:10" ht="15.75" x14ac:dyDescent="0.25">
      <c r="A732" s="104"/>
      <c r="B732" s="104"/>
      <c r="C732" s="92" t="str">
        <f t="shared" si="11"/>
        <v/>
      </c>
      <c r="D732" s="113"/>
      <c r="E732" s="113"/>
      <c r="F732" s="113"/>
      <c r="G732" s="113"/>
      <c r="H732" s="128"/>
      <c r="I732" s="113"/>
      <c r="J732" s="113"/>
    </row>
    <row r="733" spans="1:10" ht="15.75" x14ac:dyDescent="0.25">
      <c r="A733" s="104"/>
      <c r="B733" s="104"/>
      <c r="C733" s="92" t="str">
        <f t="shared" si="11"/>
        <v/>
      </c>
      <c r="D733" s="113"/>
      <c r="E733" s="113"/>
      <c r="F733" s="113"/>
      <c r="G733" s="113"/>
      <c r="H733" s="128"/>
      <c r="I733" s="113"/>
      <c r="J733" s="113"/>
    </row>
    <row r="734" spans="1:10" ht="15.75" x14ac:dyDescent="0.25">
      <c r="A734" s="104"/>
      <c r="B734" s="104"/>
      <c r="C734" s="92" t="str">
        <f t="shared" si="11"/>
        <v/>
      </c>
      <c r="D734" s="113"/>
      <c r="E734" s="113"/>
      <c r="F734" s="113"/>
      <c r="G734" s="113"/>
      <c r="H734" s="128"/>
      <c r="I734" s="113"/>
      <c r="J734" s="113"/>
    </row>
    <row r="735" spans="1:10" ht="15.75" x14ac:dyDescent="0.25">
      <c r="A735" s="104"/>
      <c r="B735" s="104"/>
      <c r="C735" s="92" t="str">
        <f t="shared" si="11"/>
        <v/>
      </c>
      <c r="D735" s="113"/>
      <c r="E735" s="113"/>
      <c r="F735" s="113"/>
      <c r="G735" s="113"/>
      <c r="H735" s="128"/>
      <c r="I735" s="113"/>
      <c r="J735" s="113"/>
    </row>
    <row r="736" spans="1:10" ht="15.75" x14ac:dyDescent="0.25">
      <c r="A736" s="104"/>
      <c r="B736" s="104"/>
      <c r="C736" s="92" t="str">
        <f t="shared" si="11"/>
        <v/>
      </c>
      <c r="D736" s="113"/>
      <c r="E736" s="113"/>
      <c r="F736" s="113"/>
      <c r="G736" s="113"/>
      <c r="H736" s="128"/>
      <c r="I736" s="113"/>
      <c r="J736" s="113"/>
    </row>
    <row r="737" spans="1:10" ht="15.75" x14ac:dyDescent="0.25">
      <c r="A737" s="104"/>
      <c r="B737" s="104"/>
      <c r="C737" s="92" t="str">
        <f t="shared" si="11"/>
        <v/>
      </c>
      <c r="D737" s="113"/>
      <c r="E737" s="113"/>
      <c r="F737" s="113"/>
      <c r="G737" s="113"/>
      <c r="H737" s="128"/>
      <c r="I737" s="113"/>
      <c r="J737" s="113"/>
    </row>
    <row r="738" spans="1:10" ht="15.75" x14ac:dyDescent="0.25">
      <c r="A738" s="104"/>
      <c r="B738" s="104"/>
      <c r="C738" s="92" t="str">
        <f t="shared" si="11"/>
        <v/>
      </c>
      <c r="D738" s="113"/>
      <c r="E738" s="113"/>
      <c r="F738" s="113"/>
      <c r="G738" s="113"/>
      <c r="H738" s="128"/>
      <c r="I738" s="113"/>
      <c r="J738" s="113"/>
    </row>
    <row r="739" spans="1:10" ht="15.75" x14ac:dyDescent="0.25">
      <c r="A739" s="104"/>
      <c r="B739" s="104"/>
      <c r="C739" s="92" t="str">
        <f t="shared" si="11"/>
        <v/>
      </c>
      <c r="D739" s="113"/>
      <c r="E739" s="113"/>
      <c r="F739" s="113"/>
      <c r="G739" s="113"/>
      <c r="H739" s="128"/>
      <c r="I739" s="113"/>
      <c r="J739" s="113"/>
    </row>
    <row r="740" spans="1:10" ht="15.75" x14ac:dyDescent="0.25">
      <c r="A740" s="104"/>
      <c r="B740" s="104"/>
      <c r="C740" s="92" t="str">
        <f t="shared" si="11"/>
        <v/>
      </c>
      <c r="D740" s="113"/>
      <c r="E740" s="113"/>
      <c r="F740" s="113"/>
      <c r="G740" s="113"/>
      <c r="H740" s="128"/>
      <c r="I740" s="113"/>
      <c r="J740" s="113"/>
    </row>
    <row r="741" spans="1:10" ht="15.75" x14ac:dyDescent="0.25">
      <c r="A741" s="104"/>
      <c r="B741" s="104"/>
      <c r="C741" s="92" t="str">
        <f t="shared" si="11"/>
        <v/>
      </c>
      <c r="D741" s="113"/>
      <c r="E741" s="113"/>
      <c r="F741" s="113"/>
      <c r="G741" s="113"/>
      <c r="H741" s="128"/>
      <c r="I741" s="113"/>
      <c r="J741" s="113"/>
    </row>
    <row r="742" spans="1:10" ht="15.75" x14ac:dyDescent="0.25">
      <c r="A742" s="104"/>
      <c r="B742" s="104"/>
      <c r="C742" s="92" t="str">
        <f t="shared" si="11"/>
        <v/>
      </c>
      <c r="D742" s="113"/>
      <c r="E742" s="113"/>
      <c r="F742" s="113"/>
      <c r="G742" s="113"/>
      <c r="H742" s="128"/>
      <c r="I742" s="113"/>
      <c r="J742" s="113"/>
    </row>
    <row r="743" spans="1:10" ht="15.75" x14ac:dyDescent="0.25">
      <c r="A743" s="104"/>
      <c r="B743" s="104"/>
      <c r="C743" s="92" t="str">
        <f t="shared" si="11"/>
        <v/>
      </c>
      <c r="D743" s="113"/>
      <c r="E743" s="113"/>
      <c r="F743" s="113"/>
      <c r="G743" s="113"/>
      <c r="H743" s="128"/>
      <c r="I743" s="113"/>
      <c r="J743" s="113"/>
    </row>
    <row r="744" spans="1:10" ht="15.75" x14ac:dyDescent="0.25">
      <c r="A744" s="104"/>
      <c r="B744" s="104"/>
      <c r="C744" s="92" t="str">
        <f t="shared" si="11"/>
        <v/>
      </c>
      <c r="D744" s="113"/>
      <c r="E744" s="113"/>
      <c r="F744" s="113"/>
      <c r="G744" s="113"/>
      <c r="H744" s="128"/>
      <c r="I744" s="113"/>
      <c r="J744" s="113"/>
    </row>
    <row r="745" spans="1:10" ht="15.75" x14ac:dyDescent="0.25">
      <c r="A745" s="104"/>
      <c r="B745" s="104"/>
      <c r="C745" s="92" t="str">
        <f t="shared" si="11"/>
        <v/>
      </c>
      <c r="D745" s="113"/>
      <c r="E745" s="113"/>
      <c r="F745" s="113"/>
      <c r="G745" s="113"/>
      <c r="H745" s="128"/>
      <c r="I745" s="113"/>
      <c r="J745" s="113"/>
    </row>
    <row r="746" spans="1:10" ht="15.75" x14ac:dyDescent="0.25">
      <c r="A746" s="104"/>
      <c r="B746" s="104"/>
      <c r="C746" s="92" t="str">
        <f t="shared" si="11"/>
        <v/>
      </c>
      <c r="D746" s="113"/>
      <c r="E746" s="113"/>
      <c r="F746" s="113"/>
      <c r="G746" s="113"/>
      <c r="H746" s="128"/>
      <c r="I746" s="113"/>
      <c r="J746" s="113"/>
    </row>
    <row r="747" spans="1:10" ht="15.75" x14ac:dyDescent="0.25">
      <c r="A747" s="104"/>
      <c r="B747" s="104"/>
      <c r="C747" s="92" t="str">
        <f t="shared" si="11"/>
        <v/>
      </c>
      <c r="D747" s="113"/>
      <c r="E747" s="113"/>
      <c r="F747" s="113"/>
      <c r="G747" s="113"/>
      <c r="H747" s="128"/>
      <c r="I747" s="113"/>
      <c r="J747" s="113"/>
    </row>
    <row r="748" spans="1:10" ht="15.75" x14ac:dyDescent="0.25">
      <c r="A748" s="104"/>
      <c r="B748" s="104"/>
      <c r="C748" s="92" t="str">
        <f t="shared" si="11"/>
        <v/>
      </c>
      <c r="D748" s="113"/>
      <c r="E748" s="113"/>
      <c r="F748" s="113"/>
      <c r="G748" s="113"/>
      <c r="H748" s="128"/>
      <c r="I748" s="113"/>
      <c r="J748" s="113"/>
    </row>
    <row r="749" spans="1:10" ht="15.75" x14ac:dyDescent="0.25">
      <c r="A749" s="104"/>
      <c r="B749" s="104"/>
      <c r="C749" s="92" t="str">
        <f t="shared" si="11"/>
        <v/>
      </c>
      <c r="D749" s="113"/>
      <c r="E749" s="113"/>
      <c r="F749" s="113"/>
      <c r="G749" s="113"/>
      <c r="H749" s="128"/>
      <c r="I749" s="113"/>
      <c r="J749" s="113"/>
    </row>
    <row r="750" spans="1:10" ht="15.75" x14ac:dyDescent="0.25">
      <c r="A750" s="104"/>
      <c r="B750" s="104"/>
      <c r="C750" s="92" t="str">
        <f t="shared" si="11"/>
        <v/>
      </c>
      <c r="D750" s="113"/>
      <c r="E750" s="113"/>
      <c r="F750" s="113"/>
      <c r="G750" s="113"/>
      <c r="H750" s="128"/>
      <c r="I750" s="113"/>
      <c r="J750" s="113"/>
    </row>
    <row r="751" spans="1:10" ht="15.75" x14ac:dyDescent="0.25">
      <c r="A751" s="104"/>
      <c r="B751" s="104"/>
      <c r="C751" s="92" t="str">
        <f t="shared" si="11"/>
        <v/>
      </c>
      <c r="D751" s="113"/>
      <c r="E751" s="113"/>
      <c r="F751" s="113"/>
      <c r="G751" s="113"/>
      <c r="H751" s="128"/>
      <c r="I751" s="113"/>
      <c r="J751" s="113"/>
    </row>
    <row r="752" spans="1:10" ht="15.75" x14ac:dyDescent="0.25">
      <c r="A752" s="104"/>
      <c r="B752" s="104"/>
      <c r="C752" s="92" t="str">
        <f t="shared" si="11"/>
        <v/>
      </c>
      <c r="D752" s="113"/>
      <c r="E752" s="113"/>
      <c r="F752" s="113"/>
      <c r="G752" s="113"/>
      <c r="H752" s="128"/>
      <c r="I752" s="113"/>
      <c r="J752" s="113"/>
    </row>
    <row r="753" spans="1:10" ht="15.75" x14ac:dyDescent="0.25">
      <c r="A753" s="104"/>
      <c r="B753" s="104"/>
      <c r="C753" s="92" t="str">
        <f t="shared" si="11"/>
        <v/>
      </c>
      <c r="D753" s="113"/>
      <c r="E753" s="113"/>
      <c r="F753" s="113"/>
      <c r="G753" s="113"/>
      <c r="H753" s="128"/>
      <c r="I753" s="113"/>
      <c r="J753" s="113"/>
    </row>
    <row r="754" spans="1:10" ht="15.75" x14ac:dyDescent="0.25">
      <c r="A754" s="104"/>
      <c r="B754" s="104"/>
      <c r="C754" s="92" t="str">
        <f t="shared" si="11"/>
        <v/>
      </c>
      <c r="D754" s="113"/>
      <c r="E754" s="113"/>
      <c r="F754" s="113"/>
      <c r="G754" s="113"/>
      <c r="H754" s="128"/>
      <c r="I754" s="113"/>
      <c r="J754" s="113"/>
    </row>
    <row r="755" spans="1:10" ht="15.75" x14ac:dyDescent="0.25">
      <c r="A755" s="104"/>
      <c r="B755" s="104"/>
      <c r="C755" s="92" t="str">
        <f t="shared" si="11"/>
        <v/>
      </c>
      <c r="D755" s="113"/>
      <c r="E755" s="113"/>
      <c r="F755" s="113"/>
      <c r="G755" s="113"/>
      <c r="H755" s="128"/>
      <c r="I755" s="113"/>
      <c r="J755" s="113"/>
    </row>
    <row r="756" spans="1:10" ht="15.75" x14ac:dyDescent="0.25">
      <c r="A756" s="104"/>
      <c r="B756" s="104"/>
      <c r="C756" s="92" t="str">
        <f t="shared" si="11"/>
        <v/>
      </c>
      <c r="D756" s="113"/>
      <c r="E756" s="113"/>
      <c r="F756" s="113"/>
      <c r="G756" s="113"/>
      <c r="H756" s="128"/>
      <c r="I756" s="113"/>
      <c r="J756" s="113"/>
    </row>
    <row r="757" spans="1:10" ht="15.75" x14ac:dyDescent="0.25">
      <c r="A757" s="104"/>
      <c r="B757" s="104"/>
      <c r="C757" s="92" t="str">
        <f t="shared" si="11"/>
        <v/>
      </c>
      <c r="D757" s="113"/>
      <c r="E757" s="113"/>
      <c r="F757" s="113"/>
      <c r="G757" s="113"/>
      <c r="H757" s="128"/>
      <c r="I757" s="113"/>
      <c r="J757" s="113"/>
    </row>
    <row r="758" spans="1:10" ht="15.75" x14ac:dyDescent="0.25">
      <c r="A758" s="104"/>
      <c r="B758" s="104"/>
      <c r="C758" s="92" t="str">
        <f t="shared" si="11"/>
        <v/>
      </c>
      <c r="D758" s="113"/>
      <c r="E758" s="113"/>
      <c r="F758" s="113"/>
      <c r="G758" s="113"/>
      <c r="H758" s="128"/>
      <c r="I758" s="113"/>
      <c r="J758" s="113"/>
    </row>
    <row r="759" spans="1:10" ht="15.75" x14ac:dyDescent="0.25">
      <c r="A759" s="104"/>
      <c r="B759" s="104"/>
      <c r="C759" s="92" t="str">
        <f t="shared" si="11"/>
        <v/>
      </c>
      <c r="D759" s="113"/>
      <c r="E759" s="113"/>
      <c r="F759" s="113"/>
      <c r="G759" s="113"/>
      <c r="H759" s="128"/>
      <c r="I759" s="113"/>
      <c r="J759" s="113"/>
    </row>
    <row r="760" spans="1:10" ht="15.75" x14ac:dyDescent="0.25">
      <c r="A760" s="104"/>
      <c r="B760" s="104"/>
      <c r="C760" s="92" t="str">
        <f t="shared" si="11"/>
        <v/>
      </c>
      <c r="D760" s="113"/>
      <c r="E760" s="113"/>
      <c r="F760" s="113"/>
      <c r="G760" s="113"/>
      <c r="H760" s="128"/>
      <c r="I760" s="113"/>
      <c r="J760" s="113"/>
    </row>
    <row r="761" spans="1:10" ht="15.75" x14ac:dyDescent="0.25">
      <c r="A761" s="104"/>
      <c r="B761" s="104"/>
      <c r="C761" s="92" t="str">
        <f t="shared" si="11"/>
        <v/>
      </c>
      <c r="D761" s="113"/>
      <c r="E761" s="113"/>
      <c r="F761" s="113"/>
      <c r="G761" s="113"/>
      <c r="H761" s="128"/>
      <c r="I761" s="113"/>
      <c r="J761" s="113"/>
    </row>
    <row r="762" spans="1:10" ht="15.75" x14ac:dyDescent="0.25">
      <c r="A762" s="104"/>
      <c r="B762" s="104"/>
      <c r="C762" s="92" t="str">
        <f t="shared" si="11"/>
        <v/>
      </c>
      <c r="D762" s="113"/>
      <c r="E762" s="113"/>
      <c r="F762" s="113"/>
      <c r="G762" s="113"/>
      <c r="H762" s="128"/>
      <c r="I762" s="113"/>
      <c r="J762" s="113"/>
    </row>
    <row r="763" spans="1:10" ht="15.75" x14ac:dyDescent="0.25">
      <c r="A763" s="104"/>
      <c r="B763" s="104"/>
      <c r="C763" s="92" t="str">
        <f t="shared" si="11"/>
        <v/>
      </c>
      <c r="D763" s="113"/>
      <c r="E763" s="113"/>
      <c r="F763" s="113"/>
      <c r="G763" s="113"/>
      <c r="H763" s="128"/>
      <c r="I763" s="113"/>
      <c r="J763" s="113"/>
    </row>
    <row r="764" spans="1:10" ht="15.75" x14ac:dyDescent="0.25">
      <c r="A764" s="104"/>
      <c r="B764" s="104"/>
      <c r="C764" s="92" t="str">
        <f t="shared" si="11"/>
        <v/>
      </c>
      <c r="D764" s="113"/>
      <c r="E764" s="113"/>
      <c r="F764" s="113"/>
      <c r="G764" s="113"/>
      <c r="H764" s="128"/>
      <c r="I764" s="113"/>
      <c r="J764" s="113"/>
    </row>
    <row r="765" spans="1:10" ht="15.75" x14ac:dyDescent="0.25">
      <c r="A765" s="104"/>
      <c r="B765" s="104"/>
      <c r="C765" s="92" t="str">
        <f t="shared" si="11"/>
        <v/>
      </c>
      <c r="D765" s="113"/>
      <c r="E765" s="113"/>
      <c r="F765" s="113"/>
      <c r="G765" s="113"/>
      <c r="H765" s="128"/>
      <c r="I765" s="113"/>
      <c r="J765" s="113"/>
    </row>
    <row r="766" spans="1:10" ht="15.75" x14ac:dyDescent="0.25">
      <c r="A766" s="104"/>
      <c r="B766" s="104"/>
      <c r="C766" s="92" t="str">
        <f t="shared" si="11"/>
        <v/>
      </c>
      <c r="D766" s="113"/>
      <c r="E766" s="113"/>
      <c r="F766" s="113"/>
      <c r="G766" s="113"/>
      <c r="H766" s="128"/>
      <c r="I766" s="113"/>
      <c r="J766" s="113"/>
    </row>
    <row r="767" spans="1:10" ht="15.75" x14ac:dyDescent="0.25">
      <c r="A767" s="104"/>
      <c r="B767" s="104"/>
      <c r="C767" s="92" t="str">
        <f t="shared" si="11"/>
        <v/>
      </c>
      <c r="D767" s="113"/>
      <c r="E767" s="113"/>
      <c r="F767" s="113"/>
      <c r="G767" s="113"/>
      <c r="H767" s="128"/>
      <c r="I767" s="113"/>
      <c r="J767" s="113"/>
    </row>
    <row r="768" spans="1:10" ht="15.75" x14ac:dyDescent="0.25">
      <c r="A768" s="104"/>
      <c r="B768" s="104"/>
      <c r="C768" s="92" t="str">
        <f t="shared" si="11"/>
        <v/>
      </c>
      <c r="D768" s="113"/>
      <c r="E768" s="113"/>
      <c r="F768" s="113"/>
      <c r="G768" s="113"/>
      <c r="H768" s="128"/>
      <c r="I768" s="113"/>
      <c r="J768" s="113"/>
    </row>
    <row r="769" spans="1:10" ht="15.75" x14ac:dyDescent="0.25">
      <c r="A769" s="104"/>
      <c r="B769" s="104"/>
      <c r="C769" s="92" t="str">
        <f t="shared" si="11"/>
        <v/>
      </c>
      <c r="D769" s="113"/>
      <c r="E769" s="113"/>
      <c r="F769" s="113"/>
      <c r="G769" s="113"/>
      <c r="H769" s="128"/>
      <c r="I769" s="113"/>
      <c r="J769" s="113"/>
    </row>
    <row r="770" spans="1:10" ht="15.75" x14ac:dyDescent="0.25">
      <c r="A770" s="104"/>
      <c r="B770" s="104"/>
      <c r="C770" s="92" t="str">
        <f t="shared" si="11"/>
        <v/>
      </c>
      <c r="D770" s="113"/>
      <c r="E770" s="113"/>
      <c r="F770" s="113"/>
      <c r="G770" s="113"/>
      <c r="H770" s="128"/>
      <c r="I770" s="113"/>
      <c r="J770" s="113"/>
    </row>
    <row r="771" spans="1:10" ht="15.75" x14ac:dyDescent="0.25">
      <c r="A771" s="104"/>
      <c r="B771" s="104"/>
      <c r="C771" s="92" t="str">
        <f t="shared" si="11"/>
        <v/>
      </c>
      <c r="D771" s="113"/>
      <c r="E771" s="113"/>
      <c r="F771" s="113"/>
      <c r="G771" s="113"/>
      <c r="H771" s="128"/>
      <c r="I771" s="113"/>
      <c r="J771" s="113"/>
    </row>
    <row r="772" spans="1:10" ht="15.75" x14ac:dyDescent="0.25">
      <c r="A772" s="104"/>
      <c r="B772" s="104"/>
      <c r="C772" s="92" t="str">
        <f t="shared" si="11"/>
        <v/>
      </c>
      <c r="D772" s="113"/>
      <c r="E772" s="113"/>
      <c r="F772" s="113"/>
      <c r="G772" s="113"/>
      <c r="H772" s="128"/>
      <c r="I772" s="113"/>
      <c r="J772" s="113"/>
    </row>
    <row r="773" spans="1:10" ht="15.75" x14ac:dyDescent="0.25">
      <c r="A773" s="104"/>
      <c r="B773" s="104"/>
      <c r="C773" s="92" t="str">
        <f t="shared" si="11"/>
        <v/>
      </c>
      <c r="D773" s="113"/>
      <c r="E773" s="113"/>
      <c r="F773" s="113"/>
      <c r="G773" s="113"/>
      <c r="H773" s="128"/>
      <c r="I773" s="113"/>
      <c r="J773" s="113"/>
    </row>
    <row r="774" spans="1:10" ht="15.75" x14ac:dyDescent="0.25">
      <c r="A774" s="104"/>
      <c r="B774" s="104"/>
      <c r="C774" s="92" t="str">
        <f t="shared" si="11"/>
        <v/>
      </c>
      <c r="D774" s="113"/>
      <c r="E774" s="113"/>
      <c r="F774" s="113"/>
      <c r="G774" s="113"/>
      <c r="H774" s="128"/>
      <c r="I774" s="113"/>
      <c r="J774" s="113"/>
    </row>
    <row r="775" spans="1:10" ht="15.75" x14ac:dyDescent="0.25">
      <c r="A775" s="104"/>
      <c r="B775" s="104"/>
      <c r="C775" s="92" t="str">
        <f t="shared" si="11"/>
        <v/>
      </c>
      <c r="D775" s="113"/>
      <c r="E775" s="113"/>
      <c r="F775" s="113"/>
      <c r="G775" s="113"/>
      <c r="H775" s="128"/>
      <c r="I775" s="113"/>
      <c r="J775" s="113"/>
    </row>
    <row r="776" spans="1:10" ht="15.75" x14ac:dyDescent="0.25">
      <c r="A776" s="104"/>
      <c r="B776" s="104"/>
      <c r="C776" s="92" t="str">
        <f t="shared" si="11"/>
        <v/>
      </c>
      <c r="D776" s="113"/>
      <c r="E776" s="113"/>
      <c r="F776" s="113"/>
      <c r="G776" s="113"/>
      <c r="H776" s="128"/>
      <c r="I776" s="113"/>
      <c r="J776" s="113"/>
    </row>
    <row r="777" spans="1:10" ht="15.75" x14ac:dyDescent="0.25">
      <c r="A777" s="104"/>
      <c r="B777" s="104"/>
      <c r="C777" s="92" t="str">
        <f t="shared" si="11"/>
        <v/>
      </c>
      <c r="D777" s="113"/>
      <c r="E777" s="113"/>
      <c r="F777" s="113"/>
      <c r="G777" s="113"/>
      <c r="H777" s="128"/>
      <c r="I777" s="113"/>
      <c r="J777" s="113"/>
    </row>
    <row r="778" spans="1:10" ht="15.75" x14ac:dyDescent="0.25">
      <c r="A778" s="104"/>
      <c r="B778" s="104"/>
      <c r="C778" s="92" t="str">
        <f t="shared" si="11"/>
        <v/>
      </c>
      <c r="D778" s="113"/>
      <c r="E778" s="113"/>
      <c r="F778" s="113"/>
      <c r="G778" s="113"/>
      <c r="H778" s="128"/>
      <c r="I778" s="113"/>
      <c r="J778" s="113"/>
    </row>
    <row r="779" spans="1:10" ht="15.75" x14ac:dyDescent="0.25">
      <c r="A779" s="104"/>
      <c r="B779" s="104"/>
      <c r="C779" s="92" t="str">
        <f t="shared" si="11"/>
        <v/>
      </c>
      <c r="D779" s="113"/>
      <c r="E779" s="113"/>
      <c r="F779" s="113"/>
      <c r="G779" s="113"/>
      <c r="H779" s="128"/>
      <c r="I779" s="113"/>
      <c r="J779" s="113"/>
    </row>
    <row r="780" spans="1:10" ht="15.75" x14ac:dyDescent="0.25">
      <c r="A780" s="104"/>
      <c r="B780" s="104"/>
      <c r="C780" s="92" t="str">
        <f t="shared" si="11"/>
        <v/>
      </c>
      <c r="D780" s="113"/>
      <c r="E780" s="113"/>
      <c r="F780" s="113"/>
      <c r="G780" s="113"/>
      <c r="H780" s="128"/>
      <c r="I780" s="113"/>
      <c r="J780" s="113"/>
    </row>
    <row r="781" spans="1:10" ht="15.75" x14ac:dyDescent="0.25">
      <c r="A781" s="104"/>
      <c r="B781" s="104"/>
      <c r="C781" s="92" t="str">
        <f t="shared" si="11"/>
        <v/>
      </c>
      <c r="D781" s="113"/>
      <c r="E781" s="113"/>
      <c r="F781" s="113"/>
      <c r="G781" s="113"/>
      <c r="H781" s="128"/>
      <c r="I781" s="113"/>
      <c r="J781" s="113"/>
    </row>
    <row r="782" spans="1:10" ht="15.75" x14ac:dyDescent="0.25">
      <c r="A782" s="104"/>
      <c r="B782" s="104"/>
      <c r="C782" s="92" t="str">
        <f t="shared" si="11"/>
        <v/>
      </c>
      <c r="D782" s="113"/>
      <c r="E782" s="113"/>
      <c r="F782" s="113"/>
      <c r="G782" s="113"/>
      <c r="H782" s="128"/>
      <c r="I782" s="113"/>
      <c r="J782" s="113"/>
    </row>
    <row r="783" spans="1:10" ht="15.75" x14ac:dyDescent="0.25">
      <c r="A783" s="104"/>
      <c r="B783" s="104"/>
      <c r="C783" s="92" t="str">
        <f t="shared" si="11"/>
        <v/>
      </c>
      <c r="D783" s="113"/>
      <c r="E783" s="113"/>
      <c r="F783" s="113"/>
      <c r="G783" s="113"/>
      <c r="H783" s="128"/>
      <c r="I783" s="113"/>
      <c r="J783" s="113"/>
    </row>
    <row r="784" spans="1:10" ht="15.75" x14ac:dyDescent="0.25">
      <c r="A784" s="104"/>
      <c r="B784" s="104"/>
      <c r="C784" s="92" t="str">
        <f t="shared" si="11"/>
        <v/>
      </c>
      <c r="D784" s="113"/>
      <c r="E784" s="113"/>
      <c r="F784" s="113"/>
      <c r="G784" s="113"/>
      <c r="H784" s="128"/>
      <c r="I784" s="113"/>
      <c r="J784" s="113"/>
    </row>
    <row r="785" spans="1:10" ht="15.75" x14ac:dyDescent="0.25">
      <c r="A785" s="104"/>
      <c r="B785" s="104"/>
      <c r="C785" s="92" t="str">
        <f t="shared" si="11"/>
        <v/>
      </c>
      <c r="D785" s="113"/>
      <c r="E785" s="113"/>
      <c r="F785" s="113"/>
      <c r="G785" s="113"/>
      <c r="H785" s="128"/>
      <c r="I785" s="113"/>
      <c r="J785" s="113"/>
    </row>
    <row r="786" spans="1:10" ht="15.75" x14ac:dyDescent="0.25">
      <c r="A786" s="104"/>
      <c r="B786" s="104"/>
      <c r="C786" s="92" t="str">
        <f t="shared" si="11"/>
        <v/>
      </c>
      <c r="D786" s="113"/>
      <c r="E786" s="113"/>
      <c r="F786" s="113"/>
      <c r="G786" s="113"/>
      <c r="H786" s="128"/>
      <c r="I786" s="113"/>
      <c r="J786" s="113"/>
    </row>
    <row r="787" spans="1:10" ht="15.75" x14ac:dyDescent="0.25">
      <c r="A787" s="104"/>
      <c r="B787" s="104"/>
      <c r="C787" s="92" t="str">
        <f t="shared" si="11"/>
        <v/>
      </c>
      <c r="D787" s="113"/>
      <c r="E787" s="113"/>
      <c r="F787" s="113"/>
      <c r="G787" s="113"/>
      <c r="H787" s="128"/>
      <c r="I787" s="113"/>
      <c r="J787" s="113"/>
    </row>
    <row r="788" spans="1:10" ht="15.75" x14ac:dyDescent="0.25">
      <c r="A788" s="104"/>
      <c r="B788" s="104"/>
      <c r="C788" s="92" t="str">
        <f t="shared" ref="C788:C851" si="12">IF(A788=0,"","Steel02")</f>
        <v/>
      </c>
      <c r="D788" s="113"/>
      <c r="E788" s="113"/>
      <c r="F788" s="113"/>
      <c r="G788" s="113"/>
      <c r="H788" s="128"/>
      <c r="I788" s="113"/>
      <c r="J788" s="113"/>
    </row>
    <row r="789" spans="1:10" ht="15.75" x14ac:dyDescent="0.25">
      <c r="A789" s="104"/>
      <c r="B789" s="104"/>
      <c r="C789" s="92" t="str">
        <f t="shared" si="12"/>
        <v/>
      </c>
      <c r="D789" s="113"/>
      <c r="E789" s="113"/>
      <c r="F789" s="113"/>
      <c r="G789" s="113"/>
      <c r="H789" s="128"/>
      <c r="I789" s="113"/>
      <c r="J789" s="113"/>
    </row>
    <row r="790" spans="1:10" ht="15.75" x14ac:dyDescent="0.25">
      <c r="A790" s="104"/>
      <c r="B790" s="104"/>
      <c r="C790" s="92" t="str">
        <f t="shared" si="12"/>
        <v/>
      </c>
      <c r="D790" s="113"/>
      <c r="E790" s="113"/>
      <c r="F790" s="113"/>
      <c r="G790" s="113"/>
      <c r="H790" s="128"/>
      <c r="I790" s="113"/>
      <c r="J790" s="113"/>
    </row>
    <row r="791" spans="1:10" ht="15.75" x14ac:dyDescent="0.25">
      <c r="A791" s="104"/>
      <c r="B791" s="104"/>
      <c r="C791" s="92" t="str">
        <f t="shared" si="12"/>
        <v/>
      </c>
      <c r="D791" s="113"/>
      <c r="E791" s="113"/>
      <c r="F791" s="113"/>
      <c r="G791" s="113"/>
      <c r="H791" s="128"/>
      <c r="I791" s="113"/>
      <c r="J791" s="113"/>
    </row>
    <row r="792" spans="1:10" ht="15.75" x14ac:dyDescent="0.25">
      <c r="A792" s="104"/>
      <c r="B792" s="104"/>
      <c r="C792" s="92" t="str">
        <f t="shared" si="12"/>
        <v/>
      </c>
      <c r="D792" s="113"/>
      <c r="E792" s="113"/>
      <c r="F792" s="113"/>
      <c r="G792" s="113"/>
      <c r="H792" s="128"/>
      <c r="I792" s="113"/>
      <c r="J792" s="113"/>
    </row>
    <row r="793" spans="1:10" ht="15.75" x14ac:dyDescent="0.25">
      <c r="A793" s="104"/>
      <c r="B793" s="104"/>
      <c r="C793" s="92" t="str">
        <f t="shared" si="12"/>
        <v/>
      </c>
      <c r="D793" s="113"/>
      <c r="E793" s="113"/>
      <c r="F793" s="113"/>
      <c r="G793" s="113"/>
      <c r="H793" s="128"/>
      <c r="I793" s="113"/>
      <c r="J793" s="113"/>
    </row>
    <row r="794" spans="1:10" ht="15.75" x14ac:dyDescent="0.25">
      <c r="A794" s="104"/>
      <c r="B794" s="104"/>
      <c r="C794" s="92" t="str">
        <f t="shared" si="12"/>
        <v/>
      </c>
      <c r="D794" s="113"/>
      <c r="E794" s="113"/>
      <c r="F794" s="113"/>
      <c r="G794" s="113"/>
      <c r="H794" s="128"/>
      <c r="I794" s="113"/>
      <c r="J794" s="113"/>
    </row>
    <row r="795" spans="1:10" ht="15.75" x14ac:dyDescent="0.25">
      <c r="A795" s="104"/>
      <c r="B795" s="104"/>
      <c r="C795" s="92" t="str">
        <f t="shared" si="12"/>
        <v/>
      </c>
      <c r="D795" s="113"/>
      <c r="E795" s="113"/>
      <c r="F795" s="113"/>
      <c r="G795" s="113"/>
      <c r="H795" s="128"/>
      <c r="I795" s="113"/>
      <c r="J795" s="113"/>
    </row>
    <row r="796" spans="1:10" ht="15.75" x14ac:dyDescent="0.25">
      <c r="A796" s="104"/>
      <c r="B796" s="104"/>
      <c r="C796" s="92" t="str">
        <f t="shared" si="12"/>
        <v/>
      </c>
      <c r="D796" s="113"/>
      <c r="E796" s="113"/>
      <c r="F796" s="113"/>
      <c r="G796" s="113"/>
      <c r="H796" s="128"/>
      <c r="I796" s="113"/>
      <c r="J796" s="113"/>
    </row>
    <row r="797" spans="1:10" ht="15.75" x14ac:dyDescent="0.25">
      <c r="A797" s="104"/>
      <c r="B797" s="104"/>
      <c r="C797" s="92" t="str">
        <f t="shared" si="12"/>
        <v/>
      </c>
      <c r="D797" s="113"/>
      <c r="E797" s="113"/>
      <c r="F797" s="113"/>
      <c r="G797" s="113"/>
      <c r="H797" s="128"/>
      <c r="I797" s="113"/>
      <c r="J797" s="113"/>
    </row>
    <row r="798" spans="1:10" ht="15.75" x14ac:dyDescent="0.25">
      <c r="A798" s="104"/>
      <c r="B798" s="104"/>
      <c r="C798" s="92" t="str">
        <f t="shared" si="12"/>
        <v/>
      </c>
      <c r="D798" s="113"/>
      <c r="E798" s="113"/>
      <c r="F798" s="113"/>
      <c r="G798" s="113"/>
      <c r="H798" s="128"/>
      <c r="I798" s="113"/>
      <c r="J798" s="113"/>
    </row>
    <row r="799" spans="1:10" ht="15.75" x14ac:dyDescent="0.25">
      <c r="A799" s="104"/>
      <c r="B799" s="104"/>
      <c r="C799" s="92" t="str">
        <f t="shared" si="12"/>
        <v/>
      </c>
      <c r="D799" s="113"/>
      <c r="E799" s="113"/>
      <c r="F799" s="113"/>
      <c r="G799" s="113"/>
      <c r="H799" s="128"/>
      <c r="I799" s="113"/>
      <c r="J799" s="113"/>
    </row>
    <row r="800" spans="1:10" ht="15.75" x14ac:dyDescent="0.25">
      <c r="A800" s="104"/>
      <c r="B800" s="104"/>
      <c r="C800" s="92" t="str">
        <f t="shared" si="12"/>
        <v/>
      </c>
      <c r="D800" s="113"/>
      <c r="E800" s="113"/>
      <c r="F800" s="113"/>
      <c r="G800" s="113"/>
      <c r="H800" s="128"/>
      <c r="I800" s="113"/>
      <c r="J800" s="113"/>
    </row>
    <row r="801" spans="1:10" ht="15.75" x14ac:dyDescent="0.25">
      <c r="A801" s="104"/>
      <c r="B801" s="104"/>
      <c r="C801" s="92" t="str">
        <f t="shared" si="12"/>
        <v/>
      </c>
      <c r="D801" s="113"/>
      <c r="E801" s="113"/>
      <c r="F801" s="113"/>
      <c r="G801" s="113"/>
      <c r="H801" s="128"/>
      <c r="I801" s="113"/>
      <c r="J801" s="113"/>
    </row>
    <row r="802" spans="1:10" ht="15.75" x14ac:dyDescent="0.25">
      <c r="A802" s="104"/>
      <c r="B802" s="104"/>
      <c r="C802" s="92" t="str">
        <f t="shared" si="12"/>
        <v/>
      </c>
      <c r="D802" s="113"/>
      <c r="E802" s="113"/>
      <c r="F802" s="113"/>
      <c r="G802" s="113"/>
      <c r="H802" s="128"/>
      <c r="I802" s="113"/>
      <c r="J802" s="113"/>
    </row>
    <row r="803" spans="1:10" ht="15.75" x14ac:dyDescent="0.25">
      <c r="A803" s="104"/>
      <c r="B803" s="104"/>
      <c r="C803" s="92" t="str">
        <f t="shared" si="12"/>
        <v/>
      </c>
      <c r="D803" s="113"/>
      <c r="E803" s="113"/>
      <c r="F803" s="113"/>
      <c r="G803" s="113"/>
      <c r="H803" s="128"/>
      <c r="I803" s="113"/>
      <c r="J803" s="113"/>
    </row>
    <row r="804" spans="1:10" ht="15.75" x14ac:dyDescent="0.25">
      <c r="A804" s="104"/>
      <c r="B804" s="104"/>
      <c r="C804" s="92" t="str">
        <f t="shared" si="12"/>
        <v/>
      </c>
      <c r="D804" s="113"/>
      <c r="E804" s="113"/>
      <c r="F804" s="113"/>
      <c r="G804" s="113"/>
      <c r="H804" s="128"/>
      <c r="I804" s="113"/>
      <c r="J804" s="113"/>
    </row>
    <row r="805" spans="1:10" ht="15.75" x14ac:dyDescent="0.25">
      <c r="A805" s="104"/>
      <c r="B805" s="104"/>
      <c r="C805" s="92" t="str">
        <f t="shared" si="12"/>
        <v/>
      </c>
      <c r="D805" s="113"/>
      <c r="E805" s="113"/>
      <c r="F805" s="113"/>
      <c r="G805" s="113"/>
      <c r="H805" s="128"/>
      <c r="I805" s="113"/>
      <c r="J805" s="113"/>
    </row>
    <row r="806" spans="1:10" ht="15.75" x14ac:dyDescent="0.25">
      <c r="A806" s="104"/>
      <c r="B806" s="104"/>
      <c r="C806" s="92" t="str">
        <f t="shared" si="12"/>
        <v/>
      </c>
      <c r="D806" s="113"/>
      <c r="E806" s="113"/>
      <c r="F806" s="113"/>
      <c r="G806" s="113"/>
      <c r="H806" s="128"/>
      <c r="I806" s="113"/>
      <c r="J806" s="113"/>
    </row>
    <row r="807" spans="1:10" ht="15.75" x14ac:dyDescent="0.25">
      <c r="A807" s="104"/>
      <c r="B807" s="104"/>
      <c r="C807" s="92" t="str">
        <f t="shared" si="12"/>
        <v/>
      </c>
      <c r="D807" s="113"/>
      <c r="E807" s="113"/>
      <c r="F807" s="113"/>
      <c r="G807" s="113"/>
      <c r="H807" s="128"/>
      <c r="I807" s="113"/>
      <c r="J807" s="113"/>
    </row>
    <row r="808" spans="1:10" ht="15.75" x14ac:dyDescent="0.25">
      <c r="A808" s="104"/>
      <c r="B808" s="104"/>
      <c r="C808" s="92" t="str">
        <f t="shared" si="12"/>
        <v/>
      </c>
      <c r="D808" s="113"/>
      <c r="E808" s="113"/>
      <c r="F808" s="113"/>
      <c r="G808" s="113"/>
      <c r="H808" s="128"/>
      <c r="I808" s="113"/>
      <c r="J808" s="113"/>
    </row>
    <row r="809" spans="1:10" ht="15.75" x14ac:dyDescent="0.25">
      <c r="A809" s="104"/>
      <c r="B809" s="104"/>
      <c r="C809" s="92" t="str">
        <f t="shared" si="12"/>
        <v/>
      </c>
      <c r="D809" s="113"/>
      <c r="E809" s="113"/>
      <c r="F809" s="113"/>
      <c r="G809" s="113"/>
      <c r="H809" s="128"/>
      <c r="I809" s="113"/>
      <c r="J809" s="113"/>
    </row>
    <row r="810" spans="1:10" ht="15.75" x14ac:dyDescent="0.25">
      <c r="A810" s="104"/>
      <c r="B810" s="104"/>
      <c r="C810" s="92" t="str">
        <f t="shared" si="12"/>
        <v/>
      </c>
      <c r="D810" s="113"/>
      <c r="E810" s="113"/>
      <c r="F810" s="113"/>
      <c r="G810" s="113"/>
      <c r="H810" s="128"/>
      <c r="I810" s="113"/>
      <c r="J810" s="113"/>
    </row>
    <row r="811" spans="1:10" ht="15.75" x14ac:dyDescent="0.25">
      <c r="A811" s="104"/>
      <c r="B811" s="104"/>
      <c r="C811" s="92" t="str">
        <f t="shared" si="12"/>
        <v/>
      </c>
      <c r="D811" s="113"/>
      <c r="E811" s="113"/>
      <c r="F811" s="113"/>
      <c r="G811" s="113"/>
      <c r="H811" s="128"/>
      <c r="I811" s="113"/>
      <c r="J811" s="113"/>
    </row>
    <row r="812" spans="1:10" ht="15.75" x14ac:dyDescent="0.25">
      <c r="A812" s="104"/>
      <c r="B812" s="104"/>
      <c r="C812" s="92" t="str">
        <f t="shared" si="12"/>
        <v/>
      </c>
      <c r="D812" s="113"/>
      <c r="E812" s="113"/>
      <c r="F812" s="113"/>
      <c r="G812" s="113"/>
      <c r="H812" s="128"/>
      <c r="I812" s="113"/>
      <c r="J812" s="113"/>
    </row>
    <row r="813" spans="1:10" ht="15.75" x14ac:dyDescent="0.25">
      <c r="A813" s="104"/>
      <c r="B813" s="104"/>
      <c r="C813" s="92" t="str">
        <f t="shared" si="12"/>
        <v/>
      </c>
      <c r="D813" s="113"/>
      <c r="E813" s="113"/>
      <c r="F813" s="113"/>
      <c r="G813" s="113"/>
      <c r="H813" s="128"/>
      <c r="I813" s="113"/>
      <c r="J813" s="113"/>
    </row>
    <row r="814" spans="1:10" ht="15.75" x14ac:dyDescent="0.25">
      <c r="A814" s="104"/>
      <c r="B814" s="104"/>
      <c r="C814" s="92" t="str">
        <f t="shared" si="12"/>
        <v/>
      </c>
      <c r="D814" s="113"/>
      <c r="E814" s="113"/>
      <c r="F814" s="113"/>
      <c r="G814" s="113"/>
      <c r="H814" s="128"/>
      <c r="I814" s="113"/>
      <c r="J814" s="113"/>
    </row>
    <row r="815" spans="1:10" ht="15.75" x14ac:dyDescent="0.25">
      <c r="A815" s="104"/>
      <c r="B815" s="104"/>
      <c r="C815" s="92" t="str">
        <f t="shared" si="12"/>
        <v/>
      </c>
      <c r="D815" s="113"/>
      <c r="E815" s="113"/>
      <c r="F815" s="113"/>
      <c r="G815" s="113"/>
      <c r="H815" s="128"/>
      <c r="I815" s="113"/>
      <c r="J815" s="113"/>
    </row>
    <row r="816" spans="1:10" ht="15.75" x14ac:dyDescent="0.25">
      <c r="A816" s="104"/>
      <c r="B816" s="104"/>
      <c r="C816" s="92" t="str">
        <f t="shared" si="12"/>
        <v/>
      </c>
      <c r="D816" s="113"/>
      <c r="E816" s="113"/>
      <c r="F816" s="113"/>
      <c r="G816" s="113"/>
      <c r="H816" s="128"/>
      <c r="I816" s="113"/>
      <c r="J816" s="113"/>
    </row>
    <row r="817" spans="1:10" ht="15.75" x14ac:dyDescent="0.25">
      <c r="A817" s="104"/>
      <c r="B817" s="104"/>
      <c r="C817" s="92" t="str">
        <f t="shared" si="12"/>
        <v/>
      </c>
      <c r="D817" s="113"/>
      <c r="E817" s="113"/>
      <c r="F817" s="113"/>
      <c r="G817" s="113"/>
      <c r="H817" s="128"/>
      <c r="I817" s="113"/>
      <c r="J817" s="113"/>
    </row>
    <row r="818" spans="1:10" ht="15.75" x14ac:dyDescent="0.25">
      <c r="A818" s="104"/>
      <c r="B818" s="104"/>
      <c r="C818" s="92" t="str">
        <f t="shared" si="12"/>
        <v/>
      </c>
      <c r="D818" s="113"/>
      <c r="E818" s="113"/>
      <c r="F818" s="113"/>
      <c r="G818" s="113"/>
      <c r="H818" s="128"/>
      <c r="I818" s="113"/>
      <c r="J818" s="113"/>
    </row>
    <row r="819" spans="1:10" ht="15.75" x14ac:dyDescent="0.25">
      <c r="A819" s="104"/>
      <c r="B819" s="104"/>
      <c r="C819" s="92" t="str">
        <f t="shared" si="12"/>
        <v/>
      </c>
      <c r="D819" s="113"/>
      <c r="E819" s="113"/>
      <c r="F819" s="113"/>
      <c r="G819" s="113"/>
      <c r="H819" s="128"/>
      <c r="I819" s="113"/>
      <c r="J819" s="113"/>
    </row>
    <row r="820" spans="1:10" ht="15.75" x14ac:dyDescent="0.25">
      <c r="A820" s="104"/>
      <c r="B820" s="104"/>
      <c r="C820" s="92" t="str">
        <f t="shared" si="12"/>
        <v/>
      </c>
      <c r="D820" s="113"/>
      <c r="E820" s="113"/>
      <c r="F820" s="113"/>
      <c r="G820" s="113"/>
      <c r="H820" s="128"/>
      <c r="I820" s="113"/>
      <c r="J820" s="113"/>
    </row>
    <row r="821" spans="1:10" ht="15.75" x14ac:dyDescent="0.25">
      <c r="A821" s="104"/>
      <c r="B821" s="104"/>
      <c r="C821" s="92" t="str">
        <f t="shared" si="12"/>
        <v/>
      </c>
      <c r="D821" s="113"/>
      <c r="E821" s="113"/>
      <c r="F821" s="113"/>
      <c r="G821" s="113"/>
      <c r="H821" s="128"/>
      <c r="I821" s="113"/>
      <c r="J821" s="113"/>
    </row>
    <row r="822" spans="1:10" ht="15.75" x14ac:dyDescent="0.25">
      <c r="A822" s="104"/>
      <c r="B822" s="104"/>
      <c r="C822" s="92" t="str">
        <f t="shared" si="12"/>
        <v/>
      </c>
      <c r="D822" s="113"/>
      <c r="E822" s="113"/>
      <c r="F822" s="113"/>
      <c r="G822" s="113"/>
      <c r="H822" s="128"/>
      <c r="I822" s="113"/>
      <c r="J822" s="113"/>
    </row>
    <row r="823" spans="1:10" ht="15.75" x14ac:dyDescent="0.25">
      <c r="A823" s="104"/>
      <c r="B823" s="104"/>
      <c r="C823" s="92" t="str">
        <f t="shared" si="12"/>
        <v/>
      </c>
      <c r="D823" s="113"/>
      <c r="E823" s="113"/>
      <c r="F823" s="113"/>
      <c r="G823" s="113"/>
      <c r="H823" s="128"/>
      <c r="I823" s="113"/>
      <c r="J823" s="113"/>
    </row>
    <row r="824" spans="1:10" ht="15.75" x14ac:dyDescent="0.25">
      <c r="A824" s="104"/>
      <c r="B824" s="104"/>
      <c r="C824" s="92" t="str">
        <f t="shared" si="12"/>
        <v/>
      </c>
      <c r="D824" s="113"/>
      <c r="E824" s="113"/>
      <c r="F824" s="113"/>
      <c r="G824" s="113"/>
      <c r="H824" s="128"/>
      <c r="I824" s="113"/>
      <c r="J824" s="113"/>
    </row>
    <row r="825" spans="1:10" ht="15.75" x14ac:dyDescent="0.25">
      <c r="A825" s="104"/>
      <c r="B825" s="104"/>
      <c r="C825" s="92" t="str">
        <f t="shared" si="12"/>
        <v/>
      </c>
      <c r="D825" s="113"/>
      <c r="E825" s="113"/>
      <c r="F825" s="113"/>
      <c r="G825" s="113"/>
      <c r="H825" s="128"/>
      <c r="I825" s="113"/>
      <c r="J825" s="113"/>
    </row>
    <row r="826" spans="1:10" ht="15.75" x14ac:dyDescent="0.25">
      <c r="A826" s="104"/>
      <c r="B826" s="104"/>
      <c r="C826" s="92" t="str">
        <f t="shared" si="12"/>
        <v/>
      </c>
      <c r="D826" s="113"/>
      <c r="E826" s="113"/>
      <c r="F826" s="113"/>
      <c r="G826" s="113"/>
      <c r="H826" s="128"/>
      <c r="I826" s="113"/>
      <c r="J826" s="113"/>
    </row>
    <row r="827" spans="1:10" ht="15.75" x14ac:dyDescent="0.25">
      <c r="A827" s="104"/>
      <c r="B827" s="104"/>
      <c r="C827" s="92" t="str">
        <f t="shared" si="12"/>
        <v/>
      </c>
      <c r="D827" s="113"/>
      <c r="E827" s="113"/>
      <c r="F827" s="113"/>
      <c r="G827" s="113"/>
      <c r="H827" s="128"/>
      <c r="I827" s="113"/>
      <c r="J827" s="113"/>
    </row>
    <row r="828" spans="1:10" ht="15.75" x14ac:dyDescent="0.25">
      <c r="A828" s="104"/>
      <c r="B828" s="104"/>
      <c r="C828" s="92" t="str">
        <f t="shared" si="12"/>
        <v/>
      </c>
      <c r="D828" s="113"/>
      <c r="E828" s="113"/>
      <c r="F828" s="113"/>
      <c r="G828" s="113"/>
      <c r="H828" s="128"/>
      <c r="I828" s="113"/>
      <c r="J828" s="113"/>
    </row>
    <row r="829" spans="1:10" ht="15.75" x14ac:dyDescent="0.25">
      <c r="A829" s="104"/>
      <c r="B829" s="104"/>
      <c r="C829" s="92" t="str">
        <f t="shared" si="12"/>
        <v/>
      </c>
      <c r="D829" s="113"/>
      <c r="E829" s="113"/>
      <c r="F829" s="113"/>
      <c r="G829" s="113"/>
      <c r="H829" s="128"/>
      <c r="I829" s="113"/>
      <c r="J829" s="113"/>
    </row>
    <row r="830" spans="1:10" ht="15.75" x14ac:dyDescent="0.25">
      <c r="A830" s="104"/>
      <c r="B830" s="104"/>
      <c r="C830" s="92" t="str">
        <f t="shared" si="12"/>
        <v/>
      </c>
      <c r="D830" s="113"/>
      <c r="E830" s="113"/>
      <c r="F830" s="113"/>
      <c r="G830" s="113"/>
      <c r="H830" s="128"/>
      <c r="I830" s="113"/>
      <c r="J830" s="113"/>
    </row>
    <row r="831" spans="1:10" ht="15.75" x14ac:dyDescent="0.25">
      <c r="A831" s="104"/>
      <c r="B831" s="104"/>
      <c r="C831" s="92" t="str">
        <f t="shared" si="12"/>
        <v/>
      </c>
      <c r="D831" s="113"/>
      <c r="E831" s="113"/>
      <c r="F831" s="113"/>
      <c r="G831" s="113"/>
      <c r="H831" s="128"/>
      <c r="I831" s="113"/>
      <c r="J831" s="113"/>
    </row>
    <row r="832" spans="1:10" ht="15.75" x14ac:dyDescent="0.25">
      <c r="A832" s="104"/>
      <c r="B832" s="104"/>
      <c r="C832" s="92" t="str">
        <f t="shared" si="12"/>
        <v/>
      </c>
      <c r="D832" s="113"/>
      <c r="E832" s="113"/>
      <c r="F832" s="113"/>
      <c r="G832" s="113"/>
      <c r="H832" s="128"/>
      <c r="I832" s="113"/>
      <c r="J832" s="113"/>
    </row>
    <row r="833" spans="1:10" ht="15.75" x14ac:dyDescent="0.25">
      <c r="A833" s="104"/>
      <c r="B833" s="104"/>
      <c r="C833" s="92" t="str">
        <f t="shared" si="12"/>
        <v/>
      </c>
      <c r="D833" s="113"/>
      <c r="E833" s="113"/>
      <c r="F833" s="113"/>
      <c r="G833" s="113"/>
      <c r="H833" s="128"/>
      <c r="I833" s="113"/>
      <c r="J833" s="113"/>
    </row>
    <row r="834" spans="1:10" ht="15.75" x14ac:dyDescent="0.25">
      <c r="A834" s="104"/>
      <c r="B834" s="104"/>
      <c r="C834" s="92" t="str">
        <f t="shared" si="12"/>
        <v/>
      </c>
      <c r="D834" s="113"/>
      <c r="E834" s="113"/>
      <c r="F834" s="113"/>
      <c r="G834" s="113"/>
      <c r="H834" s="128"/>
      <c r="I834" s="113"/>
      <c r="J834" s="113"/>
    </row>
    <row r="835" spans="1:10" ht="15.75" x14ac:dyDescent="0.25">
      <c r="A835" s="104"/>
      <c r="B835" s="104"/>
      <c r="C835" s="92" t="str">
        <f t="shared" si="12"/>
        <v/>
      </c>
      <c r="D835" s="113"/>
      <c r="E835" s="113"/>
      <c r="F835" s="113"/>
      <c r="G835" s="113"/>
      <c r="H835" s="128"/>
      <c r="I835" s="113"/>
      <c r="J835" s="113"/>
    </row>
    <row r="836" spans="1:10" ht="15.75" x14ac:dyDescent="0.25">
      <c r="A836" s="104"/>
      <c r="B836" s="104"/>
      <c r="C836" s="92" t="str">
        <f t="shared" si="12"/>
        <v/>
      </c>
      <c r="D836" s="113"/>
      <c r="E836" s="113"/>
      <c r="F836" s="113"/>
      <c r="G836" s="113"/>
      <c r="H836" s="128"/>
      <c r="I836" s="113"/>
      <c r="J836" s="113"/>
    </row>
    <row r="837" spans="1:10" ht="15.75" x14ac:dyDescent="0.25">
      <c r="A837" s="104"/>
      <c r="B837" s="104"/>
      <c r="C837" s="92" t="str">
        <f t="shared" si="12"/>
        <v/>
      </c>
      <c r="D837" s="113"/>
      <c r="E837" s="113"/>
      <c r="F837" s="113"/>
      <c r="G837" s="113"/>
      <c r="H837" s="128"/>
      <c r="I837" s="113"/>
      <c r="J837" s="113"/>
    </row>
    <row r="838" spans="1:10" ht="15.75" x14ac:dyDescent="0.25">
      <c r="A838" s="104"/>
      <c r="B838" s="104"/>
      <c r="C838" s="92" t="str">
        <f t="shared" si="12"/>
        <v/>
      </c>
      <c r="D838" s="113"/>
      <c r="E838" s="113"/>
      <c r="F838" s="113"/>
      <c r="G838" s="113"/>
      <c r="H838" s="128"/>
      <c r="I838" s="113"/>
      <c r="J838" s="113"/>
    </row>
    <row r="839" spans="1:10" ht="15.75" x14ac:dyDescent="0.25">
      <c r="A839" s="104"/>
      <c r="B839" s="104"/>
      <c r="C839" s="92" t="str">
        <f t="shared" si="12"/>
        <v/>
      </c>
      <c r="D839" s="113"/>
      <c r="E839" s="113"/>
      <c r="F839" s="113"/>
      <c r="G839" s="113"/>
      <c r="H839" s="128"/>
      <c r="I839" s="113"/>
      <c r="J839" s="113"/>
    </row>
    <row r="840" spans="1:10" ht="15.75" x14ac:dyDescent="0.25">
      <c r="A840" s="104"/>
      <c r="B840" s="104"/>
      <c r="C840" s="92" t="str">
        <f t="shared" si="12"/>
        <v/>
      </c>
      <c r="D840" s="113"/>
      <c r="E840" s="113"/>
      <c r="F840" s="113"/>
      <c r="G840" s="113"/>
      <c r="H840" s="128"/>
      <c r="I840" s="113"/>
      <c r="J840" s="113"/>
    </row>
    <row r="841" spans="1:10" ht="15.75" x14ac:dyDescent="0.25">
      <c r="A841" s="104"/>
      <c r="B841" s="104"/>
      <c r="C841" s="92" t="str">
        <f t="shared" si="12"/>
        <v/>
      </c>
      <c r="D841" s="113"/>
      <c r="E841" s="113"/>
      <c r="F841" s="113"/>
      <c r="G841" s="113"/>
      <c r="H841" s="128"/>
      <c r="I841" s="113"/>
      <c r="J841" s="113"/>
    </row>
    <row r="842" spans="1:10" ht="15.75" x14ac:dyDescent="0.25">
      <c r="A842" s="104"/>
      <c r="B842" s="104"/>
      <c r="C842" s="92" t="str">
        <f t="shared" si="12"/>
        <v/>
      </c>
      <c r="D842" s="113"/>
      <c r="E842" s="113"/>
      <c r="F842" s="113"/>
      <c r="G842" s="113"/>
      <c r="H842" s="128"/>
      <c r="I842" s="113"/>
      <c r="J842" s="113"/>
    </row>
    <row r="843" spans="1:10" ht="15.75" x14ac:dyDescent="0.25">
      <c r="A843" s="104"/>
      <c r="B843" s="104"/>
      <c r="C843" s="92" t="str">
        <f t="shared" si="12"/>
        <v/>
      </c>
      <c r="D843" s="113"/>
      <c r="E843" s="113"/>
      <c r="F843" s="113"/>
      <c r="G843" s="113"/>
      <c r="H843" s="128"/>
      <c r="I843" s="113"/>
      <c r="J843" s="113"/>
    </row>
    <row r="844" spans="1:10" ht="15.75" x14ac:dyDescent="0.25">
      <c r="A844" s="104"/>
      <c r="B844" s="104"/>
      <c r="C844" s="92" t="str">
        <f t="shared" si="12"/>
        <v/>
      </c>
      <c r="D844" s="113"/>
      <c r="E844" s="113"/>
      <c r="F844" s="113"/>
      <c r="G844" s="113"/>
      <c r="H844" s="128"/>
      <c r="I844" s="113"/>
      <c r="J844" s="113"/>
    </row>
    <row r="845" spans="1:10" ht="15.75" x14ac:dyDescent="0.25">
      <c r="A845" s="104"/>
      <c r="B845" s="104"/>
      <c r="C845" s="92" t="str">
        <f t="shared" si="12"/>
        <v/>
      </c>
      <c r="D845" s="113"/>
      <c r="E845" s="113"/>
      <c r="F845" s="113"/>
      <c r="G845" s="113"/>
      <c r="H845" s="128"/>
      <c r="I845" s="113"/>
      <c r="J845" s="113"/>
    </row>
    <row r="846" spans="1:10" ht="15.75" x14ac:dyDescent="0.25">
      <c r="A846" s="104"/>
      <c r="B846" s="104"/>
      <c r="C846" s="92" t="str">
        <f t="shared" si="12"/>
        <v/>
      </c>
      <c r="D846" s="113"/>
      <c r="E846" s="113"/>
      <c r="F846" s="113"/>
      <c r="G846" s="113"/>
      <c r="H846" s="128"/>
      <c r="I846" s="113"/>
      <c r="J846" s="113"/>
    </row>
    <row r="847" spans="1:10" ht="15.75" x14ac:dyDescent="0.25">
      <c r="A847" s="104"/>
      <c r="B847" s="104"/>
      <c r="C847" s="92" t="str">
        <f t="shared" si="12"/>
        <v/>
      </c>
      <c r="D847" s="113"/>
      <c r="E847" s="113"/>
      <c r="F847" s="113"/>
      <c r="G847" s="113"/>
      <c r="H847" s="128"/>
      <c r="I847" s="113"/>
      <c r="J847" s="113"/>
    </row>
    <row r="848" spans="1:10" ht="15.75" x14ac:dyDescent="0.25">
      <c r="A848" s="104"/>
      <c r="B848" s="104"/>
      <c r="C848" s="92" t="str">
        <f t="shared" si="12"/>
        <v/>
      </c>
      <c r="D848" s="113"/>
      <c r="E848" s="113"/>
      <c r="F848" s="113"/>
      <c r="G848" s="113"/>
      <c r="H848" s="128"/>
      <c r="I848" s="113"/>
      <c r="J848" s="113"/>
    </row>
    <row r="849" spans="1:10" ht="15.75" x14ac:dyDescent="0.25">
      <c r="A849" s="104"/>
      <c r="B849" s="104"/>
      <c r="C849" s="92" t="str">
        <f t="shared" si="12"/>
        <v/>
      </c>
      <c r="D849" s="113"/>
      <c r="E849" s="113"/>
      <c r="F849" s="113"/>
      <c r="G849" s="113"/>
      <c r="H849" s="128"/>
      <c r="I849" s="113"/>
      <c r="J849" s="113"/>
    </row>
    <row r="850" spans="1:10" ht="15.75" x14ac:dyDescent="0.25">
      <c r="A850" s="104"/>
      <c r="B850" s="104"/>
      <c r="C850" s="92" t="str">
        <f t="shared" si="12"/>
        <v/>
      </c>
      <c r="D850" s="113"/>
      <c r="E850" s="113"/>
      <c r="F850" s="113"/>
      <c r="G850" s="113"/>
      <c r="H850" s="128"/>
      <c r="I850" s="113"/>
      <c r="J850" s="113"/>
    </row>
    <row r="851" spans="1:10" ht="15.75" x14ac:dyDescent="0.25">
      <c r="A851" s="104"/>
      <c r="B851" s="104"/>
      <c r="C851" s="92" t="str">
        <f t="shared" si="12"/>
        <v/>
      </c>
      <c r="D851" s="113"/>
      <c r="E851" s="113"/>
      <c r="F851" s="113"/>
      <c r="G851" s="113"/>
      <c r="H851" s="128"/>
      <c r="I851" s="113"/>
      <c r="J851" s="113"/>
    </row>
    <row r="852" spans="1:10" ht="15.75" x14ac:dyDescent="0.25">
      <c r="A852" s="104"/>
      <c r="B852" s="104"/>
      <c r="C852" s="92" t="str">
        <f t="shared" ref="C852:C915" si="13">IF(A852=0,"","Steel02")</f>
        <v/>
      </c>
      <c r="D852" s="113"/>
      <c r="E852" s="113"/>
      <c r="F852" s="113"/>
      <c r="G852" s="113"/>
      <c r="H852" s="128"/>
      <c r="I852" s="113"/>
      <c r="J852" s="113"/>
    </row>
    <row r="853" spans="1:10" ht="15.75" x14ac:dyDescent="0.25">
      <c r="A853" s="104"/>
      <c r="B853" s="104"/>
      <c r="C853" s="92" t="str">
        <f t="shared" si="13"/>
        <v/>
      </c>
      <c r="D853" s="113"/>
      <c r="E853" s="113"/>
      <c r="F853" s="113"/>
      <c r="G853" s="113"/>
      <c r="H853" s="128"/>
      <c r="I853" s="113"/>
      <c r="J853" s="113"/>
    </row>
    <row r="854" spans="1:10" ht="15.75" x14ac:dyDescent="0.25">
      <c r="A854" s="104"/>
      <c r="B854" s="104"/>
      <c r="C854" s="92" t="str">
        <f t="shared" si="13"/>
        <v/>
      </c>
      <c r="D854" s="113"/>
      <c r="E854" s="113"/>
      <c r="F854" s="113"/>
      <c r="G854" s="113"/>
      <c r="H854" s="128"/>
      <c r="I854" s="113"/>
      <c r="J854" s="113"/>
    </row>
    <row r="855" spans="1:10" ht="15.75" x14ac:dyDescent="0.25">
      <c r="A855" s="104"/>
      <c r="B855" s="104"/>
      <c r="C855" s="92" t="str">
        <f t="shared" si="13"/>
        <v/>
      </c>
      <c r="D855" s="113"/>
      <c r="E855" s="113"/>
      <c r="F855" s="113"/>
      <c r="G855" s="113"/>
      <c r="H855" s="128"/>
      <c r="I855" s="113"/>
      <c r="J855" s="113"/>
    </row>
    <row r="856" spans="1:10" ht="15.75" x14ac:dyDescent="0.25">
      <c r="A856" s="104"/>
      <c r="B856" s="104"/>
      <c r="C856" s="92" t="str">
        <f t="shared" si="13"/>
        <v/>
      </c>
      <c r="D856" s="113"/>
      <c r="E856" s="113"/>
      <c r="F856" s="113"/>
      <c r="G856" s="113"/>
      <c r="H856" s="128"/>
      <c r="I856" s="113"/>
      <c r="J856" s="113"/>
    </row>
    <row r="857" spans="1:10" ht="15.75" x14ac:dyDescent="0.25">
      <c r="A857" s="104"/>
      <c r="B857" s="104"/>
      <c r="C857" s="92" t="str">
        <f t="shared" si="13"/>
        <v/>
      </c>
      <c r="D857" s="113"/>
      <c r="E857" s="113"/>
      <c r="F857" s="113"/>
      <c r="G857" s="113"/>
      <c r="H857" s="128"/>
      <c r="I857" s="113"/>
      <c r="J857" s="113"/>
    </row>
    <row r="858" spans="1:10" ht="15.75" x14ac:dyDescent="0.25">
      <c r="A858" s="104"/>
      <c r="B858" s="104"/>
      <c r="C858" s="92" t="str">
        <f t="shared" si="13"/>
        <v/>
      </c>
      <c r="D858" s="113"/>
      <c r="E858" s="113"/>
      <c r="F858" s="113"/>
      <c r="G858" s="113"/>
      <c r="H858" s="128"/>
      <c r="I858" s="113"/>
      <c r="J858" s="113"/>
    </row>
    <row r="859" spans="1:10" ht="15.75" x14ac:dyDescent="0.25">
      <c r="A859" s="104"/>
      <c r="B859" s="104"/>
      <c r="C859" s="92" t="str">
        <f t="shared" si="13"/>
        <v/>
      </c>
      <c r="D859" s="113"/>
      <c r="E859" s="113"/>
      <c r="F859" s="113"/>
      <c r="G859" s="113"/>
      <c r="H859" s="128"/>
      <c r="I859" s="113"/>
      <c r="J859" s="113"/>
    </row>
    <row r="860" spans="1:10" ht="15.75" x14ac:dyDescent="0.25">
      <c r="A860" s="104"/>
      <c r="B860" s="104"/>
      <c r="C860" s="92" t="str">
        <f t="shared" si="13"/>
        <v/>
      </c>
      <c r="D860" s="113"/>
      <c r="E860" s="113"/>
      <c r="F860" s="113"/>
      <c r="G860" s="113"/>
      <c r="H860" s="128"/>
      <c r="I860" s="113"/>
      <c r="J860" s="113"/>
    </row>
    <row r="861" spans="1:10" ht="15.75" x14ac:dyDescent="0.25">
      <c r="A861" s="104"/>
      <c r="B861" s="104"/>
      <c r="C861" s="92" t="str">
        <f t="shared" si="13"/>
        <v/>
      </c>
      <c r="D861" s="113"/>
      <c r="E861" s="113"/>
      <c r="F861" s="113"/>
      <c r="G861" s="113"/>
      <c r="H861" s="128"/>
      <c r="I861" s="113"/>
      <c r="J861" s="113"/>
    </row>
    <row r="862" spans="1:10" ht="15.75" x14ac:dyDescent="0.25">
      <c r="A862" s="104"/>
      <c r="B862" s="104"/>
      <c r="C862" s="92" t="str">
        <f t="shared" si="13"/>
        <v/>
      </c>
      <c r="D862" s="113"/>
      <c r="E862" s="113"/>
      <c r="F862" s="113"/>
      <c r="G862" s="113"/>
      <c r="H862" s="128"/>
      <c r="I862" s="113"/>
      <c r="J862" s="113"/>
    </row>
    <row r="863" spans="1:10" ht="15.75" x14ac:dyDescent="0.25">
      <c r="A863" s="104"/>
      <c r="B863" s="104"/>
      <c r="C863" s="92" t="str">
        <f t="shared" si="13"/>
        <v/>
      </c>
      <c r="D863" s="113"/>
      <c r="E863" s="113"/>
      <c r="F863" s="113"/>
      <c r="G863" s="113"/>
      <c r="H863" s="128"/>
      <c r="I863" s="113"/>
      <c r="J863" s="113"/>
    </row>
    <row r="864" spans="1:10" ht="15.75" x14ac:dyDescent="0.25">
      <c r="A864" s="104"/>
      <c r="B864" s="104"/>
      <c r="C864" s="92" t="str">
        <f t="shared" si="13"/>
        <v/>
      </c>
      <c r="D864" s="113"/>
      <c r="E864" s="113"/>
      <c r="F864" s="113"/>
      <c r="G864" s="113"/>
      <c r="H864" s="128"/>
      <c r="I864" s="113"/>
      <c r="J864" s="113"/>
    </row>
    <row r="865" spans="1:10" ht="15.75" x14ac:dyDescent="0.25">
      <c r="A865" s="104"/>
      <c r="B865" s="104"/>
      <c r="C865" s="92" t="str">
        <f t="shared" si="13"/>
        <v/>
      </c>
      <c r="D865" s="113"/>
      <c r="E865" s="113"/>
      <c r="F865" s="113"/>
      <c r="G865" s="113"/>
      <c r="H865" s="128"/>
      <c r="I865" s="113"/>
      <c r="J865" s="113"/>
    </row>
    <row r="866" spans="1:10" ht="15.75" x14ac:dyDescent="0.25">
      <c r="A866" s="104"/>
      <c r="B866" s="104"/>
      <c r="C866" s="92" t="str">
        <f t="shared" si="13"/>
        <v/>
      </c>
      <c r="D866" s="113"/>
      <c r="E866" s="113"/>
      <c r="F866" s="113"/>
      <c r="G866" s="113"/>
      <c r="H866" s="128"/>
      <c r="I866" s="113"/>
      <c r="J866" s="113"/>
    </row>
    <row r="867" spans="1:10" ht="15.75" x14ac:dyDescent="0.25">
      <c r="A867" s="104"/>
      <c r="B867" s="104"/>
      <c r="C867" s="92" t="str">
        <f t="shared" si="13"/>
        <v/>
      </c>
      <c r="D867" s="113"/>
      <c r="E867" s="113"/>
      <c r="F867" s="113"/>
      <c r="G867" s="113"/>
      <c r="H867" s="128"/>
      <c r="I867" s="113"/>
      <c r="J867" s="113"/>
    </row>
    <row r="868" spans="1:10" ht="15.75" x14ac:dyDescent="0.25">
      <c r="A868" s="104"/>
      <c r="B868" s="104"/>
      <c r="C868" s="92" t="str">
        <f t="shared" si="13"/>
        <v/>
      </c>
      <c r="D868" s="113"/>
      <c r="E868" s="113"/>
      <c r="F868" s="113"/>
      <c r="G868" s="113"/>
      <c r="H868" s="128"/>
      <c r="I868" s="113"/>
      <c r="J868" s="113"/>
    </row>
    <row r="869" spans="1:10" ht="15.75" x14ac:dyDescent="0.25">
      <c r="A869" s="104"/>
      <c r="B869" s="104"/>
      <c r="C869" s="92" t="str">
        <f t="shared" si="13"/>
        <v/>
      </c>
      <c r="D869" s="113"/>
      <c r="E869" s="113"/>
      <c r="F869" s="113"/>
      <c r="G869" s="113"/>
      <c r="H869" s="128"/>
      <c r="I869" s="113"/>
      <c r="J869" s="113"/>
    </row>
    <row r="870" spans="1:10" ht="15.75" x14ac:dyDescent="0.25">
      <c r="A870" s="104"/>
      <c r="B870" s="104"/>
      <c r="C870" s="92" t="str">
        <f t="shared" si="13"/>
        <v/>
      </c>
      <c r="D870" s="113"/>
      <c r="E870" s="113"/>
      <c r="F870" s="113"/>
      <c r="G870" s="113"/>
      <c r="H870" s="128"/>
      <c r="I870" s="113"/>
      <c r="J870" s="113"/>
    </row>
    <row r="871" spans="1:10" ht="15.75" x14ac:dyDescent="0.25">
      <c r="A871" s="104"/>
      <c r="B871" s="104"/>
      <c r="C871" s="92" t="str">
        <f t="shared" si="13"/>
        <v/>
      </c>
      <c r="D871" s="113"/>
      <c r="E871" s="113"/>
      <c r="F871" s="113"/>
      <c r="G871" s="113"/>
      <c r="H871" s="128"/>
      <c r="I871" s="113"/>
      <c r="J871" s="113"/>
    </row>
    <row r="872" spans="1:10" ht="15.75" x14ac:dyDescent="0.25">
      <c r="A872" s="104"/>
      <c r="B872" s="104"/>
      <c r="C872" s="92" t="str">
        <f t="shared" si="13"/>
        <v/>
      </c>
      <c r="D872" s="113"/>
      <c r="E872" s="113"/>
      <c r="F872" s="113"/>
      <c r="G872" s="113"/>
      <c r="H872" s="128"/>
      <c r="I872" s="113"/>
      <c r="J872" s="113"/>
    </row>
    <row r="873" spans="1:10" ht="15.75" x14ac:dyDescent="0.25">
      <c r="A873" s="104"/>
      <c r="B873" s="104"/>
      <c r="C873" s="92" t="str">
        <f t="shared" si="13"/>
        <v/>
      </c>
      <c r="D873" s="113"/>
      <c r="E873" s="113"/>
      <c r="F873" s="113"/>
      <c r="G873" s="113"/>
      <c r="H873" s="128"/>
      <c r="I873" s="113"/>
      <c r="J873" s="113"/>
    </row>
    <row r="874" spans="1:10" ht="15.75" x14ac:dyDescent="0.25">
      <c r="A874" s="104"/>
      <c r="B874" s="104"/>
      <c r="C874" s="92" t="str">
        <f t="shared" si="13"/>
        <v/>
      </c>
      <c r="D874" s="113"/>
      <c r="E874" s="113"/>
      <c r="F874" s="113"/>
      <c r="G874" s="113"/>
      <c r="H874" s="128"/>
      <c r="I874" s="113"/>
      <c r="J874" s="113"/>
    </row>
    <row r="875" spans="1:10" ht="15.75" x14ac:dyDescent="0.25">
      <c r="A875" s="104"/>
      <c r="B875" s="104"/>
      <c r="C875" s="92" t="str">
        <f t="shared" si="13"/>
        <v/>
      </c>
      <c r="D875" s="113"/>
      <c r="E875" s="113"/>
      <c r="F875" s="113"/>
      <c r="G875" s="113"/>
      <c r="H875" s="128"/>
      <c r="I875" s="113"/>
      <c r="J875" s="113"/>
    </row>
    <row r="876" spans="1:10" ht="15.75" x14ac:dyDescent="0.25">
      <c r="A876" s="104"/>
      <c r="B876" s="104"/>
      <c r="C876" s="92" t="str">
        <f t="shared" si="13"/>
        <v/>
      </c>
      <c r="D876" s="113"/>
      <c r="E876" s="113"/>
      <c r="F876" s="113"/>
      <c r="G876" s="113"/>
      <c r="H876" s="128"/>
      <c r="I876" s="113"/>
      <c r="J876" s="113"/>
    </row>
    <row r="877" spans="1:10" ht="15.75" x14ac:dyDescent="0.25">
      <c r="A877" s="104"/>
      <c r="B877" s="104"/>
      <c r="C877" s="92" t="str">
        <f t="shared" si="13"/>
        <v/>
      </c>
      <c r="D877" s="113"/>
      <c r="E877" s="113"/>
      <c r="F877" s="113"/>
      <c r="G877" s="113"/>
      <c r="H877" s="128"/>
      <c r="I877" s="113"/>
      <c r="J877" s="113"/>
    </row>
    <row r="878" spans="1:10" ht="15.75" x14ac:dyDescent="0.25">
      <c r="A878" s="104"/>
      <c r="B878" s="104"/>
      <c r="C878" s="92" t="str">
        <f t="shared" si="13"/>
        <v/>
      </c>
      <c r="D878" s="113"/>
      <c r="E878" s="113"/>
      <c r="F878" s="113"/>
      <c r="G878" s="113"/>
      <c r="H878" s="128"/>
      <c r="I878" s="113"/>
      <c r="J878" s="113"/>
    </row>
    <row r="879" spans="1:10" ht="15.75" x14ac:dyDescent="0.25">
      <c r="A879" s="104"/>
      <c r="B879" s="104"/>
      <c r="C879" s="92" t="str">
        <f t="shared" si="13"/>
        <v/>
      </c>
      <c r="D879" s="113"/>
      <c r="E879" s="113"/>
      <c r="F879" s="113"/>
      <c r="G879" s="113"/>
      <c r="H879" s="128"/>
      <c r="I879" s="113"/>
      <c r="J879" s="113"/>
    </row>
    <row r="880" spans="1:10" ht="15.75" x14ac:dyDescent="0.25">
      <c r="A880" s="104"/>
      <c r="B880" s="104"/>
      <c r="C880" s="92" t="str">
        <f t="shared" si="13"/>
        <v/>
      </c>
      <c r="D880" s="113"/>
      <c r="E880" s="113"/>
      <c r="F880" s="113"/>
      <c r="G880" s="113"/>
      <c r="H880" s="128"/>
      <c r="I880" s="113"/>
      <c r="J880" s="113"/>
    </row>
    <row r="881" spans="1:10" ht="15.75" x14ac:dyDescent="0.25">
      <c r="A881" s="104"/>
      <c r="B881" s="104"/>
      <c r="C881" s="92" t="str">
        <f t="shared" si="13"/>
        <v/>
      </c>
      <c r="D881" s="113"/>
      <c r="E881" s="113"/>
      <c r="F881" s="113"/>
      <c r="G881" s="113"/>
      <c r="H881" s="128"/>
      <c r="I881" s="113"/>
      <c r="J881" s="113"/>
    </row>
    <row r="882" spans="1:10" ht="15.75" x14ac:dyDescent="0.25">
      <c r="A882" s="104"/>
      <c r="B882" s="104"/>
      <c r="C882" s="92" t="str">
        <f t="shared" si="13"/>
        <v/>
      </c>
      <c r="D882" s="113"/>
      <c r="E882" s="113"/>
      <c r="F882" s="113"/>
      <c r="G882" s="113"/>
      <c r="H882" s="128"/>
      <c r="I882" s="113"/>
      <c r="J882" s="113"/>
    </row>
    <row r="883" spans="1:10" ht="15.75" x14ac:dyDescent="0.25">
      <c r="A883" s="104"/>
      <c r="B883" s="104"/>
      <c r="C883" s="92" t="str">
        <f t="shared" si="13"/>
        <v/>
      </c>
      <c r="D883" s="113"/>
      <c r="E883" s="113"/>
      <c r="F883" s="113"/>
      <c r="G883" s="113"/>
      <c r="H883" s="128"/>
      <c r="I883" s="113"/>
      <c r="J883" s="113"/>
    </row>
    <row r="884" spans="1:10" ht="15.75" x14ac:dyDescent="0.25">
      <c r="A884" s="104"/>
      <c r="B884" s="104"/>
      <c r="C884" s="92" t="str">
        <f t="shared" si="13"/>
        <v/>
      </c>
      <c r="D884" s="113"/>
      <c r="E884" s="113"/>
      <c r="F884" s="113"/>
      <c r="G884" s="113"/>
      <c r="H884" s="128"/>
      <c r="I884" s="113"/>
      <c r="J884" s="113"/>
    </row>
    <row r="885" spans="1:10" ht="15.75" x14ac:dyDescent="0.25">
      <c r="A885" s="104"/>
      <c r="B885" s="104"/>
      <c r="C885" s="92" t="str">
        <f t="shared" si="13"/>
        <v/>
      </c>
      <c r="D885" s="113"/>
      <c r="E885" s="113"/>
      <c r="F885" s="113"/>
      <c r="G885" s="113"/>
      <c r="H885" s="128"/>
      <c r="I885" s="113"/>
      <c r="J885" s="113"/>
    </row>
    <row r="886" spans="1:10" ht="15.75" x14ac:dyDescent="0.25">
      <c r="A886" s="104"/>
      <c r="B886" s="104"/>
      <c r="C886" s="92" t="str">
        <f t="shared" si="13"/>
        <v/>
      </c>
      <c r="D886" s="113"/>
      <c r="E886" s="113"/>
      <c r="F886" s="113"/>
      <c r="G886" s="113"/>
      <c r="H886" s="128"/>
      <c r="I886" s="113"/>
      <c r="J886" s="113"/>
    </row>
    <row r="887" spans="1:10" ht="15.75" x14ac:dyDescent="0.25">
      <c r="A887" s="104"/>
      <c r="B887" s="104"/>
      <c r="C887" s="92" t="str">
        <f t="shared" si="13"/>
        <v/>
      </c>
      <c r="D887" s="113"/>
      <c r="E887" s="113"/>
      <c r="F887" s="113"/>
      <c r="G887" s="113"/>
      <c r="H887" s="128"/>
      <c r="I887" s="113"/>
      <c r="J887" s="113"/>
    </row>
    <row r="888" spans="1:10" ht="15.75" x14ac:dyDescent="0.25">
      <c r="A888" s="104"/>
      <c r="B888" s="104"/>
      <c r="C888" s="92" t="str">
        <f t="shared" si="13"/>
        <v/>
      </c>
      <c r="D888" s="113"/>
      <c r="E888" s="113"/>
      <c r="F888" s="113"/>
      <c r="G888" s="113"/>
      <c r="H888" s="128"/>
      <c r="I888" s="113"/>
      <c r="J888" s="113"/>
    </row>
    <row r="889" spans="1:10" ht="15.75" x14ac:dyDescent="0.25">
      <c r="A889" s="104"/>
      <c r="B889" s="104"/>
      <c r="C889" s="92" t="str">
        <f t="shared" si="13"/>
        <v/>
      </c>
      <c r="D889" s="113"/>
      <c r="E889" s="113"/>
      <c r="F889" s="113"/>
      <c r="G889" s="113"/>
      <c r="H889" s="128"/>
      <c r="I889" s="113"/>
      <c r="J889" s="113"/>
    </row>
    <row r="890" spans="1:10" ht="15.75" x14ac:dyDescent="0.25">
      <c r="A890" s="104"/>
      <c r="B890" s="104"/>
      <c r="C890" s="92" t="str">
        <f t="shared" si="13"/>
        <v/>
      </c>
      <c r="D890" s="113"/>
      <c r="E890" s="113"/>
      <c r="F890" s="113"/>
      <c r="G890" s="113"/>
      <c r="H890" s="128"/>
      <c r="I890" s="113"/>
      <c r="J890" s="113"/>
    </row>
    <row r="891" spans="1:10" ht="15.75" x14ac:dyDescent="0.25">
      <c r="A891" s="104"/>
      <c r="B891" s="104"/>
      <c r="C891" s="92" t="str">
        <f t="shared" si="13"/>
        <v/>
      </c>
      <c r="D891" s="113"/>
      <c r="E891" s="113"/>
      <c r="F891" s="113"/>
      <c r="G891" s="113"/>
      <c r="H891" s="128"/>
      <c r="I891" s="113"/>
      <c r="J891" s="113"/>
    </row>
    <row r="892" spans="1:10" ht="15.75" x14ac:dyDescent="0.25">
      <c r="A892" s="104"/>
      <c r="B892" s="104"/>
      <c r="C892" s="92" t="str">
        <f t="shared" si="13"/>
        <v/>
      </c>
      <c r="D892" s="113"/>
      <c r="E892" s="113"/>
      <c r="F892" s="113"/>
      <c r="G892" s="113"/>
      <c r="H892" s="128"/>
      <c r="I892" s="113"/>
      <c r="J892" s="113"/>
    </row>
    <row r="893" spans="1:10" ht="15.75" x14ac:dyDescent="0.25">
      <c r="A893" s="104"/>
      <c r="B893" s="104"/>
      <c r="C893" s="92" t="str">
        <f t="shared" si="13"/>
        <v/>
      </c>
      <c r="D893" s="113"/>
      <c r="E893" s="113"/>
      <c r="F893" s="113"/>
      <c r="G893" s="113"/>
      <c r="H893" s="128"/>
      <c r="I893" s="113"/>
      <c r="J893" s="113"/>
    </row>
    <row r="894" spans="1:10" ht="15.75" x14ac:dyDescent="0.25">
      <c r="A894" s="104"/>
      <c r="B894" s="104"/>
      <c r="C894" s="92" t="str">
        <f t="shared" si="13"/>
        <v/>
      </c>
      <c r="D894" s="113"/>
      <c r="E894" s="113"/>
      <c r="F894" s="113"/>
      <c r="G894" s="113"/>
      <c r="H894" s="128"/>
      <c r="I894" s="113"/>
      <c r="J894" s="113"/>
    </row>
    <row r="895" spans="1:10" ht="15.75" x14ac:dyDescent="0.25">
      <c r="A895" s="104"/>
      <c r="B895" s="104"/>
      <c r="C895" s="92" t="str">
        <f t="shared" si="13"/>
        <v/>
      </c>
      <c r="D895" s="113"/>
      <c r="E895" s="113"/>
      <c r="F895" s="113"/>
      <c r="G895" s="113"/>
      <c r="H895" s="128"/>
      <c r="I895" s="113"/>
      <c r="J895" s="113"/>
    </row>
    <row r="896" spans="1:10" ht="15.75" x14ac:dyDescent="0.25">
      <c r="A896" s="104"/>
      <c r="B896" s="104"/>
      <c r="C896" s="92" t="str">
        <f t="shared" si="13"/>
        <v/>
      </c>
      <c r="D896" s="113"/>
      <c r="E896" s="113"/>
      <c r="F896" s="113"/>
      <c r="G896" s="113"/>
      <c r="H896" s="128"/>
      <c r="I896" s="113"/>
      <c r="J896" s="113"/>
    </row>
    <row r="897" spans="1:10" ht="15.75" x14ac:dyDescent="0.25">
      <c r="A897" s="104"/>
      <c r="B897" s="104"/>
      <c r="C897" s="92" t="str">
        <f t="shared" si="13"/>
        <v/>
      </c>
      <c r="D897" s="113"/>
      <c r="E897" s="113"/>
      <c r="F897" s="113"/>
      <c r="G897" s="113"/>
      <c r="H897" s="128"/>
      <c r="I897" s="113"/>
      <c r="J897" s="113"/>
    </row>
    <row r="898" spans="1:10" ht="15.75" x14ac:dyDescent="0.25">
      <c r="A898" s="104"/>
      <c r="B898" s="104"/>
      <c r="C898" s="92" t="str">
        <f t="shared" si="13"/>
        <v/>
      </c>
      <c r="D898" s="113"/>
      <c r="E898" s="113"/>
      <c r="F898" s="113"/>
      <c r="G898" s="113"/>
      <c r="H898" s="128"/>
      <c r="I898" s="113"/>
      <c r="J898" s="113"/>
    </row>
    <row r="899" spans="1:10" ht="15.75" x14ac:dyDescent="0.25">
      <c r="A899" s="104"/>
      <c r="B899" s="104"/>
      <c r="C899" s="92" t="str">
        <f t="shared" si="13"/>
        <v/>
      </c>
      <c r="D899" s="113"/>
      <c r="E899" s="113"/>
      <c r="F899" s="113"/>
      <c r="G899" s="113"/>
      <c r="H899" s="128"/>
      <c r="I899" s="113"/>
      <c r="J899" s="113"/>
    </row>
    <row r="900" spans="1:10" ht="15.75" x14ac:dyDescent="0.25">
      <c r="A900" s="104"/>
      <c r="B900" s="104"/>
      <c r="C900" s="92" t="str">
        <f t="shared" si="13"/>
        <v/>
      </c>
      <c r="D900" s="113"/>
      <c r="E900" s="113"/>
      <c r="F900" s="113"/>
      <c r="G900" s="113"/>
      <c r="H900" s="128"/>
      <c r="I900" s="113"/>
      <c r="J900" s="113"/>
    </row>
    <row r="901" spans="1:10" ht="15.75" x14ac:dyDescent="0.25">
      <c r="A901" s="104"/>
      <c r="B901" s="104"/>
      <c r="C901" s="92" t="str">
        <f t="shared" si="13"/>
        <v/>
      </c>
      <c r="D901" s="113"/>
      <c r="E901" s="113"/>
      <c r="F901" s="113"/>
      <c r="G901" s="113"/>
      <c r="H901" s="128"/>
      <c r="I901" s="113"/>
      <c r="J901" s="113"/>
    </row>
    <row r="902" spans="1:10" ht="15.75" x14ac:dyDescent="0.25">
      <c r="A902" s="104"/>
      <c r="B902" s="104"/>
      <c r="C902" s="92" t="str">
        <f t="shared" si="13"/>
        <v/>
      </c>
      <c r="D902" s="113"/>
      <c r="E902" s="113"/>
      <c r="F902" s="113"/>
      <c r="G902" s="113"/>
      <c r="H902" s="128"/>
      <c r="I902" s="113"/>
      <c r="J902" s="113"/>
    </row>
    <row r="903" spans="1:10" ht="15.75" x14ac:dyDescent="0.25">
      <c r="A903" s="104"/>
      <c r="B903" s="104"/>
      <c r="C903" s="92" t="str">
        <f t="shared" si="13"/>
        <v/>
      </c>
      <c r="D903" s="113"/>
      <c r="E903" s="113"/>
      <c r="F903" s="113"/>
      <c r="G903" s="113"/>
      <c r="H903" s="128"/>
      <c r="I903" s="113"/>
      <c r="J903" s="113"/>
    </row>
    <row r="904" spans="1:10" ht="15.75" x14ac:dyDescent="0.25">
      <c r="A904" s="104"/>
      <c r="B904" s="104"/>
      <c r="C904" s="92" t="str">
        <f t="shared" si="13"/>
        <v/>
      </c>
      <c r="D904" s="113"/>
      <c r="E904" s="113"/>
      <c r="F904" s="113"/>
      <c r="G904" s="113"/>
      <c r="H904" s="128"/>
      <c r="I904" s="113"/>
      <c r="J904" s="113"/>
    </row>
    <row r="905" spans="1:10" ht="15.75" x14ac:dyDescent="0.25">
      <c r="A905" s="104"/>
      <c r="B905" s="104"/>
      <c r="C905" s="92" t="str">
        <f t="shared" si="13"/>
        <v/>
      </c>
      <c r="D905" s="113"/>
      <c r="E905" s="113"/>
      <c r="F905" s="113"/>
      <c r="G905" s="113"/>
      <c r="H905" s="128"/>
      <c r="I905" s="113"/>
      <c r="J905" s="113"/>
    </row>
    <row r="906" spans="1:10" ht="15.75" x14ac:dyDescent="0.25">
      <c r="A906" s="104"/>
      <c r="B906" s="104"/>
      <c r="C906" s="92" t="str">
        <f t="shared" si="13"/>
        <v/>
      </c>
      <c r="D906" s="113"/>
      <c r="E906" s="113"/>
      <c r="F906" s="113"/>
      <c r="G906" s="113"/>
      <c r="H906" s="128"/>
      <c r="I906" s="113"/>
      <c r="J906" s="113"/>
    </row>
    <row r="907" spans="1:10" ht="15.75" x14ac:dyDescent="0.25">
      <c r="A907" s="104"/>
      <c r="B907" s="104"/>
      <c r="C907" s="92" t="str">
        <f t="shared" si="13"/>
        <v/>
      </c>
      <c r="D907" s="113"/>
      <c r="E907" s="113"/>
      <c r="F907" s="113"/>
      <c r="G907" s="113"/>
      <c r="H907" s="128"/>
      <c r="I907" s="113"/>
      <c r="J907" s="113"/>
    </row>
    <row r="908" spans="1:10" ht="15.75" x14ac:dyDescent="0.25">
      <c r="A908" s="104"/>
      <c r="B908" s="104"/>
      <c r="C908" s="92" t="str">
        <f t="shared" si="13"/>
        <v/>
      </c>
      <c r="D908" s="113"/>
      <c r="E908" s="113"/>
      <c r="F908" s="113"/>
      <c r="G908" s="113"/>
      <c r="H908" s="128"/>
      <c r="I908" s="113"/>
      <c r="J908" s="113"/>
    </row>
    <row r="909" spans="1:10" ht="15.75" x14ac:dyDescent="0.25">
      <c r="A909" s="104"/>
      <c r="B909" s="104"/>
      <c r="C909" s="92" t="str">
        <f t="shared" si="13"/>
        <v/>
      </c>
      <c r="D909" s="113"/>
      <c r="E909" s="113"/>
      <c r="F909" s="113"/>
      <c r="G909" s="113"/>
      <c r="H909" s="128"/>
      <c r="I909" s="113"/>
      <c r="J909" s="113"/>
    </row>
    <row r="910" spans="1:10" ht="15.75" x14ac:dyDescent="0.25">
      <c r="A910" s="104"/>
      <c r="B910" s="104"/>
      <c r="C910" s="92" t="str">
        <f t="shared" si="13"/>
        <v/>
      </c>
      <c r="D910" s="113"/>
      <c r="E910" s="113"/>
      <c r="F910" s="113"/>
      <c r="G910" s="113"/>
      <c r="H910" s="128"/>
      <c r="I910" s="113"/>
      <c r="J910" s="113"/>
    </row>
    <row r="911" spans="1:10" ht="15.75" x14ac:dyDescent="0.25">
      <c r="A911" s="104"/>
      <c r="B911" s="104"/>
      <c r="C911" s="92" t="str">
        <f t="shared" si="13"/>
        <v/>
      </c>
      <c r="D911" s="113"/>
      <c r="E911" s="113"/>
      <c r="F911" s="113"/>
      <c r="G911" s="113"/>
      <c r="H911" s="128"/>
      <c r="I911" s="113"/>
      <c r="J911" s="113"/>
    </row>
    <row r="912" spans="1:10" ht="15.75" x14ac:dyDescent="0.25">
      <c r="A912" s="104"/>
      <c r="B912" s="104"/>
      <c r="C912" s="92" t="str">
        <f t="shared" si="13"/>
        <v/>
      </c>
      <c r="D912" s="113"/>
      <c r="E912" s="113"/>
      <c r="F912" s="113"/>
      <c r="G912" s="113"/>
      <c r="H912" s="128"/>
      <c r="I912" s="113"/>
      <c r="J912" s="113"/>
    </row>
    <row r="913" spans="1:10" ht="15.75" x14ac:dyDescent="0.25">
      <c r="A913" s="104"/>
      <c r="B913" s="104"/>
      <c r="C913" s="92" t="str">
        <f t="shared" si="13"/>
        <v/>
      </c>
      <c r="D913" s="113"/>
      <c r="E913" s="113"/>
      <c r="F913" s="113"/>
      <c r="G913" s="113"/>
      <c r="H913" s="128"/>
      <c r="I913" s="113"/>
      <c r="J913" s="113"/>
    </row>
    <row r="914" spans="1:10" ht="15.75" x14ac:dyDescent="0.25">
      <c r="A914" s="104"/>
      <c r="B914" s="104"/>
      <c r="C914" s="92" t="str">
        <f t="shared" si="13"/>
        <v/>
      </c>
      <c r="D914" s="113"/>
      <c r="E914" s="113"/>
      <c r="F914" s="113"/>
      <c r="G914" s="113"/>
      <c r="H914" s="128"/>
      <c r="I914" s="113"/>
      <c r="J914" s="113"/>
    </row>
    <row r="915" spans="1:10" ht="15.75" x14ac:dyDescent="0.25">
      <c r="A915" s="104"/>
      <c r="B915" s="104"/>
      <c r="C915" s="92" t="str">
        <f t="shared" si="13"/>
        <v/>
      </c>
      <c r="D915" s="113"/>
      <c r="E915" s="113"/>
      <c r="F915" s="113"/>
      <c r="G915" s="113"/>
      <c r="H915" s="128"/>
      <c r="I915" s="113"/>
      <c r="J915" s="113"/>
    </row>
    <row r="916" spans="1:10" ht="15.75" x14ac:dyDescent="0.25">
      <c r="A916" s="104"/>
      <c r="B916" s="104"/>
      <c r="C916" s="92" t="str">
        <f t="shared" ref="C916:C979" si="14">IF(A916=0,"","Steel02")</f>
        <v/>
      </c>
      <c r="D916" s="113"/>
      <c r="E916" s="113"/>
      <c r="F916" s="113"/>
      <c r="G916" s="113"/>
      <c r="H916" s="128"/>
      <c r="I916" s="113"/>
      <c r="J916" s="113"/>
    </row>
    <row r="917" spans="1:10" ht="15.75" x14ac:dyDescent="0.25">
      <c r="A917" s="104"/>
      <c r="B917" s="104"/>
      <c r="C917" s="92" t="str">
        <f t="shared" si="14"/>
        <v/>
      </c>
      <c r="D917" s="113"/>
      <c r="E917" s="113"/>
      <c r="F917" s="113"/>
      <c r="G917" s="113"/>
      <c r="H917" s="128"/>
      <c r="I917" s="113"/>
      <c r="J917" s="113"/>
    </row>
    <row r="918" spans="1:10" ht="15.75" x14ac:dyDescent="0.25">
      <c r="A918" s="104"/>
      <c r="B918" s="104"/>
      <c r="C918" s="92" t="str">
        <f t="shared" si="14"/>
        <v/>
      </c>
      <c r="D918" s="113"/>
      <c r="E918" s="113"/>
      <c r="F918" s="113"/>
      <c r="G918" s="113"/>
      <c r="H918" s="128"/>
      <c r="I918" s="113"/>
      <c r="J918" s="113"/>
    </row>
    <row r="919" spans="1:10" ht="15.75" x14ac:dyDescent="0.25">
      <c r="A919" s="104"/>
      <c r="B919" s="104"/>
      <c r="C919" s="92" t="str">
        <f t="shared" si="14"/>
        <v/>
      </c>
      <c r="D919" s="113"/>
      <c r="E919" s="113"/>
      <c r="F919" s="113"/>
      <c r="G919" s="113"/>
      <c r="H919" s="128"/>
      <c r="I919" s="113"/>
      <c r="J919" s="113"/>
    </row>
    <row r="920" spans="1:10" ht="15.75" x14ac:dyDescent="0.25">
      <c r="A920" s="104"/>
      <c r="B920" s="104"/>
      <c r="C920" s="92" t="str">
        <f t="shared" si="14"/>
        <v/>
      </c>
      <c r="D920" s="113"/>
      <c r="E920" s="113"/>
      <c r="F920" s="113"/>
      <c r="G920" s="113"/>
      <c r="H920" s="128"/>
      <c r="I920" s="113"/>
      <c r="J920" s="113"/>
    </row>
    <row r="921" spans="1:10" ht="15.75" x14ac:dyDescent="0.25">
      <c r="A921" s="104"/>
      <c r="B921" s="104"/>
      <c r="C921" s="92" t="str">
        <f t="shared" si="14"/>
        <v/>
      </c>
      <c r="D921" s="113"/>
      <c r="E921" s="113"/>
      <c r="F921" s="113"/>
      <c r="G921" s="113"/>
      <c r="H921" s="128"/>
      <c r="I921" s="113"/>
      <c r="J921" s="113"/>
    </row>
    <row r="922" spans="1:10" ht="15.75" x14ac:dyDescent="0.25">
      <c r="A922" s="104"/>
      <c r="B922" s="104"/>
      <c r="C922" s="92" t="str">
        <f t="shared" si="14"/>
        <v/>
      </c>
      <c r="D922" s="113"/>
      <c r="E922" s="113"/>
      <c r="F922" s="113"/>
      <c r="G922" s="113"/>
      <c r="H922" s="128"/>
      <c r="I922" s="113"/>
      <c r="J922" s="113"/>
    </row>
    <row r="923" spans="1:10" ht="15.75" x14ac:dyDescent="0.25">
      <c r="A923" s="104"/>
      <c r="B923" s="104"/>
      <c r="C923" s="92" t="str">
        <f t="shared" si="14"/>
        <v/>
      </c>
      <c r="D923" s="113"/>
      <c r="E923" s="113"/>
      <c r="F923" s="113"/>
      <c r="G923" s="113"/>
      <c r="H923" s="128"/>
      <c r="I923" s="113"/>
      <c r="J923" s="113"/>
    </row>
    <row r="924" spans="1:10" ht="15.75" x14ac:dyDescent="0.25">
      <c r="A924" s="104"/>
      <c r="B924" s="104"/>
      <c r="C924" s="92" t="str">
        <f t="shared" si="14"/>
        <v/>
      </c>
      <c r="D924" s="113"/>
      <c r="E924" s="113"/>
      <c r="F924" s="113"/>
      <c r="G924" s="113"/>
      <c r="H924" s="128"/>
      <c r="I924" s="113"/>
      <c r="J924" s="113"/>
    </row>
    <row r="925" spans="1:10" ht="15.75" x14ac:dyDescent="0.25">
      <c r="A925" s="104"/>
      <c r="B925" s="104"/>
      <c r="C925" s="92" t="str">
        <f t="shared" si="14"/>
        <v/>
      </c>
      <c r="D925" s="113"/>
      <c r="E925" s="113"/>
      <c r="F925" s="113"/>
      <c r="G925" s="113"/>
      <c r="H925" s="128"/>
      <c r="I925" s="113"/>
      <c r="J925" s="113"/>
    </row>
    <row r="926" spans="1:10" ht="15.75" x14ac:dyDescent="0.25">
      <c r="A926" s="104"/>
      <c r="B926" s="104"/>
      <c r="C926" s="92" t="str">
        <f t="shared" si="14"/>
        <v/>
      </c>
      <c r="D926" s="113"/>
      <c r="E926" s="113"/>
      <c r="F926" s="113"/>
      <c r="G926" s="113"/>
      <c r="H926" s="128"/>
      <c r="I926" s="113"/>
      <c r="J926" s="113"/>
    </row>
    <row r="927" spans="1:10" ht="15.75" x14ac:dyDescent="0.25">
      <c r="A927" s="104"/>
      <c r="B927" s="104"/>
      <c r="C927" s="92" t="str">
        <f t="shared" si="14"/>
        <v/>
      </c>
      <c r="D927" s="113"/>
      <c r="E927" s="113"/>
      <c r="F927" s="113"/>
      <c r="G927" s="113"/>
      <c r="H927" s="128"/>
      <c r="I927" s="113"/>
      <c r="J927" s="113"/>
    </row>
    <row r="928" spans="1:10" ht="15.75" x14ac:dyDescent="0.25">
      <c r="A928" s="104"/>
      <c r="B928" s="104"/>
      <c r="C928" s="92" t="str">
        <f t="shared" si="14"/>
        <v/>
      </c>
      <c r="D928" s="113"/>
      <c r="E928" s="113"/>
      <c r="F928" s="113"/>
      <c r="G928" s="113"/>
      <c r="H928" s="128"/>
      <c r="I928" s="113"/>
      <c r="J928" s="113"/>
    </row>
    <row r="929" spans="1:10" ht="15.75" x14ac:dyDescent="0.25">
      <c r="A929" s="104"/>
      <c r="B929" s="104"/>
      <c r="C929" s="92" t="str">
        <f t="shared" si="14"/>
        <v/>
      </c>
      <c r="D929" s="113"/>
      <c r="E929" s="113"/>
      <c r="F929" s="113"/>
      <c r="G929" s="113"/>
      <c r="H929" s="128"/>
      <c r="I929" s="113"/>
      <c r="J929" s="113"/>
    </row>
    <row r="930" spans="1:10" ht="15.75" x14ac:dyDescent="0.25">
      <c r="A930" s="104"/>
      <c r="B930" s="104"/>
      <c r="C930" s="92" t="str">
        <f t="shared" si="14"/>
        <v/>
      </c>
      <c r="D930" s="113"/>
      <c r="E930" s="113"/>
      <c r="F930" s="113"/>
      <c r="G930" s="113"/>
      <c r="H930" s="128"/>
      <c r="I930" s="113"/>
      <c r="J930" s="113"/>
    </row>
    <row r="931" spans="1:10" ht="15.75" x14ac:dyDescent="0.25">
      <c r="A931" s="104"/>
      <c r="B931" s="104"/>
      <c r="C931" s="92" t="str">
        <f t="shared" si="14"/>
        <v/>
      </c>
      <c r="D931" s="113"/>
      <c r="E931" s="113"/>
      <c r="F931" s="113"/>
      <c r="G931" s="113"/>
      <c r="H931" s="128"/>
      <c r="I931" s="113"/>
      <c r="J931" s="113"/>
    </row>
    <row r="932" spans="1:10" ht="15.75" x14ac:dyDescent="0.25">
      <c r="A932" s="104"/>
      <c r="B932" s="104"/>
      <c r="C932" s="92" t="str">
        <f t="shared" si="14"/>
        <v/>
      </c>
      <c r="D932" s="113"/>
      <c r="E932" s="113"/>
      <c r="F932" s="113"/>
      <c r="G932" s="113"/>
      <c r="H932" s="128"/>
      <c r="I932" s="113"/>
      <c r="J932" s="113"/>
    </row>
    <row r="933" spans="1:10" ht="15.75" x14ac:dyDescent="0.25">
      <c r="A933" s="104"/>
      <c r="B933" s="104"/>
      <c r="C933" s="92" t="str">
        <f t="shared" si="14"/>
        <v/>
      </c>
      <c r="D933" s="113"/>
      <c r="E933" s="113"/>
      <c r="F933" s="113"/>
      <c r="G933" s="113"/>
      <c r="H933" s="128"/>
      <c r="I933" s="113"/>
      <c r="J933" s="113"/>
    </row>
    <row r="934" spans="1:10" ht="15.75" x14ac:dyDescent="0.25">
      <c r="A934" s="104"/>
      <c r="B934" s="104"/>
      <c r="C934" s="92" t="str">
        <f t="shared" si="14"/>
        <v/>
      </c>
      <c r="D934" s="113"/>
      <c r="E934" s="113"/>
      <c r="F934" s="113"/>
      <c r="G934" s="113"/>
      <c r="H934" s="128"/>
      <c r="I934" s="113"/>
      <c r="J934" s="113"/>
    </row>
    <row r="935" spans="1:10" ht="15.75" x14ac:dyDescent="0.25">
      <c r="A935" s="104"/>
      <c r="B935" s="104"/>
      <c r="C935" s="92" t="str">
        <f t="shared" si="14"/>
        <v/>
      </c>
      <c r="D935" s="113"/>
      <c r="E935" s="113"/>
      <c r="F935" s="113"/>
      <c r="G935" s="113"/>
      <c r="H935" s="128"/>
      <c r="I935" s="113"/>
      <c r="J935" s="113"/>
    </row>
    <row r="936" spans="1:10" ht="15.75" x14ac:dyDescent="0.25">
      <c r="A936" s="104"/>
      <c r="B936" s="104"/>
      <c r="C936" s="92" t="str">
        <f t="shared" si="14"/>
        <v/>
      </c>
      <c r="D936" s="113"/>
      <c r="E936" s="113"/>
      <c r="F936" s="113"/>
      <c r="G936" s="113"/>
      <c r="H936" s="128"/>
      <c r="I936" s="113"/>
      <c r="J936" s="113"/>
    </row>
    <row r="937" spans="1:10" ht="15.75" x14ac:dyDescent="0.25">
      <c r="A937" s="104"/>
      <c r="B937" s="104"/>
      <c r="C937" s="92" t="str">
        <f t="shared" si="14"/>
        <v/>
      </c>
      <c r="D937" s="113"/>
      <c r="E937" s="113"/>
      <c r="F937" s="113"/>
      <c r="G937" s="113"/>
      <c r="H937" s="128"/>
      <c r="I937" s="113"/>
      <c r="J937" s="113"/>
    </row>
    <row r="938" spans="1:10" ht="15.75" x14ac:dyDescent="0.25">
      <c r="A938" s="104"/>
      <c r="B938" s="104"/>
      <c r="C938" s="92" t="str">
        <f t="shared" si="14"/>
        <v/>
      </c>
      <c r="D938" s="113"/>
      <c r="E938" s="113"/>
      <c r="F938" s="113"/>
      <c r="G938" s="113"/>
      <c r="H938" s="128"/>
      <c r="I938" s="113"/>
      <c r="J938" s="113"/>
    </row>
    <row r="939" spans="1:10" ht="15.75" x14ac:dyDescent="0.25">
      <c r="A939" s="104"/>
      <c r="B939" s="104"/>
      <c r="C939" s="92" t="str">
        <f t="shared" si="14"/>
        <v/>
      </c>
      <c r="D939" s="113"/>
      <c r="E939" s="113"/>
      <c r="F939" s="113"/>
      <c r="G939" s="113"/>
      <c r="H939" s="128"/>
      <c r="I939" s="113"/>
      <c r="J939" s="113"/>
    </row>
    <row r="940" spans="1:10" ht="15.75" x14ac:dyDescent="0.25">
      <c r="A940" s="104"/>
      <c r="B940" s="104"/>
      <c r="C940" s="92" t="str">
        <f t="shared" si="14"/>
        <v/>
      </c>
      <c r="D940" s="113"/>
      <c r="E940" s="113"/>
      <c r="F940" s="113"/>
      <c r="G940" s="113"/>
      <c r="H940" s="128"/>
      <c r="I940" s="113"/>
      <c r="J940" s="113"/>
    </row>
    <row r="941" spans="1:10" ht="15.75" x14ac:dyDescent="0.25">
      <c r="A941" s="104"/>
      <c r="B941" s="104"/>
      <c r="C941" s="92" t="str">
        <f t="shared" si="14"/>
        <v/>
      </c>
      <c r="D941" s="113"/>
      <c r="E941" s="113"/>
      <c r="F941" s="113"/>
      <c r="G941" s="113"/>
      <c r="H941" s="128"/>
      <c r="I941" s="113"/>
      <c r="J941" s="113"/>
    </row>
    <row r="942" spans="1:10" ht="15.75" x14ac:dyDescent="0.25">
      <c r="A942" s="104"/>
      <c r="B942" s="104"/>
      <c r="C942" s="92" t="str">
        <f t="shared" si="14"/>
        <v/>
      </c>
      <c r="D942" s="113"/>
      <c r="E942" s="113"/>
      <c r="F942" s="113"/>
      <c r="G942" s="113"/>
      <c r="H942" s="128"/>
      <c r="I942" s="113"/>
      <c r="J942" s="113"/>
    </row>
    <row r="943" spans="1:10" ht="15.75" x14ac:dyDescent="0.25">
      <c r="A943" s="104"/>
      <c r="B943" s="104"/>
      <c r="C943" s="92" t="str">
        <f t="shared" si="14"/>
        <v/>
      </c>
      <c r="D943" s="113"/>
      <c r="E943" s="113"/>
      <c r="F943" s="113"/>
      <c r="G943" s="113"/>
      <c r="H943" s="128"/>
      <c r="I943" s="113"/>
      <c r="J943" s="113"/>
    </row>
    <row r="944" spans="1:10" ht="15.75" x14ac:dyDescent="0.25">
      <c r="A944" s="104"/>
      <c r="B944" s="104"/>
      <c r="C944" s="92" t="str">
        <f t="shared" si="14"/>
        <v/>
      </c>
      <c r="D944" s="113"/>
      <c r="E944" s="113"/>
      <c r="F944" s="113"/>
      <c r="G944" s="113"/>
      <c r="H944" s="128"/>
      <c r="I944" s="113"/>
      <c r="J944" s="113"/>
    </row>
    <row r="945" spans="1:10" ht="15.75" x14ac:dyDescent="0.25">
      <c r="A945" s="104"/>
      <c r="B945" s="104"/>
      <c r="C945" s="92" t="str">
        <f t="shared" si="14"/>
        <v/>
      </c>
      <c r="D945" s="113"/>
      <c r="E945" s="113"/>
      <c r="F945" s="113"/>
      <c r="G945" s="113"/>
      <c r="H945" s="128"/>
      <c r="I945" s="113"/>
      <c r="J945" s="113"/>
    </row>
    <row r="946" spans="1:10" ht="15.75" x14ac:dyDescent="0.25">
      <c r="A946" s="104"/>
      <c r="B946" s="104"/>
      <c r="C946" s="92" t="str">
        <f t="shared" si="14"/>
        <v/>
      </c>
      <c r="D946" s="113"/>
      <c r="E946" s="113"/>
      <c r="F946" s="113"/>
      <c r="G946" s="113"/>
      <c r="H946" s="128"/>
      <c r="I946" s="113"/>
      <c r="J946" s="113"/>
    </row>
    <row r="947" spans="1:10" ht="15.75" x14ac:dyDescent="0.25">
      <c r="A947" s="104"/>
      <c r="B947" s="104"/>
      <c r="C947" s="92" t="str">
        <f t="shared" si="14"/>
        <v/>
      </c>
      <c r="D947" s="113"/>
      <c r="E947" s="113"/>
      <c r="F947" s="113"/>
      <c r="G947" s="113"/>
      <c r="H947" s="128"/>
      <c r="I947" s="113"/>
      <c r="J947" s="113"/>
    </row>
    <row r="948" spans="1:10" ht="15.75" x14ac:dyDescent="0.25">
      <c r="A948" s="104"/>
      <c r="B948" s="104"/>
      <c r="C948" s="92" t="str">
        <f t="shared" si="14"/>
        <v/>
      </c>
      <c r="D948" s="113"/>
      <c r="E948" s="113"/>
      <c r="F948" s="113"/>
      <c r="G948" s="113"/>
      <c r="H948" s="128"/>
      <c r="I948" s="113"/>
      <c r="J948" s="113"/>
    </row>
    <row r="949" spans="1:10" ht="15.75" x14ac:dyDescent="0.25">
      <c r="A949" s="104"/>
      <c r="B949" s="104"/>
      <c r="C949" s="92" t="str">
        <f t="shared" si="14"/>
        <v/>
      </c>
      <c r="D949" s="113"/>
      <c r="E949" s="113"/>
      <c r="F949" s="113"/>
      <c r="G949" s="113"/>
      <c r="H949" s="128"/>
      <c r="I949" s="113"/>
      <c r="J949" s="113"/>
    </row>
    <row r="950" spans="1:10" ht="15.75" x14ac:dyDescent="0.25">
      <c r="A950" s="104"/>
      <c r="B950" s="104"/>
      <c r="C950" s="92" t="str">
        <f t="shared" si="14"/>
        <v/>
      </c>
      <c r="D950" s="113"/>
      <c r="E950" s="113"/>
      <c r="F950" s="113"/>
      <c r="G950" s="113"/>
      <c r="H950" s="128"/>
      <c r="I950" s="113"/>
      <c r="J950" s="113"/>
    </row>
    <row r="951" spans="1:10" ht="15.75" x14ac:dyDescent="0.25">
      <c r="A951" s="104"/>
      <c r="B951" s="104"/>
      <c r="C951" s="92" t="str">
        <f t="shared" si="14"/>
        <v/>
      </c>
      <c r="D951" s="113"/>
      <c r="E951" s="113"/>
      <c r="F951" s="113"/>
      <c r="G951" s="113"/>
      <c r="H951" s="128"/>
      <c r="I951" s="113"/>
      <c r="J951" s="113"/>
    </row>
    <row r="952" spans="1:10" ht="15.75" x14ac:dyDescent="0.25">
      <c r="A952" s="104"/>
      <c r="B952" s="104"/>
      <c r="C952" s="92" t="str">
        <f t="shared" si="14"/>
        <v/>
      </c>
      <c r="D952" s="113"/>
      <c r="E952" s="113"/>
      <c r="F952" s="113"/>
      <c r="G952" s="113"/>
      <c r="H952" s="128"/>
      <c r="I952" s="113"/>
      <c r="J952" s="113"/>
    </row>
    <row r="953" spans="1:10" ht="15.75" x14ac:dyDescent="0.25">
      <c r="A953" s="104"/>
      <c r="B953" s="104"/>
      <c r="C953" s="92" t="str">
        <f t="shared" si="14"/>
        <v/>
      </c>
      <c r="D953" s="113"/>
      <c r="E953" s="113"/>
      <c r="F953" s="113"/>
      <c r="G953" s="113"/>
      <c r="H953" s="128"/>
      <c r="I953" s="113"/>
      <c r="J953" s="113"/>
    </row>
    <row r="954" spans="1:10" ht="15.75" x14ac:dyDescent="0.25">
      <c r="A954" s="104"/>
      <c r="B954" s="104"/>
      <c r="C954" s="92" t="str">
        <f t="shared" si="14"/>
        <v/>
      </c>
      <c r="D954" s="113"/>
      <c r="E954" s="113"/>
      <c r="F954" s="113"/>
      <c r="G954" s="113"/>
      <c r="H954" s="128"/>
      <c r="I954" s="113"/>
      <c r="J954" s="113"/>
    </row>
    <row r="955" spans="1:10" ht="15.75" x14ac:dyDescent="0.25">
      <c r="A955" s="104"/>
      <c r="B955" s="104"/>
      <c r="C955" s="92" t="str">
        <f t="shared" si="14"/>
        <v/>
      </c>
      <c r="D955" s="113"/>
      <c r="E955" s="113"/>
      <c r="F955" s="113"/>
      <c r="G955" s="113"/>
      <c r="H955" s="128"/>
      <c r="I955" s="113"/>
      <c r="J955" s="113"/>
    </row>
    <row r="956" spans="1:10" ht="15.75" x14ac:dyDescent="0.25">
      <c r="A956" s="104"/>
      <c r="B956" s="104"/>
      <c r="C956" s="92" t="str">
        <f t="shared" si="14"/>
        <v/>
      </c>
      <c r="D956" s="113"/>
      <c r="E956" s="113"/>
      <c r="F956" s="113"/>
      <c r="G956" s="113"/>
      <c r="H956" s="128"/>
      <c r="I956" s="113"/>
      <c r="J956" s="113"/>
    </row>
    <row r="957" spans="1:10" ht="15.75" x14ac:dyDescent="0.25">
      <c r="A957" s="104"/>
      <c r="B957" s="104"/>
      <c r="C957" s="92" t="str">
        <f t="shared" si="14"/>
        <v/>
      </c>
      <c r="D957" s="113"/>
      <c r="E957" s="113"/>
      <c r="F957" s="113"/>
      <c r="G957" s="113"/>
      <c r="H957" s="128"/>
      <c r="I957" s="113"/>
      <c r="J957" s="113"/>
    </row>
    <row r="958" spans="1:10" ht="15.75" x14ac:dyDescent="0.25">
      <c r="A958" s="104"/>
      <c r="B958" s="104"/>
      <c r="C958" s="92" t="str">
        <f t="shared" si="14"/>
        <v/>
      </c>
      <c r="D958" s="113"/>
      <c r="E958" s="113"/>
      <c r="F958" s="113"/>
      <c r="G958" s="113"/>
      <c r="H958" s="128"/>
      <c r="I958" s="113"/>
      <c r="J958" s="113"/>
    </row>
    <row r="959" spans="1:10" ht="15.75" x14ac:dyDescent="0.25">
      <c r="A959" s="104"/>
      <c r="B959" s="104"/>
      <c r="C959" s="92" t="str">
        <f t="shared" si="14"/>
        <v/>
      </c>
      <c r="D959" s="113"/>
      <c r="E959" s="113"/>
      <c r="F959" s="113"/>
      <c r="G959" s="113"/>
      <c r="H959" s="128"/>
      <c r="I959" s="113"/>
      <c r="J959" s="113"/>
    </row>
    <row r="960" spans="1:10" ht="15.75" x14ac:dyDescent="0.25">
      <c r="A960" s="104"/>
      <c r="B960" s="104"/>
      <c r="C960" s="92" t="str">
        <f t="shared" si="14"/>
        <v/>
      </c>
      <c r="D960" s="113"/>
      <c r="E960" s="113"/>
      <c r="F960" s="113"/>
      <c r="G960" s="113"/>
      <c r="H960" s="128"/>
      <c r="I960" s="113"/>
      <c r="J960" s="113"/>
    </row>
    <row r="961" spans="1:10" ht="15.75" x14ac:dyDescent="0.25">
      <c r="A961" s="104"/>
      <c r="B961" s="104"/>
      <c r="C961" s="92" t="str">
        <f t="shared" si="14"/>
        <v/>
      </c>
      <c r="D961" s="113"/>
      <c r="E961" s="113"/>
      <c r="F961" s="113"/>
      <c r="G961" s="113"/>
      <c r="H961" s="128"/>
      <c r="I961" s="113"/>
      <c r="J961" s="113"/>
    </row>
    <row r="962" spans="1:10" ht="15.75" x14ac:dyDescent="0.25">
      <c r="A962" s="104"/>
      <c r="B962" s="104"/>
      <c r="C962" s="92" t="str">
        <f t="shared" si="14"/>
        <v/>
      </c>
      <c r="D962" s="113"/>
      <c r="E962" s="113"/>
      <c r="F962" s="113"/>
      <c r="G962" s="113"/>
      <c r="H962" s="128"/>
      <c r="I962" s="113"/>
      <c r="J962" s="113"/>
    </row>
    <row r="963" spans="1:10" ht="15.75" x14ac:dyDescent="0.25">
      <c r="A963" s="104"/>
      <c r="B963" s="104"/>
      <c r="C963" s="92" t="str">
        <f t="shared" si="14"/>
        <v/>
      </c>
      <c r="D963" s="113"/>
      <c r="E963" s="113"/>
      <c r="F963" s="113"/>
      <c r="G963" s="113"/>
      <c r="H963" s="128"/>
      <c r="I963" s="113"/>
      <c r="J963" s="113"/>
    </row>
    <row r="964" spans="1:10" ht="15.75" x14ac:dyDescent="0.25">
      <c r="A964" s="104"/>
      <c r="B964" s="104"/>
      <c r="C964" s="92" t="str">
        <f t="shared" si="14"/>
        <v/>
      </c>
      <c r="D964" s="113"/>
      <c r="E964" s="113"/>
      <c r="F964" s="113"/>
      <c r="G964" s="113"/>
      <c r="H964" s="128"/>
      <c r="I964" s="113"/>
      <c r="J964" s="113"/>
    </row>
    <row r="965" spans="1:10" ht="15.75" x14ac:dyDescent="0.25">
      <c r="A965" s="104"/>
      <c r="B965" s="104"/>
      <c r="C965" s="92" t="str">
        <f t="shared" si="14"/>
        <v/>
      </c>
      <c r="D965" s="113"/>
      <c r="E965" s="113"/>
      <c r="F965" s="113"/>
      <c r="G965" s="113"/>
      <c r="H965" s="128"/>
      <c r="I965" s="113"/>
      <c r="J965" s="113"/>
    </row>
    <row r="966" spans="1:10" ht="15.75" x14ac:dyDescent="0.25">
      <c r="A966" s="104"/>
      <c r="B966" s="104"/>
      <c r="C966" s="92" t="str">
        <f t="shared" si="14"/>
        <v/>
      </c>
      <c r="D966" s="113"/>
      <c r="E966" s="113"/>
      <c r="F966" s="113"/>
      <c r="G966" s="113"/>
      <c r="H966" s="128"/>
      <c r="I966" s="113"/>
      <c r="J966" s="113"/>
    </row>
    <row r="967" spans="1:10" ht="15.75" x14ac:dyDescent="0.25">
      <c r="A967" s="104"/>
      <c r="B967" s="104"/>
      <c r="C967" s="92" t="str">
        <f t="shared" si="14"/>
        <v/>
      </c>
      <c r="D967" s="113"/>
      <c r="E967" s="113"/>
      <c r="F967" s="113"/>
      <c r="G967" s="113"/>
      <c r="H967" s="128"/>
      <c r="I967" s="113"/>
      <c r="J967" s="113"/>
    </row>
    <row r="968" spans="1:10" ht="15.75" x14ac:dyDescent="0.25">
      <c r="A968" s="104"/>
      <c r="B968" s="104"/>
      <c r="C968" s="92" t="str">
        <f t="shared" si="14"/>
        <v/>
      </c>
      <c r="D968" s="113"/>
      <c r="E968" s="113"/>
      <c r="F968" s="113"/>
      <c r="G968" s="113"/>
      <c r="H968" s="128"/>
      <c r="I968" s="113"/>
      <c r="J968" s="113"/>
    </row>
    <row r="969" spans="1:10" ht="15.75" x14ac:dyDescent="0.25">
      <c r="A969" s="104"/>
      <c r="B969" s="104"/>
      <c r="C969" s="92" t="str">
        <f t="shared" si="14"/>
        <v/>
      </c>
      <c r="D969" s="113"/>
      <c r="E969" s="113"/>
      <c r="F969" s="113"/>
      <c r="G969" s="113"/>
      <c r="H969" s="128"/>
      <c r="I969" s="113"/>
      <c r="J969" s="113"/>
    </row>
    <row r="970" spans="1:10" ht="15.75" x14ac:dyDescent="0.25">
      <c r="A970" s="104"/>
      <c r="B970" s="104"/>
      <c r="C970" s="92" t="str">
        <f t="shared" si="14"/>
        <v/>
      </c>
      <c r="D970" s="113"/>
      <c r="E970" s="113"/>
      <c r="F970" s="113"/>
      <c r="G970" s="113"/>
      <c r="H970" s="128"/>
      <c r="I970" s="113"/>
      <c r="J970" s="113"/>
    </row>
    <row r="971" spans="1:10" ht="15.75" x14ac:dyDescent="0.25">
      <c r="A971" s="104"/>
      <c r="B971" s="104"/>
      <c r="C971" s="92" t="str">
        <f t="shared" si="14"/>
        <v/>
      </c>
      <c r="D971" s="113"/>
      <c r="E971" s="113"/>
      <c r="F971" s="113"/>
      <c r="G971" s="113"/>
      <c r="H971" s="128"/>
      <c r="I971" s="113"/>
      <c r="J971" s="113"/>
    </row>
    <row r="972" spans="1:10" ht="15.75" x14ac:dyDescent="0.25">
      <c r="A972" s="104"/>
      <c r="B972" s="104"/>
      <c r="C972" s="92" t="str">
        <f t="shared" si="14"/>
        <v/>
      </c>
      <c r="D972" s="113"/>
      <c r="E972" s="113"/>
      <c r="F972" s="113"/>
      <c r="G972" s="113"/>
      <c r="H972" s="128"/>
      <c r="I972" s="113"/>
      <c r="J972" s="113"/>
    </row>
    <row r="973" spans="1:10" ht="15.75" x14ac:dyDescent="0.25">
      <c r="A973" s="104"/>
      <c r="B973" s="104"/>
      <c r="C973" s="92" t="str">
        <f t="shared" si="14"/>
        <v/>
      </c>
      <c r="D973" s="113"/>
      <c r="E973" s="113"/>
      <c r="F973" s="113"/>
      <c r="G973" s="113"/>
      <c r="H973" s="128"/>
      <c r="I973" s="113"/>
      <c r="J973" s="113"/>
    </row>
    <row r="974" spans="1:10" ht="15.75" x14ac:dyDescent="0.25">
      <c r="A974" s="104"/>
      <c r="B974" s="104"/>
      <c r="C974" s="92" t="str">
        <f t="shared" si="14"/>
        <v/>
      </c>
      <c r="D974" s="113"/>
      <c r="E974" s="113"/>
      <c r="F974" s="113"/>
      <c r="G974" s="113"/>
      <c r="H974" s="128"/>
      <c r="I974" s="113"/>
      <c r="J974" s="113"/>
    </row>
    <row r="975" spans="1:10" ht="15.75" x14ac:dyDescent="0.25">
      <c r="A975" s="104"/>
      <c r="B975" s="104"/>
      <c r="C975" s="92" t="str">
        <f t="shared" si="14"/>
        <v/>
      </c>
      <c r="D975" s="113"/>
      <c r="E975" s="113"/>
      <c r="F975" s="113"/>
      <c r="G975" s="113"/>
      <c r="H975" s="128"/>
      <c r="I975" s="113"/>
      <c r="J975" s="113"/>
    </row>
    <row r="976" spans="1:10" ht="15.75" x14ac:dyDescent="0.25">
      <c r="A976" s="104"/>
      <c r="B976" s="104"/>
      <c r="C976" s="92" t="str">
        <f t="shared" si="14"/>
        <v/>
      </c>
      <c r="D976" s="113"/>
      <c r="E976" s="113"/>
      <c r="F976" s="113"/>
      <c r="G976" s="113"/>
      <c r="H976" s="128"/>
      <c r="I976" s="113"/>
      <c r="J976" s="113"/>
    </row>
    <row r="977" spans="1:10" ht="15.75" x14ac:dyDescent="0.25">
      <c r="A977" s="104"/>
      <c r="B977" s="104"/>
      <c r="C977" s="92" t="str">
        <f t="shared" si="14"/>
        <v/>
      </c>
      <c r="D977" s="113"/>
      <c r="E977" s="113"/>
      <c r="F977" s="113"/>
      <c r="G977" s="113"/>
      <c r="H977" s="128"/>
      <c r="I977" s="113"/>
      <c r="J977" s="113"/>
    </row>
    <row r="978" spans="1:10" ht="15.75" x14ac:dyDescent="0.25">
      <c r="A978" s="104"/>
      <c r="B978" s="104"/>
      <c r="C978" s="92" t="str">
        <f t="shared" si="14"/>
        <v/>
      </c>
      <c r="D978" s="113"/>
      <c r="E978" s="113"/>
      <c r="F978" s="113"/>
      <c r="G978" s="113"/>
      <c r="H978" s="128"/>
      <c r="I978" s="113"/>
      <c r="J978" s="113"/>
    </row>
    <row r="979" spans="1:10" ht="15.75" x14ac:dyDescent="0.25">
      <c r="A979" s="104"/>
      <c r="B979" s="104"/>
      <c r="C979" s="92" t="str">
        <f t="shared" si="14"/>
        <v/>
      </c>
      <c r="D979" s="113"/>
      <c r="E979" s="113"/>
      <c r="F979" s="113"/>
      <c r="G979" s="113"/>
      <c r="H979" s="128"/>
      <c r="I979" s="113"/>
      <c r="J979" s="113"/>
    </row>
    <row r="980" spans="1:10" ht="15.75" x14ac:dyDescent="0.25">
      <c r="A980" s="104"/>
      <c r="B980" s="104"/>
      <c r="C980" s="92" t="str">
        <f t="shared" ref="C980:C1018" si="15">IF(A980=0,"","Steel02")</f>
        <v/>
      </c>
      <c r="D980" s="113"/>
      <c r="E980" s="113"/>
      <c r="F980" s="113"/>
      <c r="G980" s="113"/>
      <c r="H980" s="128"/>
      <c r="I980" s="113"/>
      <c r="J980" s="113"/>
    </row>
    <row r="981" spans="1:10" ht="15.75" x14ac:dyDescent="0.25">
      <c r="A981" s="104"/>
      <c r="B981" s="104"/>
      <c r="C981" s="92" t="str">
        <f t="shared" si="15"/>
        <v/>
      </c>
      <c r="D981" s="113"/>
      <c r="E981" s="113"/>
      <c r="F981" s="113"/>
      <c r="G981" s="113"/>
      <c r="H981" s="128"/>
      <c r="I981" s="113"/>
      <c r="J981" s="113"/>
    </row>
    <row r="982" spans="1:10" ht="15.75" x14ac:dyDescent="0.25">
      <c r="A982" s="104"/>
      <c r="B982" s="104"/>
      <c r="C982" s="92" t="str">
        <f t="shared" si="15"/>
        <v/>
      </c>
      <c r="D982" s="113"/>
      <c r="E982" s="113"/>
      <c r="F982" s="113"/>
      <c r="G982" s="113"/>
      <c r="H982" s="128"/>
      <c r="I982" s="113"/>
      <c r="J982" s="113"/>
    </row>
    <row r="983" spans="1:10" ht="15.75" x14ac:dyDescent="0.25">
      <c r="A983" s="104"/>
      <c r="B983" s="104"/>
      <c r="C983" s="92" t="str">
        <f t="shared" si="15"/>
        <v/>
      </c>
      <c r="D983" s="113"/>
      <c r="E983" s="113"/>
      <c r="F983" s="113"/>
      <c r="G983" s="113"/>
      <c r="H983" s="128"/>
      <c r="I983" s="113"/>
      <c r="J983" s="113"/>
    </row>
    <row r="984" spans="1:10" ht="15.75" x14ac:dyDescent="0.25">
      <c r="A984" s="104"/>
      <c r="B984" s="104"/>
      <c r="C984" s="92" t="str">
        <f t="shared" si="15"/>
        <v/>
      </c>
      <c r="D984" s="113"/>
      <c r="E984" s="113"/>
      <c r="F984" s="113"/>
      <c r="G984" s="113"/>
      <c r="H984" s="128"/>
      <c r="I984" s="113"/>
      <c r="J984" s="113"/>
    </row>
    <row r="985" spans="1:10" ht="15.75" x14ac:dyDescent="0.25">
      <c r="A985" s="104"/>
      <c r="B985" s="104"/>
      <c r="C985" s="92" t="str">
        <f t="shared" si="15"/>
        <v/>
      </c>
      <c r="D985" s="113"/>
      <c r="E985" s="113"/>
      <c r="F985" s="113"/>
      <c r="G985" s="113"/>
      <c r="H985" s="128"/>
      <c r="I985" s="113"/>
      <c r="J985" s="113"/>
    </row>
    <row r="986" spans="1:10" ht="15.75" x14ac:dyDescent="0.25">
      <c r="A986" s="104"/>
      <c r="B986" s="104"/>
      <c r="C986" s="92" t="str">
        <f t="shared" si="15"/>
        <v/>
      </c>
      <c r="D986" s="113"/>
      <c r="E986" s="113"/>
      <c r="F986" s="113"/>
      <c r="G986" s="113"/>
      <c r="H986" s="128"/>
      <c r="I986" s="113"/>
      <c r="J986" s="113"/>
    </row>
    <row r="987" spans="1:10" ht="15.75" x14ac:dyDescent="0.25">
      <c r="A987" s="104"/>
      <c r="B987" s="104"/>
      <c r="C987" s="92" t="str">
        <f t="shared" si="15"/>
        <v/>
      </c>
      <c r="D987" s="113"/>
      <c r="E987" s="113"/>
      <c r="F987" s="113"/>
      <c r="G987" s="113"/>
      <c r="H987" s="128"/>
      <c r="I987" s="113"/>
      <c r="J987" s="113"/>
    </row>
    <row r="988" spans="1:10" ht="15.75" x14ac:dyDescent="0.25">
      <c r="A988" s="104"/>
      <c r="B988" s="104"/>
      <c r="C988" s="92" t="str">
        <f t="shared" si="15"/>
        <v/>
      </c>
      <c r="D988" s="113"/>
      <c r="E988" s="113"/>
      <c r="F988" s="113"/>
      <c r="G988" s="113"/>
      <c r="H988" s="128"/>
      <c r="I988" s="113"/>
      <c r="J988" s="113"/>
    </row>
    <row r="989" spans="1:10" ht="15.75" x14ac:dyDescent="0.25">
      <c r="A989" s="104"/>
      <c r="B989" s="104"/>
      <c r="C989" s="92" t="str">
        <f t="shared" si="15"/>
        <v/>
      </c>
      <c r="D989" s="113"/>
      <c r="E989" s="113"/>
      <c r="F989" s="113"/>
      <c r="G989" s="113"/>
      <c r="H989" s="128"/>
      <c r="I989" s="113"/>
      <c r="J989" s="113"/>
    </row>
    <row r="990" spans="1:10" ht="15.75" x14ac:dyDescent="0.25">
      <c r="A990" s="104"/>
      <c r="B990" s="104"/>
      <c r="C990" s="92" t="str">
        <f t="shared" si="15"/>
        <v/>
      </c>
      <c r="D990" s="113"/>
      <c r="E990" s="113"/>
      <c r="F990" s="113"/>
      <c r="G990" s="113"/>
      <c r="H990" s="128"/>
      <c r="I990" s="113"/>
      <c r="J990" s="113"/>
    </row>
    <row r="991" spans="1:10" ht="15.75" x14ac:dyDescent="0.25">
      <c r="A991" s="104"/>
      <c r="B991" s="104"/>
      <c r="C991" s="92" t="str">
        <f t="shared" si="15"/>
        <v/>
      </c>
      <c r="D991" s="113"/>
      <c r="E991" s="113"/>
      <c r="F991" s="113"/>
      <c r="G991" s="113"/>
      <c r="H991" s="128"/>
      <c r="I991" s="113"/>
      <c r="J991" s="113"/>
    </row>
    <row r="992" spans="1:10" ht="15.75" x14ac:dyDescent="0.25">
      <c r="A992" s="104"/>
      <c r="B992" s="104"/>
      <c r="C992" s="92" t="str">
        <f t="shared" si="15"/>
        <v/>
      </c>
      <c r="D992" s="113"/>
      <c r="E992" s="113"/>
      <c r="F992" s="113"/>
      <c r="G992" s="113"/>
      <c r="H992" s="128"/>
      <c r="I992" s="113"/>
      <c r="J992" s="113"/>
    </row>
    <row r="993" spans="1:10" ht="15.75" x14ac:dyDescent="0.25">
      <c r="A993" s="104"/>
      <c r="B993" s="104"/>
      <c r="C993" s="92" t="str">
        <f t="shared" si="15"/>
        <v/>
      </c>
      <c r="D993" s="113"/>
      <c r="E993" s="113"/>
      <c r="F993" s="113"/>
      <c r="G993" s="113"/>
      <c r="H993" s="128"/>
      <c r="I993" s="113"/>
      <c r="J993" s="113"/>
    </row>
    <row r="994" spans="1:10" ht="15.75" x14ac:dyDescent="0.25">
      <c r="A994" s="104"/>
      <c r="B994" s="104"/>
      <c r="C994" s="92" t="str">
        <f t="shared" si="15"/>
        <v/>
      </c>
      <c r="D994" s="113"/>
      <c r="E994" s="113"/>
      <c r="F994" s="113"/>
      <c r="G994" s="113"/>
      <c r="H994" s="128"/>
      <c r="I994" s="113"/>
      <c r="J994" s="113"/>
    </row>
    <row r="995" spans="1:10" ht="15.75" x14ac:dyDescent="0.25">
      <c r="A995" s="104"/>
      <c r="B995" s="104"/>
      <c r="C995" s="92" t="str">
        <f t="shared" si="15"/>
        <v/>
      </c>
      <c r="D995" s="113"/>
      <c r="E995" s="113"/>
      <c r="F995" s="113"/>
      <c r="G995" s="113"/>
      <c r="H995" s="128"/>
      <c r="I995" s="113"/>
      <c r="J995" s="113"/>
    </row>
    <row r="996" spans="1:10" ht="15.75" x14ac:dyDescent="0.25">
      <c r="A996" s="104"/>
      <c r="B996" s="104"/>
      <c r="C996" s="92" t="str">
        <f t="shared" si="15"/>
        <v/>
      </c>
      <c r="D996" s="113"/>
      <c r="E996" s="113"/>
      <c r="F996" s="113"/>
      <c r="G996" s="113"/>
      <c r="H996" s="128"/>
      <c r="I996" s="113"/>
      <c r="J996" s="113"/>
    </row>
    <row r="997" spans="1:10" ht="15.75" x14ac:dyDescent="0.25">
      <c r="A997" s="104"/>
      <c r="B997" s="104"/>
      <c r="C997" s="92" t="str">
        <f t="shared" si="15"/>
        <v/>
      </c>
      <c r="D997" s="113"/>
      <c r="E997" s="113"/>
      <c r="F997" s="113"/>
      <c r="G997" s="113"/>
      <c r="H997" s="128"/>
      <c r="I997" s="113"/>
      <c r="J997" s="113"/>
    </row>
    <row r="998" spans="1:10" ht="15.75" x14ac:dyDescent="0.25">
      <c r="A998" s="104"/>
      <c r="B998" s="104"/>
      <c r="C998" s="92" t="str">
        <f t="shared" si="15"/>
        <v/>
      </c>
      <c r="D998" s="113"/>
      <c r="E998" s="113"/>
      <c r="F998" s="113"/>
      <c r="G998" s="113"/>
      <c r="H998" s="128"/>
      <c r="I998" s="113"/>
      <c r="J998" s="113"/>
    </row>
    <row r="999" spans="1:10" ht="15.75" x14ac:dyDescent="0.25">
      <c r="A999" s="104"/>
      <c r="B999" s="104"/>
      <c r="C999" s="92" t="str">
        <f t="shared" si="15"/>
        <v/>
      </c>
      <c r="D999" s="113"/>
      <c r="E999" s="113"/>
      <c r="F999" s="113"/>
      <c r="G999" s="113"/>
      <c r="H999" s="128"/>
      <c r="I999" s="113"/>
      <c r="J999" s="113"/>
    </row>
    <row r="1000" spans="1:10" ht="15.75" x14ac:dyDescent="0.25">
      <c r="A1000" s="104"/>
      <c r="B1000" s="104"/>
      <c r="C1000" s="92" t="str">
        <f t="shared" si="15"/>
        <v/>
      </c>
      <c r="D1000" s="113"/>
      <c r="E1000" s="113"/>
      <c r="F1000" s="113"/>
      <c r="G1000" s="113"/>
      <c r="H1000" s="128"/>
      <c r="I1000" s="113"/>
      <c r="J1000" s="113"/>
    </row>
    <row r="1001" spans="1:10" ht="15.75" x14ac:dyDescent="0.25">
      <c r="A1001" s="104"/>
      <c r="B1001" s="104"/>
      <c r="C1001" s="92" t="str">
        <f t="shared" si="15"/>
        <v/>
      </c>
      <c r="D1001" s="113"/>
      <c r="E1001" s="113"/>
      <c r="F1001" s="113"/>
      <c r="G1001" s="113"/>
      <c r="H1001" s="128"/>
      <c r="I1001" s="113"/>
      <c r="J1001" s="113"/>
    </row>
    <row r="1002" spans="1:10" ht="15.75" x14ac:dyDescent="0.25">
      <c r="A1002" s="104"/>
      <c r="B1002" s="104"/>
      <c r="C1002" s="92" t="str">
        <f t="shared" si="15"/>
        <v/>
      </c>
      <c r="D1002" s="113"/>
      <c r="E1002" s="113"/>
      <c r="F1002" s="113"/>
      <c r="G1002" s="113"/>
      <c r="H1002" s="128"/>
      <c r="I1002" s="113"/>
      <c r="J1002" s="113"/>
    </row>
    <row r="1003" spans="1:10" ht="15.75" x14ac:dyDescent="0.25">
      <c r="A1003" s="104"/>
      <c r="B1003" s="104"/>
      <c r="C1003" s="92" t="str">
        <f t="shared" si="15"/>
        <v/>
      </c>
      <c r="D1003" s="113"/>
      <c r="E1003" s="113"/>
      <c r="F1003" s="113"/>
      <c r="G1003" s="113"/>
      <c r="H1003" s="128"/>
      <c r="I1003" s="113"/>
      <c r="J1003" s="113"/>
    </row>
    <row r="1004" spans="1:10" ht="15.75" x14ac:dyDescent="0.25">
      <c r="A1004" s="104"/>
      <c r="B1004" s="104"/>
      <c r="C1004" s="92" t="str">
        <f t="shared" si="15"/>
        <v/>
      </c>
      <c r="D1004" s="113"/>
      <c r="E1004" s="113"/>
      <c r="F1004" s="113"/>
      <c r="G1004" s="113"/>
      <c r="H1004" s="128"/>
      <c r="I1004" s="113"/>
      <c r="J1004" s="113"/>
    </row>
    <row r="1005" spans="1:10" ht="15.75" x14ac:dyDescent="0.25">
      <c r="A1005" s="104"/>
      <c r="B1005" s="104"/>
      <c r="C1005" s="92" t="str">
        <f t="shared" si="15"/>
        <v/>
      </c>
      <c r="D1005" s="113"/>
      <c r="E1005" s="113"/>
      <c r="F1005" s="113"/>
      <c r="G1005" s="113"/>
      <c r="H1005" s="128"/>
      <c r="I1005" s="113"/>
      <c r="J1005" s="113"/>
    </row>
    <row r="1006" spans="1:10" ht="15.75" x14ac:dyDescent="0.25">
      <c r="A1006" s="104"/>
      <c r="B1006" s="104"/>
      <c r="C1006" s="92" t="str">
        <f t="shared" si="15"/>
        <v/>
      </c>
      <c r="D1006" s="113"/>
      <c r="E1006" s="113"/>
      <c r="F1006" s="113"/>
      <c r="G1006" s="113"/>
      <c r="H1006" s="128"/>
      <c r="I1006" s="113"/>
      <c r="J1006" s="113"/>
    </row>
    <row r="1007" spans="1:10" ht="15.75" x14ac:dyDescent="0.25">
      <c r="A1007" s="104"/>
      <c r="B1007" s="104"/>
      <c r="C1007" s="92" t="str">
        <f t="shared" si="15"/>
        <v/>
      </c>
      <c r="D1007" s="113"/>
      <c r="E1007" s="113"/>
      <c r="F1007" s="113"/>
      <c r="G1007" s="113"/>
      <c r="H1007" s="128"/>
      <c r="I1007" s="113"/>
      <c r="J1007" s="113"/>
    </row>
    <row r="1008" spans="1:10" ht="15.75" x14ac:dyDescent="0.25">
      <c r="A1008" s="104"/>
      <c r="B1008" s="104"/>
      <c r="C1008" s="92" t="str">
        <f t="shared" si="15"/>
        <v/>
      </c>
      <c r="D1008" s="113"/>
      <c r="E1008" s="113"/>
      <c r="F1008" s="113"/>
      <c r="G1008" s="113"/>
      <c r="H1008" s="128"/>
      <c r="I1008" s="113"/>
      <c r="J1008" s="113"/>
    </row>
    <row r="1009" spans="1:10" ht="15.75" x14ac:dyDescent="0.25">
      <c r="A1009" s="104"/>
      <c r="B1009" s="104"/>
      <c r="C1009" s="92" t="str">
        <f t="shared" si="15"/>
        <v/>
      </c>
      <c r="D1009" s="113"/>
      <c r="E1009" s="113"/>
      <c r="F1009" s="113"/>
      <c r="G1009" s="113"/>
      <c r="H1009" s="128"/>
      <c r="I1009" s="113"/>
      <c r="J1009" s="113"/>
    </row>
    <row r="1010" spans="1:10" ht="15.75" x14ac:dyDescent="0.25">
      <c r="A1010" s="104"/>
      <c r="B1010" s="104"/>
      <c r="C1010" s="92" t="str">
        <f t="shared" si="15"/>
        <v/>
      </c>
      <c r="D1010" s="113"/>
      <c r="E1010" s="113"/>
      <c r="F1010" s="113"/>
      <c r="G1010" s="113"/>
      <c r="H1010" s="128"/>
      <c r="I1010" s="113"/>
      <c r="J1010" s="113"/>
    </row>
    <row r="1011" spans="1:10" ht="15.75" x14ac:dyDescent="0.25">
      <c r="A1011" s="104"/>
      <c r="B1011" s="104"/>
      <c r="C1011" s="92" t="str">
        <f t="shared" si="15"/>
        <v/>
      </c>
      <c r="D1011" s="113"/>
      <c r="E1011" s="113"/>
      <c r="F1011" s="113"/>
      <c r="G1011" s="113"/>
      <c r="H1011" s="128"/>
      <c r="I1011" s="113"/>
      <c r="J1011" s="113"/>
    </row>
    <row r="1012" spans="1:10" ht="15.75" x14ac:dyDescent="0.25">
      <c r="A1012" s="104"/>
      <c r="B1012" s="104"/>
      <c r="C1012" s="92" t="str">
        <f t="shared" si="15"/>
        <v/>
      </c>
      <c r="D1012" s="113"/>
      <c r="E1012" s="113"/>
      <c r="F1012" s="113"/>
      <c r="G1012" s="113"/>
      <c r="H1012" s="128"/>
      <c r="I1012" s="113"/>
      <c r="J1012" s="113"/>
    </row>
    <row r="1013" spans="1:10" ht="15.75" x14ac:dyDescent="0.25">
      <c r="A1013" s="104"/>
      <c r="B1013" s="104"/>
      <c r="C1013" s="92" t="str">
        <f t="shared" si="15"/>
        <v/>
      </c>
      <c r="D1013" s="113"/>
      <c r="E1013" s="113"/>
      <c r="F1013" s="113"/>
      <c r="G1013" s="113"/>
      <c r="H1013" s="128"/>
      <c r="I1013" s="113"/>
      <c r="J1013" s="113"/>
    </row>
    <row r="1014" spans="1:10" ht="15.75" x14ac:dyDescent="0.25">
      <c r="A1014" s="104"/>
      <c r="B1014" s="104"/>
      <c r="C1014" s="92" t="str">
        <f t="shared" si="15"/>
        <v/>
      </c>
      <c r="D1014" s="113"/>
      <c r="E1014" s="113"/>
      <c r="F1014" s="113"/>
      <c r="G1014" s="113"/>
      <c r="H1014" s="128"/>
      <c r="I1014" s="113"/>
      <c r="J1014" s="113"/>
    </row>
    <row r="1015" spans="1:10" ht="15.75" x14ac:dyDescent="0.25">
      <c r="A1015" s="104"/>
      <c r="B1015" s="104"/>
      <c r="C1015" s="92" t="str">
        <f t="shared" si="15"/>
        <v/>
      </c>
      <c r="D1015" s="113"/>
      <c r="E1015" s="113"/>
      <c r="F1015" s="113"/>
      <c r="G1015" s="113"/>
      <c r="H1015" s="128"/>
      <c r="I1015" s="113"/>
      <c r="J1015" s="113"/>
    </row>
    <row r="1016" spans="1:10" ht="15.75" x14ac:dyDescent="0.25">
      <c r="A1016" s="104"/>
      <c r="B1016" s="104"/>
      <c r="C1016" s="92" t="str">
        <f t="shared" si="15"/>
        <v/>
      </c>
      <c r="D1016" s="113"/>
      <c r="E1016" s="113"/>
      <c r="F1016" s="113"/>
      <c r="G1016" s="113"/>
      <c r="H1016" s="128"/>
      <c r="I1016" s="113"/>
      <c r="J1016" s="113"/>
    </row>
    <row r="1017" spans="1:10" ht="15.75" x14ac:dyDescent="0.25">
      <c r="A1017" s="104"/>
      <c r="B1017" s="104"/>
      <c r="C1017" s="92" t="str">
        <f t="shared" si="15"/>
        <v/>
      </c>
      <c r="D1017" s="113"/>
      <c r="E1017" s="113"/>
      <c r="F1017" s="113"/>
      <c r="G1017" s="113"/>
      <c r="H1017" s="128"/>
      <c r="I1017" s="113"/>
      <c r="J1017" s="113"/>
    </row>
    <row r="1018" spans="1:10" ht="15.75" x14ac:dyDescent="0.25">
      <c r="A1018" s="104"/>
      <c r="B1018" s="104"/>
      <c r="C1018" s="92" t="str">
        <f t="shared" si="15"/>
        <v/>
      </c>
      <c r="D1018" s="113"/>
      <c r="E1018" s="113"/>
      <c r="F1018" s="113"/>
      <c r="G1018" s="113"/>
      <c r="H1018" s="128"/>
      <c r="I1018" s="113"/>
      <c r="J1018" s="113"/>
    </row>
  </sheetData>
  <dataValidations count="4">
    <dataValidation type="list" showInputMessage="1" showErrorMessage="1" errorTitle="Invalid Input" error="Choose from the list" sqref="B19:B1048576" xr:uid="{A57FCBED-8540-44B9-A9DF-AB89476B3982}">
      <formula1>Base_Mat_Steel</formula1>
    </dataValidation>
    <dataValidation type="textLength" allowBlank="1" showInputMessage="1" showErrorMessage="1" errorTitle="Invalid Input" error="Please enter maximum 32 characters only." sqref="A19:A1048576" xr:uid="{7626A076-48BB-4CD8-AC31-9EA7CD48F8EC}">
      <formula1>1</formula1>
      <formula2>32</formula2>
    </dataValidation>
    <dataValidation type="whole" allowBlank="1" showInputMessage="1" showErrorMessage="1" errorTitle="Invalid Input" error="Please enter an integer value only." sqref="H19:H1048576" xr:uid="{E6847207-E523-424B-B17E-8D749220038A}">
      <formula1>0</formula1>
      <formula2>1000000000000</formula2>
    </dataValidation>
    <dataValidation type="decimal" allowBlank="1" showInputMessage="1" showErrorMessage="1" errorTitle="Invalid Input" error="Please enter a float value only." sqref="I19:O1048576 D19:G1048576" xr:uid="{6BC05163-50F8-4298-8AA3-74B3FD59CE78}">
      <formula1>0</formula1>
      <formula2>1000000000000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939E-4051-4E2F-8E50-F15E11C927A1}">
  <sheetPr codeName="Sheet8"/>
  <dimension ref="A1:E1008"/>
  <sheetViews>
    <sheetView zoomScale="130" zoomScaleNormal="130" workbookViewId="0">
      <selection activeCell="E26" sqref="E26"/>
    </sheetView>
  </sheetViews>
  <sheetFormatPr defaultColWidth="8.85546875" defaultRowHeight="15" x14ac:dyDescent="0.25"/>
  <cols>
    <col min="1" max="2" width="20.7109375" style="131" customWidth="1"/>
    <col min="3" max="3" width="20.7109375" style="121" customWidth="1"/>
    <col min="4" max="5" width="10.7109375" style="144" customWidth="1"/>
    <col min="6" max="16384" width="8.85546875" style="122"/>
  </cols>
  <sheetData>
    <row r="1" spans="1:5" ht="15.75" x14ac:dyDescent="0.25">
      <c r="A1" s="71" t="s">
        <v>192</v>
      </c>
      <c r="B1" s="133"/>
      <c r="C1" s="133"/>
      <c r="D1" s="134"/>
      <c r="E1" s="135"/>
    </row>
    <row r="2" spans="1:5" ht="15.75" x14ac:dyDescent="0.25">
      <c r="A2" s="95" t="s">
        <v>222</v>
      </c>
      <c r="B2" s="136"/>
      <c r="C2" s="136"/>
      <c r="D2" s="137"/>
      <c r="E2" s="138"/>
    </row>
    <row r="3" spans="1:5" ht="15.75" x14ac:dyDescent="0.25">
      <c r="A3" s="95" t="s">
        <v>248</v>
      </c>
      <c r="B3" s="136"/>
      <c r="C3" s="136"/>
      <c r="D3" s="137"/>
      <c r="E3" s="138"/>
    </row>
    <row r="4" spans="1:5" ht="15.75" x14ac:dyDescent="0.25">
      <c r="A4" s="95" t="s">
        <v>226</v>
      </c>
      <c r="B4" s="136"/>
      <c r="C4" s="136"/>
      <c r="D4" s="137"/>
      <c r="E4" s="138"/>
    </row>
    <row r="5" spans="1:5" ht="15.75" x14ac:dyDescent="0.25">
      <c r="A5" s="95" t="s">
        <v>249</v>
      </c>
      <c r="B5" s="136"/>
      <c r="C5" s="136"/>
      <c r="D5" s="137"/>
      <c r="E5" s="138"/>
    </row>
    <row r="6" spans="1:5" ht="15.75" x14ac:dyDescent="0.25">
      <c r="A6" s="117" t="s">
        <v>250</v>
      </c>
      <c r="B6" s="139"/>
      <c r="C6" s="139"/>
      <c r="D6" s="140"/>
      <c r="E6" s="141"/>
    </row>
    <row r="7" spans="1:5" x14ac:dyDescent="0.25">
      <c r="A7" s="142"/>
      <c r="B7" s="124"/>
      <c r="C7" s="124"/>
      <c r="D7" s="143"/>
      <c r="E7" s="143"/>
    </row>
    <row r="8" spans="1:5" ht="15.75" x14ac:dyDescent="0.25">
      <c r="A8" s="85" t="s">
        <v>10</v>
      </c>
      <c r="B8" s="85" t="s">
        <v>34</v>
      </c>
      <c r="C8" s="85" t="s">
        <v>19</v>
      </c>
      <c r="D8" s="85" t="s">
        <v>251</v>
      </c>
      <c r="E8" s="85" t="s">
        <v>252</v>
      </c>
    </row>
    <row r="9" spans="1:5" ht="15.75" x14ac:dyDescent="0.25">
      <c r="A9" s="104" t="s">
        <v>35</v>
      </c>
      <c r="B9" s="104" t="s">
        <v>32</v>
      </c>
      <c r="C9" s="92" t="str">
        <f>IF(A9=0,"","MinMax")</f>
        <v>MinMax</v>
      </c>
      <c r="D9" s="120">
        <v>0.08</v>
      </c>
      <c r="E9" s="120">
        <v>0.08</v>
      </c>
    </row>
    <row r="10" spans="1:5" ht="15.75" x14ac:dyDescent="0.25">
      <c r="A10" s="104"/>
      <c r="B10" s="104"/>
      <c r="C10" s="92" t="str">
        <f t="shared" ref="C10:C73" si="0">IF(A10=0,"","MinMax")</f>
        <v/>
      </c>
      <c r="D10" s="120"/>
      <c r="E10" s="120"/>
    </row>
    <row r="11" spans="1:5" ht="15.75" x14ac:dyDescent="0.25">
      <c r="A11" s="104"/>
      <c r="B11" s="104"/>
      <c r="C11" s="92" t="str">
        <f t="shared" si="0"/>
        <v/>
      </c>
      <c r="D11" s="120"/>
      <c r="E11" s="120"/>
    </row>
    <row r="12" spans="1:5" ht="15.75" x14ac:dyDescent="0.25">
      <c r="A12" s="104"/>
      <c r="B12" s="104"/>
      <c r="C12" s="92" t="str">
        <f t="shared" si="0"/>
        <v/>
      </c>
      <c r="D12" s="120"/>
      <c r="E12" s="120"/>
    </row>
    <row r="13" spans="1:5" ht="15.75" x14ac:dyDescent="0.25">
      <c r="A13" s="104"/>
      <c r="B13" s="104"/>
      <c r="C13" s="92" t="str">
        <f t="shared" si="0"/>
        <v/>
      </c>
      <c r="D13" s="120"/>
      <c r="E13" s="120"/>
    </row>
    <row r="14" spans="1:5" ht="15.75" x14ac:dyDescent="0.25">
      <c r="A14" s="104"/>
      <c r="B14" s="104"/>
      <c r="C14" s="92" t="str">
        <f t="shared" si="0"/>
        <v/>
      </c>
      <c r="D14" s="120"/>
      <c r="E14" s="120"/>
    </row>
    <row r="15" spans="1:5" ht="15.75" x14ac:dyDescent="0.25">
      <c r="A15" s="104"/>
      <c r="B15" s="104"/>
      <c r="C15" s="92" t="str">
        <f t="shared" si="0"/>
        <v/>
      </c>
      <c r="D15" s="120"/>
      <c r="E15" s="120"/>
    </row>
    <row r="16" spans="1:5" ht="15.75" x14ac:dyDescent="0.25">
      <c r="A16" s="104"/>
      <c r="B16" s="104"/>
      <c r="C16" s="92" t="str">
        <f t="shared" si="0"/>
        <v/>
      </c>
      <c r="D16" s="120"/>
      <c r="E16" s="120"/>
    </row>
    <row r="17" spans="1:5" ht="15.75" x14ac:dyDescent="0.25">
      <c r="A17" s="104"/>
      <c r="B17" s="104"/>
      <c r="C17" s="92" t="str">
        <f t="shared" si="0"/>
        <v/>
      </c>
      <c r="D17" s="120"/>
      <c r="E17" s="120"/>
    </row>
    <row r="18" spans="1:5" ht="15.75" x14ac:dyDescent="0.25">
      <c r="A18" s="104"/>
      <c r="B18" s="104"/>
      <c r="C18" s="92" t="str">
        <f t="shared" si="0"/>
        <v/>
      </c>
      <c r="D18" s="120"/>
      <c r="E18" s="120"/>
    </row>
    <row r="19" spans="1:5" ht="15.75" x14ac:dyDescent="0.25">
      <c r="A19" s="104"/>
      <c r="B19" s="104"/>
      <c r="C19" s="92" t="str">
        <f t="shared" si="0"/>
        <v/>
      </c>
      <c r="D19" s="120"/>
      <c r="E19" s="120"/>
    </row>
    <row r="20" spans="1:5" ht="15.75" x14ac:dyDescent="0.25">
      <c r="A20" s="104"/>
      <c r="B20" s="104"/>
      <c r="C20" s="92" t="str">
        <f t="shared" si="0"/>
        <v/>
      </c>
      <c r="D20" s="120"/>
      <c r="E20" s="120"/>
    </row>
    <row r="21" spans="1:5" ht="15.75" x14ac:dyDescent="0.25">
      <c r="A21" s="104"/>
      <c r="B21" s="104"/>
      <c r="C21" s="92" t="str">
        <f t="shared" si="0"/>
        <v/>
      </c>
      <c r="D21" s="120"/>
      <c r="E21" s="120"/>
    </row>
    <row r="22" spans="1:5" ht="15.75" x14ac:dyDescent="0.25">
      <c r="A22" s="104"/>
      <c r="B22" s="104"/>
      <c r="C22" s="92" t="str">
        <f t="shared" si="0"/>
        <v/>
      </c>
      <c r="D22" s="120"/>
      <c r="E22" s="120"/>
    </row>
    <row r="23" spans="1:5" ht="15.75" x14ac:dyDescent="0.25">
      <c r="A23" s="104"/>
      <c r="B23" s="104"/>
      <c r="C23" s="92" t="str">
        <f t="shared" si="0"/>
        <v/>
      </c>
      <c r="D23" s="120"/>
      <c r="E23" s="120"/>
    </row>
    <row r="24" spans="1:5" ht="15.75" x14ac:dyDescent="0.25">
      <c r="A24" s="104"/>
      <c r="B24" s="104"/>
      <c r="C24" s="92" t="str">
        <f t="shared" si="0"/>
        <v/>
      </c>
      <c r="D24" s="120"/>
      <c r="E24" s="120"/>
    </row>
    <row r="25" spans="1:5" ht="15.75" x14ac:dyDescent="0.25">
      <c r="A25" s="104"/>
      <c r="B25" s="104"/>
      <c r="C25" s="92" t="str">
        <f t="shared" si="0"/>
        <v/>
      </c>
      <c r="D25" s="120"/>
      <c r="E25" s="120"/>
    </row>
    <row r="26" spans="1:5" ht="15.75" x14ac:dyDescent="0.25">
      <c r="A26" s="104"/>
      <c r="B26" s="104"/>
      <c r="C26" s="92" t="str">
        <f t="shared" si="0"/>
        <v/>
      </c>
      <c r="D26" s="120"/>
      <c r="E26" s="120"/>
    </row>
    <row r="27" spans="1:5" ht="15.75" x14ac:dyDescent="0.25">
      <c r="A27" s="104"/>
      <c r="B27" s="104"/>
      <c r="C27" s="92" t="str">
        <f t="shared" si="0"/>
        <v/>
      </c>
      <c r="D27" s="120"/>
      <c r="E27" s="120"/>
    </row>
    <row r="28" spans="1:5" ht="15.75" x14ac:dyDescent="0.25">
      <c r="A28" s="104"/>
      <c r="B28" s="104"/>
      <c r="C28" s="92" t="str">
        <f t="shared" si="0"/>
        <v/>
      </c>
      <c r="D28" s="120"/>
      <c r="E28" s="120"/>
    </row>
    <row r="29" spans="1:5" ht="15.75" x14ac:dyDescent="0.25">
      <c r="A29" s="104"/>
      <c r="B29" s="104"/>
      <c r="C29" s="92" t="str">
        <f t="shared" si="0"/>
        <v/>
      </c>
      <c r="D29" s="120"/>
      <c r="E29" s="120"/>
    </row>
    <row r="30" spans="1:5" ht="15.75" x14ac:dyDescent="0.25">
      <c r="A30" s="104"/>
      <c r="B30" s="104"/>
      <c r="C30" s="92" t="str">
        <f t="shared" si="0"/>
        <v/>
      </c>
      <c r="D30" s="120"/>
      <c r="E30" s="120"/>
    </row>
    <row r="31" spans="1:5" ht="15.75" x14ac:dyDescent="0.25">
      <c r="A31" s="104"/>
      <c r="B31" s="104"/>
      <c r="C31" s="92" t="str">
        <f t="shared" si="0"/>
        <v/>
      </c>
      <c r="D31" s="120"/>
      <c r="E31" s="120"/>
    </row>
    <row r="32" spans="1:5" ht="15.75" x14ac:dyDescent="0.25">
      <c r="A32" s="104"/>
      <c r="B32" s="104"/>
      <c r="C32" s="92" t="str">
        <f t="shared" si="0"/>
        <v/>
      </c>
      <c r="D32" s="120"/>
      <c r="E32" s="120"/>
    </row>
    <row r="33" spans="1:5" ht="15.75" x14ac:dyDescent="0.25">
      <c r="A33" s="104"/>
      <c r="B33" s="104"/>
      <c r="C33" s="92" t="str">
        <f t="shared" si="0"/>
        <v/>
      </c>
      <c r="D33" s="120"/>
      <c r="E33" s="120"/>
    </row>
    <row r="34" spans="1:5" ht="15.75" x14ac:dyDescent="0.25">
      <c r="A34" s="104"/>
      <c r="B34" s="104"/>
      <c r="C34" s="92" t="str">
        <f t="shared" si="0"/>
        <v/>
      </c>
      <c r="D34" s="120"/>
      <c r="E34" s="120"/>
    </row>
    <row r="35" spans="1:5" ht="15.75" x14ac:dyDescent="0.25">
      <c r="A35" s="104"/>
      <c r="B35" s="104"/>
      <c r="C35" s="92" t="str">
        <f t="shared" si="0"/>
        <v/>
      </c>
      <c r="D35" s="120"/>
      <c r="E35" s="120"/>
    </row>
    <row r="36" spans="1:5" ht="15.75" x14ac:dyDescent="0.25">
      <c r="A36" s="104"/>
      <c r="B36" s="104"/>
      <c r="C36" s="92" t="str">
        <f t="shared" si="0"/>
        <v/>
      </c>
      <c r="D36" s="120"/>
      <c r="E36" s="120"/>
    </row>
    <row r="37" spans="1:5" ht="15.75" x14ac:dyDescent="0.25">
      <c r="A37" s="104"/>
      <c r="B37" s="104"/>
      <c r="C37" s="92" t="str">
        <f t="shared" si="0"/>
        <v/>
      </c>
      <c r="D37" s="120"/>
      <c r="E37" s="120"/>
    </row>
    <row r="38" spans="1:5" ht="15.75" x14ac:dyDescent="0.25">
      <c r="A38" s="104"/>
      <c r="B38" s="104"/>
      <c r="C38" s="92" t="str">
        <f t="shared" si="0"/>
        <v/>
      </c>
      <c r="D38" s="120"/>
      <c r="E38" s="120"/>
    </row>
    <row r="39" spans="1:5" ht="15.75" x14ac:dyDescent="0.25">
      <c r="A39" s="104"/>
      <c r="B39" s="104"/>
      <c r="C39" s="92" t="str">
        <f t="shared" si="0"/>
        <v/>
      </c>
      <c r="D39" s="120"/>
      <c r="E39" s="120"/>
    </row>
    <row r="40" spans="1:5" ht="15.75" x14ac:dyDescent="0.25">
      <c r="A40" s="104"/>
      <c r="B40" s="104"/>
      <c r="C40" s="92" t="str">
        <f t="shared" si="0"/>
        <v/>
      </c>
      <c r="D40" s="120"/>
      <c r="E40" s="120"/>
    </row>
    <row r="41" spans="1:5" ht="15.75" x14ac:dyDescent="0.25">
      <c r="A41" s="104"/>
      <c r="B41" s="104"/>
      <c r="C41" s="92" t="str">
        <f t="shared" si="0"/>
        <v/>
      </c>
      <c r="D41" s="120"/>
      <c r="E41" s="120"/>
    </row>
    <row r="42" spans="1:5" ht="15.75" x14ac:dyDescent="0.25">
      <c r="A42" s="104"/>
      <c r="B42" s="104"/>
      <c r="C42" s="92" t="str">
        <f t="shared" si="0"/>
        <v/>
      </c>
      <c r="D42" s="120"/>
      <c r="E42" s="120"/>
    </row>
    <row r="43" spans="1:5" ht="15.75" x14ac:dyDescent="0.25">
      <c r="A43" s="104"/>
      <c r="B43" s="104"/>
      <c r="C43" s="92" t="str">
        <f t="shared" si="0"/>
        <v/>
      </c>
      <c r="D43" s="120"/>
      <c r="E43" s="120"/>
    </row>
    <row r="44" spans="1:5" ht="15.75" x14ac:dyDescent="0.25">
      <c r="A44" s="104"/>
      <c r="B44" s="104"/>
      <c r="C44" s="92" t="str">
        <f t="shared" si="0"/>
        <v/>
      </c>
      <c r="D44" s="120"/>
      <c r="E44" s="120"/>
    </row>
    <row r="45" spans="1:5" ht="15.75" x14ac:dyDescent="0.25">
      <c r="A45" s="104"/>
      <c r="B45" s="104"/>
      <c r="C45" s="92" t="str">
        <f t="shared" si="0"/>
        <v/>
      </c>
      <c r="D45" s="120"/>
      <c r="E45" s="120"/>
    </row>
    <row r="46" spans="1:5" ht="15.75" x14ac:dyDescent="0.25">
      <c r="A46" s="104"/>
      <c r="B46" s="104"/>
      <c r="C46" s="92" t="str">
        <f t="shared" si="0"/>
        <v/>
      </c>
      <c r="D46" s="120"/>
      <c r="E46" s="120"/>
    </row>
    <row r="47" spans="1:5" ht="15.75" x14ac:dyDescent="0.25">
      <c r="A47" s="104"/>
      <c r="B47" s="104"/>
      <c r="C47" s="92" t="str">
        <f t="shared" si="0"/>
        <v/>
      </c>
      <c r="D47" s="120"/>
      <c r="E47" s="120"/>
    </row>
    <row r="48" spans="1:5" ht="15.75" x14ac:dyDescent="0.25">
      <c r="A48" s="104"/>
      <c r="B48" s="104"/>
      <c r="C48" s="92" t="str">
        <f t="shared" si="0"/>
        <v/>
      </c>
      <c r="D48" s="120"/>
      <c r="E48" s="120"/>
    </row>
    <row r="49" spans="1:5" ht="15.75" x14ac:dyDescent="0.25">
      <c r="A49" s="104"/>
      <c r="B49" s="104"/>
      <c r="C49" s="92" t="str">
        <f t="shared" si="0"/>
        <v/>
      </c>
      <c r="D49" s="120"/>
      <c r="E49" s="120"/>
    </row>
    <row r="50" spans="1:5" ht="15.75" x14ac:dyDescent="0.25">
      <c r="A50" s="104"/>
      <c r="B50" s="104"/>
      <c r="C50" s="92" t="str">
        <f t="shared" si="0"/>
        <v/>
      </c>
      <c r="D50" s="120"/>
      <c r="E50" s="120"/>
    </row>
    <row r="51" spans="1:5" ht="15.75" x14ac:dyDescent="0.25">
      <c r="A51" s="104"/>
      <c r="B51" s="104"/>
      <c r="C51" s="92" t="str">
        <f t="shared" si="0"/>
        <v/>
      </c>
      <c r="D51" s="120"/>
      <c r="E51" s="120"/>
    </row>
    <row r="52" spans="1:5" ht="15.75" x14ac:dyDescent="0.25">
      <c r="A52" s="104"/>
      <c r="B52" s="104"/>
      <c r="C52" s="92" t="str">
        <f t="shared" si="0"/>
        <v/>
      </c>
      <c r="D52" s="120"/>
      <c r="E52" s="120"/>
    </row>
    <row r="53" spans="1:5" ht="15.75" x14ac:dyDescent="0.25">
      <c r="A53" s="104"/>
      <c r="B53" s="104"/>
      <c r="C53" s="92" t="str">
        <f t="shared" si="0"/>
        <v/>
      </c>
      <c r="D53" s="120"/>
      <c r="E53" s="120"/>
    </row>
    <row r="54" spans="1:5" ht="15.75" x14ac:dyDescent="0.25">
      <c r="A54" s="104"/>
      <c r="B54" s="104"/>
      <c r="C54" s="92" t="str">
        <f t="shared" si="0"/>
        <v/>
      </c>
      <c r="D54" s="120"/>
      <c r="E54" s="120"/>
    </row>
    <row r="55" spans="1:5" ht="15.75" x14ac:dyDescent="0.25">
      <c r="A55" s="104"/>
      <c r="B55" s="104"/>
      <c r="C55" s="92" t="str">
        <f t="shared" si="0"/>
        <v/>
      </c>
      <c r="D55" s="120"/>
      <c r="E55" s="120"/>
    </row>
    <row r="56" spans="1:5" ht="15.75" x14ac:dyDescent="0.25">
      <c r="A56" s="104"/>
      <c r="B56" s="104"/>
      <c r="C56" s="92" t="str">
        <f t="shared" si="0"/>
        <v/>
      </c>
      <c r="D56" s="120"/>
      <c r="E56" s="120"/>
    </row>
    <row r="57" spans="1:5" ht="15.75" x14ac:dyDescent="0.25">
      <c r="A57" s="104"/>
      <c r="B57" s="104"/>
      <c r="C57" s="92" t="str">
        <f t="shared" si="0"/>
        <v/>
      </c>
      <c r="D57" s="120"/>
      <c r="E57" s="120"/>
    </row>
    <row r="58" spans="1:5" ht="15.75" x14ac:dyDescent="0.25">
      <c r="A58" s="104"/>
      <c r="B58" s="104"/>
      <c r="C58" s="92" t="str">
        <f t="shared" si="0"/>
        <v/>
      </c>
      <c r="D58" s="120"/>
      <c r="E58" s="120"/>
    </row>
    <row r="59" spans="1:5" ht="15.75" x14ac:dyDescent="0.25">
      <c r="A59" s="104"/>
      <c r="B59" s="104"/>
      <c r="C59" s="92" t="str">
        <f t="shared" si="0"/>
        <v/>
      </c>
      <c r="D59" s="120"/>
      <c r="E59" s="120"/>
    </row>
    <row r="60" spans="1:5" ht="15.75" x14ac:dyDescent="0.25">
      <c r="A60" s="104"/>
      <c r="B60" s="104"/>
      <c r="C60" s="92" t="str">
        <f t="shared" si="0"/>
        <v/>
      </c>
      <c r="D60" s="120"/>
      <c r="E60" s="120"/>
    </row>
    <row r="61" spans="1:5" ht="15.75" x14ac:dyDescent="0.25">
      <c r="A61" s="104"/>
      <c r="B61" s="104"/>
      <c r="C61" s="92" t="str">
        <f t="shared" si="0"/>
        <v/>
      </c>
      <c r="D61" s="120"/>
      <c r="E61" s="120"/>
    </row>
    <row r="62" spans="1:5" ht="15.75" x14ac:dyDescent="0.25">
      <c r="A62" s="104"/>
      <c r="B62" s="104"/>
      <c r="C62" s="92" t="str">
        <f t="shared" si="0"/>
        <v/>
      </c>
      <c r="D62" s="120"/>
      <c r="E62" s="120"/>
    </row>
    <row r="63" spans="1:5" ht="15.75" x14ac:dyDescent="0.25">
      <c r="A63" s="104"/>
      <c r="B63" s="104"/>
      <c r="C63" s="92" t="str">
        <f t="shared" si="0"/>
        <v/>
      </c>
      <c r="D63" s="120"/>
      <c r="E63" s="120"/>
    </row>
    <row r="64" spans="1:5" ht="15.75" x14ac:dyDescent="0.25">
      <c r="A64" s="104"/>
      <c r="B64" s="104"/>
      <c r="C64" s="92" t="str">
        <f t="shared" si="0"/>
        <v/>
      </c>
      <c r="D64" s="120"/>
      <c r="E64" s="120"/>
    </row>
    <row r="65" spans="1:5" ht="15.75" x14ac:dyDescent="0.25">
      <c r="A65" s="104"/>
      <c r="B65" s="104"/>
      <c r="C65" s="92" t="str">
        <f t="shared" si="0"/>
        <v/>
      </c>
      <c r="D65" s="120"/>
      <c r="E65" s="120"/>
    </row>
    <row r="66" spans="1:5" ht="15.75" x14ac:dyDescent="0.25">
      <c r="A66" s="104"/>
      <c r="B66" s="104"/>
      <c r="C66" s="92" t="str">
        <f t="shared" si="0"/>
        <v/>
      </c>
      <c r="D66" s="120"/>
      <c r="E66" s="120"/>
    </row>
    <row r="67" spans="1:5" ht="15.75" x14ac:dyDescent="0.25">
      <c r="A67" s="104"/>
      <c r="B67" s="104"/>
      <c r="C67" s="92" t="str">
        <f t="shared" si="0"/>
        <v/>
      </c>
      <c r="D67" s="120"/>
      <c r="E67" s="120"/>
    </row>
    <row r="68" spans="1:5" ht="15.75" x14ac:dyDescent="0.25">
      <c r="A68" s="104"/>
      <c r="B68" s="104"/>
      <c r="C68" s="92" t="str">
        <f t="shared" si="0"/>
        <v/>
      </c>
      <c r="D68" s="120"/>
      <c r="E68" s="120"/>
    </row>
    <row r="69" spans="1:5" ht="15.75" x14ac:dyDescent="0.25">
      <c r="A69" s="104"/>
      <c r="B69" s="104"/>
      <c r="C69" s="92" t="str">
        <f t="shared" si="0"/>
        <v/>
      </c>
      <c r="D69" s="120"/>
      <c r="E69" s="120"/>
    </row>
    <row r="70" spans="1:5" ht="15.75" x14ac:dyDescent="0.25">
      <c r="A70" s="104"/>
      <c r="B70" s="104"/>
      <c r="C70" s="92" t="str">
        <f t="shared" si="0"/>
        <v/>
      </c>
      <c r="D70" s="120"/>
      <c r="E70" s="120"/>
    </row>
    <row r="71" spans="1:5" ht="15.75" x14ac:dyDescent="0.25">
      <c r="A71" s="104"/>
      <c r="B71" s="104"/>
      <c r="C71" s="92" t="str">
        <f t="shared" si="0"/>
        <v/>
      </c>
      <c r="D71" s="120"/>
      <c r="E71" s="120"/>
    </row>
    <row r="72" spans="1:5" ht="15.75" x14ac:dyDescent="0.25">
      <c r="A72" s="104"/>
      <c r="B72" s="104"/>
      <c r="C72" s="92" t="str">
        <f t="shared" si="0"/>
        <v/>
      </c>
      <c r="D72" s="120"/>
      <c r="E72" s="120"/>
    </row>
    <row r="73" spans="1:5" ht="15.75" x14ac:dyDescent="0.25">
      <c r="A73" s="104"/>
      <c r="B73" s="104"/>
      <c r="C73" s="92" t="str">
        <f t="shared" si="0"/>
        <v/>
      </c>
      <c r="D73" s="120"/>
      <c r="E73" s="120"/>
    </row>
    <row r="74" spans="1:5" ht="15.75" x14ac:dyDescent="0.25">
      <c r="A74" s="104"/>
      <c r="B74" s="104"/>
      <c r="C74" s="92" t="str">
        <f t="shared" ref="C74:C137" si="1">IF(A74=0,"","MinMax")</f>
        <v/>
      </c>
      <c r="D74" s="120"/>
      <c r="E74" s="120"/>
    </row>
    <row r="75" spans="1:5" ht="15.75" x14ac:dyDescent="0.25">
      <c r="A75" s="104"/>
      <c r="B75" s="104"/>
      <c r="C75" s="92" t="str">
        <f t="shared" si="1"/>
        <v/>
      </c>
      <c r="D75" s="120"/>
      <c r="E75" s="120"/>
    </row>
    <row r="76" spans="1:5" ht="15.75" x14ac:dyDescent="0.25">
      <c r="A76" s="104"/>
      <c r="B76" s="104"/>
      <c r="C76" s="92" t="str">
        <f t="shared" si="1"/>
        <v/>
      </c>
      <c r="D76" s="120"/>
      <c r="E76" s="120"/>
    </row>
    <row r="77" spans="1:5" ht="15.75" x14ac:dyDescent="0.25">
      <c r="A77" s="104"/>
      <c r="B77" s="104"/>
      <c r="C77" s="92" t="str">
        <f t="shared" si="1"/>
        <v/>
      </c>
      <c r="D77" s="120"/>
      <c r="E77" s="120"/>
    </row>
    <row r="78" spans="1:5" ht="15.75" x14ac:dyDescent="0.25">
      <c r="A78" s="104"/>
      <c r="B78" s="104"/>
      <c r="C78" s="92" t="str">
        <f t="shared" si="1"/>
        <v/>
      </c>
      <c r="D78" s="120"/>
      <c r="E78" s="120"/>
    </row>
    <row r="79" spans="1:5" ht="15.75" x14ac:dyDescent="0.25">
      <c r="A79" s="104"/>
      <c r="B79" s="104"/>
      <c r="C79" s="92" t="str">
        <f t="shared" si="1"/>
        <v/>
      </c>
      <c r="D79" s="120"/>
      <c r="E79" s="120"/>
    </row>
    <row r="80" spans="1:5" ht="15.75" x14ac:dyDescent="0.25">
      <c r="A80" s="104"/>
      <c r="B80" s="104"/>
      <c r="C80" s="92" t="str">
        <f t="shared" si="1"/>
        <v/>
      </c>
      <c r="D80" s="120"/>
      <c r="E80" s="120"/>
    </row>
    <row r="81" spans="1:5" ht="15.75" x14ac:dyDescent="0.25">
      <c r="A81" s="104"/>
      <c r="B81" s="104"/>
      <c r="C81" s="92" t="str">
        <f t="shared" si="1"/>
        <v/>
      </c>
      <c r="D81" s="120"/>
      <c r="E81" s="120"/>
    </row>
    <row r="82" spans="1:5" ht="15.75" x14ac:dyDescent="0.25">
      <c r="A82" s="104"/>
      <c r="B82" s="104"/>
      <c r="C82" s="92" t="str">
        <f t="shared" si="1"/>
        <v/>
      </c>
      <c r="D82" s="120"/>
      <c r="E82" s="120"/>
    </row>
    <row r="83" spans="1:5" ht="15.75" x14ac:dyDescent="0.25">
      <c r="A83" s="104"/>
      <c r="B83" s="104"/>
      <c r="C83" s="92" t="str">
        <f t="shared" si="1"/>
        <v/>
      </c>
      <c r="D83" s="120"/>
      <c r="E83" s="120"/>
    </row>
    <row r="84" spans="1:5" ht="15.75" x14ac:dyDescent="0.25">
      <c r="A84" s="104"/>
      <c r="B84" s="104"/>
      <c r="C84" s="92" t="str">
        <f t="shared" si="1"/>
        <v/>
      </c>
      <c r="D84" s="120"/>
      <c r="E84" s="120"/>
    </row>
    <row r="85" spans="1:5" ht="15.75" x14ac:dyDescent="0.25">
      <c r="A85" s="104"/>
      <c r="B85" s="104"/>
      <c r="C85" s="92" t="str">
        <f t="shared" si="1"/>
        <v/>
      </c>
      <c r="D85" s="120"/>
      <c r="E85" s="120"/>
    </row>
    <row r="86" spans="1:5" ht="15.75" x14ac:dyDescent="0.25">
      <c r="A86" s="104"/>
      <c r="B86" s="104"/>
      <c r="C86" s="92" t="str">
        <f t="shared" si="1"/>
        <v/>
      </c>
      <c r="D86" s="120"/>
      <c r="E86" s="120"/>
    </row>
    <row r="87" spans="1:5" ht="15.75" x14ac:dyDescent="0.25">
      <c r="A87" s="104"/>
      <c r="B87" s="104"/>
      <c r="C87" s="92" t="str">
        <f t="shared" si="1"/>
        <v/>
      </c>
      <c r="D87" s="120"/>
      <c r="E87" s="120"/>
    </row>
    <row r="88" spans="1:5" ht="15.75" x14ac:dyDescent="0.25">
      <c r="A88" s="104"/>
      <c r="B88" s="104"/>
      <c r="C88" s="92" t="str">
        <f t="shared" si="1"/>
        <v/>
      </c>
      <c r="D88" s="120"/>
      <c r="E88" s="120"/>
    </row>
    <row r="89" spans="1:5" ht="15.75" x14ac:dyDescent="0.25">
      <c r="A89" s="104"/>
      <c r="B89" s="104"/>
      <c r="C89" s="92" t="str">
        <f t="shared" si="1"/>
        <v/>
      </c>
      <c r="D89" s="120"/>
      <c r="E89" s="120"/>
    </row>
    <row r="90" spans="1:5" ht="15.75" x14ac:dyDescent="0.25">
      <c r="A90" s="104"/>
      <c r="B90" s="104"/>
      <c r="C90" s="92" t="str">
        <f t="shared" si="1"/>
        <v/>
      </c>
      <c r="D90" s="120"/>
      <c r="E90" s="120"/>
    </row>
    <row r="91" spans="1:5" ht="15.75" x14ac:dyDescent="0.25">
      <c r="A91" s="104"/>
      <c r="B91" s="104"/>
      <c r="C91" s="92" t="str">
        <f t="shared" si="1"/>
        <v/>
      </c>
      <c r="D91" s="120"/>
      <c r="E91" s="120"/>
    </row>
    <row r="92" spans="1:5" ht="15.75" x14ac:dyDescent="0.25">
      <c r="A92" s="104"/>
      <c r="B92" s="104"/>
      <c r="C92" s="92" t="str">
        <f t="shared" si="1"/>
        <v/>
      </c>
      <c r="D92" s="120"/>
      <c r="E92" s="120"/>
    </row>
    <row r="93" spans="1:5" ht="15.75" x14ac:dyDescent="0.25">
      <c r="A93" s="104"/>
      <c r="B93" s="104"/>
      <c r="C93" s="92" t="str">
        <f t="shared" si="1"/>
        <v/>
      </c>
      <c r="D93" s="120"/>
      <c r="E93" s="120"/>
    </row>
    <row r="94" spans="1:5" ht="15.75" x14ac:dyDescent="0.25">
      <c r="A94" s="104"/>
      <c r="B94" s="104"/>
      <c r="C94" s="92" t="str">
        <f t="shared" si="1"/>
        <v/>
      </c>
      <c r="D94" s="120"/>
      <c r="E94" s="120"/>
    </row>
    <row r="95" spans="1:5" ht="15.75" x14ac:dyDescent="0.25">
      <c r="A95" s="104"/>
      <c r="B95" s="104"/>
      <c r="C95" s="92" t="str">
        <f t="shared" si="1"/>
        <v/>
      </c>
      <c r="D95" s="120"/>
      <c r="E95" s="120"/>
    </row>
    <row r="96" spans="1:5" ht="15.75" x14ac:dyDescent="0.25">
      <c r="A96" s="104"/>
      <c r="B96" s="104"/>
      <c r="C96" s="92" t="str">
        <f t="shared" si="1"/>
        <v/>
      </c>
      <c r="D96" s="120"/>
      <c r="E96" s="120"/>
    </row>
    <row r="97" spans="1:5" ht="15.75" x14ac:dyDescent="0.25">
      <c r="A97" s="104"/>
      <c r="B97" s="104"/>
      <c r="C97" s="92" t="str">
        <f t="shared" si="1"/>
        <v/>
      </c>
      <c r="D97" s="120"/>
      <c r="E97" s="120"/>
    </row>
    <row r="98" spans="1:5" ht="15.75" x14ac:dyDescent="0.25">
      <c r="A98" s="104"/>
      <c r="B98" s="104"/>
      <c r="C98" s="92" t="str">
        <f t="shared" si="1"/>
        <v/>
      </c>
      <c r="D98" s="120"/>
      <c r="E98" s="120"/>
    </row>
    <row r="99" spans="1:5" ht="15.75" x14ac:dyDescent="0.25">
      <c r="A99" s="104"/>
      <c r="B99" s="104"/>
      <c r="C99" s="92" t="str">
        <f t="shared" si="1"/>
        <v/>
      </c>
      <c r="D99" s="120"/>
      <c r="E99" s="120"/>
    </row>
    <row r="100" spans="1:5" ht="15.75" x14ac:dyDescent="0.25">
      <c r="A100" s="104"/>
      <c r="B100" s="104"/>
      <c r="C100" s="92" t="str">
        <f t="shared" si="1"/>
        <v/>
      </c>
      <c r="D100" s="120"/>
      <c r="E100" s="120"/>
    </row>
    <row r="101" spans="1:5" ht="15.75" x14ac:dyDescent="0.25">
      <c r="A101" s="104"/>
      <c r="B101" s="104"/>
      <c r="C101" s="92" t="str">
        <f t="shared" si="1"/>
        <v/>
      </c>
      <c r="D101" s="120"/>
      <c r="E101" s="120"/>
    </row>
    <row r="102" spans="1:5" ht="15.75" x14ac:dyDescent="0.25">
      <c r="A102" s="104"/>
      <c r="B102" s="104"/>
      <c r="C102" s="92" t="str">
        <f t="shared" si="1"/>
        <v/>
      </c>
      <c r="D102" s="120"/>
      <c r="E102" s="120"/>
    </row>
    <row r="103" spans="1:5" ht="15.75" x14ac:dyDescent="0.25">
      <c r="A103" s="104"/>
      <c r="B103" s="104"/>
      <c r="C103" s="92" t="str">
        <f t="shared" si="1"/>
        <v/>
      </c>
      <c r="D103" s="120"/>
      <c r="E103" s="120"/>
    </row>
    <row r="104" spans="1:5" ht="15.75" x14ac:dyDescent="0.25">
      <c r="A104" s="104"/>
      <c r="B104" s="104"/>
      <c r="C104" s="92" t="str">
        <f t="shared" si="1"/>
        <v/>
      </c>
      <c r="D104" s="120"/>
      <c r="E104" s="120"/>
    </row>
    <row r="105" spans="1:5" ht="15.75" x14ac:dyDescent="0.25">
      <c r="A105" s="104"/>
      <c r="B105" s="104"/>
      <c r="C105" s="92" t="str">
        <f t="shared" si="1"/>
        <v/>
      </c>
      <c r="D105" s="120"/>
      <c r="E105" s="120"/>
    </row>
    <row r="106" spans="1:5" ht="15.75" x14ac:dyDescent="0.25">
      <c r="A106" s="104"/>
      <c r="B106" s="104"/>
      <c r="C106" s="92" t="str">
        <f t="shared" si="1"/>
        <v/>
      </c>
      <c r="D106" s="120"/>
      <c r="E106" s="120"/>
    </row>
    <row r="107" spans="1:5" ht="15.75" x14ac:dyDescent="0.25">
      <c r="A107" s="104"/>
      <c r="B107" s="104"/>
      <c r="C107" s="92" t="str">
        <f t="shared" si="1"/>
        <v/>
      </c>
      <c r="D107" s="120"/>
      <c r="E107" s="120"/>
    </row>
    <row r="108" spans="1:5" ht="15.75" x14ac:dyDescent="0.25">
      <c r="A108" s="104"/>
      <c r="B108" s="104"/>
      <c r="C108" s="92" t="str">
        <f t="shared" si="1"/>
        <v/>
      </c>
      <c r="D108" s="120"/>
      <c r="E108" s="120"/>
    </row>
    <row r="109" spans="1:5" ht="15.75" x14ac:dyDescent="0.25">
      <c r="A109" s="104"/>
      <c r="B109" s="104"/>
      <c r="C109" s="92" t="str">
        <f t="shared" si="1"/>
        <v/>
      </c>
      <c r="D109" s="120"/>
      <c r="E109" s="120"/>
    </row>
    <row r="110" spans="1:5" ht="15.75" x14ac:dyDescent="0.25">
      <c r="A110" s="104"/>
      <c r="B110" s="104"/>
      <c r="C110" s="92" t="str">
        <f t="shared" si="1"/>
        <v/>
      </c>
      <c r="D110" s="120"/>
      <c r="E110" s="120"/>
    </row>
    <row r="111" spans="1:5" ht="15.75" x14ac:dyDescent="0.25">
      <c r="A111" s="104"/>
      <c r="B111" s="104"/>
      <c r="C111" s="92" t="str">
        <f t="shared" si="1"/>
        <v/>
      </c>
      <c r="D111" s="120"/>
      <c r="E111" s="120"/>
    </row>
    <row r="112" spans="1:5" ht="15.75" x14ac:dyDescent="0.25">
      <c r="A112" s="104"/>
      <c r="B112" s="104"/>
      <c r="C112" s="92" t="str">
        <f t="shared" si="1"/>
        <v/>
      </c>
      <c r="D112" s="120"/>
      <c r="E112" s="120"/>
    </row>
    <row r="113" spans="1:5" ht="15.75" x14ac:dyDescent="0.25">
      <c r="A113" s="104"/>
      <c r="B113" s="104"/>
      <c r="C113" s="92" t="str">
        <f t="shared" si="1"/>
        <v/>
      </c>
      <c r="D113" s="120"/>
      <c r="E113" s="120"/>
    </row>
    <row r="114" spans="1:5" ht="15.75" x14ac:dyDescent="0.25">
      <c r="A114" s="104"/>
      <c r="B114" s="104"/>
      <c r="C114" s="92" t="str">
        <f t="shared" si="1"/>
        <v/>
      </c>
      <c r="D114" s="120"/>
      <c r="E114" s="120"/>
    </row>
    <row r="115" spans="1:5" ht="15.75" x14ac:dyDescent="0.25">
      <c r="A115" s="104"/>
      <c r="B115" s="104"/>
      <c r="C115" s="92" t="str">
        <f t="shared" si="1"/>
        <v/>
      </c>
      <c r="D115" s="120"/>
      <c r="E115" s="120"/>
    </row>
    <row r="116" spans="1:5" ht="15.75" x14ac:dyDescent="0.25">
      <c r="A116" s="104"/>
      <c r="B116" s="104"/>
      <c r="C116" s="92" t="str">
        <f t="shared" si="1"/>
        <v/>
      </c>
      <c r="D116" s="120"/>
      <c r="E116" s="120"/>
    </row>
    <row r="117" spans="1:5" ht="15.75" x14ac:dyDescent="0.25">
      <c r="A117" s="104"/>
      <c r="B117" s="104"/>
      <c r="C117" s="92" t="str">
        <f t="shared" si="1"/>
        <v/>
      </c>
      <c r="D117" s="120"/>
      <c r="E117" s="120"/>
    </row>
    <row r="118" spans="1:5" ht="15.75" x14ac:dyDescent="0.25">
      <c r="A118" s="104"/>
      <c r="B118" s="104"/>
      <c r="C118" s="92" t="str">
        <f t="shared" si="1"/>
        <v/>
      </c>
      <c r="D118" s="120"/>
      <c r="E118" s="120"/>
    </row>
    <row r="119" spans="1:5" ht="15.75" x14ac:dyDescent="0.25">
      <c r="A119" s="104"/>
      <c r="B119" s="104"/>
      <c r="C119" s="92" t="str">
        <f t="shared" si="1"/>
        <v/>
      </c>
      <c r="D119" s="120"/>
      <c r="E119" s="120"/>
    </row>
    <row r="120" spans="1:5" ht="15.75" x14ac:dyDescent="0.25">
      <c r="A120" s="104"/>
      <c r="B120" s="104"/>
      <c r="C120" s="92" t="str">
        <f t="shared" si="1"/>
        <v/>
      </c>
      <c r="D120" s="120"/>
      <c r="E120" s="120"/>
    </row>
    <row r="121" spans="1:5" ht="15.75" x14ac:dyDescent="0.25">
      <c r="A121" s="104"/>
      <c r="B121" s="104"/>
      <c r="C121" s="92" t="str">
        <f t="shared" si="1"/>
        <v/>
      </c>
      <c r="D121" s="120"/>
      <c r="E121" s="120"/>
    </row>
    <row r="122" spans="1:5" ht="15.75" x14ac:dyDescent="0.25">
      <c r="A122" s="104"/>
      <c r="B122" s="104"/>
      <c r="C122" s="92" t="str">
        <f t="shared" si="1"/>
        <v/>
      </c>
      <c r="D122" s="120"/>
      <c r="E122" s="120"/>
    </row>
    <row r="123" spans="1:5" ht="15.75" x14ac:dyDescent="0.25">
      <c r="A123" s="104"/>
      <c r="B123" s="104"/>
      <c r="C123" s="92" t="str">
        <f t="shared" si="1"/>
        <v/>
      </c>
      <c r="D123" s="120"/>
      <c r="E123" s="120"/>
    </row>
    <row r="124" spans="1:5" ht="15.75" x14ac:dyDescent="0.25">
      <c r="A124" s="104"/>
      <c r="B124" s="104"/>
      <c r="C124" s="92" t="str">
        <f t="shared" si="1"/>
        <v/>
      </c>
      <c r="D124" s="120"/>
      <c r="E124" s="120"/>
    </row>
    <row r="125" spans="1:5" ht="15.75" x14ac:dyDescent="0.25">
      <c r="A125" s="104"/>
      <c r="B125" s="104"/>
      <c r="C125" s="92" t="str">
        <f t="shared" si="1"/>
        <v/>
      </c>
      <c r="D125" s="120"/>
      <c r="E125" s="120"/>
    </row>
    <row r="126" spans="1:5" ht="15.75" x14ac:dyDescent="0.25">
      <c r="A126" s="104"/>
      <c r="B126" s="104"/>
      <c r="C126" s="92" t="str">
        <f t="shared" si="1"/>
        <v/>
      </c>
      <c r="D126" s="120"/>
      <c r="E126" s="120"/>
    </row>
    <row r="127" spans="1:5" ht="15.75" x14ac:dyDescent="0.25">
      <c r="A127" s="104"/>
      <c r="B127" s="104"/>
      <c r="C127" s="92" t="str">
        <f t="shared" si="1"/>
        <v/>
      </c>
      <c r="D127" s="120"/>
      <c r="E127" s="120"/>
    </row>
    <row r="128" spans="1:5" ht="15.75" x14ac:dyDescent="0.25">
      <c r="A128" s="104"/>
      <c r="B128" s="104"/>
      <c r="C128" s="92" t="str">
        <f t="shared" si="1"/>
        <v/>
      </c>
      <c r="D128" s="120"/>
      <c r="E128" s="120"/>
    </row>
    <row r="129" spans="1:5" ht="15.75" x14ac:dyDescent="0.25">
      <c r="A129" s="104"/>
      <c r="B129" s="104"/>
      <c r="C129" s="92" t="str">
        <f t="shared" si="1"/>
        <v/>
      </c>
      <c r="D129" s="120"/>
      <c r="E129" s="120"/>
    </row>
    <row r="130" spans="1:5" ht="15.75" x14ac:dyDescent="0.25">
      <c r="A130" s="104"/>
      <c r="B130" s="104"/>
      <c r="C130" s="92" t="str">
        <f t="shared" si="1"/>
        <v/>
      </c>
      <c r="D130" s="120"/>
      <c r="E130" s="120"/>
    </row>
    <row r="131" spans="1:5" ht="15.75" x14ac:dyDescent="0.25">
      <c r="A131" s="104"/>
      <c r="B131" s="104"/>
      <c r="C131" s="92" t="str">
        <f t="shared" si="1"/>
        <v/>
      </c>
      <c r="D131" s="120"/>
      <c r="E131" s="120"/>
    </row>
    <row r="132" spans="1:5" ht="15.75" x14ac:dyDescent="0.25">
      <c r="A132" s="104"/>
      <c r="B132" s="104"/>
      <c r="C132" s="92" t="str">
        <f t="shared" si="1"/>
        <v/>
      </c>
      <c r="D132" s="120"/>
      <c r="E132" s="120"/>
    </row>
    <row r="133" spans="1:5" ht="15.75" x14ac:dyDescent="0.25">
      <c r="A133" s="104"/>
      <c r="B133" s="104"/>
      <c r="C133" s="92" t="str">
        <f t="shared" si="1"/>
        <v/>
      </c>
      <c r="D133" s="120"/>
      <c r="E133" s="120"/>
    </row>
    <row r="134" spans="1:5" ht="15.75" x14ac:dyDescent="0.25">
      <c r="A134" s="104"/>
      <c r="B134" s="104"/>
      <c r="C134" s="92" t="str">
        <f t="shared" si="1"/>
        <v/>
      </c>
      <c r="D134" s="120"/>
      <c r="E134" s="120"/>
    </row>
    <row r="135" spans="1:5" ht="15.75" x14ac:dyDescent="0.25">
      <c r="A135" s="104"/>
      <c r="B135" s="104"/>
      <c r="C135" s="92" t="str">
        <f t="shared" si="1"/>
        <v/>
      </c>
      <c r="D135" s="120"/>
      <c r="E135" s="120"/>
    </row>
    <row r="136" spans="1:5" ht="15.75" x14ac:dyDescent="0.25">
      <c r="A136" s="104"/>
      <c r="B136" s="104"/>
      <c r="C136" s="92" t="str">
        <f t="shared" si="1"/>
        <v/>
      </c>
      <c r="D136" s="120"/>
      <c r="E136" s="120"/>
    </row>
    <row r="137" spans="1:5" ht="15.75" x14ac:dyDescent="0.25">
      <c r="A137" s="104"/>
      <c r="B137" s="104"/>
      <c r="C137" s="92" t="str">
        <f t="shared" si="1"/>
        <v/>
      </c>
      <c r="D137" s="120"/>
      <c r="E137" s="120"/>
    </row>
    <row r="138" spans="1:5" ht="15.75" x14ac:dyDescent="0.25">
      <c r="A138" s="104"/>
      <c r="B138" s="104"/>
      <c r="C138" s="92" t="str">
        <f t="shared" ref="C138:C201" si="2">IF(A138=0,"","MinMax")</f>
        <v/>
      </c>
      <c r="D138" s="120"/>
      <c r="E138" s="120"/>
    </row>
    <row r="139" spans="1:5" ht="15.75" x14ac:dyDescent="0.25">
      <c r="A139" s="104"/>
      <c r="B139" s="104"/>
      <c r="C139" s="92" t="str">
        <f t="shared" si="2"/>
        <v/>
      </c>
      <c r="D139" s="120"/>
      <c r="E139" s="120"/>
    </row>
    <row r="140" spans="1:5" ht="15.75" x14ac:dyDescent="0.25">
      <c r="A140" s="104"/>
      <c r="B140" s="104"/>
      <c r="C140" s="92" t="str">
        <f t="shared" si="2"/>
        <v/>
      </c>
      <c r="D140" s="120"/>
      <c r="E140" s="120"/>
    </row>
    <row r="141" spans="1:5" ht="15.75" x14ac:dyDescent="0.25">
      <c r="A141" s="104"/>
      <c r="B141" s="104"/>
      <c r="C141" s="92" t="str">
        <f t="shared" si="2"/>
        <v/>
      </c>
      <c r="D141" s="120"/>
      <c r="E141" s="120"/>
    </row>
    <row r="142" spans="1:5" ht="15.75" x14ac:dyDescent="0.25">
      <c r="A142" s="104"/>
      <c r="B142" s="104"/>
      <c r="C142" s="92" t="str">
        <f t="shared" si="2"/>
        <v/>
      </c>
      <c r="D142" s="120"/>
      <c r="E142" s="120"/>
    </row>
    <row r="143" spans="1:5" ht="15.75" x14ac:dyDescent="0.25">
      <c r="A143" s="104"/>
      <c r="B143" s="104"/>
      <c r="C143" s="92" t="str">
        <f t="shared" si="2"/>
        <v/>
      </c>
      <c r="D143" s="120"/>
      <c r="E143" s="120"/>
    </row>
    <row r="144" spans="1:5" ht="15.75" x14ac:dyDescent="0.25">
      <c r="A144" s="104"/>
      <c r="B144" s="104"/>
      <c r="C144" s="92" t="str">
        <f t="shared" si="2"/>
        <v/>
      </c>
      <c r="D144" s="120"/>
      <c r="E144" s="120"/>
    </row>
    <row r="145" spans="1:5" ht="15.75" x14ac:dyDescent="0.25">
      <c r="A145" s="104"/>
      <c r="B145" s="104"/>
      <c r="C145" s="92" t="str">
        <f t="shared" si="2"/>
        <v/>
      </c>
      <c r="D145" s="120"/>
      <c r="E145" s="120"/>
    </row>
    <row r="146" spans="1:5" ht="15.75" x14ac:dyDescent="0.25">
      <c r="A146" s="104"/>
      <c r="B146" s="104"/>
      <c r="C146" s="92" t="str">
        <f t="shared" si="2"/>
        <v/>
      </c>
      <c r="D146" s="120"/>
      <c r="E146" s="120"/>
    </row>
    <row r="147" spans="1:5" ht="15.75" x14ac:dyDescent="0.25">
      <c r="A147" s="104"/>
      <c r="B147" s="104"/>
      <c r="C147" s="92" t="str">
        <f t="shared" si="2"/>
        <v/>
      </c>
      <c r="D147" s="120"/>
      <c r="E147" s="120"/>
    </row>
    <row r="148" spans="1:5" ht="15.75" x14ac:dyDescent="0.25">
      <c r="A148" s="104"/>
      <c r="B148" s="104"/>
      <c r="C148" s="92" t="str">
        <f t="shared" si="2"/>
        <v/>
      </c>
      <c r="D148" s="120"/>
      <c r="E148" s="120"/>
    </row>
    <row r="149" spans="1:5" ht="15.75" x14ac:dyDescent="0.25">
      <c r="A149" s="104"/>
      <c r="B149" s="104"/>
      <c r="C149" s="92" t="str">
        <f t="shared" si="2"/>
        <v/>
      </c>
      <c r="D149" s="120"/>
      <c r="E149" s="120"/>
    </row>
    <row r="150" spans="1:5" ht="15.75" x14ac:dyDescent="0.25">
      <c r="A150" s="104"/>
      <c r="B150" s="104"/>
      <c r="C150" s="92" t="str">
        <f t="shared" si="2"/>
        <v/>
      </c>
      <c r="D150" s="120"/>
      <c r="E150" s="120"/>
    </row>
    <row r="151" spans="1:5" ht="15.75" x14ac:dyDescent="0.25">
      <c r="A151" s="104"/>
      <c r="B151" s="104"/>
      <c r="C151" s="92" t="str">
        <f t="shared" si="2"/>
        <v/>
      </c>
      <c r="D151" s="120"/>
      <c r="E151" s="120"/>
    </row>
    <row r="152" spans="1:5" ht="15.75" x14ac:dyDescent="0.25">
      <c r="A152" s="104"/>
      <c r="B152" s="104"/>
      <c r="C152" s="92" t="str">
        <f t="shared" si="2"/>
        <v/>
      </c>
      <c r="D152" s="120"/>
      <c r="E152" s="120"/>
    </row>
    <row r="153" spans="1:5" ht="15.75" x14ac:dyDescent="0.25">
      <c r="A153" s="104"/>
      <c r="B153" s="104"/>
      <c r="C153" s="92" t="str">
        <f t="shared" si="2"/>
        <v/>
      </c>
      <c r="D153" s="120"/>
      <c r="E153" s="120"/>
    </row>
    <row r="154" spans="1:5" ht="15.75" x14ac:dyDescent="0.25">
      <c r="A154" s="104"/>
      <c r="B154" s="104"/>
      <c r="C154" s="92" t="str">
        <f t="shared" si="2"/>
        <v/>
      </c>
      <c r="D154" s="120"/>
      <c r="E154" s="120"/>
    </row>
    <row r="155" spans="1:5" ht="15.75" x14ac:dyDescent="0.25">
      <c r="A155" s="104"/>
      <c r="B155" s="104"/>
      <c r="C155" s="92" t="str">
        <f t="shared" si="2"/>
        <v/>
      </c>
      <c r="D155" s="120"/>
      <c r="E155" s="120"/>
    </row>
    <row r="156" spans="1:5" ht="15.75" x14ac:dyDescent="0.25">
      <c r="A156" s="104"/>
      <c r="B156" s="104"/>
      <c r="C156" s="92" t="str">
        <f t="shared" si="2"/>
        <v/>
      </c>
      <c r="D156" s="120"/>
      <c r="E156" s="120"/>
    </row>
    <row r="157" spans="1:5" ht="15.75" x14ac:dyDescent="0.25">
      <c r="A157" s="104"/>
      <c r="B157" s="104"/>
      <c r="C157" s="92" t="str">
        <f t="shared" si="2"/>
        <v/>
      </c>
      <c r="D157" s="120"/>
      <c r="E157" s="120"/>
    </row>
    <row r="158" spans="1:5" ht="15.75" x14ac:dyDescent="0.25">
      <c r="A158" s="104"/>
      <c r="B158" s="104"/>
      <c r="C158" s="92" t="str">
        <f t="shared" si="2"/>
        <v/>
      </c>
      <c r="D158" s="120"/>
      <c r="E158" s="120"/>
    </row>
    <row r="159" spans="1:5" ht="15.75" x14ac:dyDescent="0.25">
      <c r="A159" s="104"/>
      <c r="B159" s="104"/>
      <c r="C159" s="92" t="str">
        <f t="shared" si="2"/>
        <v/>
      </c>
      <c r="D159" s="120"/>
      <c r="E159" s="120"/>
    </row>
    <row r="160" spans="1:5" ht="15.75" x14ac:dyDescent="0.25">
      <c r="A160" s="104"/>
      <c r="B160" s="104"/>
      <c r="C160" s="92" t="str">
        <f t="shared" si="2"/>
        <v/>
      </c>
      <c r="D160" s="120"/>
      <c r="E160" s="120"/>
    </row>
    <row r="161" spans="1:5" ht="15.75" x14ac:dyDescent="0.25">
      <c r="A161" s="104"/>
      <c r="B161" s="104"/>
      <c r="C161" s="92" t="str">
        <f t="shared" si="2"/>
        <v/>
      </c>
      <c r="D161" s="120"/>
      <c r="E161" s="120"/>
    </row>
    <row r="162" spans="1:5" ht="15.75" x14ac:dyDescent="0.25">
      <c r="A162" s="104"/>
      <c r="B162" s="104"/>
      <c r="C162" s="92" t="str">
        <f t="shared" si="2"/>
        <v/>
      </c>
      <c r="D162" s="120"/>
      <c r="E162" s="120"/>
    </row>
    <row r="163" spans="1:5" ht="15.75" x14ac:dyDescent="0.25">
      <c r="A163" s="104"/>
      <c r="B163" s="104"/>
      <c r="C163" s="92" t="str">
        <f t="shared" si="2"/>
        <v/>
      </c>
      <c r="D163" s="120"/>
      <c r="E163" s="120"/>
    </row>
    <row r="164" spans="1:5" ht="15.75" x14ac:dyDescent="0.25">
      <c r="A164" s="104"/>
      <c r="B164" s="104"/>
      <c r="C164" s="92" t="str">
        <f t="shared" si="2"/>
        <v/>
      </c>
      <c r="D164" s="120"/>
      <c r="E164" s="120"/>
    </row>
    <row r="165" spans="1:5" ht="15.75" x14ac:dyDescent="0.25">
      <c r="A165" s="104"/>
      <c r="B165" s="104"/>
      <c r="C165" s="92" t="str">
        <f t="shared" si="2"/>
        <v/>
      </c>
      <c r="D165" s="120"/>
      <c r="E165" s="120"/>
    </row>
    <row r="166" spans="1:5" ht="15.75" x14ac:dyDescent="0.25">
      <c r="A166" s="104"/>
      <c r="B166" s="104"/>
      <c r="C166" s="92" t="str">
        <f t="shared" si="2"/>
        <v/>
      </c>
      <c r="D166" s="120"/>
      <c r="E166" s="120"/>
    </row>
    <row r="167" spans="1:5" ht="15.75" x14ac:dyDescent="0.25">
      <c r="A167" s="104"/>
      <c r="B167" s="104"/>
      <c r="C167" s="92" t="str">
        <f t="shared" si="2"/>
        <v/>
      </c>
      <c r="D167" s="120"/>
      <c r="E167" s="120"/>
    </row>
    <row r="168" spans="1:5" ht="15.75" x14ac:dyDescent="0.25">
      <c r="A168" s="104"/>
      <c r="B168" s="104"/>
      <c r="C168" s="92" t="str">
        <f t="shared" si="2"/>
        <v/>
      </c>
      <c r="D168" s="120"/>
      <c r="E168" s="120"/>
    </row>
    <row r="169" spans="1:5" ht="15.75" x14ac:dyDescent="0.25">
      <c r="A169" s="104"/>
      <c r="B169" s="104"/>
      <c r="C169" s="92" t="str">
        <f t="shared" si="2"/>
        <v/>
      </c>
      <c r="D169" s="120"/>
      <c r="E169" s="120"/>
    </row>
    <row r="170" spans="1:5" ht="15.75" x14ac:dyDescent="0.25">
      <c r="A170" s="104"/>
      <c r="B170" s="104"/>
      <c r="C170" s="92" t="str">
        <f t="shared" si="2"/>
        <v/>
      </c>
      <c r="D170" s="120"/>
      <c r="E170" s="120"/>
    </row>
    <row r="171" spans="1:5" ht="15.75" x14ac:dyDescent="0.25">
      <c r="A171" s="104"/>
      <c r="B171" s="104"/>
      <c r="C171" s="92" t="str">
        <f t="shared" si="2"/>
        <v/>
      </c>
      <c r="D171" s="120"/>
      <c r="E171" s="120"/>
    </row>
    <row r="172" spans="1:5" ht="15.75" x14ac:dyDescent="0.25">
      <c r="A172" s="104"/>
      <c r="B172" s="104"/>
      <c r="C172" s="92" t="str">
        <f t="shared" si="2"/>
        <v/>
      </c>
      <c r="D172" s="120"/>
      <c r="E172" s="120"/>
    </row>
    <row r="173" spans="1:5" ht="15.75" x14ac:dyDescent="0.25">
      <c r="A173" s="104"/>
      <c r="B173" s="104"/>
      <c r="C173" s="92" t="str">
        <f t="shared" si="2"/>
        <v/>
      </c>
      <c r="D173" s="120"/>
      <c r="E173" s="120"/>
    </row>
    <row r="174" spans="1:5" ht="15.75" x14ac:dyDescent="0.25">
      <c r="A174" s="104"/>
      <c r="B174" s="104"/>
      <c r="C174" s="92" t="str">
        <f t="shared" si="2"/>
        <v/>
      </c>
      <c r="D174" s="120"/>
      <c r="E174" s="120"/>
    </row>
    <row r="175" spans="1:5" ht="15.75" x14ac:dyDescent="0.25">
      <c r="A175" s="104"/>
      <c r="B175" s="104"/>
      <c r="C175" s="92" t="str">
        <f t="shared" si="2"/>
        <v/>
      </c>
      <c r="D175" s="120"/>
      <c r="E175" s="120"/>
    </row>
    <row r="176" spans="1:5" ht="15.75" x14ac:dyDescent="0.25">
      <c r="A176" s="104"/>
      <c r="B176" s="104"/>
      <c r="C176" s="92" t="str">
        <f t="shared" si="2"/>
        <v/>
      </c>
      <c r="D176" s="120"/>
      <c r="E176" s="120"/>
    </row>
    <row r="177" spans="1:5" ht="15.75" x14ac:dyDescent="0.25">
      <c r="A177" s="104"/>
      <c r="B177" s="104"/>
      <c r="C177" s="92" t="str">
        <f t="shared" si="2"/>
        <v/>
      </c>
      <c r="D177" s="120"/>
      <c r="E177" s="120"/>
    </row>
    <row r="178" spans="1:5" ht="15.75" x14ac:dyDescent="0.25">
      <c r="A178" s="104"/>
      <c r="B178" s="104"/>
      <c r="C178" s="92" t="str">
        <f t="shared" si="2"/>
        <v/>
      </c>
      <c r="D178" s="120"/>
      <c r="E178" s="120"/>
    </row>
    <row r="179" spans="1:5" ht="15.75" x14ac:dyDescent="0.25">
      <c r="A179" s="104"/>
      <c r="B179" s="104"/>
      <c r="C179" s="92" t="str">
        <f t="shared" si="2"/>
        <v/>
      </c>
      <c r="D179" s="120"/>
      <c r="E179" s="120"/>
    </row>
    <row r="180" spans="1:5" ht="15.75" x14ac:dyDescent="0.25">
      <c r="A180" s="104"/>
      <c r="B180" s="104"/>
      <c r="C180" s="92" t="str">
        <f t="shared" si="2"/>
        <v/>
      </c>
      <c r="D180" s="120"/>
      <c r="E180" s="120"/>
    </row>
    <row r="181" spans="1:5" ht="15.75" x14ac:dyDescent="0.25">
      <c r="A181" s="104"/>
      <c r="B181" s="104"/>
      <c r="C181" s="92" t="str">
        <f t="shared" si="2"/>
        <v/>
      </c>
      <c r="D181" s="120"/>
      <c r="E181" s="120"/>
    </row>
    <row r="182" spans="1:5" ht="15.75" x14ac:dyDescent="0.25">
      <c r="A182" s="104"/>
      <c r="B182" s="104"/>
      <c r="C182" s="92" t="str">
        <f t="shared" si="2"/>
        <v/>
      </c>
      <c r="D182" s="120"/>
      <c r="E182" s="120"/>
    </row>
    <row r="183" spans="1:5" ht="15.75" x14ac:dyDescent="0.25">
      <c r="A183" s="104"/>
      <c r="B183" s="104"/>
      <c r="C183" s="92" t="str">
        <f t="shared" si="2"/>
        <v/>
      </c>
      <c r="D183" s="120"/>
      <c r="E183" s="120"/>
    </row>
    <row r="184" spans="1:5" ht="15.75" x14ac:dyDescent="0.25">
      <c r="A184" s="104"/>
      <c r="B184" s="104"/>
      <c r="C184" s="92" t="str">
        <f t="shared" si="2"/>
        <v/>
      </c>
      <c r="D184" s="120"/>
      <c r="E184" s="120"/>
    </row>
    <row r="185" spans="1:5" ht="15.75" x14ac:dyDescent="0.25">
      <c r="A185" s="104"/>
      <c r="B185" s="104"/>
      <c r="C185" s="92" t="str">
        <f t="shared" si="2"/>
        <v/>
      </c>
      <c r="D185" s="120"/>
      <c r="E185" s="120"/>
    </row>
    <row r="186" spans="1:5" ht="15.75" x14ac:dyDescent="0.25">
      <c r="A186" s="104"/>
      <c r="B186" s="104"/>
      <c r="C186" s="92" t="str">
        <f t="shared" si="2"/>
        <v/>
      </c>
      <c r="D186" s="120"/>
      <c r="E186" s="120"/>
    </row>
    <row r="187" spans="1:5" ht="15.75" x14ac:dyDescent="0.25">
      <c r="A187" s="104"/>
      <c r="B187" s="104"/>
      <c r="C187" s="92" t="str">
        <f t="shared" si="2"/>
        <v/>
      </c>
      <c r="D187" s="120"/>
      <c r="E187" s="120"/>
    </row>
    <row r="188" spans="1:5" ht="15.75" x14ac:dyDescent="0.25">
      <c r="A188" s="104"/>
      <c r="B188" s="104"/>
      <c r="C188" s="92" t="str">
        <f t="shared" si="2"/>
        <v/>
      </c>
      <c r="D188" s="120"/>
      <c r="E188" s="120"/>
    </row>
    <row r="189" spans="1:5" ht="15.75" x14ac:dyDescent="0.25">
      <c r="A189" s="104"/>
      <c r="B189" s="104"/>
      <c r="C189" s="92" t="str">
        <f t="shared" si="2"/>
        <v/>
      </c>
      <c r="D189" s="120"/>
      <c r="E189" s="120"/>
    </row>
    <row r="190" spans="1:5" ht="15.75" x14ac:dyDescent="0.25">
      <c r="A190" s="104"/>
      <c r="B190" s="104"/>
      <c r="C190" s="92" t="str">
        <f t="shared" si="2"/>
        <v/>
      </c>
      <c r="D190" s="120"/>
      <c r="E190" s="120"/>
    </row>
    <row r="191" spans="1:5" ht="15.75" x14ac:dyDescent="0.25">
      <c r="A191" s="104"/>
      <c r="B191" s="104"/>
      <c r="C191" s="92" t="str">
        <f t="shared" si="2"/>
        <v/>
      </c>
      <c r="D191" s="120"/>
      <c r="E191" s="120"/>
    </row>
    <row r="192" spans="1:5" ht="15.75" x14ac:dyDescent="0.25">
      <c r="A192" s="104"/>
      <c r="B192" s="104"/>
      <c r="C192" s="92" t="str">
        <f t="shared" si="2"/>
        <v/>
      </c>
      <c r="D192" s="120"/>
      <c r="E192" s="120"/>
    </row>
    <row r="193" spans="1:5" ht="15.75" x14ac:dyDescent="0.25">
      <c r="A193" s="104"/>
      <c r="B193" s="104"/>
      <c r="C193" s="92" t="str">
        <f t="shared" si="2"/>
        <v/>
      </c>
      <c r="D193" s="120"/>
      <c r="E193" s="120"/>
    </row>
    <row r="194" spans="1:5" ht="15.75" x14ac:dyDescent="0.25">
      <c r="A194" s="104"/>
      <c r="B194" s="104"/>
      <c r="C194" s="92" t="str">
        <f t="shared" si="2"/>
        <v/>
      </c>
      <c r="D194" s="120"/>
      <c r="E194" s="120"/>
    </row>
    <row r="195" spans="1:5" ht="15.75" x14ac:dyDescent="0.25">
      <c r="A195" s="104"/>
      <c r="B195" s="104"/>
      <c r="C195" s="92" t="str">
        <f t="shared" si="2"/>
        <v/>
      </c>
      <c r="D195" s="120"/>
      <c r="E195" s="120"/>
    </row>
    <row r="196" spans="1:5" ht="15.75" x14ac:dyDescent="0.25">
      <c r="A196" s="104"/>
      <c r="B196" s="104"/>
      <c r="C196" s="92" t="str">
        <f t="shared" si="2"/>
        <v/>
      </c>
      <c r="D196" s="120"/>
      <c r="E196" s="120"/>
    </row>
    <row r="197" spans="1:5" ht="15.75" x14ac:dyDescent="0.25">
      <c r="A197" s="104"/>
      <c r="B197" s="104"/>
      <c r="C197" s="92" t="str">
        <f t="shared" si="2"/>
        <v/>
      </c>
      <c r="D197" s="120"/>
      <c r="E197" s="120"/>
    </row>
    <row r="198" spans="1:5" ht="15.75" x14ac:dyDescent="0.25">
      <c r="A198" s="104"/>
      <c r="B198" s="104"/>
      <c r="C198" s="92" t="str">
        <f t="shared" si="2"/>
        <v/>
      </c>
      <c r="D198" s="120"/>
      <c r="E198" s="120"/>
    </row>
    <row r="199" spans="1:5" ht="15.75" x14ac:dyDescent="0.25">
      <c r="A199" s="104"/>
      <c r="B199" s="104"/>
      <c r="C199" s="92" t="str">
        <f t="shared" si="2"/>
        <v/>
      </c>
      <c r="D199" s="120"/>
      <c r="E199" s="120"/>
    </row>
    <row r="200" spans="1:5" ht="15.75" x14ac:dyDescent="0.25">
      <c r="A200" s="104"/>
      <c r="B200" s="104"/>
      <c r="C200" s="92" t="str">
        <f t="shared" si="2"/>
        <v/>
      </c>
      <c r="D200" s="120"/>
      <c r="E200" s="120"/>
    </row>
    <row r="201" spans="1:5" ht="15.75" x14ac:dyDescent="0.25">
      <c r="A201" s="104"/>
      <c r="B201" s="104"/>
      <c r="C201" s="92" t="str">
        <f t="shared" si="2"/>
        <v/>
      </c>
      <c r="D201" s="120"/>
      <c r="E201" s="120"/>
    </row>
    <row r="202" spans="1:5" ht="15.75" x14ac:dyDescent="0.25">
      <c r="A202" s="104"/>
      <c r="B202" s="104"/>
      <c r="C202" s="92" t="str">
        <f t="shared" ref="C202:C265" si="3">IF(A202=0,"","MinMax")</f>
        <v/>
      </c>
      <c r="D202" s="120"/>
      <c r="E202" s="120"/>
    </row>
    <row r="203" spans="1:5" ht="15.75" x14ac:dyDescent="0.25">
      <c r="A203" s="104"/>
      <c r="B203" s="104"/>
      <c r="C203" s="92" t="str">
        <f t="shared" si="3"/>
        <v/>
      </c>
      <c r="D203" s="120"/>
      <c r="E203" s="120"/>
    </row>
    <row r="204" spans="1:5" ht="15.75" x14ac:dyDescent="0.25">
      <c r="A204" s="104"/>
      <c r="B204" s="104"/>
      <c r="C204" s="92" t="str">
        <f t="shared" si="3"/>
        <v/>
      </c>
      <c r="D204" s="120"/>
      <c r="E204" s="120"/>
    </row>
    <row r="205" spans="1:5" ht="15.75" x14ac:dyDescent="0.25">
      <c r="A205" s="104"/>
      <c r="B205" s="104"/>
      <c r="C205" s="92" t="str">
        <f t="shared" si="3"/>
        <v/>
      </c>
      <c r="D205" s="120"/>
      <c r="E205" s="120"/>
    </row>
    <row r="206" spans="1:5" ht="15.75" x14ac:dyDescent="0.25">
      <c r="A206" s="104"/>
      <c r="B206" s="104"/>
      <c r="C206" s="92" t="str">
        <f t="shared" si="3"/>
        <v/>
      </c>
      <c r="D206" s="120"/>
      <c r="E206" s="120"/>
    </row>
    <row r="207" spans="1:5" ht="15.75" x14ac:dyDescent="0.25">
      <c r="A207" s="104"/>
      <c r="B207" s="104"/>
      <c r="C207" s="92" t="str">
        <f t="shared" si="3"/>
        <v/>
      </c>
      <c r="D207" s="120"/>
      <c r="E207" s="120"/>
    </row>
    <row r="208" spans="1:5" ht="15.75" x14ac:dyDescent="0.25">
      <c r="A208" s="104"/>
      <c r="B208" s="104"/>
      <c r="C208" s="92" t="str">
        <f t="shared" si="3"/>
        <v/>
      </c>
      <c r="D208" s="120"/>
      <c r="E208" s="120"/>
    </row>
    <row r="209" spans="1:5" ht="15.75" x14ac:dyDescent="0.25">
      <c r="A209" s="104"/>
      <c r="B209" s="104"/>
      <c r="C209" s="92" t="str">
        <f t="shared" si="3"/>
        <v/>
      </c>
      <c r="D209" s="120"/>
      <c r="E209" s="120"/>
    </row>
    <row r="210" spans="1:5" ht="15.75" x14ac:dyDescent="0.25">
      <c r="A210" s="104"/>
      <c r="B210" s="104"/>
      <c r="C210" s="92" t="str">
        <f t="shared" si="3"/>
        <v/>
      </c>
      <c r="D210" s="120"/>
      <c r="E210" s="120"/>
    </row>
    <row r="211" spans="1:5" ht="15.75" x14ac:dyDescent="0.25">
      <c r="A211" s="104"/>
      <c r="B211" s="104"/>
      <c r="C211" s="92" t="str">
        <f t="shared" si="3"/>
        <v/>
      </c>
      <c r="D211" s="120"/>
      <c r="E211" s="120"/>
    </row>
    <row r="212" spans="1:5" ht="15.75" x14ac:dyDescent="0.25">
      <c r="A212" s="104"/>
      <c r="B212" s="104"/>
      <c r="C212" s="92" t="str">
        <f t="shared" si="3"/>
        <v/>
      </c>
      <c r="D212" s="120"/>
      <c r="E212" s="120"/>
    </row>
    <row r="213" spans="1:5" ht="15.75" x14ac:dyDescent="0.25">
      <c r="A213" s="104"/>
      <c r="B213" s="104"/>
      <c r="C213" s="92" t="str">
        <f t="shared" si="3"/>
        <v/>
      </c>
      <c r="D213" s="120"/>
      <c r="E213" s="120"/>
    </row>
    <row r="214" spans="1:5" ht="15.75" x14ac:dyDescent="0.25">
      <c r="A214" s="104"/>
      <c r="B214" s="104"/>
      <c r="C214" s="92" t="str">
        <f t="shared" si="3"/>
        <v/>
      </c>
      <c r="D214" s="120"/>
      <c r="E214" s="120"/>
    </row>
    <row r="215" spans="1:5" ht="15.75" x14ac:dyDescent="0.25">
      <c r="A215" s="104"/>
      <c r="B215" s="104"/>
      <c r="C215" s="92" t="str">
        <f t="shared" si="3"/>
        <v/>
      </c>
      <c r="D215" s="120"/>
      <c r="E215" s="120"/>
    </row>
    <row r="216" spans="1:5" ht="15.75" x14ac:dyDescent="0.25">
      <c r="A216" s="104"/>
      <c r="B216" s="104"/>
      <c r="C216" s="92" t="str">
        <f t="shared" si="3"/>
        <v/>
      </c>
      <c r="D216" s="120"/>
      <c r="E216" s="120"/>
    </row>
    <row r="217" spans="1:5" ht="15.75" x14ac:dyDescent="0.25">
      <c r="A217" s="104"/>
      <c r="B217" s="104"/>
      <c r="C217" s="92" t="str">
        <f t="shared" si="3"/>
        <v/>
      </c>
      <c r="D217" s="120"/>
      <c r="E217" s="120"/>
    </row>
    <row r="218" spans="1:5" ht="15.75" x14ac:dyDescent="0.25">
      <c r="A218" s="104"/>
      <c r="B218" s="104"/>
      <c r="C218" s="92" t="str">
        <f t="shared" si="3"/>
        <v/>
      </c>
      <c r="D218" s="120"/>
      <c r="E218" s="120"/>
    </row>
    <row r="219" spans="1:5" ht="15.75" x14ac:dyDescent="0.25">
      <c r="A219" s="104"/>
      <c r="B219" s="104"/>
      <c r="C219" s="92" t="str">
        <f t="shared" si="3"/>
        <v/>
      </c>
      <c r="D219" s="120"/>
      <c r="E219" s="120"/>
    </row>
    <row r="220" spans="1:5" ht="15.75" x14ac:dyDescent="0.25">
      <c r="A220" s="104"/>
      <c r="B220" s="104"/>
      <c r="C220" s="92" t="str">
        <f t="shared" si="3"/>
        <v/>
      </c>
      <c r="D220" s="120"/>
      <c r="E220" s="120"/>
    </row>
    <row r="221" spans="1:5" ht="15.75" x14ac:dyDescent="0.25">
      <c r="A221" s="104"/>
      <c r="B221" s="104"/>
      <c r="C221" s="92" t="str">
        <f t="shared" si="3"/>
        <v/>
      </c>
      <c r="D221" s="120"/>
      <c r="E221" s="120"/>
    </row>
    <row r="222" spans="1:5" ht="15.75" x14ac:dyDescent="0.25">
      <c r="A222" s="104"/>
      <c r="B222" s="104"/>
      <c r="C222" s="92" t="str">
        <f t="shared" si="3"/>
        <v/>
      </c>
      <c r="D222" s="120"/>
      <c r="E222" s="120"/>
    </row>
    <row r="223" spans="1:5" ht="15.75" x14ac:dyDescent="0.25">
      <c r="A223" s="104"/>
      <c r="B223" s="104"/>
      <c r="C223" s="92" t="str">
        <f t="shared" si="3"/>
        <v/>
      </c>
      <c r="D223" s="120"/>
      <c r="E223" s="120"/>
    </row>
    <row r="224" spans="1:5" ht="15.75" x14ac:dyDescent="0.25">
      <c r="A224" s="104"/>
      <c r="B224" s="104"/>
      <c r="C224" s="92" t="str">
        <f t="shared" si="3"/>
        <v/>
      </c>
      <c r="D224" s="120"/>
      <c r="E224" s="120"/>
    </row>
    <row r="225" spans="1:5" ht="15.75" x14ac:dyDescent="0.25">
      <c r="A225" s="104"/>
      <c r="B225" s="104"/>
      <c r="C225" s="92" t="str">
        <f t="shared" si="3"/>
        <v/>
      </c>
      <c r="D225" s="120"/>
      <c r="E225" s="120"/>
    </row>
    <row r="226" spans="1:5" ht="15.75" x14ac:dyDescent="0.25">
      <c r="A226" s="104"/>
      <c r="B226" s="104"/>
      <c r="C226" s="92" t="str">
        <f t="shared" si="3"/>
        <v/>
      </c>
      <c r="D226" s="120"/>
      <c r="E226" s="120"/>
    </row>
    <row r="227" spans="1:5" ht="15.75" x14ac:dyDescent="0.25">
      <c r="A227" s="104"/>
      <c r="B227" s="104"/>
      <c r="C227" s="92" t="str">
        <f t="shared" si="3"/>
        <v/>
      </c>
      <c r="D227" s="120"/>
      <c r="E227" s="120"/>
    </row>
    <row r="228" spans="1:5" ht="15.75" x14ac:dyDescent="0.25">
      <c r="A228" s="104"/>
      <c r="B228" s="104"/>
      <c r="C228" s="92" t="str">
        <f t="shared" si="3"/>
        <v/>
      </c>
      <c r="D228" s="120"/>
      <c r="E228" s="120"/>
    </row>
    <row r="229" spans="1:5" ht="15.75" x14ac:dyDescent="0.25">
      <c r="A229" s="104"/>
      <c r="B229" s="104"/>
      <c r="C229" s="92" t="str">
        <f t="shared" si="3"/>
        <v/>
      </c>
      <c r="D229" s="120"/>
      <c r="E229" s="120"/>
    </row>
    <row r="230" spans="1:5" ht="15.75" x14ac:dyDescent="0.25">
      <c r="A230" s="104"/>
      <c r="B230" s="104"/>
      <c r="C230" s="92" t="str">
        <f t="shared" si="3"/>
        <v/>
      </c>
      <c r="D230" s="120"/>
      <c r="E230" s="120"/>
    </row>
    <row r="231" spans="1:5" ht="15.75" x14ac:dyDescent="0.25">
      <c r="A231" s="104"/>
      <c r="B231" s="104"/>
      <c r="C231" s="92" t="str">
        <f t="shared" si="3"/>
        <v/>
      </c>
      <c r="D231" s="120"/>
      <c r="E231" s="120"/>
    </row>
    <row r="232" spans="1:5" ht="15.75" x14ac:dyDescent="0.25">
      <c r="A232" s="104"/>
      <c r="B232" s="104"/>
      <c r="C232" s="92" t="str">
        <f t="shared" si="3"/>
        <v/>
      </c>
      <c r="D232" s="120"/>
      <c r="E232" s="120"/>
    </row>
    <row r="233" spans="1:5" ht="15.75" x14ac:dyDescent="0.25">
      <c r="A233" s="104"/>
      <c r="B233" s="104"/>
      <c r="C233" s="92" t="str">
        <f t="shared" si="3"/>
        <v/>
      </c>
      <c r="D233" s="120"/>
      <c r="E233" s="120"/>
    </row>
    <row r="234" spans="1:5" ht="15.75" x14ac:dyDescent="0.25">
      <c r="A234" s="104"/>
      <c r="B234" s="104"/>
      <c r="C234" s="92" t="str">
        <f t="shared" si="3"/>
        <v/>
      </c>
      <c r="D234" s="120"/>
      <c r="E234" s="120"/>
    </row>
    <row r="235" spans="1:5" ht="15.75" x14ac:dyDescent="0.25">
      <c r="A235" s="104"/>
      <c r="B235" s="104"/>
      <c r="C235" s="92" t="str">
        <f t="shared" si="3"/>
        <v/>
      </c>
      <c r="D235" s="120"/>
      <c r="E235" s="120"/>
    </row>
    <row r="236" spans="1:5" ht="15.75" x14ac:dyDescent="0.25">
      <c r="A236" s="104"/>
      <c r="B236" s="104"/>
      <c r="C236" s="92" t="str">
        <f t="shared" si="3"/>
        <v/>
      </c>
      <c r="D236" s="120"/>
      <c r="E236" s="120"/>
    </row>
    <row r="237" spans="1:5" ht="15.75" x14ac:dyDescent="0.25">
      <c r="A237" s="104"/>
      <c r="B237" s="104"/>
      <c r="C237" s="92" t="str">
        <f t="shared" si="3"/>
        <v/>
      </c>
      <c r="D237" s="120"/>
      <c r="E237" s="120"/>
    </row>
    <row r="238" spans="1:5" ht="15.75" x14ac:dyDescent="0.25">
      <c r="A238" s="104"/>
      <c r="B238" s="104"/>
      <c r="C238" s="92" t="str">
        <f t="shared" si="3"/>
        <v/>
      </c>
      <c r="D238" s="120"/>
      <c r="E238" s="120"/>
    </row>
    <row r="239" spans="1:5" ht="15.75" x14ac:dyDescent="0.25">
      <c r="A239" s="104"/>
      <c r="B239" s="104"/>
      <c r="C239" s="92" t="str">
        <f t="shared" si="3"/>
        <v/>
      </c>
      <c r="D239" s="120"/>
      <c r="E239" s="120"/>
    </row>
    <row r="240" spans="1:5" ht="15.75" x14ac:dyDescent="0.25">
      <c r="A240" s="104"/>
      <c r="B240" s="104"/>
      <c r="C240" s="92" t="str">
        <f t="shared" si="3"/>
        <v/>
      </c>
      <c r="D240" s="120"/>
      <c r="E240" s="120"/>
    </row>
    <row r="241" spans="1:5" ht="15.75" x14ac:dyDescent="0.25">
      <c r="A241" s="104"/>
      <c r="B241" s="104"/>
      <c r="C241" s="92" t="str">
        <f t="shared" si="3"/>
        <v/>
      </c>
      <c r="D241" s="120"/>
      <c r="E241" s="120"/>
    </row>
    <row r="242" spans="1:5" ht="15.75" x14ac:dyDescent="0.25">
      <c r="A242" s="104"/>
      <c r="B242" s="104"/>
      <c r="C242" s="92" t="str">
        <f t="shared" si="3"/>
        <v/>
      </c>
      <c r="D242" s="120"/>
      <c r="E242" s="120"/>
    </row>
    <row r="243" spans="1:5" ht="15.75" x14ac:dyDescent="0.25">
      <c r="A243" s="104"/>
      <c r="B243" s="104"/>
      <c r="C243" s="92" t="str">
        <f t="shared" si="3"/>
        <v/>
      </c>
      <c r="D243" s="120"/>
      <c r="E243" s="120"/>
    </row>
    <row r="244" spans="1:5" ht="15.75" x14ac:dyDescent="0.25">
      <c r="A244" s="104"/>
      <c r="B244" s="104"/>
      <c r="C244" s="92" t="str">
        <f t="shared" si="3"/>
        <v/>
      </c>
      <c r="D244" s="120"/>
      <c r="E244" s="120"/>
    </row>
    <row r="245" spans="1:5" ht="15.75" x14ac:dyDescent="0.25">
      <c r="A245" s="104"/>
      <c r="B245" s="104"/>
      <c r="C245" s="92" t="str">
        <f t="shared" si="3"/>
        <v/>
      </c>
      <c r="D245" s="120"/>
      <c r="E245" s="120"/>
    </row>
    <row r="246" spans="1:5" ht="15.75" x14ac:dyDescent="0.25">
      <c r="A246" s="104"/>
      <c r="B246" s="104"/>
      <c r="C246" s="92" t="str">
        <f t="shared" si="3"/>
        <v/>
      </c>
      <c r="D246" s="120"/>
      <c r="E246" s="120"/>
    </row>
    <row r="247" spans="1:5" ht="15.75" x14ac:dyDescent="0.25">
      <c r="A247" s="104"/>
      <c r="B247" s="104"/>
      <c r="C247" s="92" t="str">
        <f t="shared" si="3"/>
        <v/>
      </c>
      <c r="D247" s="120"/>
      <c r="E247" s="120"/>
    </row>
    <row r="248" spans="1:5" ht="15.75" x14ac:dyDescent="0.25">
      <c r="A248" s="104"/>
      <c r="B248" s="104"/>
      <c r="C248" s="92" t="str">
        <f t="shared" si="3"/>
        <v/>
      </c>
      <c r="D248" s="120"/>
      <c r="E248" s="120"/>
    </row>
    <row r="249" spans="1:5" ht="15.75" x14ac:dyDescent="0.25">
      <c r="A249" s="104"/>
      <c r="B249" s="104"/>
      <c r="C249" s="92" t="str">
        <f t="shared" si="3"/>
        <v/>
      </c>
      <c r="D249" s="120"/>
      <c r="E249" s="120"/>
    </row>
    <row r="250" spans="1:5" ht="15.75" x14ac:dyDescent="0.25">
      <c r="A250" s="104"/>
      <c r="B250" s="104"/>
      <c r="C250" s="92" t="str">
        <f t="shared" si="3"/>
        <v/>
      </c>
      <c r="D250" s="120"/>
      <c r="E250" s="120"/>
    </row>
    <row r="251" spans="1:5" ht="15.75" x14ac:dyDescent="0.25">
      <c r="A251" s="104"/>
      <c r="B251" s="104"/>
      <c r="C251" s="92" t="str">
        <f t="shared" si="3"/>
        <v/>
      </c>
      <c r="D251" s="120"/>
      <c r="E251" s="120"/>
    </row>
    <row r="252" spans="1:5" ht="15.75" x14ac:dyDescent="0.25">
      <c r="A252" s="104"/>
      <c r="B252" s="104"/>
      <c r="C252" s="92" t="str">
        <f t="shared" si="3"/>
        <v/>
      </c>
      <c r="D252" s="120"/>
      <c r="E252" s="120"/>
    </row>
    <row r="253" spans="1:5" ht="15.75" x14ac:dyDescent="0.25">
      <c r="A253" s="104"/>
      <c r="B253" s="104"/>
      <c r="C253" s="92" t="str">
        <f t="shared" si="3"/>
        <v/>
      </c>
      <c r="D253" s="120"/>
      <c r="E253" s="120"/>
    </row>
    <row r="254" spans="1:5" ht="15.75" x14ac:dyDescent="0.25">
      <c r="A254" s="104"/>
      <c r="B254" s="104"/>
      <c r="C254" s="92" t="str">
        <f t="shared" si="3"/>
        <v/>
      </c>
      <c r="D254" s="120"/>
      <c r="E254" s="120"/>
    </row>
    <row r="255" spans="1:5" ht="15.75" x14ac:dyDescent="0.25">
      <c r="A255" s="104"/>
      <c r="B255" s="104"/>
      <c r="C255" s="92" t="str">
        <f t="shared" si="3"/>
        <v/>
      </c>
      <c r="D255" s="120"/>
      <c r="E255" s="120"/>
    </row>
    <row r="256" spans="1:5" ht="15.75" x14ac:dyDescent="0.25">
      <c r="A256" s="104"/>
      <c r="B256" s="104"/>
      <c r="C256" s="92" t="str">
        <f t="shared" si="3"/>
        <v/>
      </c>
      <c r="D256" s="120"/>
      <c r="E256" s="120"/>
    </row>
    <row r="257" spans="1:5" ht="15.75" x14ac:dyDescent="0.25">
      <c r="A257" s="104"/>
      <c r="B257" s="104"/>
      <c r="C257" s="92" t="str">
        <f t="shared" si="3"/>
        <v/>
      </c>
      <c r="D257" s="120"/>
      <c r="E257" s="120"/>
    </row>
    <row r="258" spans="1:5" ht="15.75" x14ac:dyDescent="0.25">
      <c r="A258" s="104"/>
      <c r="B258" s="104"/>
      <c r="C258" s="92" t="str">
        <f t="shared" si="3"/>
        <v/>
      </c>
      <c r="D258" s="120"/>
      <c r="E258" s="120"/>
    </row>
    <row r="259" spans="1:5" ht="15.75" x14ac:dyDescent="0.25">
      <c r="A259" s="104"/>
      <c r="B259" s="104"/>
      <c r="C259" s="92" t="str">
        <f t="shared" si="3"/>
        <v/>
      </c>
      <c r="D259" s="120"/>
      <c r="E259" s="120"/>
    </row>
    <row r="260" spans="1:5" ht="15.75" x14ac:dyDescent="0.25">
      <c r="A260" s="104"/>
      <c r="B260" s="104"/>
      <c r="C260" s="92" t="str">
        <f t="shared" si="3"/>
        <v/>
      </c>
      <c r="D260" s="120"/>
      <c r="E260" s="120"/>
    </row>
    <row r="261" spans="1:5" ht="15.75" x14ac:dyDescent="0.25">
      <c r="A261" s="104"/>
      <c r="B261" s="104"/>
      <c r="C261" s="92" t="str">
        <f t="shared" si="3"/>
        <v/>
      </c>
      <c r="D261" s="120"/>
      <c r="E261" s="120"/>
    </row>
    <row r="262" spans="1:5" ht="15.75" x14ac:dyDescent="0.25">
      <c r="A262" s="104"/>
      <c r="B262" s="104"/>
      <c r="C262" s="92" t="str">
        <f t="shared" si="3"/>
        <v/>
      </c>
      <c r="D262" s="120"/>
      <c r="E262" s="120"/>
    </row>
    <row r="263" spans="1:5" ht="15.75" x14ac:dyDescent="0.25">
      <c r="A263" s="104"/>
      <c r="B263" s="104"/>
      <c r="C263" s="92" t="str">
        <f t="shared" si="3"/>
        <v/>
      </c>
      <c r="D263" s="120"/>
      <c r="E263" s="120"/>
    </row>
    <row r="264" spans="1:5" ht="15.75" x14ac:dyDescent="0.25">
      <c r="A264" s="104"/>
      <c r="B264" s="104"/>
      <c r="C264" s="92" t="str">
        <f t="shared" si="3"/>
        <v/>
      </c>
      <c r="D264" s="120"/>
      <c r="E264" s="120"/>
    </row>
    <row r="265" spans="1:5" ht="15.75" x14ac:dyDescent="0.25">
      <c r="A265" s="104"/>
      <c r="B265" s="104"/>
      <c r="C265" s="92" t="str">
        <f t="shared" si="3"/>
        <v/>
      </c>
      <c r="D265" s="120"/>
      <c r="E265" s="120"/>
    </row>
    <row r="266" spans="1:5" ht="15.75" x14ac:dyDescent="0.25">
      <c r="A266" s="104"/>
      <c r="B266" s="104"/>
      <c r="C266" s="92" t="str">
        <f t="shared" ref="C266:C329" si="4">IF(A266=0,"","MinMax")</f>
        <v/>
      </c>
      <c r="D266" s="120"/>
      <c r="E266" s="120"/>
    </row>
    <row r="267" spans="1:5" ht="15.75" x14ac:dyDescent="0.25">
      <c r="A267" s="104"/>
      <c r="B267" s="104"/>
      <c r="C267" s="92" t="str">
        <f t="shared" si="4"/>
        <v/>
      </c>
      <c r="D267" s="120"/>
      <c r="E267" s="120"/>
    </row>
    <row r="268" spans="1:5" ht="15.75" x14ac:dyDescent="0.25">
      <c r="A268" s="104"/>
      <c r="B268" s="104"/>
      <c r="C268" s="92" t="str">
        <f t="shared" si="4"/>
        <v/>
      </c>
      <c r="D268" s="120"/>
      <c r="E268" s="120"/>
    </row>
    <row r="269" spans="1:5" ht="15.75" x14ac:dyDescent="0.25">
      <c r="A269" s="104"/>
      <c r="B269" s="104"/>
      <c r="C269" s="92" t="str">
        <f t="shared" si="4"/>
        <v/>
      </c>
      <c r="D269" s="120"/>
      <c r="E269" s="120"/>
    </row>
    <row r="270" spans="1:5" ht="15.75" x14ac:dyDescent="0.25">
      <c r="A270" s="104"/>
      <c r="B270" s="104"/>
      <c r="C270" s="92" t="str">
        <f t="shared" si="4"/>
        <v/>
      </c>
      <c r="D270" s="120"/>
      <c r="E270" s="120"/>
    </row>
    <row r="271" spans="1:5" ht="15.75" x14ac:dyDescent="0.25">
      <c r="A271" s="104"/>
      <c r="B271" s="104"/>
      <c r="C271" s="92" t="str">
        <f t="shared" si="4"/>
        <v/>
      </c>
      <c r="D271" s="120"/>
      <c r="E271" s="120"/>
    </row>
    <row r="272" spans="1:5" ht="15.75" x14ac:dyDescent="0.25">
      <c r="A272" s="104"/>
      <c r="B272" s="104"/>
      <c r="C272" s="92" t="str">
        <f t="shared" si="4"/>
        <v/>
      </c>
      <c r="D272" s="120"/>
      <c r="E272" s="120"/>
    </row>
    <row r="273" spans="1:5" ht="15.75" x14ac:dyDescent="0.25">
      <c r="A273" s="104"/>
      <c r="B273" s="104"/>
      <c r="C273" s="92" t="str">
        <f t="shared" si="4"/>
        <v/>
      </c>
      <c r="D273" s="120"/>
      <c r="E273" s="120"/>
    </row>
    <row r="274" spans="1:5" ht="15.75" x14ac:dyDescent="0.25">
      <c r="A274" s="104"/>
      <c r="B274" s="104"/>
      <c r="C274" s="92" t="str">
        <f t="shared" si="4"/>
        <v/>
      </c>
      <c r="D274" s="120"/>
      <c r="E274" s="120"/>
    </row>
    <row r="275" spans="1:5" ht="15.75" x14ac:dyDescent="0.25">
      <c r="A275" s="104"/>
      <c r="B275" s="104"/>
      <c r="C275" s="92" t="str">
        <f t="shared" si="4"/>
        <v/>
      </c>
      <c r="D275" s="120"/>
      <c r="E275" s="120"/>
    </row>
    <row r="276" spans="1:5" ht="15.75" x14ac:dyDescent="0.25">
      <c r="A276" s="104"/>
      <c r="B276" s="104"/>
      <c r="C276" s="92" t="str">
        <f t="shared" si="4"/>
        <v/>
      </c>
      <c r="D276" s="120"/>
      <c r="E276" s="120"/>
    </row>
    <row r="277" spans="1:5" ht="15.75" x14ac:dyDescent="0.25">
      <c r="A277" s="104"/>
      <c r="B277" s="104"/>
      <c r="C277" s="92" t="str">
        <f t="shared" si="4"/>
        <v/>
      </c>
      <c r="D277" s="120"/>
      <c r="E277" s="120"/>
    </row>
    <row r="278" spans="1:5" ht="15.75" x14ac:dyDescent="0.25">
      <c r="A278" s="104"/>
      <c r="B278" s="104"/>
      <c r="C278" s="92" t="str">
        <f t="shared" si="4"/>
        <v/>
      </c>
      <c r="D278" s="120"/>
      <c r="E278" s="120"/>
    </row>
    <row r="279" spans="1:5" ht="15.75" x14ac:dyDescent="0.25">
      <c r="A279" s="104"/>
      <c r="B279" s="104"/>
      <c r="C279" s="92" t="str">
        <f t="shared" si="4"/>
        <v/>
      </c>
      <c r="D279" s="120"/>
      <c r="E279" s="120"/>
    </row>
    <row r="280" spans="1:5" ht="15.75" x14ac:dyDescent="0.25">
      <c r="A280" s="104"/>
      <c r="B280" s="104"/>
      <c r="C280" s="92" t="str">
        <f t="shared" si="4"/>
        <v/>
      </c>
      <c r="D280" s="120"/>
      <c r="E280" s="120"/>
    </row>
    <row r="281" spans="1:5" ht="15.75" x14ac:dyDescent="0.25">
      <c r="A281" s="104"/>
      <c r="B281" s="104"/>
      <c r="C281" s="92" t="str">
        <f t="shared" si="4"/>
        <v/>
      </c>
      <c r="D281" s="120"/>
      <c r="E281" s="120"/>
    </row>
    <row r="282" spans="1:5" ht="15.75" x14ac:dyDescent="0.25">
      <c r="A282" s="104"/>
      <c r="B282" s="104"/>
      <c r="C282" s="92" t="str">
        <f t="shared" si="4"/>
        <v/>
      </c>
      <c r="D282" s="120"/>
      <c r="E282" s="120"/>
    </row>
    <row r="283" spans="1:5" ht="15.75" x14ac:dyDescent="0.25">
      <c r="A283" s="104"/>
      <c r="B283" s="104"/>
      <c r="C283" s="92" t="str">
        <f t="shared" si="4"/>
        <v/>
      </c>
      <c r="D283" s="120"/>
      <c r="E283" s="120"/>
    </row>
    <row r="284" spans="1:5" ht="15.75" x14ac:dyDescent="0.25">
      <c r="A284" s="104"/>
      <c r="B284" s="104"/>
      <c r="C284" s="92" t="str">
        <f t="shared" si="4"/>
        <v/>
      </c>
      <c r="D284" s="120"/>
      <c r="E284" s="120"/>
    </row>
    <row r="285" spans="1:5" ht="15.75" x14ac:dyDescent="0.25">
      <c r="A285" s="104"/>
      <c r="B285" s="104"/>
      <c r="C285" s="92" t="str">
        <f t="shared" si="4"/>
        <v/>
      </c>
      <c r="D285" s="120"/>
      <c r="E285" s="120"/>
    </row>
    <row r="286" spans="1:5" ht="15.75" x14ac:dyDescent="0.25">
      <c r="A286" s="104"/>
      <c r="B286" s="104"/>
      <c r="C286" s="92" t="str">
        <f t="shared" si="4"/>
        <v/>
      </c>
      <c r="D286" s="120"/>
      <c r="E286" s="120"/>
    </row>
    <row r="287" spans="1:5" ht="15.75" x14ac:dyDescent="0.25">
      <c r="A287" s="104"/>
      <c r="B287" s="104"/>
      <c r="C287" s="92" t="str">
        <f t="shared" si="4"/>
        <v/>
      </c>
      <c r="D287" s="120"/>
      <c r="E287" s="120"/>
    </row>
    <row r="288" spans="1:5" ht="15.75" x14ac:dyDescent="0.25">
      <c r="A288" s="104"/>
      <c r="B288" s="104"/>
      <c r="C288" s="92" t="str">
        <f t="shared" si="4"/>
        <v/>
      </c>
      <c r="D288" s="120"/>
      <c r="E288" s="120"/>
    </row>
    <row r="289" spans="1:5" ht="15.75" x14ac:dyDescent="0.25">
      <c r="A289" s="104"/>
      <c r="B289" s="104"/>
      <c r="C289" s="92" t="str">
        <f t="shared" si="4"/>
        <v/>
      </c>
      <c r="D289" s="120"/>
      <c r="E289" s="120"/>
    </row>
    <row r="290" spans="1:5" ht="15.75" x14ac:dyDescent="0.25">
      <c r="A290" s="104"/>
      <c r="B290" s="104"/>
      <c r="C290" s="92" t="str">
        <f t="shared" si="4"/>
        <v/>
      </c>
      <c r="D290" s="120"/>
      <c r="E290" s="120"/>
    </row>
    <row r="291" spans="1:5" ht="15.75" x14ac:dyDescent="0.25">
      <c r="A291" s="104"/>
      <c r="B291" s="104"/>
      <c r="C291" s="92" t="str">
        <f t="shared" si="4"/>
        <v/>
      </c>
      <c r="D291" s="120"/>
      <c r="E291" s="120"/>
    </row>
    <row r="292" spans="1:5" ht="15.75" x14ac:dyDescent="0.25">
      <c r="A292" s="104"/>
      <c r="B292" s="104"/>
      <c r="C292" s="92" t="str">
        <f t="shared" si="4"/>
        <v/>
      </c>
      <c r="D292" s="120"/>
      <c r="E292" s="120"/>
    </row>
    <row r="293" spans="1:5" ht="15.75" x14ac:dyDescent="0.25">
      <c r="A293" s="104"/>
      <c r="B293" s="104"/>
      <c r="C293" s="92" t="str">
        <f t="shared" si="4"/>
        <v/>
      </c>
      <c r="D293" s="120"/>
      <c r="E293" s="120"/>
    </row>
    <row r="294" spans="1:5" ht="15.75" x14ac:dyDescent="0.25">
      <c r="A294" s="104"/>
      <c r="B294" s="104"/>
      <c r="C294" s="92" t="str">
        <f t="shared" si="4"/>
        <v/>
      </c>
      <c r="D294" s="120"/>
      <c r="E294" s="120"/>
    </row>
    <row r="295" spans="1:5" ht="15.75" x14ac:dyDescent="0.25">
      <c r="A295" s="104"/>
      <c r="B295" s="104"/>
      <c r="C295" s="92" t="str">
        <f t="shared" si="4"/>
        <v/>
      </c>
      <c r="D295" s="120"/>
      <c r="E295" s="120"/>
    </row>
    <row r="296" spans="1:5" ht="15.75" x14ac:dyDescent="0.25">
      <c r="A296" s="104"/>
      <c r="B296" s="104"/>
      <c r="C296" s="92" t="str">
        <f t="shared" si="4"/>
        <v/>
      </c>
      <c r="D296" s="120"/>
      <c r="E296" s="120"/>
    </row>
    <row r="297" spans="1:5" ht="15.75" x14ac:dyDescent="0.25">
      <c r="A297" s="104"/>
      <c r="B297" s="104"/>
      <c r="C297" s="92" t="str">
        <f t="shared" si="4"/>
        <v/>
      </c>
      <c r="D297" s="120"/>
      <c r="E297" s="120"/>
    </row>
    <row r="298" spans="1:5" ht="15.75" x14ac:dyDescent="0.25">
      <c r="A298" s="104"/>
      <c r="B298" s="104"/>
      <c r="C298" s="92" t="str">
        <f t="shared" si="4"/>
        <v/>
      </c>
      <c r="D298" s="120"/>
      <c r="E298" s="120"/>
    </row>
    <row r="299" spans="1:5" ht="15.75" x14ac:dyDescent="0.25">
      <c r="A299" s="104"/>
      <c r="B299" s="104"/>
      <c r="C299" s="92" t="str">
        <f t="shared" si="4"/>
        <v/>
      </c>
      <c r="D299" s="120"/>
      <c r="E299" s="120"/>
    </row>
    <row r="300" spans="1:5" ht="15.75" x14ac:dyDescent="0.25">
      <c r="A300" s="104"/>
      <c r="B300" s="104"/>
      <c r="C300" s="92" t="str">
        <f t="shared" si="4"/>
        <v/>
      </c>
      <c r="D300" s="120"/>
      <c r="E300" s="120"/>
    </row>
    <row r="301" spans="1:5" ht="15.75" x14ac:dyDescent="0.25">
      <c r="A301" s="104"/>
      <c r="B301" s="104"/>
      <c r="C301" s="92" t="str">
        <f t="shared" si="4"/>
        <v/>
      </c>
      <c r="D301" s="120"/>
      <c r="E301" s="120"/>
    </row>
    <row r="302" spans="1:5" ht="15.75" x14ac:dyDescent="0.25">
      <c r="A302" s="104"/>
      <c r="B302" s="104"/>
      <c r="C302" s="92" t="str">
        <f t="shared" si="4"/>
        <v/>
      </c>
      <c r="D302" s="120"/>
      <c r="E302" s="120"/>
    </row>
    <row r="303" spans="1:5" ht="15.75" x14ac:dyDescent="0.25">
      <c r="A303" s="104"/>
      <c r="B303" s="104"/>
      <c r="C303" s="92" t="str">
        <f t="shared" si="4"/>
        <v/>
      </c>
      <c r="D303" s="120"/>
      <c r="E303" s="120"/>
    </row>
    <row r="304" spans="1:5" ht="15.75" x14ac:dyDescent="0.25">
      <c r="A304" s="104"/>
      <c r="B304" s="104"/>
      <c r="C304" s="92" t="str">
        <f t="shared" si="4"/>
        <v/>
      </c>
      <c r="D304" s="120"/>
      <c r="E304" s="120"/>
    </row>
    <row r="305" spans="1:5" ht="15.75" x14ac:dyDescent="0.25">
      <c r="A305" s="104"/>
      <c r="B305" s="104"/>
      <c r="C305" s="92" t="str">
        <f t="shared" si="4"/>
        <v/>
      </c>
      <c r="D305" s="120"/>
      <c r="E305" s="120"/>
    </row>
    <row r="306" spans="1:5" ht="15.75" x14ac:dyDescent="0.25">
      <c r="A306" s="104"/>
      <c r="B306" s="104"/>
      <c r="C306" s="92" t="str">
        <f t="shared" si="4"/>
        <v/>
      </c>
      <c r="D306" s="120"/>
      <c r="E306" s="120"/>
    </row>
    <row r="307" spans="1:5" ht="15.75" x14ac:dyDescent="0.25">
      <c r="A307" s="104"/>
      <c r="B307" s="104"/>
      <c r="C307" s="92" t="str">
        <f t="shared" si="4"/>
        <v/>
      </c>
      <c r="D307" s="120"/>
      <c r="E307" s="120"/>
    </row>
    <row r="308" spans="1:5" ht="15.75" x14ac:dyDescent="0.25">
      <c r="A308" s="104"/>
      <c r="B308" s="104"/>
      <c r="C308" s="92" t="str">
        <f t="shared" si="4"/>
        <v/>
      </c>
      <c r="D308" s="120"/>
      <c r="E308" s="120"/>
    </row>
    <row r="309" spans="1:5" ht="15.75" x14ac:dyDescent="0.25">
      <c r="A309" s="104"/>
      <c r="B309" s="104"/>
      <c r="C309" s="92" t="str">
        <f t="shared" si="4"/>
        <v/>
      </c>
      <c r="D309" s="120"/>
      <c r="E309" s="120"/>
    </row>
    <row r="310" spans="1:5" ht="15.75" x14ac:dyDescent="0.25">
      <c r="A310" s="104"/>
      <c r="B310" s="104"/>
      <c r="C310" s="92" t="str">
        <f t="shared" si="4"/>
        <v/>
      </c>
      <c r="D310" s="120"/>
      <c r="E310" s="120"/>
    </row>
    <row r="311" spans="1:5" ht="15.75" x14ac:dyDescent="0.25">
      <c r="A311" s="104"/>
      <c r="B311" s="104"/>
      <c r="C311" s="92" t="str">
        <f t="shared" si="4"/>
        <v/>
      </c>
      <c r="D311" s="120"/>
      <c r="E311" s="120"/>
    </row>
    <row r="312" spans="1:5" ht="15.75" x14ac:dyDescent="0.25">
      <c r="A312" s="104"/>
      <c r="B312" s="104"/>
      <c r="C312" s="92" t="str">
        <f t="shared" si="4"/>
        <v/>
      </c>
      <c r="D312" s="120"/>
      <c r="E312" s="120"/>
    </row>
    <row r="313" spans="1:5" ht="15.75" x14ac:dyDescent="0.25">
      <c r="A313" s="104"/>
      <c r="B313" s="104"/>
      <c r="C313" s="92" t="str">
        <f t="shared" si="4"/>
        <v/>
      </c>
      <c r="D313" s="120"/>
      <c r="E313" s="120"/>
    </row>
    <row r="314" spans="1:5" ht="15.75" x14ac:dyDescent="0.25">
      <c r="A314" s="104"/>
      <c r="B314" s="104"/>
      <c r="C314" s="92" t="str">
        <f t="shared" si="4"/>
        <v/>
      </c>
      <c r="D314" s="120"/>
      <c r="E314" s="120"/>
    </row>
    <row r="315" spans="1:5" ht="15.75" x14ac:dyDescent="0.25">
      <c r="A315" s="104"/>
      <c r="B315" s="104"/>
      <c r="C315" s="92" t="str">
        <f t="shared" si="4"/>
        <v/>
      </c>
      <c r="D315" s="120"/>
      <c r="E315" s="120"/>
    </row>
    <row r="316" spans="1:5" ht="15.75" x14ac:dyDescent="0.25">
      <c r="A316" s="104"/>
      <c r="B316" s="104"/>
      <c r="C316" s="92" t="str">
        <f t="shared" si="4"/>
        <v/>
      </c>
      <c r="D316" s="120"/>
      <c r="E316" s="120"/>
    </row>
    <row r="317" spans="1:5" ht="15.75" x14ac:dyDescent="0.25">
      <c r="A317" s="104"/>
      <c r="B317" s="104"/>
      <c r="C317" s="92" t="str">
        <f t="shared" si="4"/>
        <v/>
      </c>
      <c r="D317" s="120"/>
      <c r="E317" s="120"/>
    </row>
    <row r="318" spans="1:5" ht="15.75" x14ac:dyDescent="0.25">
      <c r="A318" s="104"/>
      <c r="B318" s="104"/>
      <c r="C318" s="92" t="str">
        <f t="shared" si="4"/>
        <v/>
      </c>
      <c r="D318" s="120"/>
      <c r="E318" s="120"/>
    </row>
    <row r="319" spans="1:5" ht="15.75" x14ac:dyDescent="0.25">
      <c r="A319" s="104"/>
      <c r="B319" s="104"/>
      <c r="C319" s="92" t="str">
        <f t="shared" si="4"/>
        <v/>
      </c>
      <c r="D319" s="120"/>
      <c r="E319" s="120"/>
    </row>
    <row r="320" spans="1:5" ht="15.75" x14ac:dyDescent="0.25">
      <c r="A320" s="104"/>
      <c r="B320" s="104"/>
      <c r="C320" s="92" t="str">
        <f t="shared" si="4"/>
        <v/>
      </c>
      <c r="D320" s="120"/>
      <c r="E320" s="120"/>
    </row>
    <row r="321" spans="1:5" ht="15.75" x14ac:dyDescent="0.25">
      <c r="A321" s="104"/>
      <c r="B321" s="104"/>
      <c r="C321" s="92" t="str">
        <f t="shared" si="4"/>
        <v/>
      </c>
      <c r="D321" s="120"/>
      <c r="E321" s="120"/>
    </row>
    <row r="322" spans="1:5" ht="15.75" x14ac:dyDescent="0.25">
      <c r="A322" s="104"/>
      <c r="B322" s="104"/>
      <c r="C322" s="92" t="str">
        <f t="shared" si="4"/>
        <v/>
      </c>
      <c r="D322" s="120"/>
      <c r="E322" s="120"/>
    </row>
    <row r="323" spans="1:5" ht="15.75" x14ac:dyDescent="0.25">
      <c r="A323" s="104"/>
      <c r="B323" s="104"/>
      <c r="C323" s="92" t="str">
        <f t="shared" si="4"/>
        <v/>
      </c>
      <c r="D323" s="120"/>
      <c r="E323" s="120"/>
    </row>
    <row r="324" spans="1:5" ht="15.75" x14ac:dyDescent="0.25">
      <c r="A324" s="104"/>
      <c r="B324" s="104"/>
      <c r="C324" s="92" t="str">
        <f t="shared" si="4"/>
        <v/>
      </c>
      <c r="D324" s="120"/>
      <c r="E324" s="120"/>
    </row>
    <row r="325" spans="1:5" ht="15.75" x14ac:dyDescent="0.25">
      <c r="A325" s="104"/>
      <c r="B325" s="104"/>
      <c r="C325" s="92" t="str">
        <f t="shared" si="4"/>
        <v/>
      </c>
      <c r="D325" s="120"/>
      <c r="E325" s="120"/>
    </row>
    <row r="326" spans="1:5" ht="15.75" x14ac:dyDescent="0.25">
      <c r="A326" s="104"/>
      <c r="B326" s="104"/>
      <c r="C326" s="92" t="str">
        <f t="shared" si="4"/>
        <v/>
      </c>
      <c r="D326" s="120"/>
      <c r="E326" s="120"/>
    </row>
    <row r="327" spans="1:5" ht="15.75" x14ac:dyDescent="0.25">
      <c r="A327" s="104"/>
      <c r="B327" s="104"/>
      <c r="C327" s="92" t="str">
        <f t="shared" si="4"/>
        <v/>
      </c>
      <c r="D327" s="120"/>
      <c r="E327" s="120"/>
    </row>
    <row r="328" spans="1:5" ht="15.75" x14ac:dyDescent="0.25">
      <c r="A328" s="104"/>
      <c r="B328" s="104"/>
      <c r="C328" s="92" t="str">
        <f t="shared" si="4"/>
        <v/>
      </c>
      <c r="D328" s="120"/>
      <c r="E328" s="120"/>
    </row>
    <row r="329" spans="1:5" ht="15.75" x14ac:dyDescent="0.25">
      <c r="A329" s="104"/>
      <c r="B329" s="104"/>
      <c r="C329" s="92" t="str">
        <f t="shared" si="4"/>
        <v/>
      </c>
      <c r="D329" s="120"/>
      <c r="E329" s="120"/>
    </row>
    <row r="330" spans="1:5" ht="15.75" x14ac:dyDescent="0.25">
      <c r="A330" s="104"/>
      <c r="B330" s="104"/>
      <c r="C330" s="92" t="str">
        <f t="shared" ref="C330:C393" si="5">IF(A330=0,"","MinMax")</f>
        <v/>
      </c>
      <c r="D330" s="120"/>
      <c r="E330" s="120"/>
    </row>
    <row r="331" spans="1:5" ht="15.75" x14ac:dyDescent="0.25">
      <c r="A331" s="104"/>
      <c r="B331" s="104"/>
      <c r="C331" s="92" t="str">
        <f t="shared" si="5"/>
        <v/>
      </c>
      <c r="D331" s="120"/>
      <c r="E331" s="120"/>
    </row>
    <row r="332" spans="1:5" ht="15.75" x14ac:dyDescent="0.25">
      <c r="A332" s="104"/>
      <c r="B332" s="104"/>
      <c r="C332" s="92" t="str">
        <f t="shared" si="5"/>
        <v/>
      </c>
      <c r="D332" s="120"/>
      <c r="E332" s="120"/>
    </row>
    <row r="333" spans="1:5" ht="15.75" x14ac:dyDescent="0.25">
      <c r="A333" s="104"/>
      <c r="B333" s="104"/>
      <c r="C333" s="92" t="str">
        <f t="shared" si="5"/>
        <v/>
      </c>
      <c r="D333" s="120"/>
      <c r="E333" s="120"/>
    </row>
    <row r="334" spans="1:5" ht="15.75" x14ac:dyDescent="0.25">
      <c r="A334" s="104"/>
      <c r="B334" s="104"/>
      <c r="C334" s="92" t="str">
        <f t="shared" si="5"/>
        <v/>
      </c>
      <c r="D334" s="120"/>
      <c r="E334" s="120"/>
    </row>
    <row r="335" spans="1:5" ht="15.75" x14ac:dyDescent="0.25">
      <c r="A335" s="104"/>
      <c r="B335" s="104"/>
      <c r="C335" s="92" t="str">
        <f t="shared" si="5"/>
        <v/>
      </c>
      <c r="D335" s="120"/>
      <c r="E335" s="120"/>
    </row>
    <row r="336" spans="1:5" ht="15.75" x14ac:dyDescent="0.25">
      <c r="A336" s="104"/>
      <c r="B336" s="104"/>
      <c r="C336" s="92" t="str">
        <f t="shared" si="5"/>
        <v/>
      </c>
      <c r="D336" s="120"/>
      <c r="E336" s="120"/>
    </row>
    <row r="337" spans="1:5" ht="15.75" x14ac:dyDescent="0.25">
      <c r="A337" s="104"/>
      <c r="B337" s="104"/>
      <c r="C337" s="92" t="str">
        <f t="shared" si="5"/>
        <v/>
      </c>
      <c r="D337" s="120"/>
      <c r="E337" s="120"/>
    </row>
    <row r="338" spans="1:5" ht="15.75" x14ac:dyDescent="0.25">
      <c r="A338" s="104"/>
      <c r="B338" s="104"/>
      <c r="C338" s="92" t="str">
        <f t="shared" si="5"/>
        <v/>
      </c>
      <c r="D338" s="120"/>
      <c r="E338" s="120"/>
    </row>
    <row r="339" spans="1:5" ht="15.75" x14ac:dyDescent="0.25">
      <c r="A339" s="104"/>
      <c r="B339" s="104"/>
      <c r="C339" s="92" t="str">
        <f t="shared" si="5"/>
        <v/>
      </c>
      <c r="D339" s="120"/>
      <c r="E339" s="120"/>
    </row>
    <row r="340" spans="1:5" ht="15.75" x14ac:dyDescent="0.25">
      <c r="A340" s="104"/>
      <c r="B340" s="104"/>
      <c r="C340" s="92" t="str">
        <f t="shared" si="5"/>
        <v/>
      </c>
      <c r="D340" s="120"/>
      <c r="E340" s="120"/>
    </row>
    <row r="341" spans="1:5" ht="15.75" x14ac:dyDescent="0.25">
      <c r="A341" s="104"/>
      <c r="B341" s="104"/>
      <c r="C341" s="92" t="str">
        <f t="shared" si="5"/>
        <v/>
      </c>
      <c r="D341" s="120"/>
      <c r="E341" s="120"/>
    </row>
    <row r="342" spans="1:5" ht="15.75" x14ac:dyDescent="0.25">
      <c r="A342" s="104"/>
      <c r="B342" s="104"/>
      <c r="C342" s="92" t="str">
        <f t="shared" si="5"/>
        <v/>
      </c>
      <c r="D342" s="120"/>
      <c r="E342" s="120"/>
    </row>
    <row r="343" spans="1:5" ht="15.75" x14ac:dyDescent="0.25">
      <c r="A343" s="104"/>
      <c r="B343" s="104"/>
      <c r="C343" s="92" t="str">
        <f t="shared" si="5"/>
        <v/>
      </c>
      <c r="D343" s="120"/>
      <c r="E343" s="120"/>
    </row>
    <row r="344" spans="1:5" ht="15.75" x14ac:dyDescent="0.25">
      <c r="A344" s="104"/>
      <c r="B344" s="104"/>
      <c r="C344" s="92" t="str">
        <f t="shared" si="5"/>
        <v/>
      </c>
      <c r="D344" s="120"/>
      <c r="E344" s="120"/>
    </row>
    <row r="345" spans="1:5" ht="15.75" x14ac:dyDescent="0.25">
      <c r="A345" s="104"/>
      <c r="B345" s="104"/>
      <c r="C345" s="92" t="str">
        <f t="shared" si="5"/>
        <v/>
      </c>
      <c r="D345" s="120"/>
      <c r="E345" s="120"/>
    </row>
    <row r="346" spans="1:5" ht="15.75" x14ac:dyDescent="0.25">
      <c r="A346" s="104"/>
      <c r="B346" s="104"/>
      <c r="C346" s="92" t="str">
        <f t="shared" si="5"/>
        <v/>
      </c>
      <c r="D346" s="120"/>
      <c r="E346" s="120"/>
    </row>
    <row r="347" spans="1:5" ht="15.75" x14ac:dyDescent="0.25">
      <c r="A347" s="104"/>
      <c r="B347" s="104"/>
      <c r="C347" s="92" t="str">
        <f t="shared" si="5"/>
        <v/>
      </c>
      <c r="D347" s="120"/>
      <c r="E347" s="120"/>
    </row>
    <row r="348" spans="1:5" ht="15.75" x14ac:dyDescent="0.25">
      <c r="A348" s="104"/>
      <c r="B348" s="104"/>
      <c r="C348" s="92" t="str">
        <f t="shared" si="5"/>
        <v/>
      </c>
      <c r="D348" s="120"/>
      <c r="E348" s="120"/>
    </row>
    <row r="349" spans="1:5" ht="15.75" x14ac:dyDescent="0.25">
      <c r="A349" s="104"/>
      <c r="B349" s="104"/>
      <c r="C349" s="92" t="str">
        <f t="shared" si="5"/>
        <v/>
      </c>
      <c r="D349" s="120"/>
      <c r="E349" s="120"/>
    </row>
    <row r="350" spans="1:5" ht="15.75" x14ac:dyDescent="0.25">
      <c r="A350" s="104"/>
      <c r="B350" s="104"/>
      <c r="C350" s="92" t="str">
        <f t="shared" si="5"/>
        <v/>
      </c>
      <c r="D350" s="120"/>
      <c r="E350" s="120"/>
    </row>
    <row r="351" spans="1:5" ht="15.75" x14ac:dyDescent="0.25">
      <c r="A351" s="104"/>
      <c r="B351" s="104"/>
      <c r="C351" s="92" t="str">
        <f t="shared" si="5"/>
        <v/>
      </c>
      <c r="D351" s="120"/>
      <c r="E351" s="120"/>
    </row>
    <row r="352" spans="1:5" ht="15.75" x14ac:dyDescent="0.25">
      <c r="A352" s="104"/>
      <c r="B352" s="104"/>
      <c r="C352" s="92" t="str">
        <f t="shared" si="5"/>
        <v/>
      </c>
      <c r="D352" s="120"/>
      <c r="E352" s="120"/>
    </row>
    <row r="353" spans="1:5" ht="15.75" x14ac:dyDescent="0.25">
      <c r="A353" s="104"/>
      <c r="B353" s="104"/>
      <c r="C353" s="92" t="str">
        <f t="shared" si="5"/>
        <v/>
      </c>
      <c r="D353" s="120"/>
      <c r="E353" s="120"/>
    </row>
    <row r="354" spans="1:5" ht="15.75" x14ac:dyDescent="0.25">
      <c r="A354" s="104"/>
      <c r="B354" s="104"/>
      <c r="C354" s="92" t="str">
        <f t="shared" si="5"/>
        <v/>
      </c>
      <c r="D354" s="120"/>
      <c r="E354" s="120"/>
    </row>
    <row r="355" spans="1:5" ht="15.75" x14ac:dyDescent="0.25">
      <c r="A355" s="104"/>
      <c r="B355" s="104"/>
      <c r="C355" s="92" t="str">
        <f t="shared" si="5"/>
        <v/>
      </c>
      <c r="D355" s="120"/>
      <c r="E355" s="120"/>
    </row>
    <row r="356" spans="1:5" ht="15.75" x14ac:dyDescent="0.25">
      <c r="A356" s="104"/>
      <c r="B356" s="104"/>
      <c r="C356" s="92" t="str">
        <f t="shared" si="5"/>
        <v/>
      </c>
      <c r="D356" s="120"/>
      <c r="E356" s="120"/>
    </row>
    <row r="357" spans="1:5" ht="15.75" x14ac:dyDescent="0.25">
      <c r="A357" s="104"/>
      <c r="B357" s="104"/>
      <c r="C357" s="92" t="str">
        <f t="shared" si="5"/>
        <v/>
      </c>
      <c r="D357" s="120"/>
      <c r="E357" s="120"/>
    </row>
    <row r="358" spans="1:5" ht="15.75" x14ac:dyDescent="0.25">
      <c r="A358" s="104"/>
      <c r="B358" s="104"/>
      <c r="C358" s="92" t="str">
        <f t="shared" si="5"/>
        <v/>
      </c>
      <c r="D358" s="120"/>
      <c r="E358" s="120"/>
    </row>
    <row r="359" spans="1:5" ht="15.75" x14ac:dyDescent="0.25">
      <c r="A359" s="104"/>
      <c r="B359" s="104"/>
      <c r="C359" s="92" t="str">
        <f t="shared" si="5"/>
        <v/>
      </c>
      <c r="D359" s="120"/>
      <c r="E359" s="120"/>
    </row>
    <row r="360" spans="1:5" ht="15.75" x14ac:dyDescent="0.25">
      <c r="A360" s="104"/>
      <c r="B360" s="104"/>
      <c r="C360" s="92" t="str">
        <f t="shared" si="5"/>
        <v/>
      </c>
      <c r="D360" s="120"/>
      <c r="E360" s="120"/>
    </row>
    <row r="361" spans="1:5" ht="15.75" x14ac:dyDescent="0.25">
      <c r="A361" s="104"/>
      <c r="B361" s="104"/>
      <c r="C361" s="92" t="str">
        <f t="shared" si="5"/>
        <v/>
      </c>
      <c r="D361" s="120"/>
      <c r="E361" s="120"/>
    </row>
    <row r="362" spans="1:5" ht="15.75" x14ac:dyDescent="0.25">
      <c r="A362" s="104"/>
      <c r="B362" s="104"/>
      <c r="C362" s="92" t="str">
        <f t="shared" si="5"/>
        <v/>
      </c>
      <c r="D362" s="120"/>
      <c r="E362" s="120"/>
    </row>
    <row r="363" spans="1:5" ht="15.75" x14ac:dyDescent="0.25">
      <c r="A363" s="104"/>
      <c r="B363" s="104"/>
      <c r="C363" s="92" t="str">
        <f t="shared" si="5"/>
        <v/>
      </c>
      <c r="D363" s="120"/>
      <c r="E363" s="120"/>
    </row>
    <row r="364" spans="1:5" ht="15.75" x14ac:dyDescent="0.25">
      <c r="A364" s="104"/>
      <c r="B364" s="104"/>
      <c r="C364" s="92" t="str">
        <f t="shared" si="5"/>
        <v/>
      </c>
      <c r="D364" s="120"/>
      <c r="E364" s="120"/>
    </row>
    <row r="365" spans="1:5" ht="15.75" x14ac:dyDescent="0.25">
      <c r="A365" s="104"/>
      <c r="B365" s="104"/>
      <c r="C365" s="92" t="str">
        <f t="shared" si="5"/>
        <v/>
      </c>
      <c r="D365" s="120"/>
      <c r="E365" s="120"/>
    </row>
    <row r="366" spans="1:5" ht="15.75" x14ac:dyDescent="0.25">
      <c r="A366" s="104"/>
      <c r="B366" s="104"/>
      <c r="C366" s="92" t="str">
        <f t="shared" si="5"/>
        <v/>
      </c>
      <c r="D366" s="120"/>
      <c r="E366" s="120"/>
    </row>
    <row r="367" spans="1:5" ht="15.75" x14ac:dyDescent="0.25">
      <c r="A367" s="104"/>
      <c r="B367" s="104"/>
      <c r="C367" s="92" t="str">
        <f t="shared" si="5"/>
        <v/>
      </c>
      <c r="D367" s="120"/>
      <c r="E367" s="120"/>
    </row>
    <row r="368" spans="1:5" ht="15.75" x14ac:dyDescent="0.25">
      <c r="A368" s="104"/>
      <c r="B368" s="104"/>
      <c r="C368" s="92" t="str">
        <f t="shared" si="5"/>
        <v/>
      </c>
      <c r="D368" s="120"/>
      <c r="E368" s="120"/>
    </row>
    <row r="369" spans="1:5" ht="15.75" x14ac:dyDescent="0.25">
      <c r="A369" s="104"/>
      <c r="B369" s="104"/>
      <c r="C369" s="92" t="str">
        <f t="shared" si="5"/>
        <v/>
      </c>
      <c r="D369" s="120"/>
      <c r="E369" s="120"/>
    </row>
    <row r="370" spans="1:5" ht="15.75" x14ac:dyDescent="0.25">
      <c r="A370" s="104"/>
      <c r="B370" s="104"/>
      <c r="C370" s="92" t="str">
        <f t="shared" si="5"/>
        <v/>
      </c>
      <c r="D370" s="120"/>
      <c r="E370" s="120"/>
    </row>
    <row r="371" spans="1:5" ht="15.75" x14ac:dyDescent="0.25">
      <c r="A371" s="104"/>
      <c r="B371" s="104"/>
      <c r="C371" s="92" t="str">
        <f t="shared" si="5"/>
        <v/>
      </c>
      <c r="D371" s="120"/>
      <c r="E371" s="120"/>
    </row>
    <row r="372" spans="1:5" ht="15.75" x14ac:dyDescent="0.25">
      <c r="A372" s="104"/>
      <c r="B372" s="104"/>
      <c r="C372" s="92" t="str">
        <f t="shared" si="5"/>
        <v/>
      </c>
      <c r="D372" s="120"/>
      <c r="E372" s="120"/>
    </row>
    <row r="373" spans="1:5" ht="15.75" x14ac:dyDescent="0.25">
      <c r="A373" s="104"/>
      <c r="B373" s="104"/>
      <c r="C373" s="92" t="str">
        <f t="shared" si="5"/>
        <v/>
      </c>
      <c r="D373" s="120"/>
      <c r="E373" s="120"/>
    </row>
    <row r="374" spans="1:5" ht="15.75" x14ac:dyDescent="0.25">
      <c r="A374" s="104"/>
      <c r="B374" s="104"/>
      <c r="C374" s="92" t="str">
        <f t="shared" si="5"/>
        <v/>
      </c>
      <c r="D374" s="120"/>
      <c r="E374" s="120"/>
    </row>
    <row r="375" spans="1:5" ht="15.75" x14ac:dyDescent="0.25">
      <c r="A375" s="104"/>
      <c r="B375" s="104"/>
      <c r="C375" s="92" t="str">
        <f t="shared" si="5"/>
        <v/>
      </c>
      <c r="D375" s="120"/>
      <c r="E375" s="120"/>
    </row>
    <row r="376" spans="1:5" ht="15.75" x14ac:dyDescent="0.25">
      <c r="A376" s="104"/>
      <c r="B376" s="104"/>
      <c r="C376" s="92" t="str">
        <f t="shared" si="5"/>
        <v/>
      </c>
      <c r="D376" s="120"/>
      <c r="E376" s="120"/>
    </row>
    <row r="377" spans="1:5" ht="15.75" x14ac:dyDescent="0.25">
      <c r="A377" s="104"/>
      <c r="B377" s="104"/>
      <c r="C377" s="92" t="str">
        <f t="shared" si="5"/>
        <v/>
      </c>
      <c r="D377" s="120"/>
      <c r="E377" s="120"/>
    </row>
    <row r="378" spans="1:5" ht="15.75" x14ac:dyDescent="0.25">
      <c r="A378" s="104"/>
      <c r="B378" s="104"/>
      <c r="C378" s="92" t="str">
        <f t="shared" si="5"/>
        <v/>
      </c>
      <c r="D378" s="120"/>
      <c r="E378" s="120"/>
    </row>
    <row r="379" spans="1:5" ht="15.75" x14ac:dyDescent="0.25">
      <c r="A379" s="104"/>
      <c r="B379" s="104"/>
      <c r="C379" s="92" t="str">
        <f t="shared" si="5"/>
        <v/>
      </c>
      <c r="D379" s="120"/>
      <c r="E379" s="120"/>
    </row>
    <row r="380" spans="1:5" ht="15.75" x14ac:dyDescent="0.25">
      <c r="A380" s="104"/>
      <c r="B380" s="104"/>
      <c r="C380" s="92" t="str">
        <f t="shared" si="5"/>
        <v/>
      </c>
      <c r="D380" s="120"/>
      <c r="E380" s="120"/>
    </row>
    <row r="381" spans="1:5" ht="15.75" x14ac:dyDescent="0.25">
      <c r="A381" s="104"/>
      <c r="B381" s="104"/>
      <c r="C381" s="92" t="str">
        <f t="shared" si="5"/>
        <v/>
      </c>
      <c r="D381" s="120"/>
      <c r="E381" s="120"/>
    </row>
    <row r="382" spans="1:5" ht="15.75" x14ac:dyDescent="0.25">
      <c r="A382" s="104"/>
      <c r="B382" s="104"/>
      <c r="C382" s="92" t="str">
        <f t="shared" si="5"/>
        <v/>
      </c>
      <c r="D382" s="120"/>
      <c r="E382" s="120"/>
    </row>
    <row r="383" spans="1:5" ht="15.75" x14ac:dyDescent="0.25">
      <c r="A383" s="104"/>
      <c r="B383" s="104"/>
      <c r="C383" s="92" t="str">
        <f t="shared" si="5"/>
        <v/>
      </c>
      <c r="D383" s="120"/>
      <c r="E383" s="120"/>
    </row>
    <row r="384" spans="1:5" ht="15.75" x14ac:dyDescent="0.25">
      <c r="A384" s="104"/>
      <c r="B384" s="104"/>
      <c r="C384" s="92" t="str">
        <f t="shared" si="5"/>
        <v/>
      </c>
      <c r="D384" s="120"/>
      <c r="E384" s="120"/>
    </row>
    <row r="385" spans="1:5" ht="15.75" x14ac:dyDescent="0.25">
      <c r="A385" s="104"/>
      <c r="B385" s="104"/>
      <c r="C385" s="92" t="str">
        <f t="shared" si="5"/>
        <v/>
      </c>
      <c r="D385" s="120"/>
      <c r="E385" s="120"/>
    </row>
    <row r="386" spans="1:5" ht="15.75" x14ac:dyDescent="0.25">
      <c r="A386" s="104"/>
      <c r="B386" s="104"/>
      <c r="C386" s="92" t="str">
        <f t="shared" si="5"/>
        <v/>
      </c>
      <c r="D386" s="120"/>
      <c r="E386" s="120"/>
    </row>
    <row r="387" spans="1:5" ht="15.75" x14ac:dyDescent="0.25">
      <c r="A387" s="104"/>
      <c r="B387" s="104"/>
      <c r="C387" s="92" t="str">
        <f t="shared" si="5"/>
        <v/>
      </c>
      <c r="D387" s="120"/>
      <c r="E387" s="120"/>
    </row>
    <row r="388" spans="1:5" ht="15.75" x14ac:dyDescent="0.25">
      <c r="A388" s="104"/>
      <c r="B388" s="104"/>
      <c r="C388" s="92" t="str">
        <f t="shared" si="5"/>
        <v/>
      </c>
      <c r="D388" s="120"/>
      <c r="E388" s="120"/>
    </row>
    <row r="389" spans="1:5" ht="15.75" x14ac:dyDescent="0.25">
      <c r="A389" s="104"/>
      <c r="B389" s="104"/>
      <c r="C389" s="92" t="str">
        <f t="shared" si="5"/>
        <v/>
      </c>
      <c r="D389" s="120"/>
      <c r="E389" s="120"/>
    </row>
    <row r="390" spans="1:5" ht="15.75" x14ac:dyDescent="0.25">
      <c r="A390" s="104"/>
      <c r="B390" s="104"/>
      <c r="C390" s="92" t="str">
        <f t="shared" si="5"/>
        <v/>
      </c>
      <c r="D390" s="120"/>
      <c r="E390" s="120"/>
    </row>
    <row r="391" spans="1:5" ht="15.75" x14ac:dyDescent="0.25">
      <c r="A391" s="104"/>
      <c r="B391" s="104"/>
      <c r="C391" s="92" t="str">
        <f t="shared" si="5"/>
        <v/>
      </c>
      <c r="D391" s="120"/>
      <c r="E391" s="120"/>
    </row>
    <row r="392" spans="1:5" ht="15.75" x14ac:dyDescent="0.25">
      <c r="A392" s="104"/>
      <c r="B392" s="104"/>
      <c r="C392" s="92" t="str">
        <f t="shared" si="5"/>
        <v/>
      </c>
      <c r="D392" s="120"/>
      <c r="E392" s="120"/>
    </row>
    <row r="393" spans="1:5" ht="15.75" x14ac:dyDescent="0.25">
      <c r="A393" s="104"/>
      <c r="B393" s="104"/>
      <c r="C393" s="92" t="str">
        <f t="shared" si="5"/>
        <v/>
      </c>
      <c r="D393" s="120"/>
      <c r="E393" s="120"/>
    </row>
    <row r="394" spans="1:5" ht="15.75" x14ac:dyDescent="0.25">
      <c r="A394" s="104"/>
      <c r="B394" s="104"/>
      <c r="C394" s="92" t="str">
        <f t="shared" ref="C394:C457" si="6">IF(A394=0,"","MinMax")</f>
        <v/>
      </c>
      <c r="D394" s="120"/>
      <c r="E394" s="120"/>
    </row>
    <row r="395" spans="1:5" ht="15.75" x14ac:dyDescent="0.25">
      <c r="A395" s="104"/>
      <c r="B395" s="104"/>
      <c r="C395" s="92" t="str">
        <f t="shared" si="6"/>
        <v/>
      </c>
      <c r="D395" s="120"/>
      <c r="E395" s="120"/>
    </row>
    <row r="396" spans="1:5" ht="15.75" x14ac:dyDescent="0.25">
      <c r="A396" s="104"/>
      <c r="B396" s="104"/>
      <c r="C396" s="92" t="str">
        <f t="shared" si="6"/>
        <v/>
      </c>
      <c r="D396" s="120"/>
      <c r="E396" s="120"/>
    </row>
    <row r="397" spans="1:5" ht="15.75" x14ac:dyDescent="0.25">
      <c r="A397" s="104"/>
      <c r="B397" s="104"/>
      <c r="C397" s="92" t="str">
        <f t="shared" si="6"/>
        <v/>
      </c>
      <c r="D397" s="120"/>
      <c r="E397" s="120"/>
    </row>
    <row r="398" spans="1:5" ht="15.75" x14ac:dyDescent="0.25">
      <c r="A398" s="104"/>
      <c r="B398" s="104"/>
      <c r="C398" s="92" t="str">
        <f t="shared" si="6"/>
        <v/>
      </c>
      <c r="D398" s="120"/>
      <c r="E398" s="120"/>
    </row>
    <row r="399" spans="1:5" ht="15.75" x14ac:dyDescent="0.25">
      <c r="A399" s="104"/>
      <c r="B399" s="104"/>
      <c r="C399" s="92" t="str">
        <f t="shared" si="6"/>
        <v/>
      </c>
      <c r="D399" s="120"/>
      <c r="E399" s="120"/>
    </row>
    <row r="400" spans="1:5" ht="15.75" x14ac:dyDescent="0.25">
      <c r="A400" s="104"/>
      <c r="B400" s="104"/>
      <c r="C400" s="92" t="str">
        <f t="shared" si="6"/>
        <v/>
      </c>
      <c r="D400" s="120"/>
      <c r="E400" s="120"/>
    </row>
    <row r="401" spans="1:5" ht="15.75" x14ac:dyDescent="0.25">
      <c r="A401" s="104"/>
      <c r="B401" s="104"/>
      <c r="C401" s="92" t="str">
        <f t="shared" si="6"/>
        <v/>
      </c>
      <c r="D401" s="120"/>
      <c r="E401" s="120"/>
    </row>
    <row r="402" spans="1:5" ht="15.75" x14ac:dyDescent="0.25">
      <c r="A402" s="104"/>
      <c r="B402" s="104"/>
      <c r="C402" s="92" t="str">
        <f t="shared" si="6"/>
        <v/>
      </c>
      <c r="D402" s="120"/>
      <c r="E402" s="120"/>
    </row>
    <row r="403" spans="1:5" ht="15.75" x14ac:dyDescent="0.25">
      <c r="A403" s="104"/>
      <c r="B403" s="104"/>
      <c r="C403" s="92" t="str">
        <f t="shared" si="6"/>
        <v/>
      </c>
      <c r="D403" s="120"/>
      <c r="E403" s="120"/>
    </row>
    <row r="404" spans="1:5" ht="15.75" x14ac:dyDescent="0.25">
      <c r="A404" s="104"/>
      <c r="B404" s="104"/>
      <c r="C404" s="92" t="str">
        <f t="shared" si="6"/>
        <v/>
      </c>
      <c r="D404" s="120"/>
      <c r="E404" s="120"/>
    </row>
    <row r="405" spans="1:5" ht="15.75" x14ac:dyDescent="0.25">
      <c r="A405" s="104"/>
      <c r="B405" s="104"/>
      <c r="C405" s="92" t="str">
        <f t="shared" si="6"/>
        <v/>
      </c>
      <c r="D405" s="120"/>
      <c r="E405" s="120"/>
    </row>
    <row r="406" spans="1:5" ht="15.75" x14ac:dyDescent="0.25">
      <c r="A406" s="104"/>
      <c r="B406" s="104"/>
      <c r="C406" s="92" t="str">
        <f t="shared" si="6"/>
        <v/>
      </c>
      <c r="D406" s="120"/>
      <c r="E406" s="120"/>
    </row>
    <row r="407" spans="1:5" ht="15.75" x14ac:dyDescent="0.25">
      <c r="A407" s="104"/>
      <c r="B407" s="104"/>
      <c r="C407" s="92" t="str">
        <f t="shared" si="6"/>
        <v/>
      </c>
      <c r="D407" s="120"/>
      <c r="E407" s="120"/>
    </row>
    <row r="408" spans="1:5" ht="15.75" x14ac:dyDescent="0.25">
      <c r="A408" s="104"/>
      <c r="B408" s="104"/>
      <c r="C408" s="92" t="str">
        <f t="shared" si="6"/>
        <v/>
      </c>
      <c r="D408" s="120"/>
      <c r="E408" s="120"/>
    </row>
    <row r="409" spans="1:5" ht="15.75" x14ac:dyDescent="0.25">
      <c r="A409" s="104"/>
      <c r="B409" s="104"/>
      <c r="C409" s="92" t="str">
        <f t="shared" si="6"/>
        <v/>
      </c>
      <c r="D409" s="120"/>
      <c r="E409" s="120"/>
    </row>
    <row r="410" spans="1:5" ht="15.75" x14ac:dyDescent="0.25">
      <c r="A410" s="104"/>
      <c r="B410" s="104"/>
      <c r="C410" s="92" t="str">
        <f t="shared" si="6"/>
        <v/>
      </c>
      <c r="D410" s="120"/>
      <c r="E410" s="120"/>
    </row>
    <row r="411" spans="1:5" ht="15.75" x14ac:dyDescent="0.25">
      <c r="A411" s="104"/>
      <c r="B411" s="104"/>
      <c r="C411" s="92" t="str">
        <f t="shared" si="6"/>
        <v/>
      </c>
      <c r="D411" s="120"/>
      <c r="E411" s="120"/>
    </row>
    <row r="412" spans="1:5" ht="15.75" x14ac:dyDescent="0.25">
      <c r="A412" s="104"/>
      <c r="B412" s="104"/>
      <c r="C412" s="92" t="str">
        <f t="shared" si="6"/>
        <v/>
      </c>
      <c r="D412" s="120"/>
      <c r="E412" s="120"/>
    </row>
    <row r="413" spans="1:5" ht="15.75" x14ac:dyDescent="0.25">
      <c r="A413" s="104"/>
      <c r="B413" s="104"/>
      <c r="C413" s="92" t="str">
        <f t="shared" si="6"/>
        <v/>
      </c>
      <c r="D413" s="120"/>
      <c r="E413" s="120"/>
    </row>
    <row r="414" spans="1:5" ht="15.75" x14ac:dyDescent="0.25">
      <c r="A414" s="104"/>
      <c r="B414" s="104"/>
      <c r="C414" s="92" t="str">
        <f t="shared" si="6"/>
        <v/>
      </c>
      <c r="D414" s="120"/>
      <c r="E414" s="120"/>
    </row>
    <row r="415" spans="1:5" ht="15.75" x14ac:dyDescent="0.25">
      <c r="A415" s="104"/>
      <c r="B415" s="104"/>
      <c r="C415" s="92" t="str">
        <f t="shared" si="6"/>
        <v/>
      </c>
      <c r="D415" s="120"/>
      <c r="E415" s="120"/>
    </row>
    <row r="416" spans="1:5" ht="15.75" x14ac:dyDescent="0.25">
      <c r="A416" s="104"/>
      <c r="B416" s="104"/>
      <c r="C416" s="92" t="str">
        <f t="shared" si="6"/>
        <v/>
      </c>
      <c r="D416" s="120"/>
      <c r="E416" s="120"/>
    </row>
    <row r="417" spans="1:5" ht="15.75" x14ac:dyDescent="0.25">
      <c r="A417" s="104"/>
      <c r="B417" s="104"/>
      <c r="C417" s="92" t="str">
        <f t="shared" si="6"/>
        <v/>
      </c>
      <c r="D417" s="120"/>
      <c r="E417" s="120"/>
    </row>
    <row r="418" spans="1:5" ht="15.75" x14ac:dyDescent="0.25">
      <c r="A418" s="104"/>
      <c r="B418" s="104"/>
      <c r="C418" s="92" t="str">
        <f t="shared" si="6"/>
        <v/>
      </c>
      <c r="D418" s="120"/>
      <c r="E418" s="120"/>
    </row>
    <row r="419" spans="1:5" ht="15.75" x14ac:dyDescent="0.25">
      <c r="A419" s="104"/>
      <c r="B419" s="104"/>
      <c r="C419" s="92" t="str">
        <f t="shared" si="6"/>
        <v/>
      </c>
      <c r="D419" s="120"/>
      <c r="E419" s="120"/>
    </row>
    <row r="420" spans="1:5" ht="15.75" x14ac:dyDescent="0.25">
      <c r="A420" s="104"/>
      <c r="B420" s="104"/>
      <c r="C420" s="92" t="str">
        <f t="shared" si="6"/>
        <v/>
      </c>
      <c r="D420" s="120"/>
      <c r="E420" s="120"/>
    </row>
    <row r="421" spans="1:5" ht="15.75" x14ac:dyDescent="0.25">
      <c r="A421" s="104"/>
      <c r="B421" s="104"/>
      <c r="C421" s="92" t="str">
        <f t="shared" si="6"/>
        <v/>
      </c>
      <c r="D421" s="120"/>
      <c r="E421" s="120"/>
    </row>
    <row r="422" spans="1:5" ht="15.75" x14ac:dyDescent="0.25">
      <c r="A422" s="104"/>
      <c r="B422" s="104"/>
      <c r="C422" s="92" t="str">
        <f t="shared" si="6"/>
        <v/>
      </c>
      <c r="D422" s="120"/>
      <c r="E422" s="120"/>
    </row>
    <row r="423" spans="1:5" ht="15.75" x14ac:dyDescent="0.25">
      <c r="A423" s="104"/>
      <c r="B423" s="104"/>
      <c r="C423" s="92" t="str">
        <f t="shared" si="6"/>
        <v/>
      </c>
      <c r="D423" s="120"/>
      <c r="E423" s="120"/>
    </row>
    <row r="424" spans="1:5" ht="15.75" x14ac:dyDescent="0.25">
      <c r="A424" s="104"/>
      <c r="B424" s="104"/>
      <c r="C424" s="92" t="str">
        <f t="shared" si="6"/>
        <v/>
      </c>
      <c r="D424" s="120"/>
      <c r="E424" s="120"/>
    </row>
    <row r="425" spans="1:5" ht="15.75" x14ac:dyDescent="0.25">
      <c r="A425" s="104"/>
      <c r="B425" s="104"/>
      <c r="C425" s="92" t="str">
        <f t="shared" si="6"/>
        <v/>
      </c>
      <c r="D425" s="120"/>
      <c r="E425" s="120"/>
    </row>
    <row r="426" spans="1:5" ht="15.75" x14ac:dyDescent="0.25">
      <c r="A426" s="104"/>
      <c r="B426" s="104"/>
      <c r="C426" s="92" t="str">
        <f t="shared" si="6"/>
        <v/>
      </c>
      <c r="D426" s="120"/>
      <c r="E426" s="120"/>
    </row>
    <row r="427" spans="1:5" ht="15.75" x14ac:dyDescent="0.25">
      <c r="A427" s="104"/>
      <c r="B427" s="104"/>
      <c r="C427" s="92" t="str">
        <f t="shared" si="6"/>
        <v/>
      </c>
      <c r="D427" s="120"/>
      <c r="E427" s="120"/>
    </row>
    <row r="428" spans="1:5" ht="15.75" x14ac:dyDescent="0.25">
      <c r="A428" s="104"/>
      <c r="B428" s="104"/>
      <c r="C428" s="92" t="str">
        <f t="shared" si="6"/>
        <v/>
      </c>
      <c r="D428" s="120"/>
      <c r="E428" s="120"/>
    </row>
    <row r="429" spans="1:5" ht="15.75" x14ac:dyDescent="0.25">
      <c r="A429" s="104"/>
      <c r="B429" s="104"/>
      <c r="C429" s="92" t="str">
        <f t="shared" si="6"/>
        <v/>
      </c>
      <c r="D429" s="120"/>
      <c r="E429" s="120"/>
    </row>
    <row r="430" spans="1:5" ht="15.75" x14ac:dyDescent="0.25">
      <c r="A430" s="104"/>
      <c r="B430" s="104"/>
      <c r="C430" s="92" t="str">
        <f t="shared" si="6"/>
        <v/>
      </c>
      <c r="D430" s="120"/>
      <c r="E430" s="120"/>
    </row>
    <row r="431" spans="1:5" ht="15.75" x14ac:dyDescent="0.25">
      <c r="A431" s="104"/>
      <c r="B431" s="104"/>
      <c r="C431" s="92" t="str">
        <f t="shared" si="6"/>
        <v/>
      </c>
      <c r="D431" s="120"/>
      <c r="E431" s="120"/>
    </row>
    <row r="432" spans="1:5" ht="15.75" x14ac:dyDescent="0.25">
      <c r="A432" s="104"/>
      <c r="B432" s="104"/>
      <c r="C432" s="92" t="str">
        <f t="shared" si="6"/>
        <v/>
      </c>
      <c r="D432" s="120"/>
      <c r="E432" s="120"/>
    </row>
    <row r="433" spans="1:5" ht="15.75" x14ac:dyDescent="0.25">
      <c r="A433" s="104"/>
      <c r="B433" s="104"/>
      <c r="C433" s="92" t="str">
        <f t="shared" si="6"/>
        <v/>
      </c>
      <c r="D433" s="120"/>
      <c r="E433" s="120"/>
    </row>
    <row r="434" spans="1:5" ht="15.75" x14ac:dyDescent="0.25">
      <c r="A434" s="104"/>
      <c r="B434" s="104"/>
      <c r="C434" s="92" t="str">
        <f t="shared" si="6"/>
        <v/>
      </c>
      <c r="D434" s="120"/>
      <c r="E434" s="120"/>
    </row>
    <row r="435" spans="1:5" ht="15.75" x14ac:dyDescent="0.25">
      <c r="A435" s="104"/>
      <c r="B435" s="104"/>
      <c r="C435" s="92" t="str">
        <f t="shared" si="6"/>
        <v/>
      </c>
      <c r="D435" s="120"/>
      <c r="E435" s="120"/>
    </row>
    <row r="436" spans="1:5" ht="15.75" x14ac:dyDescent="0.25">
      <c r="A436" s="104"/>
      <c r="B436" s="104"/>
      <c r="C436" s="92" t="str">
        <f t="shared" si="6"/>
        <v/>
      </c>
      <c r="D436" s="120"/>
      <c r="E436" s="120"/>
    </row>
    <row r="437" spans="1:5" ht="15.75" x14ac:dyDescent="0.25">
      <c r="A437" s="104"/>
      <c r="B437" s="104"/>
      <c r="C437" s="92" t="str">
        <f t="shared" si="6"/>
        <v/>
      </c>
      <c r="D437" s="120"/>
      <c r="E437" s="120"/>
    </row>
    <row r="438" spans="1:5" ht="15.75" x14ac:dyDescent="0.25">
      <c r="A438" s="104"/>
      <c r="B438" s="104"/>
      <c r="C438" s="92" t="str">
        <f t="shared" si="6"/>
        <v/>
      </c>
      <c r="D438" s="120"/>
      <c r="E438" s="120"/>
    </row>
    <row r="439" spans="1:5" ht="15.75" x14ac:dyDescent="0.25">
      <c r="A439" s="104"/>
      <c r="B439" s="104"/>
      <c r="C439" s="92" t="str">
        <f t="shared" si="6"/>
        <v/>
      </c>
      <c r="D439" s="120"/>
      <c r="E439" s="120"/>
    </row>
    <row r="440" spans="1:5" ht="15.75" x14ac:dyDescent="0.25">
      <c r="A440" s="104"/>
      <c r="B440" s="104"/>
      <c r="C440" s="92" t="str">
        <f t="shared" si="6"/>
        <v/>
      </c>
      <c r="D440" s="120"/>
      <c r="E440" s="120"/>
    </row>
    <row r="441" spans="1:5" ht="15.75" x14ac:dyDescent="0.25">
      <c r="A441" s="104"/>
      <c r="B441" s="104"/>
      <c r="C441" s="92" t="str">
        <f t="shared" si="6"/>
        <v/>
      </c>
      <c r="D441" s="120"/>
      <c r="E441" s="120"/>
    </row>
    <row r="442" spans="1:5" ht="15.75" x14ac:dyDescent="0.25">
      <c r="A442" s="104"/>
      <c r="B442" s="104"/>
      <c r="C442" s="92" t="str">
        <f t="shared" si="6"/>
        <v/>
      </c>
      <c r="D442" s="120"/>
      <c r="E442" s="120"/>
    </row>
    <row r="443" spans="1:5" ht="15.75" x14ac:dyDescent="0.25">
      <c r="A443" s="104"/>
      <c r="B443" s="104"/>
      <c r="C443" s="92" t="str">
        <f t="shared" si="6"/>
        <v/>
      </c>
      <c r="D443" s="120"/>
      <c r="E443" s="120"/>
    </row>
    <row r="444" spans="1:5" ht="15.75" x14ac:dyDescent="0.25">
      <c r="A444" s="104"/>
      <c r="B444" s="104"/>
      <c r="C444" s="92" t="str">
        <f t="shared" si="6"/>
        <v/>
      </c>
      <c r="D444" s="120"/>
      <c r="E444" s="120"/>
    </row>
    <row r="445" spans="1:5" ht="15.75" x14ac:dyDescent="0.25">
      <c r="A445" s="104"/>
      <c r="B445" s="104"/>
      <c r="C445" s="92" t="str">
        <f t="shared" si="6"/>
        <v/>
      </c>
      <c r="D445" s="120"/>
      <c r="E445" s="120"/>
    </row>
    <row r="446" spans="1:5" ht="15.75" x14ac:dyDescent="0.25">
      <c r="A446" s="104"/>
      <c r="B446" s="104"/>
      <c r="C446" s="92" t="str">
        <f t="shared" si="6"/>
        <v/>
      </c>
      <c r="D446" s="120"/>
      <c r="E446" s="120"/>
    </row>
    <row r="447" spans="1:5" ht="15.75" x14ac:dyDescent="0.25">
      <c r="A447" s="104"/>
      <c r="B447" s="104"/>
      <c r="C447" s="92" t="str">
        <f t="shared" si="6"/>
        <v/>
      </c>
      <c r="D447" s="120"/>
      <c r="E447" s="120"/>
    </row>
    <row r="448" spans="1:5" ht="15.75" x14ac:dyDescent="0.25">
      <c r="A448" s="104"/>
      <c r="B448" s="104"/>
      <c r="C448" s="92" t="str">
        <f t="shared" si="6"/>
        <v/>
      </c>
      <c r="D448" s="120"/>
      <c r="E448" s="120"/>
    </row>
    <row r="449" spans="1:5" ht="15.75" x14ac:dyDescent="0.25">
      <c r="A449" s="104"/>
      <c r="B449" s="104"/>
      <c r="C449" s="92" t="str">
        <f t="shared" si="6"/>
        <v/>
      </c>
      <c r="D449" s="120"/>
      <c r="E449" s="120"/>
    </row>
    <row r="450" spans="1:5" ht="15.75" x14ac:dyDescent="0.25">
      <c r="A450" s="104"/>
      <c r="B450" s="104"/>
      <c r="C450" s="92" t="str">
        <f t="shared" si="6"/>
        <v/>
      </c>
      <c r="D450" s="120"/>
      <c r="E450" s="120"/>
    </row>
    <row r="451" spans="1:5" ht="15.75" x14ac:dyDescent="0.25">
      <c r="A451" s="104"/>
      <c r="B451" s="104"/>
      <c r="C451" s="92" t="str">
        <f t="shared" si="6"/>
        <v/>
      </c>
      <c r="D451" s="120"/>
      <c r="E451" s="120"/>
    </row>
    <row r="452" spans="1:5" ht="15.75" x14ac:dyDescent="0.25">
      <c r="A452" s="104"/>
      <c r="B452" s="104"/>
      <c r="C452" s="92" t="str">
        <f t="shared" si="6"/>
        <v/>
      </c>
      <c r="D452" s="120"/>
      <c r="E452" s="120"/>
    </row>
    <row r="453" spans="1:5" ht="15.75" x14ac:dyDescent="0.25">
      <c r="A453" s="104"/>
      <c r="B453" s="104"/>
      <c r="C453" s="92" t="str">
        <f t="shared" si="6"/>
        <v/>
      </c>
      <c r="D453" s="120"/>
      <c r="E453" s="120"/>
    </row>
    <row r="454" spans="1:5" ht="15.75" x14ac:dyDescent="0.25">
      <c r="A454" s="104"/>
      <c r="B454" s="104"/>
      <c r="C454" s="92" t="str">
        <f t="shared" si="6"/>
        <v/>
      </c>
      <c r="D454" s="120"/>
      <c r="E454" s="120"/>
    </row>
    <row r="455" spans="1:5" ht="15.75" x14ac:dyDescent="0.25">
      <c r="A455" s="104"/>
      <c r="B455" s="104"/>
      <c r="C455" s="92" t="str">
        <f t="shared" si="6"/>
        <v/>
      </c>
      <c r="D455" s="120"/>
      <c r="E455" s="120"/>
    </row>
    <row r="456" spans="1:5" ht="15.75" x14ac:dyDescent="0.25">
      <c r="A456" s="104"/>
      <c r="B456" s="104"/>
      <c r="C456" s="92" t="str">
        <f t="shared" si="6"/>
        <v/>
      </c>
      <c r="D456" s="120"/>
      <c r="E456" s="120"/>
    </row>
    <row r="457" spans="1:5" ht="15.75" x14ac:dyDescent="0.25">
      <c r="A457" s="104"/>
      <c r="B457" s="104"/>
      <c r="C457" s="92" t="str">
        <f t="shared" si="6"/>
        <v/>
      </c>
      <c r="D457" s="120"/>
      <c r="E457" s="120"/>
    </row>
    <row r="458" spans="1:5" ht="15.75" x14ac:dyDescent="0.25">
      <c r="A458" s="104"/>
      <c r="B458" s="104"/>
      <c r="C458" s="92" t="str">
        <f t="shared" ref="C458:C521" si="7">IF(A458=0,"","MinMax")</f>
        <v/>
      </c>
      <c r="D458" s="120"/>
      <c r="E458" s="120"/>
    </row>
    <row r="459" spans="1:5" ht="15.75" x14ac:dyDescent="0.25">
      <c r="A459" s="104"/>
      <c r="B459" s="104"/>
      <c r="C459" s="92" t="str">
        <f t="shared" si="7"/>
        <v/>
      </c>
      <c r="D459" s="120"/>
      <c r="E459" s="120"/>
    </row>
    <row r="460" spans="1:5" ht="15.75" x14ac:dyDescent="0.25">
      <c r="A460" s="104"/>
      <c r="B460" s="104"/>
      <c r="C460" s="92" t="str">
        <f t="shared" si="7"/>
        <v/>
      </c>
      <c r="D460" s="120"/>
      <c r="E460" s="120"/>
    </row>
    <row r="461" spans="1:5" ht="15.75" x14ac:dyDescent="0.25">
      <c r="A461" s="104"/>
      <c r="B461" s="104"/>
      <c r="C461" s="92" t="str">
        <f t="shared" si="7"/>
        <v/>
      </c>
      <c r="D461" s="120"/>
      <c r="E461" s="120"/>
    </row>
    <row r="462" spans="1:5" ht="15.75" x14ac:dyDescent="0.25">
      <c r="A462" s="104"/>
      <c r="B462" s="104"/>
      <c r="C462" s="92" t="str">
        <f t="shared" si="7"/>
        <v/>
      </c>
      <c r="D462" s="120"/>
      <c r="E462" s="120"/>
    </row>
    <row r="463" spans="1:5" ht="15.75" x14ac:dyDescent="0.25">
      <c r="A463" s="104"/>
      <c r="B463" s="104"/>
      <c r="C463" s="92" t="str">
        <f t="shared" si="7"/>
        <v/>
      </c>
      <c r="D463" s="120"/>
      <c r="E463" s="120"/>
    </row>
    <row r="464" spans="1:5" ht="15.75" x14ac:dyDescent="0.25">
      <c r="A464" s="104"/>
      <c r="B464" s="104"/>
      <c r="C464" s="92" t="str">
        <f t="shared" si="7"/>
        <v/>
      </c>
      <c r="D464" s="120"/>
      <c r="E464" s="120"/>
    </row>
    <row r="465" spans="1:5" ht="15.75" x14ac:dyDescent="0.25">
      <c r="A465" s="104"/>
      <c r="B465" s="104"/>
      <c r="C465" s="92" t="str">
        <f t="shared" si="7"/>
        <v/>
      </c>
      <c r="D465" s="120"/>
      <c r="E465" s="120"/>
    </row>
    <row r="466" spans="1:5" ht="15.75" x14ac:dyDescent="0.25">
      <c r="A466" s="104"/>
      <c r="B466" s="104"/>
      <c r="C466" s="92" t="str">
        <f t="shared" si="7"/>
        <v/>
      </c>
      <c r="D466" s="120"/>
      <c r="E466" s="120"/>
    </row>
    <row r="467" spans="1:5" ht="15.75" x14ac:dyDescent="0.25">
      <c r="A467" s="104"/>
      <c r="B467" s="104"/>
      <c r="C467" s="92" t="str">
        <f t="shared" si="7"/>
        <v/>
      </c>
      <c r="D467" s="120"/>
      <c r="E467" s="120"/>
    </row>
    <row r="468" spans="1:5" ht="15.75" x14ac:dyDescent="0.25">
      <c r="A468" s="104"/>
      <c r="B468" s="104"/>
      <c r="C468" s="92" t="str">
        <f t="shared" si="7"/>
        <v/>
      </c>
      <c r="D468" s="120"/>
      <c r="E468" s="120"/>
    </row>
    <row r="469" spans="1:5" ht="15.75" x14ac:dyDescent="0.25">
      <c r="A469" s="104"/>
      <c r="B469" s="104"/>
      <c r="C469" s="92" t="str">
        <f t="shared" si="7"/>
        <v/>
      </c>
      <c r="D469" s="120"/>
      <c r="E469" s="120"/>
    </row>
    <row r="470" spans="1:5" ht="15.75" x14ac:dyDescent="0.25">
      <c r="A470" s="104"/>
      <c r="B470" s="104"/>
      <c r="C470" s="92" t="str">
        <f t="shared" si="7"/>
        <v/>
      </c>
      <c r="D470" s="120"/>
      <c r="E470" s="120"/>
    </row>
    <row r="471" spans="1:5" ht="15.75" x14ac:dyDescent="0.25">
      <c r="A471" s="104"/>
      <c r="B471" s="104"/>
      <c r="C471" s="92" t="str">
        <f t="shared" si="7"/>
        <v/>
      </c>
      <c r="D471" s="120"/>
      <c r="E471" s="120"/>
    </row>
    <row r="472" spans="1:5" ht="15.75" x14ac:dyDescent="0.25">
      <c r="A472" s="104"/>
      <c r="B472" s="104"/>
      <c r="C472" s="92" t="str">
        <f t="shared" si="7"/>
        <v/>
      </c>
      <c r="D472" s="120"/>
      <c r="E472" s="120"/>
    </row>
    <row r="473" spans="1:5" ht="15.75" x14ac:dyDescent="0.25">
      <c r="A473" s="104"/>
      <c r="B473" s="104"/>
      <c r="C473" s="92" t="str">
        <f t="shared" si="7"/>
        <v/>
      </c>
      <c r="D473" s="120"/>
      <c r="E473" s="120"/>
    </row>
    <row r="474" spans="1:5" ht="15.75" x14ac:dyDescent="0.25">
      <c r="A474" s="104"/>
      <c r="B474" s="104"/>
      <c r="C474" s="92" t="str">
        <f t="shared" si="7"/>
        <v/>
      </c>
      <c r="D474" s="120"/>
      <c r="E474" s="120"/>
    </row>
    <row r="475" spans="1:5" ht="15.75" x14ac:dyDescent="0.25">
      <c r="A475" s="104"/>
      <c r="B475" s="104"/>
      <c r="C475" s="92" t="str">
        <f t="shared" si="7"/>
        <v/>
      </c>
      <c r="D475" s="120"/>
      <c r="E475" s="120"/>
    </row>
    <row r="476" spans="1:5" ht="15.75" x14ac:dyDescent="0.25">
      <c r="A476" s="104"/>
      <c r="B476" s="104"/>
      <c r="C476" s="92" t="str">
        <f t="shared" si="7"/>
        <v/>
      </c>
      <c r="D476" s="120"/>
      <c r="E476" s="120"/>
    </row>
    <row r="477" spans="1:5" ht="15.75" x14ac:dyDescent="0.25">
      <c r="A477" s="104"/>
      <c r="B477" s="104"/>
      <c r="C477" s="92" t="str">
        <f t="shared" si="7"/>
        <v/>
      </c>
      <c r="D477" s="120"/>
      <c r="E477" s="120"/>
    </row>
    <row r="478" spans="1:5" ht="15.75" x14ac:dyDescent="0.25">
      <c r="A478" s="104"/>
      <c r="B478" s="104"/>
      <c r="C478" s="92" t="str">
        <f t="shared" si="7"/>
        <v/>
      </c>
      <c r="D478" s="120"/>
      <c r="E478" s="120"/>
    </row>
    <row r="479" spans="1:5" ht="15.75" x14ac:dyDescent="0.25">
      <c r="A479" s="104"/>
      <c r="B479" s="104"/>
      <c r="C479" s="92" t="str">
        <f t="shared" si="7"/>
        <v/>
      </c>
      <c r="D479" s="120"/>
      <c r="E479" s="120"/>
    </row>
    <row r="480" spans="1:5" ht="15.75" x14ac:dyDescent="0.25">
      <c r="A480" s="104"/>
      <c r="B480" s="104"/>
      <c r="C480" s="92" t="str">
        <f t="shared" si="7"/>
        <v/>
      </c>
      <c r="D480" s="120"/>
      <c r="E480" s="120"/>
    </row>
    <row r="481" spans="1:5" ht="15.75" x14ac:dyDescent="0.25">
      <c r="A481" s="104"/>
      <c r="B481" s="104"/>
      <c r="C481" s="92" t="str">
        <f t="shared" si="7"/>
        <v/>
      </c>
      <c r="D481" s="120"/>
      <c r="E481" s="120"/>
    </row>
    <row r="482" spans="1:5" ht="15.75" x14ac:dyDescent="0.25">
      <c r="A482" s="104"/>
      <c r="B482" s="104"/>
      <c r="C482" s="92" t="str">
        <f t="shared" si="7"/>
        <v/>
      </c>
      <c r="D482" s="120"/>
      <c r="E482" s="120"/>
    </row>
    <row r="483" spans="1:5" ht="15.75" x14ac:dyDescent="0.25">
      <c r="A483" s="104"/>
      <c r="B483" s="104"/>
      <c r="C483" s="92" t="str">
        <f t="shared" si="7"/>
        <v/>
      </c>
      <c r="D483" s="120"/>
      <c r="E483" s="120"/>
    </row>
    <row r="484" spans="1:5" ht="15.75" x14ac:dyDescent="0.25">
      <c r="A484" s="104"/>
      <c r="B484" s="104"/>
      <c r="C484" s="92" t="str">
        <f t="shared" si="7"/>
        <v/>
      </c>
      <c r="D484" s="120"/>
      <c r="E484" s="120"/>
    </row>
    <row r="485" spans="1:5" ht="15.75" x14ac:dyDescent="0.25">
      <c r="A485" s="104"/>
      <c r="B485" s="104"/>
      <c r="C485" s="92" t="str">
        <f t="shared" si="7"/>
        <v/>
      </c>
      <c r="D485" s="120"/>
      <c r="E485" s="120"/>
    </row>
    <row r="486" spans="1:5" ht="15.75" x14ac:dyDescent="0.25">
      <c r="A486" s="104"/>
      <c r="B486" s="104"/>
      <c r="C486" s="92" t="str">
        <f t="shared" si="7"/>
        <v/>
      </c>
      <c r="D486" s="120"/>
      <c r="E486" s="120"/>
    </row>
    <row r="487" spans="1:5" ht="15.75" x14ac:dyDescent="0.25">
      <c r="A487" s="104"/>
      <c r="B487" s="104"/>
      <c r="C487" s="92" t="str">
        <f t="shared" si="7"/>
        <v/>
      </c>
      <c r="D487" s="120"/>
      <c r="E487" s="120"/>
    </row>
    <row r="488" spans="1:5" ht="15.75" x14ac:dyDescent="0.25">
      <c r="A488" s="104"/>
      <c r="B488" s="104"/>
      <c r="C488" s="92" t="str">
        <f t="shared" si="7"/>
        <v/>
      </c>
      <c r="D488" s="120"/>
      <c r="E488" s="120"/>
    </row>
    <row r="489" spans="1:5" ht="15.75" x14ac:dyDescent="0.25">
      <c r="A489" s="104"/>
      <c r="B489" s="104"/>
      <c r="C489" s="92" t="str">
        <f t="shared" si="7"/>
        <v/>
      </c>
      <c r="D489" s="120"/>
      <c r="E489" s="120"/>
    </row>
    <row r="490" spans="1:5" ht="15.75" x14ac:dyDescent="0.25">
      <c r="A490" s="104"/>
      <c r="B490" s="104"/>
      <c r="C490" s="92" t="str">
        <f t="shared" si="7"/>
        <v/>
      </c>
      <c r="D490" s="120"/>
      <c r="E490" s="120"/>
    </row>
    <row r="491" spans="1:5" ht="15.75" x14ac:dyDescent="0.25">
      <c r="A491" s="104"/>
      <c r="B491" s="104"/>
      <c r="C491" s="92" t="str">
        <f t="shared" si="7"/>
        <v/>
      </c>
      <c r="D491" s="120"/>
      <c r="E491" s="120"/>
    </row>
    <row r="492" spans="1:5" ht="15.75" x14ac:dyDescent="0.25">
      <c r="A492" s="104"/>
      <c r="B492" s="104"/>
      <c r="C492" s="92" t="str">
        <f t="shared" si="7"/>
        <v/>
      </c>
      <c r="D492" s="120"/>
      <c r="E492" s="120"/>
    </row>
    <row r="493" spans="1:5" ht="15.75" x14ac:dyDescent="0.25">
      <c r="A493" s="104"/>
      <c r="B493" s="104"/>
      <c r="C493" s="92" t="str">
        <f t="shared" si="7"/>
        <v/>
      </c>
      <c r="D493" s="120"/>
      <c r="E493" s="120"/>
    </row>
    <row r="494" spans="1:5" ht="15.75" x14ac:dyDescent="0.25">
      <c r="A494" s="104"/>
      <c r="B494" s="104"/>
      <c r="C494" s="92" t="str">
        <f t="shared" si="7"/>
        <v/>
      </c>
      <c r="D494" s="120"/>
      <c r="E494" s="120"/>
    </row>
    <row r="495" spans="1:5" ht="15.75" x14ac:dyDescent="0.25">
      <c r="A495" s="104"/>
      <c r="B495" s="104"/>
      <c r="C495" s="92" t="str">
        <f t="shared" si="7"/>
        <v/>
      </c>
      <c r="D495" s="120"/>
      <c r="E495" s="120"/>
    </row>
    <row r="496" spans="1:5" ht="15.75" x14ac:dyDescent="0.25">
      <c r="A496" s="104"/>
      <c r="B496" s="104"/>
      <c r="C496" s="92" t="str">
        <f t="shared" si="7"/>
        <v/>
      </c>
      <c r="D496" s="120"/>
      <c r="E496" s="120"/>
    </row>
    <row r="497" spans="1:5" ht="15.75" x14ac:dyDescent="0.25">
      <c r="A497" s="104"/>
      <c r="B497" s="104"/>
      <c r="C497" s="92" t="str">
        <f t="shared" si="7"/>
        <v/>
      </c>
      <c r="D497" s="120"/>
      <c r="E497" s="120"/>
    </row>
    <row r="498" spans="1:5" ht="15.75" x14ac:dyDescent="0.25">
      <c r="A498" s="104"/>
      <c r="B498" s="104"/>
      <c r="C498" s="92" t="str">
        <f t="shared" si="7"/>
        <v/>
      </c>
      <c r="D498" s="120"/>
      <c r="E498" s="120"/>
    </row>
    <row r="499" spans="1:5" ht="15.75" x14ac:dyDescent="0.25">
      <c r="A499" s="104"/>
      <c r="B499" s="104"/>
      <c r="C499" s="92" t="str">
        <f t="shared" si="7"/>
        <v/>
      </c>
      <c r="D499" s="120"/>
      <c r="E499" s="120"/>
    </row>
    <row r="500" spans="1:5" ht="15.75" x14ac:dyDescent="0.25">
      <c r="A500" s="104"/>
      <c r="B500" s="104"/>
      <c r="C500" s="92" t="str">
        <f t="shared" si="7"/>
        <v/>
      </c>
      <c r="D500" s="120"/>
      <c r="E500" s="120"/>
    </row>
    <row r="501" spans="1:5" ht="15.75" x14ac:dyDescent="0.25">
      <c r="A501" s="104"/>
      <c r="B501" s="104"/>
      <c r="C501" s="92" t="str">
        <f t="shared" si="7"/>
        <v/>
      </c>
      <c r="D501" s="120"/>
      <c r="E501" s="120"/>
    </row>
    <row r="502" spans="1:5" ht="15.75" x14ac:dyDescent="0.25">
      <c r="A502" s="104"/>
      <c r="B502" s="104"/>
      <c r="C502" s="92" t="str">
        <f t="shared" si="7"/>
        <v/>
      </c>
      <c r="D502" s="120"/>
      <c r="E502" s="120"/>
    </row>
    <row r="503" spans="1:5" ht="15.75" x14ac:dyDescent="0.25">
      <c r="A503" s="104"/>
      <c r="B503" s="104"/>
      <c r="C503" s="92" t="str">
        <f t="shared" si="7"/>
        <v/>
      </c>
      <c r="D503" s="120"/>
      <c r="E503" s="120"/>
    </row>
    <row r="504" spans="1:5" ht="15.75" x14ac:dyDescent="0.25">
      <c r="A504" s="104"/>
      <c r="B504" s="104"/>
      <c r="C504" s="92" t="str">
        <f t="shared" si="7"/>
        <v/>
      </c>
      <c r="D504" s="120"/>
      <c r="E504" s="120"/>
    </row>
    <row r="505" spans="1:5" ht="15.75" x14ac:dyDescent="0.25">
      <c r="A505" s="104"/>
      <c r="B505" s="104"/>
      <c r="C505" s="92" t="str">
        <f t="shared" si="7"/>
        <v/>
      </c>
      <c r="D505" s="120"/>
      <c r="E505" s="120"/>
    </row>
    <row r="506" spans="1:5" ht="15.75" x14ac:dyDescent="0.25">
      <c r="A506" s="104"/>
      <c r="B506" s="104"/>
      <c r="C506" s="92" t="str">
        <f t="shared" si="7"/>
        <v/>
      </c>
      <c r="D506" s="120"/>
      <c r="E506" s="120"/>
    </row>
    <row r="507" spans="1:5" ht="15.75" x14ac:dyDescent="0.25">
      <c r="A507" s="104"/>
      <c r="B507" s="104"/>
      <c r="C507" s="92" t="str">
        <f t="shared" si="7"/>
        <v/>
      </c>
      <c r="D507" s="120"/>
      <c r="E507" s="120"/>
    </row>
    <row r="508" spans="1:5" ht="15.75" x14ac:dyDescent="0.25">
      <c r="A508" s="104"/>
      <c r="B508" s="104"/>
      <c r="C508" s="92" t="str">
        <f t="shared" si="7"/>
        <v/>
      </c>
      <c r="D508" s="120"/>
      <c r="E508" s="120"/>
    </row>
    <row r="509" spans="1:5" ht="15.75" x14ac:dyDescent="0.25">
      <c r="A509" s="104"/>
      <c r="B509" s="104"/>
      <c r="C509" s="92" t="str">
        <f t="shared" si="7"/>
        <v/>
      </c>
      <c r="D509" s="120"/>
      <c r="E509" s="120"/>
    </row>
    <row r="510" spans="1:5" ht="15.75" x14ac:dyDescent="0.25">
      <c r="A510" s="104"/>
      <c r="B510" s="104"/>
      <c r="C510" s="92" t="str">
        <f t="shared" si="7"/>
        <v/>
      </c>
      <c r="D510" s="120"/>
      <c r="E510" s="120"/>
    </row>
    <row r="511" spans="1:5" ht="15.75" x14ac:dyDescent="0.25">
      <c r="A511" s="104"/>
      <c r="B511" s="104"/>
      <c r="C511" s="92" t="str">
        <f t="shared" si="7"/>
        <v/>
      </c>
      <c r="D511" s="120"/>
      <c r="E511" s="120"/>
    </row>
    <row r="512" spans="1:5" ht="15.75" x14ac:dyDescent="0.25">
      <c r="A512" s="104"/>
      <c r="B512" s="104"/>
      <c r="C512" s="92" t="str">
        <f t="shared" si="7"/>
        <v/>
      </c>
      <c r="D512" s="120"/>
      <c r="E512" s="120"/>
    </row>
    <row r="513" spans="1:5" ht="15.75" x14ac:dyDescent="0.25">
      <c r="A513" s="104"/>
      <c r="B513" s="104"/>
      <c r="C513" s="92" t="str">
        <f t="shared" si="7"/>
        <v/>
      </c>
      <c r="D513" s="120"/>
      <c r="E513" s="120"/>
    </row>
    <row r="514" spans="1:5" ht="15.75" x14ac:dyDescent="0.25">
      <c r="A514" s="104"/>
      <c r="B514" s="104"/>
      <c r="C514" s="92" t="str">
        <f t="shared" si="7"/>
        <v/>
      </c>
      <c r="D514" s="120"/>
      <c r="E514" s="120"/>
    </row>
    <row r="515" spans="1:5" ht="15.75" x14ac:dyDescent="0.25">
      <c r="A515" s="104"/>
      <c r="B515" s="104"/>
      <c r="C515" s="92" t="str">
        <f t="shared" si="7"/>
        <v/>
      </c>
      <c r="D515" s="120"/>
      <c r="E515" s="120"/>
    </row>
    <row r="516" spans="1:5" ht="15.75" x14ac:dyDescent="0.25">
      <c r="A516" s="104"/>
      <c r="B516" s="104"/>
      <c r="C516" s="92" t="str">
        <f t="shared" si="7"/>
        <v/>
      </c>
      <c r="D516" s="120"/>
      <c r="E516" s="120"/>
    </row>
    <row r="517" spans="1:5" ht="15.75" x14ac:dyDescent="0.25">
      <c r="A517" s="104"/>
      <c r="B517" s="104"/>
      <c r="C517" s="92" t="str">
        <f t="shared" si="7"/>
        <v/>
      </c>
      <c r="D517" s="120"/>
      <c r="E517" s="120"/>
    </row>
    <row r="518" spans="1:5" ht="15.75" x14ac:dyDescent="0.25">
      <c r="A518" s="104"/>
      <c r="B518" s="104"/>
      <c r="C518" s="92" t="str">
        <f t="shared" si="7"/>
        <v/>
      </c>
      <c r="D518" s="120"/>
      <c r="E518" s="120"/>
    </row>
    <row r="519" spans="1:5" ht="15.75" x14ac:dyDescent="0.25">
      <c r="A519" s="104"/>
      <c r="B519" s="104"/>
      <c r="C519" s="92" t="str">
        <f t="shared" si="7"/>
        <v/>
      </c>
      <c r="D519" s="120"/>
      <c r="E519" s="120"/>
    </row>
    <row r="520" spans="1:5" ht="15.75" x14ac:dyDescent="0.25">
      <c r="A520" s="104"/>
      <c r="B520" s="104"/>
      <c r="C520" s="92" t="str">
        <f t="shared" si="7"/>
        <v/>
      </c>
      <c r="D520" s="120"/>
      <c r="E520" s="120"/>
    </row>
    <row r="521" spans="1:5" ht="15.75" x14ac:dyDescent="0.25">
      <c r="A521" s="104"/>
      <c r="B521" s="104"/>
      <c r="C521" s="92" t="str">
        <f t="shared" si="7"/>
        <v/>
      </c>
      <c r="D521" s="120"/>
      <c r="E521" s="120"/>
    </row>
    <row r="522" spans="1:5" ht="15.75" x14ac:dyDescent="0.25">
      <c r="A522" s="104"/>
      <c r="B522" s="104"/>
      <c r="C522" s="92" t="str">
        <f t="shared" ref="C522:C585" si="8">IF(A522=0,"","MinMax")</f>
        <v/>
      </c>
      <c r="D522" s="120"/>
      <c r="E522" s="120"/>
    </row>
    <row r="523" spans="1:5" ht="15.75" x14ac:dyDescent="0.25">
      <c r="A523" s="104"/>
      <c r="B523" s="104"/>
      <c r="C523" s="92" t="str">
        <f t="shared" si="8"/>
        <v/>
      </c>
      <c r="D523" s="120"/>
      <c r="E523" s="120"/>
    </row>
    <row r="524" spans="1:5" ht="15.75" x14ac:dyDescent="0.25">
      <c r="A524" s="104"/>
      <c r="B524" s="104"/>
      <c r="C524" s="92" t="str">
        <f t="shared" si="8"/>
        <v/>
      </c>
      <c r="D524" s="120"/>
      <c r="E524" s="120"/>
    </row>
    <row r="525" spans="1:5" ht="15.75" x14ac:dyDescent="0.25">
      <c r="A525" s="104"/>
      <c r="B525" s="104"/>
      <c r="C525" s="92" t="str">
        <f t="shared" si="8"/>
        <v/>
      </c>
      <c r="D525" s="120"/>
      <c r="E525" s="120"/>
    </row>
    <row r="526" spans="1:5" ht="15.75" x14ac:dyDescent="0.25">
      <c r="A526" s="104"/>
      <c r="B526" s="104"/>
      <c r="C526" s="92" t="str">
        <f t="shared" si="8"/>
        <v/>
      </c>
      <c r="D526" s="120"/>
      <c r="E526" s="120"/>
    </row>
    <row r="527" spans="1:5" ht="15.75" x14ac:dyDescent="0.25">
      <c r="A527" s="104"/>
      <c r="B527" s="104"/>
      <c r="C527" s="92" t="str">
        <f t="shared" si="8"/>
        <v/>
      </c>
      <c r="D527" s="120"/>
      <c r="E527" s="120"/>
    </row>
    <row r="528" spans="1:5" ht="15.75" x14ac:dyDescent="0.25">
      <c r="A528" s="104"/>
      <c r="B528" s="104"/>
      <c r="C528" s="92" t="str">
        <f t="shared" si="8"/>
        <v/>
      </c>
      <c r="D528" s="120"/>
      <c r="E528" s="120"/>
    </row>
    <row r="529" spans="1:5" ht="15.75" x14ac:dyDescent="0.25">
      <c r="A529" s="104"/>
      <c r="B529" s="104"/>
      <c r="C529" s="92" t="str">
        <f t="shared" si="8"/>
        <v/>
      </c>
      <c r="D529" s="120"/>
      <c r="E529" s="120"/>
    </row>
    <row r="530" spans="1:5" ht="15.75" x14ac:dyDescent="0.25">
      <c r="A530" s="104"/>
      <c r="B530" s="104"/>
      <c r="C530" s="92" t="str">
        <f t="shared" si="8"/>
        <v/>
      </c>
      <c r="D530" s="120"/>
      <c r="E530" s="120"/>
    </row>
    <row r="531" spans="1:5" ht="15.75" x14ac:dyDescent="0.25">
      <c r="A531" s="104"/>
      <c r="B531" s="104"/>
      <c r="C531" s="92" t="str">
        <f t="shared" si="8"/>
        <v/>
      </c>
      <c r="D531" s="120"/>
      <c r="E531" s="120"/>
    </row>
    <row r="532" spans="1:5" ht="15.75" x14ac:dyDescent="0.25">
      <c r="A532" s="104"/>
      <c r="B532" s="104"/>
      <c r="C532" s="92" t="str">
        <f t="shared" si="8"/>
        <v/>
      </c>
      <c r="D532" s="120"/>
      <c r="E532" s="120"/>
    </row>
    <row r="533" spans="1:5" ht="15.75" x14ac:dyDescent="0.25">
      <c r="A533" s="104"/>
      <c r="B533" s="104"/>
      <c r="C533" s="92" t="str">
        <f t="shared" si="8"/>
        <v/>
      </c>
      <c r="D533" s="120"/>
      <c r="E533" s="120"/>
    </row>
    <row r="534" spans="1:5" ht="15.75" x14ac:dyDescent="0.25">
      <c r="A534" s="104"/>
      <c r="B534" s="104"/>
      <c r="C534" s="92" t="str">
        <f t="shared" si="8"/>
        <v/>
      </c>
      <c r="D534" s="120"/>
      <c r="E534" s="120"/>
    </row>
    <row r="535" spans="1:5" ht="15.75" x14ac:dyDescent="0.25">
      <c r="A535" s="104"/>
      <c r="B535" s="104"/>
      <c r="C535" s="92" t="str">
        <f t="shared" si="8"/>
        <v/>
      </c>
      <c r="D535" s="120"/>
      <c r="E535" s="120"/>
    </row>
    <row r="536" spans="1:5" ht="15.75" x14ac:dyDescent="0.25">
      <c r="A536" s="104"/>
      <c r="B536" s="104"/>
      <c r="C536" s="92" t="str">
        <f t="shared" si="8"/>
        <v/>
      </c>
      <c r="D536" s="120"/>
      <c r="E536" s="120"/>
    </row>
    <row r="537" spans="1:5" ht="15.75" x14ac:dyDescent="0.25">
      <c r="A537" s="104"/>
      <c r="B537" s="104"/>
      <c r="C537" s="92" t="str">
        <f t="shared" si="8"/>
        <v/>
      </c>
      <c r="D537" s="120"/>
      <c r="E537" s="120"/>
    </row>
    <row r="538" spans="1:5" ht="15.75" x14ac:dyDescent="0.25">
      <c r="A538" s="104"/>
      <c r="B538" s="104"/>
      <c r="C538" s="92" t="str">
        <f t="shared" si="8"/>
        <v/>
      </c>
      <c r="D538" s="120"/>
      <c r="E538" s="120"/>
    </row>
    <row r="539" spans="1:5" ht="15.75" x14ac:dyDescent="0.25">
      <c r="A539" s="104"/>
      <c r="B539" s="104"/>
      <c r="C539" s="92" t="str">
        <f t="shared" si="8"/>
        <v/>
      </c>
      <c r="D539" s="120"/>
      <c r="E539" s="120"/>
    </row>
    <row r="540" spans="1:5" ht="15.75" x14ac:dyDescent="0.25">
      <c r="A540" s="104"/>
      <c r="B540" s="104"/>
      <c r="C540" s="92" t="str">
        <f t="shared" si="8"/>
        <v/>
      </c>
      <c r="D540" s="120"/>
      <c r="E540" s="120"/>
    </row>
    <row r="541" spans="1:5" ht="15.75" x14ac:dyDescent="0.25">
      <c r="A541" s="104"/>
      <c r="B541" s="104"/>
      <c r="C541" s="92" t="str">
        <f t="shared" si="8"/>
        <v/>
      </c>
      <c r="D541" s="120"/>
      <c r="E541" s="120"/>
    </row>
    <row r="542" spans="1:5" ht="15.75" x14ac:dyDescent="0.25">
      <c r="A542" s="104"/>
      <c r="B542" s="104"/>
      <c r="C542" s="92" t="str">
        <f t="shared" si="8"/>
        <v/>
      </c>
      <c r="D542" s="120"/>
      <c r="E542" s="120"/>
    </row>
    <row r="543" spans="1:5" ht="15.75" x14ac:dyDescent="0.25">
      <c r="A543" s="104"/>
      <c r="B543" s="104"/>
      <c r="C543" s="92" t="str">
        <f t="shared" si="8"/>
        <v/>
      </c>
      <c r="D543" s="120"/>
      <c r="E543" s="120"/>
    </row>
    <row r="544" spans="1:5" ht="15.75" x14ac:dyDescent="0.25">
      <c r="A544" s="104"/>
      <c r="B544" s="104"/>
      <c r="C544" s="92" t="str">
        <f t="shared" si="8"/>
        <v/>
      </c>
      <c r="D544" s="120"/>
      <c r="E544" s="120"/>
    </row>
    <row r="545" spans="1:5" ht="15.75" x14ac:dyDescent="0.25">
      <c r="A545" s="104"/>
      <c r="B545" s="104"/>
      <c r="C545" s="92" t="str">
        <f t="shared" si="8"/>
        <v/>
      </c>
      <c r="D545" s="120"/>
      <c r="E545" s="120"/>
    </row>
    <row r="546" spans="1:5" ht="15.75" x14ac:dyDescent="0.25">
      <c r="A546" s="104"/>
      <c r="B546" s="104"/>
      <c r="C546" s="92" t="str">
        <f t="shared" si="8"/>
        <v/>
      </c>
      <c r="D546" s="120"/>
      <c r="E546" s="120"/>
    </row>
    <row r="547" spans="1:5" ht="15.75" x14ac:dyDescent="0.25">
      <c r="A547" s="104"/>
      <c r="B547" s="104"/>
      <c r="C547" s="92" t="str">
        <f t="shared" si="8"/>
        <v/>
      </c>
      <c r="D547" s="120"/>
      <c r="E547" s="120"/>
    </row>
    <row r="548" spans="1:5" ht="15.75" x14ac:dyDescent="0.25">
      <c r="A548" s="104"/>
      <c r="B548" s="104"/>
      <c r="C548" s="92" t="str">
        <f t="shared" si="8"/>
        <v/>
      </c>
      <c r="D548" s="120"/>
      <c r="E548" s="120"/>
    </row>
    <row r="549" spans="1:5" ht="15.75" x14ac:dyDescent="0.25">
      <c r="A549" s="104"/>
      <c r="B549" s="104"/>
      <c r="C549" s="92" t="str">
        <f t="shared" si="8"/>
        <v/>
      </c>
      <c r="D549" s="120"/>
      <c r="E549" s="120"/>
    </row>
    <row r="550" spans="1:5" ht="15.75" x14ac:dyDescent="0.25">
      <c r="A550" s="104"/>
      <c r="B550" s="104"/>
      <c r="C550" s="92" t="str">
        <f t="shared" si="8"/>
        <v/>
      </c>
      <c r="D550" s="120"/>
      <c r="E550" s="120"/>
    </row>
    <row r="551" spans="1:5" ht="15.75" x14ac:dyDescent="0.25">
      <c r="A551" s="104"/>
      <c r="B551" s="104"/>
      <c r="C551" s="92" t="str">
        <f t="shared" si="8"/>
        <v/>
      </c>
      <c r="D551" s="120"/>
      <c r="E551" s="120"/>
    </row>
    <row r="552" spans="1:5" ht="15.75" x14ac:dyDescent="0.25">
      <c r="A552" s="104"/>
      <c r="B552" s="104"/>
      <c r="C552" s="92" t="str">
        <f t="shared" si="8"/>
        <v/>
      </c>
      <c r="D552" s="120"/>
      <c r="E552" s="120"/>
    </row>
    <row r="553" spans="1:5" ht="15.75" x14ac:dyDescent="0.25">
      <c r="A553" s="104"/>
      <c r="B553" s="104"/>
      <c r="C553" s="92" t="str">
        <f t="shared" si="8"/>
        <v/>
      </c>
      <c r="D553" s="120"/>
      <c r="E553" s="120"/>
    </row>
    <row r="554" spans="1:5" ht="15.75" x14ac:dyDescent="0.25">
      <c r="A554" s="104"/>
      <c r="B554" s="104"/>
      <c r="C554" s="92" t="str">
        <f t="shared" si="8"/>
        <v/>
      </c>
      <c r="D554" s="120"/>
      <c r="E554" s="120"/>
    </row>
    <row r="555" spans="1:5" ht="15.75" x14ac:dyDescent="0.25">
      <c r="A555" s="104"/>
      <c r="B555" s="104"/>
      <c r="C555" s="92" t="str">
        <f t="shared" si="8"/>
        <v/>
      </c>
      <c r="D555" s="120"/>
      <c r="E555" s="120"/>
    </row>
    <row r="556" spans="1:5" ht="15.75" x14ac:dyDescent="0.25">
      <c r="A556" s="104"/>
      <c r="B556" s="104"/>
      <c r="C556" s="92" t="str">
        <f t="shared" si="8"/>
        <v/>
      </c>
      <c r="D556" s="120"/>
      <c r="E556" s="120"/>
    </row>
    <row r="557" spans="1:5" ht="15.75" x14ac:dyDescent="0.25">
      <c r="A557" s="104"/>
      <c r="B557" s="104"/>
      <c r="C557" s="92" t="str">
        <f t="shared" si="8"/>
        <v/>
      </c>
      <c r="D557" s="120"/>
      <c r="E557" s="120"/>
    </row>
    <row r="558" spans="1:5" ht="15.75" x14ac:dyDescent="0.25">
      <c r="A558" s="104"/>
      <c r="B558" s="104"/>
      <c r="C558" s="92" t="str">
        <f t="shared" si="8"/>
        <v/>
      </c>
      <c r="D558" s="120"/>
      <c r="E558" s="120"/>
    </row>
    <row r="559" spans="1:5" ht="15.75" x14ac:dyDescent="0.25">
      <c r="A559" s="104"/>
      <c r="B559" s="104"/>
      <c r="C559" s="92" t="str">
        <f t="shared" si="8"/>
        <v/>
      </c>
      <c r="D559" s="120"/>
      <c r="E559" s="120"/>
    </row>
    <row r="560" spans="1:5" ht="15.75" x14ac:dyDescent="0.25">
      <c r="A560" s="104"/>
      <c r="B560" s="104"/>
      <c r="C560" s="92" t="str">
        <f t="shared" si="8"/>
        <v/>
      </c>
      <c r="D560" s="120"/>
      <c r="E560" s="120"/>
    </row>
    <row r="561" spans="1:5" ht="15.75" x14ac:dyDescent="0.25">
      <c r="A561" s="104"/>
      <c r="B561" s="104"/>
      <c r="C561" s="92" t="str">
        <f t="shared" si="8"/>
        <v/>
      </c>
      <c r="D561" s="120"/>
      <c r="E561" s="120"/>
    </row>
    <row r="562" spans="1:5" ht="15.75" x14ac:dyDescent="0.25">
      <c r="A562" s="104"/>
      <c r="B562" s="104"/>
      <c r="C562" s="92" t="str">
        <f t="shared" si="8"/>
        <v/>
      </c>
      <c r="D562" s="120"/>
      <c r="E562" s="120"/>
    </row>
    <row r="563" spans="1:5" ht="15.75" x14ac:dyDescent="0.25">
      <c r="A563" s="104"/>
      <c r="B563" s="104"/>
      <c r="C563" s="92" t="str">
        <f t="shared" si="8"/>
        <v/>
      </c>
      <c r="D563" s="120"/>
      <c r="E563" s="120"/>
    </row>
    <row r="564" spans="1:5" ht="15.75" x14ac:dyDescent="0.25">
      <c r="A564" s="104"/>
      <c r="B564" s="104"/>
      <c r="C564" s="92" t="str">
        <f t="shared" si="8"/>
        <v/>
      </c>
      <c r="D564" s="120"/>
      <c r="E564" s="120"/>
    </row>
    <row r="565" spans="1:5" ht="15.75" x14ac:dyDescent="0.25">
      <c r="A565" s="104"/>
      <c r="B565" s="104"/>
      <c r="C565" s="92" t="str">
        <f t="shared" si="8"/>
        <v/>
      </c>
      <c r="D565" s="120"/>
      <c r="E565" s="120"/>
    </row>
    <row r="566" spans="1:5" ht="15.75" x14ac:dyDescent="0.25">
      <c r="A566" s="104"/>
      <c r="B566" s="104"/>
      <c r="C566" s="92" t="str">
        <f t="shared" si="8"/>
        <v/>
      </c>
      <c r="D566" s="120"/>
      <c r="E566" s="120"/>
    </row>
    <row r="567" spans="1:5" ht="15.75" x14ac:dyDescent="0.25">
      <c r="A567" s="104"/>
      <c r="B567" s="104"/>
      <c r="C567" s="92" t="str">
        <f t="shared" si="8"/>
        <v/>
      </c>
      <c r="D567" s="120"/>
      <c r="E567" s="120"/>
    </row>
    <row r="568" spans="1:5" ht="15.75" x14ac:dyDescent="0.25">
      <c r="A568" s="104"/>
      <c r="B568" s="104"/>
      <c r="C568" s="92" t="str">
        <f t="shared" si="8"/>
        <v/>
      </c>
      <c r="D568" s="120"/>
      <c r="E568" s="120"/>
    </row>
    <row r="569" spans="1:5" ht="15.75" x14ac:dyDescent="0.25">
      <c r="A569" s="104"/>
      <c r="B569" s="104"/>
      <c r="C569" s="92" t="str">
        <f t="shared" si="8"/>
        <v/>
      </c>
      <c r="D569" s="120"/>
      <c r="E569" s="120"/>
    </row>
    <row r="570" spans="1:5" ht="15.75" x14ac:dyDescent="0.25">
      <c r="A570" s="104"/>
      <c r="B570" s="104"/>
      <c r="C570" s="92" t="str">
        <f t="shared" si="8"/>
        <v/>
      </c>
      <c r="D570" s="120"/>
      <c r="E570" s="120"/>
    </row>
    <row r="571" spans="1:5" ht="15.75" x14ac:dyDescent="0.25">
      <c r="A571" s="104"/>
      <c r="B571" s="104"/>
      <c r="C571" s="92" t="str">
        <f t="shared" si="8"/>
        <v/>
      </c>
      <c r="D571" s="120"/>
      <c r="E571" s="120"/>
    </row>
    <row r="572" spans="1:5" ht="15.75" x14ac:dyDescent="0.25">
      <c r="A572" s="104"/>
      <c r="B572" s="104"/>
      <c r="C572" s="92" t="str">
        <f t="shared" si="8"/>
        <v/>
      </c>
      <c r="D572" s="120"/>
      <c r="E572" s="120"/>
    </row>
    <row r="573" spans="1:5" ht="15.75" x14ac:dyDescent="0.25">
      <c r="A573" s="104"/>
      <c r="B573" s="104"/>
      <c r="C573" s="92" t="str">
        <f t="shared" si="8"/>
        <v/>
      </c>
      <c r="D573" s="120"/>
      <c r="E573" s="120"/>
    </row>
    <row r="574" spans="1:5" ht="15.75" x14ac:dyDescent="0.25">
      <c r="A574" s="104"/>
      <c r="B574" s="104"/>
      <c r="C574" s="92" t="str">
        <f t="shared" si="8"/>
        <v/>
      </c>
      <c r="D574" s="120"/>
      <c r="E574" s="120"/>
    </row>
    <row r="575" spans="1:5" ht="15.75" x14ac:dyDescent="0.25">
      <c r="A575" s="104"/>
      <c r="B575" s="104"/>
      <c r="C575" s="92" t="str">
        <f t="shared" si="8"/>
        <v/>
      </c>
      <c r="D575" s="120"/>
      <c r="E575" s="120"/>
    </row>
    <row r="576" spans="1:5" ht="15.75" x14ac:dyDescent="0.25">
      <c r="A576" s="104"/>
      <c r="B576" s="104"/>
      <c r="C576" s="92" t="str">
        <f t="shared" si="8"/>
        <v/>
      </c>
      <c r="D576" s="120"/>
      <c r="E576" s="120"/>
    </row>
    <row r="577" spans="1:5" ht="15.75" x14ac:dyDescent="0.25">
      <c r="A577" s="104"/>
      <c r="B577" s="104"/>
      <c r="C577" s="92" t="str">
        <f t="shared" si="8"/>
        <v/>
      </c>
      <c r="D577" s="120"/>
      <c r="E577" s="120"/>
    </row>
    <row r="578" spans="1:5" ht="15.75" x14ac:dyDescent="0.25">
      <c r="A578" s="104"/>
      <c r="B578" s="104"/>
      <c r="C578" s="92" t="str">
        <f t="shared" si="8"/>
        <v/>
      </c>
      <c r="D578" s="120"/>
      <c r="E578" s="120"/>
    </row>
    <row r="579" spans="1:5" ht="15.75" x14ac:dyDescent="0.25">
      <c r="A579" s="104"/>
      <c r="B579" s="104"/>
      <c r="C579" s="92" t="str">
        <f t="shared" si="8"/>
        <v/>
      </c>
      <c r="D579" s="120"/>
      <c r="E579" s="120"/>
    </row>
    <row r="580" spans="1:5" ht="15.75" x14ac:dyDescent="0.25">
      <c r="A580" s="104"/>
      <c r="B580" s="104"/>
      <c r="C580" s="92" t="str">
        <f t="shared" si="8"/>
        <v/>
      </c>
      <c r="D580" s="120"/>
      <c r="E580" s="120"/>
    </row>
    <row r="581" spans="1:5" ht="15.75" x14ac:dyDescent="0.25">
      <c r="A581" s="104"/>
      <c r="B581" s="104"/>
      <c r="C581" s="92" t="str">
        <f t="shared" si="8"/>
        <v/>
      </c>
      <c r="D581" s="120"/>
      <c r="E581" s="120"/>
    </row>
    <row r="582" spans="1:5" ht="15.75" x14ac:dyDescent="0.25">
      <c r="A582" s="104"/>
      <c r="B582" s="104"/>
      <c r="C582" s="92" t="str">
        <f t="shared" si="8"/>
        <v/>
      </c>
      <c r="D582" s="120"/>
      <c r="E582" s="120"/>
    </row>
    <row r="583" spans="1:5" ht="15.75" x14ac:dyDescent="0.25">
      <c r="A583" s="104"/>
      <c r="B583" s="104"/>
      <c r="C583" s="92" t="str">
        <f t="shared" si="8"/>
        <v/>
      </c>
      <c r="D583" s="120"/>
      <c r="E583" s="120"/>
    </row>
    <row r="584" spans="1:5" ht="15.75" x14ac:dyDescent="0.25">
      <c r="A584" s="104"/>
      <c r="B584" s="104"/>
      <c r="C584" s="92" t="str">
        <f t="shared" si="8"/>
        <v/>
      </c>
      <c r="D584" s="120"/>
      <c r="E584" s="120"/>
    </row>
    <row r="585" spans="1:5" ht="15.75" x14ac:dyDescent="0.25">
      <c r="A585" s="104"/>
      <c r="B585" s="104"/>
      <c r="C585" s="92" t="str">
        <f t="shared" si="8"/>
        <v/>
      </c>
      <c r="D585" s="120"/>
      <c r="E585" s="120"/>
    </row>
    <row r="586" spans="1:5" ht="15.75" x14ac:dyDescent="0.25">
      <c r="A586" s="104"/>
      <c r="B586" s="104"/>
      <c r="C586" s="92" t="str">
        <f t="shared" ref="C586:C649" si="9">IF(A586=0,"","MinMax")</f>
        <v/>
      </c>
      <c r="D586" s="120"/>
      <c r="E586" s="120"/>
    </row>
    <row r="587" spans="1:5" ht="15.75" x14ac:dyDescent="0.25">
      <c r="A587" s="104"/>
      <c r="B587" s="104"/>
      <c r="C587" s="92" t="str">
        <f t="shared" si="9"/>
        <v/>
      </c>
      <c r="D587" s="120"/>
      <c r="E587" s="120"/>
    </row>
    <row r="588" spans="1:5" ht="15.75" x14ac:dyDescent="0.25">
      <c r="A588" s="104"/>
      <c r="B588" s="104"/>
      <c r="C588" s="92" t="str">
        <f t="shared" si="9"/>
        <v/>
      </c>
      <c r="D588" s="120"/>
      <c r="E588" s="120"/>
    </row>
    <row r="589" spans="1:5" ht="15.75" x14ac:dyDescent="0.25">
      <c r="A589" s="104"/>
      <c r="B589" s="104"/>
      <c r="C589" s="92" t="str">
        <f t="shared" si="9"/>
        <v/>
      </c>
      <c r="D589" s="120"/>
      <c r="E589" s="120"/>
    </row>
    <row r="590" spans="1:5" ht="15.75" x14ac:dyDescent="0.25">
      <c r="A590" s="104"/>
      <c r="B590" s="104"/>
      <c r="C590" s="92" t="str">
        <f t="shared" si="9"/>
        <v/>
      </c>
      <c r="D590" s="120"/>
      <c r="E590" s="120"/>
    </row>
    <row r="591" spans="1:5" ht="15.75" x14ac:dyDescent="0.25">
      <c r="A591" s="104"/>
      <c r="B591" s="104"/>
      <c r="C591" s="92" t="str">
        <f t="shared" si="9"/>
        <v/>
      </c>
      <c r="D591" s="120"/>
      <c r="E591" s="120"/>
    </row>
    <row r="592" spans="1:5" ht="15.75" x14ac:dyDescent="0.25">
      <c r="A592" s="104"/>
      <c r="B592" s="104"/>
      <c r="C592" s="92" t="str">
        <f t="shared" si="9"/>
        <v/>
      </c>
      <c r="D592" s="120"/>
      <c r="E592" s="120"/>
    </row>
    <row r="593" spans="1:5" ht="15.75" x14ac:dyDescent="0.25">
      <c r="A593" s="104"/>
      <c r="B593" s="104"/>
      <c r="C593" s="92" t="str">
        <f t="shared" si="9"/>
        <v/>
      </c>
      <c r="D593" s="120"/>
      <c r="E593" s="120"/>
    </row>
    <row r="594" spans="1:5" ht="15.75" x14ac:dyDescent="0.25">
      <c r="A594" s="104"/>
      <c r="B594" s="104"/>
      <c r="C594" s="92" t="str">
        <f t="shared" si="9"/>
        <v/>
      </c>
      <c r="D594" s="120"/>
      <c r="E594" s="120"/>
    </row>
    <row r="595" spans="1:5" ht="15.75" x14ac:dyDescent="0.25">
      <c r="A595" s="104"/>
      <c r="B595" s="104"/>
      <c r="C595" s="92" t="str">
        <f t="shared" si="9"/>
        <v/>
      </c>
      <c r="D595" s="120"/>
      <c r="E595" s="120"/>
    </row>
    <row r="596" spans="1:5" ht="15.75" x14ac:dyDescent="0.25">
      <c r="A596" s="104"/>
      <c r="B596" s="104"/>
      <c r="C596" s="92" t="str">
        <f t="shared" si="9"/>
        <v/>
      </c>
      <c r="D596" s="120"/>
      <c r="E596" s="120"/>
    </row>
    <row r="597" spans="1:5" ht="15.75" x14ac:dyDescent="0.25">
      <c r="A597" s="104"/>
      <c r="B597" s="104"/>
      <c r="C597" s="92" t="str">
        <f t="shared" si="9"/>
        <v/>
      </c>
      <c r="D597" s="120"/>
      <c r="E597" s="120"/>
    </row>
    <row r="598" spans="1:5" ht="15.75" x14ac:dyDescent="0.25">
      <c r="A598" s="104"/>
      <c r="B598" s="104"/>
      <c r="C598" s="92" t="str">
        <f t="shared" si="9"/>
        <v/>
      </c>
      <c r="D598" s="120"/>
      <c r="E598" s="120"/>
    </row>
    <row r="599" spans="1:5" ht="15.75" x14ac:dyDescent="0.25">
      <c r="A599" s="104"/>
      <c r="B599" s="104"/>
      <c r="C599" s="92" t="str">
        <f t="shared" si="9"/>
        <v/>
      </c>
      <c r="D599" s="120"/>
      <c r="E599" s="120"/>
    </row>
    <row r="600" spans="1:5" ht="15.75" x14ac:dyDescent="0.25">
      <c r="A600" s="104"/>
      <c r="B600" s="104"/>
      <c r="C600" s="92" t="str">
        <f t="shared" si="9"/>
        <v/>
      </c>
      <c r="D600" s="120"/>
      <c r="E600" s="120"/>
    </row>
    <row r="601" spans="1:5" ht="15.75" x14ac:dyDescent="0.25">
      <c r="A601" s="104"/>
      <c r="B601" s="104"/>
      <c r="C601" s="92" t="str">
        <f t="shared" si="9"/>
        <v/>
      </c>
      <c r="D601" s="120"/>
      <c r="E601" s="120"/>
    </row>
    <row r="602" spans="1:5" ht="15.75" x14ac:dyDescent="0.25">
      <c r="A602" s="104"/>
      <c r="B602" s="104"/>
      <c r="C602" s="92" t="str">
        <f t="shared" si="9"/>
        <v/>
      </c>
      <c r="D602" s="120"/>
      <c r="E602" s="120"/>
    </row>
    <row r="603" spans="1:5" ht="15.75" x14ac:dyDescent="0.25">
      <c r="A603" s="104"/>
      <c r="B603" s="104"/>
      <c r="C603" s="92" t="str">
        <f t="shared" si="9"/>
        <v/>
      </c>
      <c r="D603" s="120"/>
      <c r="E603" s="120"/>
    </row>
    <row r="604" spans="1:5" ht="15.75" x14ac:dyDescent="0.25">
      <c r="A604" s="104"/>
      <c r="B604" s="104"/>
      <c r="C604" s="92" t="str">
        <f t="shared" si="9"/>
        <v/>
      </c>
      <c r="D604" s="120"/>
      <c r="E604" s="120"/>
    </row>
    <row r="605" spans="1:5" ht="15.75" x14ac:dyDescent="0.25">
      <c r="A605" s="104"/>
      <c r="B605" s="104"/>
      <c r="C605" s="92" t="str">
        <f t="shared" si="9"/>
        <v/>
      </c>
      <c r="D605" s="120"/>
      <c r="E605" s="120"/>
    </row>
    <row r="606" spans="1:5" ht="15.75" x14ac:dyDescent="0.25">
      <c r="A606" s="104"/>
      <c r="B606" s="104"/>
      <c r="C606" s="92" t="str">
        <f t="shared" si="9"/>
        <v/>
      </c>
      <c r="D606" s="120"/>
      <c r="E606" s="120"/>
    </row>
    <row r="607" spans="1:5" ht="15.75" x14ac:dyDescent="0.25">
      <c r="A607" s="104"/>
      <c r="B607" s="104"/>
      <c r="C607" s="92" t="str">
        <f t="shared" si="9"/>
        <v/>
      </c>
      <c r="D607" s="120"/>
      <c r="E607" s="120"/>
    </row>
    <row r="608" spans="1:5" ht="15.75" x14ac:dyDescent="0.25">
      <c r="A608" s="104"/>
      <c r="B608" s="104"/>
      <c r="C608" s="92" t="str">
        <f t="shared" si="9"/>
        <v/>
      </c>
      <c r="D608" s="120"/>
      <c r="E608" s="120"/>
    </row>
    <row r="609" spans="1:5" ht="15.75" x14ac:dyDescent="0.25">
      <c r="A609" s="104"/>
      <c r="B609" s="104"/>
      <c r="C609" s="92" t="str">
        <f t="shared" si="9"/>
        <v/>
      </c>
      <c r="D609" s="120"/>
      <c r="E609" s="120"/>
    </row>
    <row r="610" spans="1:5" ht="15.75" x14ac:dyDescent="0.25">
      <c r="A610" s="104"/>
      <c r="B610" s="104"/>
      <c r="C610" s="92" t="str">
        <f t="shared" si="9"/>
        <v/>
      </c>
      <c r="D610" s="120"/>
      <c r="E610" s="120"/>
    </row>
    <row r="611" spans="1:5" ht="15.75" x14ac:dyDescent="0.25">
      <c r="A611" s="104"/>
      <c r="B611" s="104"/>
      <c r="C611" s="92" t="str">
        <f t="shared" si="9"/>
        <v/>
      </c>
      <c r="D611" s="120"/>
      <c r="E611" s="120"/>
    </row>
    <row r="612" spans="1:5" ht="15.75" x14ac:dyDescent="0.25">
      <c r="A612" s="104"/>
      <c r="B612" s="104"/>
      <c r="C612" s="92" t="str">
        <f t="shared" si="9"/>
        <v/>
      </c>
      <c r="D612" s="120"/>
      <c r="E612" s="120"/>
    </row>
    <row r="613" spans="1:5" ht="15.75" x14ac:dyDescent="0.25">
      <c r="A613" s="104"/>
      <c r="B613" s="104"/>
      <c r="C613" s="92" t="str">
        <f t="shared" si="9"/>
        <v/>
      </c>
      <c r="D613" s="120"/>
      <c r="E613" s="120"/>
    </row>
    <row r="614" spans="1:5" ht="15.75" x14ac:dyDescent="0.25">
      <c r="A614" s="104"/>
      <c r="B614" s="104"/>
      <c r="C614" s="92" t="str">
        <f t="shared" si="9"/>
        <v/>
      </c>
      <c r="D614" s="120"/>
      <c r="E614" s="120"/>
    </row>
    <row r="615" spans="1:5" ht="15.75" x14ac:dyDescent="0.25">
      <c r="A615" s="104"/>
      <c r="B615" s="104"/>
      <c r="C615" s="92" t="str">
        <f t="shared" si="9"/>
        <v/>
      </c>
      <c r="D615" s="120"/>
      <c r="E615" s="120"/>
    </row>
    <row r="616" spans="1:5" ht="15.75" x14ac:dyDescent="0.25">
      <c r="A616" s="104"/>
      <c r="B616" s="104"/>
      <c r="C616" s="92" t="str">
        <f t="shared" si="9"/>
        <v/>
      </c>
      <c r="D616" s="120"/>
      <c r="E616" s="120"/>
    </row>
    <row r="617" spans="1:5" ht="15.75" x14ac:dyDescent="0.25">
      <c r="A617" s="104"/>
      <c r="B617" s="104"/>
      <c r="C617" s="92" t="str">
        <f t="shared" si="9"/>
        <v/>
      </c>
      <c r="D617" s="120"/>
      <c r="E617" s="120"/>
    </row>
    <row r="618" spans="1:5" ht="15.75" x14ac:dyDescent="0.25">
      <c r="A618" s="104"/>
      <c r="B618" s="104"/>
      <c r="C618" s="92" t="str">
        <f t="shared" si="9"/>
        <v/>
      </c>
      <c r="D618" s="120"/>
      <c r="E618" s="120"/>
    </row>
    <row r="619" spans="1:5" ht="15.75" x14ac:dyDescent="0.25">
      <c r="A619" s="104"/>
      <c r="B619" s="104"/>
      <c r="C619" s="92" t="str">
        <f t="shared" si="9"/>
        <v/>
      </c>
      <c r="D619" s="120"/>
      <c r="E619" s="120"/>
    </row>
    <row r="620" spans="1:5" ht="15.75" x14ac:dyDescent="0.25">
      <c r="A620" s="104"/>
      <c r="B620" s="104"/>
      <c r="C620" s="92" t="str">
        <f t="shared" si="9"/>
        <v/>
      </c>
      <c r="D620" s="120"/>
      <c r="E620" s="120"/>
    </row>
    <row r="621" spans="1:5" ht="15.75" x14ac:dyDescent="0.25">
      <c r="A621" s="104"/>
      <c r="B621" s="104"/>
      <c r="C621" s="92" t="str">
        <f t="shared" si="9"/>
        <v/>
      </c>
      <c r="D621" s="120"/>
      <c r="E621" s="120"/>
    </row>
    <row r="622" spans="1:5" ht="15.75" x14ac:dyDescent="0.25">
      <c r="A622" s="104"/>
      <c r="B622" s="104"/>
      <c r="C622" s="92" t="str">
        <f t="shared" si="9"/>
        <v/>
      </c>
      <c r="D622" s="120"/>
      <c r="E622" s="120"/>
    </row>
    <row r="623" spans="1:5" ht="15.75" x14ac:dyDescent="0.25">
      <c r="A623" s="104"/>
      <c r="B623" s="104"/>
      <c r="C623" s="92" t="str">
        <f t="shared" si="9"/>
        <v/>
      </c>
      <c r="D623" s="120"/>
      <c r="E623" s="120"/>
    </row>
    <row r="624" spans="1:5" ht="15.75" x14ac:dyDescent="0.25">
      <c r="A624" s="104"/>
      <c r="B624" s="104"/>
      <c r="C624" s="92" t="str">
        <f t="shared" si="9"/>
        <v/>
      </c>
      <c r="D624" s="120"/>
      <c r="E624" s="120"/>
    </row>
    <row r="625" spans="1:5" ht="15.75" x14ac:dyDescent="0.25">
      <c r="A625" s="104"/>
      <c r="B625" s="104"/>
      <c r="C625" s="92" t="str">
        <f t="shared" si="9"/>
        <v/>
      </c>
      <c r="D625" s="120"/>
      <c r="E625" s="120"/>
    </row>
    <row r="626" spans="1:5" ht="15.75" x14ac:dyDescent="0.25">
      <c r="A626" s="104"/>
      <c r="B626" s="104"/>
      <c r="C626" s="92" t="str">
        <f t="shared" si="9"/>
        <v/>
      </c>
      <c r="D626" s="120"/>
      <c r="E626" s="120"/>
    </row>
    <row r="627" spans="1:5" ht="15.75" x14ac:dyDescent="0.25">
      <c r="A627" s="104"/>
      <c r="B627" s="104"/>
      <c r="C627" s="92" t="str">
        <f t="shared" si="9"/>
        <v/>
      </c>
      <c r="D627" s="120"/>
      <c r="E627" s="120"/>
    </row>
    <row r="628" spans="1:5" ht="15.75" x14ac:dyDescent="0.25">
      <c r="A628" s="104"/>
      <c r="B628" s="104"/>
      <c r="C628" s="92" t="str">
        <f t="shared" si="9"/>
        <v/>
      </c>
      <c r="D628" s="120"/>
      <c r="E628" s="120"/>
    </row>
    <row r="629" spans="1:5" ht="15.75" x14ac:dyDescent="0.25">
      <c r="A629" s="104"/>
      <c r="B629" s="104"/>
      <c r="C629" s="92" t="str">
        <f t="shared" si="9"/>
        <v/>
      </c>
      <c r="D629" s="120"/>
      <c r="E629" s="120"/>
    </row>
    <row r="630" spans="1:5" ht="15.75" x14ac:dyDescent="0.25">
      <c r="A630" s="104"/>
      <c r="B630" s="104"/>
      <c r="C630" s="92" t="str">
        <f t="shared" si="9"/>
        <v/>
      </c>
      <c r="D630" s="120"/>
      <c r="E630" s="120"/>
    </row>
    <row r="631" spans="1:5" ht="15.75" x14ac:dyDescent="0.25">
      <c r="A631" s="104"/>
      <c r="B631" s="104"/>
      <c r="C631" s="92" t="str">
        <f t="shared" si="9"/>
        <v/>
      </c>
      <c r="D631" s="120"/>
      <c r="E631" s="120"/>
    </row>
    <row r="632" spans="1:5" ht="15.75" x14ac:dyDescent="0.25">
      <c r="A632" s="104"/>
      <c r="B632" s="104"/>
      <c r="C632" s="92" t="str">
        <f t="shared" si="9"/>
        <v/>
      </c>
      <c r="D632" s="120"/>
      <c r="E632" s="120"/>
    </row>
    <row r="633" spans="1:5" ht="15.75" x14ac:dyDescent="0.25">
      <c r="A633" s="104"/>
      <c r="B633" s="104"/>
      <c r="C633" s="92" t="str">
        <f t="shared" si="9"/>
        <v/>
      </c>
      <c r="D633" s="120"/>
      <c r="E633" s="120"/>
    </row>
    <row r="634" spans="1:5" ht="15.75" x14ac:dyDescent="0.25">
      <c r="A634" s="104"/>
      <c r="B634" s="104"/>
      <c r="C634" s="92" t="str">
        <f t="shared" si="9"/>
        <v/>
      </c>
      <c r="D634" s="120"/>
      <c r="E634" s="120"/>
    </row>
    <row r="635" spans="1:5" ht="15.75" x14ac:dyDescent="0.25">
      <c r="A635" s="104"/>
      <c r="B635" s="104"/>
      <c r="C635" s="92" t="str">
        <f t="shared" si="9"/>
        <v/>
      </c>
      <c r="D635" s="120"/>
      <c r="E635" s="120"/>
    </row>
    <row r="636" spans="1:5" ht="15.75" x14ac:dyDescent="0.25">
      <c r="A636" s="104"/>
      <c r="B636" s="104"/>
      <c r="C636" s="92" t="str">
        <f t="shared" si="9"/>
        <v/>
      </c>
      <c r="D636" s="120"/>
      <c r="E636" s="120"/>
    </row>
    <row r="637" spans="1:5" ht="15.75" x14ac:dyDescent="0.25">
      <c r="A637" s="104"/>
      <c r="B637" s="104"/>
      <c r="C637" s="92" t="str">
        <f t="shared" si="9"/>
        <v/>
      </c>
      <c r="D637" s="120"/>
      <c r="E637" s="120"/>
    </row>
    <row r="638" spans="1:5" ht="15.75" x14ac:dyDescent="0.25">
      <c r="A638" s="104"/>
      <c r="B638" s="104"/>
      <c r="C638" s="92" t="str">
        <f t="shared" si="9"/>
        <v/>
      </c>
      <c r="D638" s="120"/>
      <c r="E638" s="120"/>
    </row>
    <row r="639" spans="1:5" ht="15.75" x14ac:dyDescent="0.25">
      <c r="A639" s="104"/>
      <c r="B639" s="104"/>
      <c r="C639" s="92" t="str">
        <f t="shared" si="9"/>
        <v/>
      </c>
      <c r="D639" s="120"/>
      <c r="E639" s="120"/>
    </row>
    <row r="640" spans="1:5" ht="15.75" x14ac:dyDescent="0.25">
      <c r="A640" s="104"/>
      <c r="B640" s="104"/>
      <c r="C640" s="92" t="str">
        <f t="shared" si="9"/>
        <v/>
      </c>
      <c r="D640" s="120"/>
      <c r="E640" s="120"/>
    </row>
    <row r="641" spans="1:5" ht="15.75" x14ac:dyDescent="0.25">
      <c r="A641" s="104"/>
      <c r="B641" s="104"/>
      <c r="C641" s="92" t="str">
        <f t="shared" si="9"/>
        <v/>
      </c>
      <c r="D641" s="120"/>
      <c r="E641" s="120"/>
    </row>
    <row r="642" spans="1:5" ht="15.75" x14ac:dyDescent="0.25">
      <c r="A642" s="104"/>
      <c r="B642" s="104"/>
      <c r="C642" s="92" t="str">
        <f t="shared" si="9"/>
        <v/>
      </c>
      <c r="D642" s="120"/>
      <c r="E642" s="120"/>
    </row>
    <row r="643" spans="1:5" ht="15.75" x14ac:dyDescent="0.25">
      <c r="A643" s="104"/>
      <c r="B643" s="104"/>
      <c r="C643" s="92" t="str">
        <f t="shared" si="9"/>
        <v/>
      </c>
      <c r="D643" s="120"/>
      <c r="E643" s="120"/>
    </row>
    <row r="644" spans="1:5" ht="15.75" x14ac:dyDescent="0.25">
      <c r="A644" s="104"/>
      <c r="B644" s="104"/>
      <c r="C644" s="92" t="str">
        <f t="shared" si="9"/>
        <v/>
      </c>
      <c r="D644" s="120"/>
      <c r="E644" s="120"/>
    </row>
    <row r="645" spans="1:5" ht="15.75" x14ac:dyDescent="0.25">
      <c r="A645" s="104"/>
      <c r="B645" s="104"/>
      <c r="C645" s="92" t="str">
        <f t="shared" si="9"/>
        <v/>
      </c>
      <c r="D645" s="120"/>
      <c r="E645" s="120"/>
    </row>
    <row r="646" spans="1:5" ht="15.75" x14ac:dyDescent="0.25">
      <c r="A646" s="104"/>
      <c r="B646" s="104"/>
      <c r="C646" s="92" t="str">
        <f t="shared" si="9"/>
        <v/>
      </c>
      <c r="D646" s="120"/>
      <c r="E646" s="120"/>
    </row>
    <row r="647" spans="1:5" ht="15.75" x14ac:dyDescent="0.25">
      <c r="A647" s="104"/>
      <c r="B647" s="104"/>
      <c r="C647" s="92" t="str">
        <f t="shared" si="9"/>
        <v/>
      </c>
      <c r="D647" s="120"/>
      <c r="E647" s="120"/>
    </row>
    <row r="648" spans="1:5" ht="15.75" x14ac:dyDescent="0.25">
      <c r="A648" s="104"/>
      <c r="B648" s="104"/>
      <c r="C648" s="92" t="str">
        <f t="shared" si="9"/>
        <v/>
      </c>
      <c r="D648" s="120"/>
      <c r="E648" s="120"/>
    </row>
    <row r="649" spans="1:5" ht="15.75" x14ac:dyDescent="0.25">
      <c r="A649" s="104"/>
      <c r="B649" s="104"/>
      <c r="C649" s="92" t="str">
        <f t="shared" si="9"/>
        <v/>
      </c>
      <c r="D649" s="120"/>
      <c r="E649" s="120"/>
    </row>
    <row r="650" spans="1:5" ht="15.75" x14ac:dyDescent="0.25">
      <c r="A650" s="104"/>
      <c r="B650" s="104"/>
      <c r="C650" s="92" t="str">
        <f t="shared" ref="C650:C713" si="10">IF(A650=0,"","MinMax")</f>
        <v/>
      </c>
      <c r="D650" s="120"/>
      <c r="E650" s="120"/>
    </row>
    <row r="651" spans="1:5" ht="15.75" x14ac:dyDescent="0.25">
      <c r="A651" s="104"/>
      <c r="B651" s="104"/>
      <c r="C651" s="92" t="str">
        <f t="shared" si="10"/>
        <v/>
      </c>
      <c r="D651" s="120"/>
      <c r="E651" s="120"/>
    </row>
    <row r="652" spans="1:5" ht="15.75" x14ac:dyDescent="0.25">
      <c r="A652" s="104"/>
      <c r="B652" s="104"/>
      <c r="C652" s="92" t="str">
        <f t="shared" si="10"/>
        <v/>
      </c>
      <c r="D652" s="120"/>
      <c r="E652" s="120"/>
    </row>
    <row r="653" spans="1:5" ht="15.75" x14ac:dyDescent="0.25">
      <c r="A653" s="104"/>
      <c r="B653" s="104"/>
      <c r="C653" s="92" t="str">
        <f t="shared" si="10"/>
        <v/>
      </c>
      <c r="D653" s="120"/>
      <c r="E653" s="120"/>
    </row>
    <row r="654" spans="1:5" ht="15.75" x14ac:dyDescent="0.25">
      <c r="A654" s="104"/>
      <c r="B654" s="104"/>
      <c r="C654" s="92" t="str">
        <f t="shared" si="10"/>
        <v/>
      </c>
      <c r="D654" s="120"/>
      <c r="E654" s="120"/>
    </row>
    <row r="655" spans="1:5" ht="15.75" x14ac:dyDescent="0.25">
      <c r="A655" s="104"/>
      <c r="B655" s="104"/>
      <c r="C655" s="92" t="str">
        <f t="shared" si="10"/>
        <v/>
      </c>
      <c r="D655" s="120"/>
      <c r="E655" s="120"/>
    </row>
    <row r="656" spans="1:5" ht="15.75" x14ac:dyDescent="0.25">
      <c r="A656" s="104"/>
      <c r="B656" s="104"/>
      <c r="C656" s="92" t="str">
        <f t="shared" si="10"/>
        <v/>
      </c>
      <c r="D656" s="120"/>
      <c r="E656" s="120"/>
    </row>
    <row r="657" spans="1:5" ht="15.75" x14ac:dyDescent="0.25">
      <c r="A657" s="104"/>
      <c r="B657" s="104"/>
      <c r="C657" s="92" t="str">
        <f t="shared" si="10"/>
        <v/>
      </c>
      <c r="D657" s="120"/>
      <c r="E657" s="120"/>
    </row>
    <row r="658" spans="1:5" ht="15.75" x14ac:dyDescent="0.25">
      <c r="A658" s="104"/>
      <c r="B658" s="104"/>
      <c r="C658" s="92" t="str">
        <f t="shared" si="10"/>
        <v/>
      </c>
      <c r="D658" s="120"/>
      <c r="E658" s="120"/>
    </row>
    <row r="659" spans="1:5" ht="15.75" x14ac:dyDescent="0.25">
      <c r="A659" s="104"/>
      <c r="B659" s="104"/>
      <c r="C659" s="92" t="str">
        <f t="shared" si="10"/>
        <v/>
      </c>
      <c r="D659" s="120"/>
      <c r="E659" s="120"/>
    </row>
    <row r="660" spans="1:5" ht="15.75" x14ac:dyDescent="0.25">
      <c r="A660" s="104"/>
      <c r="B660" s="104"/>
      <c r="C660" s="92" t="str">
        <f t="shared" si="10"/>
        <v/>
      </c>
      <c r="D660" s="120"/>
      <c r="E660" s="120"/>
    </row>
    <row r="661" spans="1:5" ht="15.75" x14ac:dyDescent="0.25">
      <c r="A661" s="104"/>
      <c r="B661" s="104"/>
      <c r="C661" s="92" t="str">
        <f t="shared" si="10"/>
        <v/>
      </c>
      <c r="D661" s="120"/>
      <c r="E661" s="120"/>
    </row>
    <row r="662" spans="1:5" ht="15.75" x14ac:dyDescent="0.25">
      <c r="A662" s="104"/>
      <c r="B662" s="104"/>
      <c r="C662" s="92" t="str">
        <f t="shared" si="10"/>
        <v/>
      </c>
      <c r="D662" s="120"/>
      <c r="E662" s="120"/>
    </row>
    <row r="663" spans="1:5" ht="15.75" x14ac:dyDescent="0.25">
      <c r="A663" s="104"/>
      <c r="B663" s="104"/>
      <c r="C663" s="92" t="str">
        <f t="shared" si="10"/>
        <v/>
      </c>
      <c r="D663" s="120"/>
      <c r="E663" s="120"/>
    </row>
    <row r="664" spans="1:5" ht="15.75" x14ac:dyDescent="0.25">
      <c r="A664" s="104"/>
      <c r="B664" s="104"/>
      <c r="C664" s="92" t="str">
        <f t="shared" si="10"/>
        <v/>
      </c>
      <c r="D664" s="120"/>
      <c r="E664" s="120"/>
    </row>
    <row r="665" spans="1:5" ht="15.75" x14ac:dyDescent="0.25">
      <c r="A665" s="104"/>
      <c r="B665" s="104"/>
      <c r="C665" s="92" t="str">
        <f t="shared" si="10"/>
        <v/>
      </c>
      <c r="D665" s="120"/>
      <c r="E665" s="120"/>
    </row>
    <row r="666" spans="1:5" ht="15.75" x14ac:dyDescent="0.25">
      <c r="A666" s="104"/>
      <c r="B666" s="104"/>
      <c r="C666" s="92" t="str">
        <f t="shared" si="10"/>
        <v/>
      </c>
      <c r="D666" s="120"/>
      <c r="E666" s="120"/>
    </row>
    <row r="667" spans="1:5" ht="15.75" x14ac:dyDescent="0.25">
      <c r="A667" s="104"/>
      <c r="B667" s="104"/>
      <c r="C667" s="92" t="str">
        <f t="shared" si="10"/>
        <v/>
      </c>
      <c r="D667" s="120"/>
      <c r="E667" s="120"/>
    </row>
    <row r="668" spans="1:5" ht="15.75" x14ac:dyDescent="0.25">
      <c r="A668" s="104"/>
      <c r="B668" s="104"/>
      <c r="C668" s="92" t="str">
        <f t="shared" si="10"/>
        <v/>
      </c>
      <c r="D668" s="120"/>
      <c r="E668" s="120"/>
    </row>
    <row r="669" spans="1:5" ht="15.75" x14ac:dyDescent="0.25">
      <c r="A669" s="104"/>
      <c r="B669" s="104"/>
      <c r="C669" s="92" t="str">
        <f t="shared" si="10"/>
        <v/>
      </c>
      <c r="D669" s="120"/>
      <c r="E669" s="120"/>
    </row>
    <row r="670" spans="1:5" ht="15.75" x14ac:dyDescent="0.25">
      <c r="A670" s="104"/>
      <c r="B670" s="104"/>
      <c r="C670" s="92" t="str">
        <f t="shared" si="10"/>
        <v/>
      </c>
      <c r="D670" s="120"/>
      <c r="E670" s="120"/>
    </row>
    <row r="671" spans="1:5" ht="15.75" x14ac:dyDescent="0.25">
      <c r="A671" s="104"/>
      <c r="B671" s="104"/>
      <c r="C671" s="92" t="str">
        <f t="shared" si="10"/>
        <v/>
      </c>
      <c r="D671" s="120"/>
      <c r="E671" s="120"/>
    </row>
    <row r="672" spans="1:5" ht="15.75" x14ac:dyDescent="0.25">
      <c r="A672" s="104"/>
      <c r="B672" s="104"/>
      <c r="C672" s="92" t="str">
        <f t="shared" si="10"/>
        <v/>
      </c>
      <c r="D672" s="120"/>
      <c r="E672" s="120"/>
    </row>
    <row r="673" spans="1:5" ht="15.75" x14ac:dyDescent="0.25">
      <c r="A673" s="104"/>
      <c r="B673" s="104"/>
      <c r="C673" s="92" t="str">
        <f t="shared" si="10"/>
        <v/>
      </c>
      <c r="D673" s="120"/>
      <c r="E673" s="120"/>
    </row>
    <row r="674" spans="1:5" ht="15.75" x14ac:dyDescent="0.25">
      <c r="A674" s="104"/>
      <c r="B674" s="104"/>
      <c r="C674" s="92" t="str">
        <f t="shared" si="10"/>
        <v/>
      </c>
      <c r="D674" s="120"/>
      <c r="E674" s="120"/>
    </row>
    <row r="675" spans="1:5" ht="15.75" x14ac:dyDescent="0.25">
      <c r="A675" s="104"/>
      <c r="B675" s="104"/>
      <c r="C675" s="92" t="str">
        <f t="shared" si="10"/>
        <v/>
      </c>
      <c r="D675" s="120"/>
      <c r="E675" s="120"/>
    </row>
    <row r="676" spans="1:5" ht="15.75" x14ac:dyDescent="0.25">
      <c r="A676" s="104"/>
      <c r="B676" s="104"/>
      <c r="C676" s="92" t="str">
        <f t="shared" si="10"/>
        <v/>
      </c>
      <c r="D676" s="120"/>
      <c r="E676" s="120"/>
    </row>
    <row r="677" spans="1:5" ht="15.75" x14ac:dyDescent="0.25">
      <c r="A677" s="104"/>
      <c r="B677" s="104"/>
      <c r="C677" s="92" t="str">
        <f t="shared" si="10"/>
        <v/>
      </c>
      <c r="D677" s="120"/>
      <c r="E677" s="120"/>
    </row>
    <row r="678" spans="1:5" ht="15.75" x14ac:dyDescent="0.25">
      <c r="A678" s="104"/>
      <c r="B678" s="104"/>
      <c r="C678" s="92" t="str">
        <f t="shared" si="10"/>
        <v/>
      </c>
      <c r="D678" s="120"/>
      <c r="E678" s="120"/>
    </row>
    <row r="679" spans="1:5" ht="15.75" x14ac:dyDescent="0.25">
      <c r="A679" s="104"/>
      <c r="B679" s="104"/>
      <c r="C679" s="92" t="str">
        <f t="shared" si="10"/>
        <v/>
      </c>
      <c r="D679" s="120"/>
      <c r="E679" s="120"/>
    </row>
    <row r="680" spans="1:5" ht="15.75" x14ac:dyDescent="0.25">
      <c r="A680" s="104"/>
      <c r="B680" s="104"/>
      <c r="C680" s="92" t="str">
        <f t="shared" si="10"/>
        <v/>
      </c>
      <c r="D680" s="120"/>
      <c r="E680" s="120"/>
    </row>
    <row r="681" spans="1:5" ht="15.75" x14ac:dyDescent="0.25">
      <c r="A681" s="104"/>
      <c r="B681" s="104"/>
      <c r="C681" s="92" t="str">
        <f t="shared" si="10"/>
        <v/>
      </c>
      <c r="D681" s="120"/>
      <c r="E681" s="120"/>
    </row>
    <row r="682" spans="1:5" ht="15.75" x14ac:dyDescent="0.25">
      <c r="A682" s="104"/>
      <c r="B682" s="104"/>
      <c r="C682" s="92" t="str">
        <f t="shared" si="10"/>
        <v/>
      </c>
      <c r="D682" s="120"/>
      <c r="E682" s="120"/>
    </row>
    <row r="683" spans="1:5" ht="15.75" x14ac:dyDescent="0.25">
      <c r="A683" s="104"/>
      <c r="B683" s="104"/>
      <c r="C683" s="92" t="str">
        <f t="shared" si="10"/>
        <v/>
      </c>
      <c r="D683" s="120"/>
      <c r="E683" s="120"/>
    </row>
    <row r="684" spans="1:5" ht="15.75" x14ac:dyDescent="0.25">
      <c r="A684" s="104"/>
      <c r="B684" s="104"/>
      <c r="C684" s="92" t="str">
        <f t="shared" si="10"/>
        <v/>
      </c>
      <c r="D684" s="120"/>
      <c r="E684" s="120"/>
    </row>
    <row r="685" spans="1:5" ht="15.75" x14ac:dyDescent="0.25">
      <c r="A685" s="104"/>
      <c r="B685" s="104"/>
      <c r="C685" s="92" t="str">
        <f t="shared" si="10"/>
        <v/>
      </c>
      <c r="D685" s="120"/>
      <c r="E685" s="120"/>
    </row>
    <row r="686" spans="1:5" ht="15.75" x14ac:dyDescent="0.25">
      <c r="A686" s="104"/>
      <c r="B686" s="104"/>
      <c r="C686" s="92" t="str">
        <f t="shared" si="10"/>
        <v/>
      </c>
      <c r="D686" s="120"/>
      <c r="E686" s="120"/>
    </row>
    <row r="687" spans="1:5" ht="15.75" x14ac:dyDescent="0.25">
      <c r="A687" s="104"/>
      <c r="B687" s="104"/>
      <c r="C687" s="92" t="str">
        <f t="shared" si="10"/>
        <v/>
      </c>
      <c r="D687" s="120"/>
      <c r="E687" s="120"/>
    </row>
    <row r="688" spans="1:5" ht="15.75" x14ac:dyDescent="0.25">
      <c r="A688" s="104"/>
      <c r="B688" s="104"/>
      <c r="C688" s="92" t="str">
        <f t="shared" si="10"/>
        <v/>
      </c>
      <c r="D688" s="120"/>
      <c r="E688" s="120"/>
    </row>
    <row r="689" spans="1:5" ht="15.75" x14ac:dyDescent="0.25">
      <c r="A689" s="104"/>
      <c r="B689" s="104"/>
      <c r="C689" s="92" t="str">
        <f t="shared" si="10"/>
        <v/>
      </c>
      <c r="D689" s="120"/>
      <c r="E689" s="120"/>
    </row>
    <row r="690" spans="1:5" ht="15.75" x14ac:dyDescent="0.25">
      <c r="A690" s="104"/>
      <c r="B690" s="104"/>
      <c r="C690" s="92" t="str">
        <f t="shared" si="10"/>
        <v/>
      </c>
      <c r="D690" s="120"/>
      <c r="E690" s="120"/>
    </row>
    <row r="691" spans="1:5" ht="15.75" x14ac:dyDescent="0.25">
      <c r="A691" s="104"/>
      <c r="B691" s="104"/>
      <c r="C691" s="92" t="str">
        <f t="shared" si="10"/>
        <v/>
      </c>
      <c r="D691" s="120"/>
      <c r="E691" s="120"/>
    </row>
    <row r="692" spans="1:5" ht="15.75" x14ac:dyDescent="0.25">
      <c r="A692" s="104"/>
      <c r="B692" s="104"/>
      <c r="C692" s="92" t="str">
        <f t="shared" si="10"/>
        <v/>
      </c>
      <c r="D692" s="120"/>
      <c r="E692" s="120"/>
    </row>
    <row r="693" spans="1:5" ht="15.75" x14ac:dyDescent="0.25">
      <c r="A693" s="104"/>
      <c r="B693" s="104"/>
      <c r="C693" s="92" t="str">
        <f t="shared" si="10"/>
        <v/>
      </c>
      <c r="D693" s="120"/>
      <c r="E693" s="120"/>
    </row>
    <row r="694" spans="1:5" ht="15.75" x14ac:dyDescent="0.25">
      <c r="A694" s="104"/>
      <c r="B694" s="104"/>
      <c r="C694" s="92" t="str">
        <f t="shared" si="10"/>
        <v/>
      </c>
      <c r="D694" s="120"/>
      <c r="E694" s="120"/>
    </row>
    <row r="695" spans="1:5" ht="15.75" x14ac:dyDescent="0.25">
      <c r="A695" s="104"/>
      <c r="B695" s="104"/>
      <c r="C695" s="92" t="str">
        <f t="shared" si="10"/>
        <v/>
      </c>
      <c r="D695" s="120"/>
      <c r="E695" s="120"/>
    </row>
    <row r="696" spans="1:5" ht="15.75" x14ac:dyDescent="0.25">
      <c r="A696" s="104"/>
      <c r="B696" s="104"/>
      <c r="C696" s="92" t="str">
        <f t="shared" si="10"/>
        <v/>
      </c>
      <c r="D696" s="120"/>
      <c r="E696" s="120"/>
    </row>
    <row r="697" spans="1:5" ht="15.75" x14ac:dyDescent="0.25">
      <c r="A697" s="104"/>
      <c r="B697" s="104"/>
      <c r="C697" s="92" t="str">
        <f t="shared" si="10"/>
        <v/>
      </c>
      <c r="D697" s="120"/>
      <c r="E697" s="120"/>
    </row>
    <row r="698" spans="1:5" ht="15.75" x14ac:dyDescent="0.25">
      <c r="A698" s="104"/>
      <c r="B698" s="104"/>
      <c r="C698" s="92" t="str">
        <f t="shared" si="10"/>
        <v/>
      </c>
      <c r="D698" s="120"/>
      <c r="E698" s="120"/>
    </row>
    <row r="699" spans="1:5" ht="15.75" x14ac:dyDescent="0.25">
      <c r="A699" s="104"/>
      <c r="B699" s="104"/>
      <c r="C699" s="92" t="str">
        <f t="shared" si="10"/>
        <v/>
      </c>
      <c r="D699" s="120"/>
      <c r="E699" s="120"/>
    </row>
    <row r="700" spans="1:5" ht="15.75" x14ac:dyDescent="0.25">
      <c r="A700" s="104"/>
      <c r="B700" s="104"/>
      <c r="C700" s="92" t="str">
        <f t="shared" si="10"/>
        <v/>
      </c>
      <c r="D700" s="120"/>
      <c r="E700" s="120"/>
    </row>
    <row r="701" spans="1:5" ht="15.75" x14ac:dyDescent="0.25">
      <c r="A701" s="104"/>
      <c r="B701" s="104"/>
      <c r="C701" s="92" t="str">
        <f t="shared" si="10"/>
        <v/>
      </c>
      <c r="D701" s="120"/>
      <c r="E701" s="120"/>
    </row>
    <row r="702" spans="1:5" ht="15.75" x14ac:dyDescent="0.25">
      <c r="A702" s="104"/>
      <c r="B702" s="104"/>
      <c r="C702" s="92" t="str">
        <f t="shared" si="10"/>
        <v/>
      </c>
      <c r="D702" s="120"/>
      <c r="E702" s="120"/>
    </row>
    <row r="703" spans="1:5" ht="15.75" x14ac:dyDescent="0.25">
      <c r="A703" s="104"/>
      <c r="B703" s="104"/>
      <c r="C703" s="92" t="str">
        <f t="shared" si="10"/>
        <v/>
      </c>
      <c r="D703" s="120"/>
      <c r="E703" s="120"/>
    </row>
    <row r="704" spans="1:5" ht="15.75" x14ac:dyDescent="0.25">
      <c r="A704" s="104"/>
      <c r="B704" s="104"/>
      <c r="C704" s="92" t="str">
        <f t="shared" si="10"/>
        <v/>
      </c>
      <c r="D704" s="120"/>
      <c r="E704" s="120"/>
    </row>
    <row r="705" spans="1:5" ht="15.75" x14ac:dyDescent="0.25">
      <c r="A705" s="104"/>
      <c r="B705" s="104"/>
      <c r="C705" s="92" t="str">
        <f t="shared" si="10"/>
        <v/>
      </c>
      <c r="D705" s="120"/>
      <c r="E705" s="120"/>
    </row>
    <row r="706" spans="1:5" ht="15.75" x14ac:dyDescent="0.25">
      <c r="A706" s="104"/>
      <c r="B706" s="104"/>
      <c r="C706" s="92" t="str">
        <f t="shared" si="10"/>
        <v/>
      </c>
      <c r="D706" s="120"/>
      <c r="E706" s="120"/>
    </row>
    <row r="707" spans="1:5" ht="15.75" x14ac:dyDescent="0.25">
      <c r="A707" s="104"/>
      <c r="B707" s="104"/>
      <c r="C707" s="92" t="str">
        <f t="shared" si="10"/>
        <v/>
      </c>
      <c r="D707" s="120"/>
      <c r="E707" s="120"/>
    </row>
    <row r="708" spans="1:5" ht="15.75" x14ac:dyDescent="0.25">
      <c r="A708" s="104"/>
      <c r="B708" s="104"/>
      <c r="C708" s="92" t="str">
        <f t="shared" si="10"/>
        <v/>
      </c>
      <c r="D708" s="120"/>
      <c r="E708" s="120"/>
    </row>
    <row r="709" spans="1:5" ht="15.75" x14ac:dyDescent="0.25">
      <c r="A709" s="104"/>
      <c r="B709" s="104"/>
      <c r="C709" s="92" t="str">
        <f t="shared" si="10"/>
        <v/>
      </c>
      <c r="D709" s="120"/>
      <c r="E709" s="120"/>
    </row>
    <row r="710" spans="1:5" ht="15.75" x14ac:dyDescent="0.25">
      <c r="A710" s="104"/>
      <c r="B710" s="104"/>
      <c r="C710" s="92" t="str">
        <f t="shared" si="10"/>
        <v/>
      </c>
      <c r="D710" s="120"/>
      <c r="E710" s="120"/>
    </row>
    <row r="711" spans="1:5" ht="15.75" x14ac:dyDescent="0.25">
      <c r="A711" s="104"/>
      <c r="B711" s="104"/>
      <c r="C711" s="92" t="str">
        <f t="shared" si="10"/>
        <v/>
      </c>
      <c r="D711" s="120"/>
      <c r="E711" s="120"/>
    </row>
    <row r="712" spans="1:5" ht="15.75" x14ac:dyDescent="0.25">
      <c r="A712" s="104"/>
      <c r="B712" s="104"/>
      <c r="C712" s="92" t="str">
        <f t="shared" si="10"/>
        <v/>
      </c>
      <c r="D712" s="120"/>
      <c r="E712" s="120"/>
    </row>
    <row r="713" spans="1:5" ht="15.75" x14ac:dyDescent="0.25">
      <c r="A713" s="104"/>
      <c r="B713" s="104"/>
      <c r="C713" s="92" t="str">
        <f t="shared" si="10"/>
        <v/>
      </c>
      <c r="D713" s="120"/>
      <c r="E713" s="120"/>
    </row>
    <row r="714" spans="1:5" ht="15.75" x14ac:dyDescent="0.25">
      <c r="A714" s="104"/>
      <c r="B714" s="104"/>
      <c r="C714" s="92" t="str">
        <f t="shared" ref="C714:C777" si="11">IF(A714=0,"","MinMax")</f>
        <v/>
      </c>
      <c r="D714" s="120"/>
      <c r="E714" s="120"/>
    </row>
    <row r="715" spans="1:5" ht="15.75" x14ac:dyDescent="0.25">
      <c r="A715" s="104"/>
      <c r="B715" s="104"/>
      <c r="C715" s="92" t="str">
        <f t="shared" si="11"/>
        <v/>
      </c>
      <c r="D715" s="120"/>
      <c r="E715" s="120"/>
    </row>
    <row r="716" spans="1:5" ht="15.75" x14ac:dyDescent="0.25">
      <c r="A716" s="104"/>
      <c r="B716" s="104"/>
      <c r="C716" s="92" t="str">
        <f t="shared" si="11"/>
        <v/>
      </c>
      <c r="D716" s="120"/>
      <c r="E716" s="120"/>
    </row>
    <row r="717" spans="1:5" ht="15.75" x14ac:dyDescent="0.25">
      <c r="A717" s="104"/>
      <c r="B717" s="104"/>
      <c r="C717" s="92" t="str">
        <f t="shared" si="11"/>
        <v/>
      </c>
      <c r="D717" s="120"/>
      <c r="E717" s="120"/>
    </row>
    <row r="718" spans="1:5" ht="15.75" x14ac:dyDescent="0.25">
      <c r="A718" s="104"/>
      <c r="B718" s="104"/>
      <c r="C718" s="92" t="str">
        <f t="shared" si="11"/>
        <v/>
      </c>
      <c r="D718" s="120"/>
      <c r="E718" s="120"/>
    </row>
    <row r="719" spans="1:5" ht="15.75" x14ac:dyDescent="0.25">
      <c r="A719" s="104"/>
      <c r="B719" s="104"/>
      <c r="C719" s="92" t="str">
        <f t="shared" si="11"/>
        <v/>
      </c>
      <c r="D719" s="120"/>
      <c r="E719" s="120"/>
    </row>
    <row r="720" spans="1:5" ht="15.75" x14ac:dyDescent="0.25">
      <c r="A720" s="104"/>
      <c r="B720" s="104"/>
      <c r="C720" s="92" t="str">
        <f t="shared" si="11"/>
        <v/>
      </c>
      <c r="D720" s="120"/>
      <c r="E720" s="120"/>
    </row>
    <row r="721" spans="1:5" ht="15.75" x14ac:dyDescent="0.25">
      <c r="A721" s="104"/>
      <c r="B721" s="104"/>
      <c r="C721" s="92" t="str">
        <f t="shared" si="11"/>
        <v/>
      </c>
      <c r="D721" s="120"/>
      <c r="E721" s="120"/>
    </row>
    <row r="722" spans="1:5" ht="15.75" x14ac:dyDescent="0.25">
      <c r="A722" s="104"/>
      <c r="B722" s="104"/>
      <c r="C722" s="92" t="str">
        <f t="shared" si="11"/>
        <v/>
      </c>
      <c r="D722" s="120"/>
      <c r="E722" s="120"/>
    </row>
    <row r="723" spans="1:5" ht="15.75" x14ac:dyDescent="0.25">
      <c r="A723" s="104"/>
      <c r="B723" s="104"/>
      <c r="C723" s="92" t="str">
        <f t="shared" si="11"/>
        <v/>
      </c>
      <c r="D723" s="120"/>
      <c r="E723" s="120"/>
    </row>
    <row r="724" spans="1:5" ht="15.75" x14ac:dyDescent="0.25">
      <c r="A724" s="104"/>
      <c r="B724" s="104"/>
      <c r="C724" s="92" t="str">
        <f t="shared" si="11"/>
        <v/>
      </c>
      <c r="D724" s="120"/>
      <c r="E724" s="120"/>
    </row>
    <row r="725" spans="1:5" ht="15.75" x14ac:dyDescent="0.25">
      <c r="A725" s="104"/>
      <c r="B725" s="104"/>
      <c r="C725" s="92" t="str">
        <f t="shared" si="11"/>
        <v/>
      </c>
      <c r="D725" s="120"/>
      <c r="E725" s="120"/>
    </row>
    <row r="726" spans="1:5" ht="15.75" x14ac:dyDescent="0.25">
      <c r="A726" s="104"/>
      <c r="B726" s="104"/>
      <c r="C726" s="92" t="str">
        <f t="shared" si="11"/>
        <v/>
      </c>
      <c r="D726" s="120"/>
      <c r="E726" s="120"/>
    </row>
    <row r="727" spans="1:5" ht="15.75" x14ac:dyDescent="0.25">
      <c r="A727" s="104"/>
      <c r="B727" s="104"/>
      <c r="C727" s="92" t="str">
        <f t="shared" si="11"/>
        <v/>
      </c>
      <c r="D727" s="120"/>
      <c r="E727" s="120"/>
    </row>
    <row r="728" spans="1:5" ht="15.75" x14ac:dyDescent="0.25">
      <c r="A728" s="104"/>
      <c r="B728" s="104"/>
      <c r="C728" s="92" t="str">
        <f t="shared" si="11"/>
        <v/>
      </c>
      <c r="D728" s="120"/>
      <c r="E728" s="120"/>
    </row>
    <row r="729" spans="1:5" ht="15.75" x14ac:dyDescent="0.25">
      <c r="A729" s="104"/>
      <c r="B729" s="104"/>
      <c r="C729" s="92" t="str">
        <f t="shared" si="11"/>
        <v/>
      </c>
      <c r="D729" s="120"/>
      <c r="E729" s="120"/>
    </row>
    <row r="730" spans="1:5" ht="15.75" x14ac:dyDescent="0.25">
      <c r="A730" s="104"/>
      <c r="B730" s="104"/>
      <c r="C730" s="92" t="str">
        <f t="shared" si="11"/>
        <v/>
      </c>
      <c r="D730" s="120"/>
      <c r="E730" s="120"/>
    </row>
    <row r="731" spans="1:5" ht="15.75" x14ac:dyDescent="0.25">
      <c r="A731" s="104"/>
      <c r="B731" s="104"/>
      <c r="C731" s="92" t="str">
        <f t="shared" si="11"/>
        <v/>
      </c>
      <c r="D731" s="120"/>
      <c r="E731" s="120"/>
    </row>
    <row r="732" spans="1:5" ht="15.75" x14ac:dyDescent="0.25">
      <c r="A732" s="104"/>
      <c r="B732" s="104"/>
      <c r="C732" s="92" t="str">
        <f t="shared" si="11"/>
        <v/>
      </c>
      <c r="D732" s="120"/>
      <c r="E732" s="120"/>
    </row>
    <row r="733" spans="1:5" ht="15.75" x14ac:dyDescent="0.25">
      <c r="A733" s="104"/>
      <c r="B733" s="104"/>
      <c r="C733" s="92" t="str">
        <f t="shared" si="11"/>
        <v/>
      </c>
      <c r="D733" s="120"/>
      <c r="E733" s="120"/>
    </row>
    <row r="734" spans="1:5" ht="15.75" x14ac:dyDescent="0.25">
      <c r="A734" s="104"/>
      <c r="B734" s="104"/>
      <c r="C734" s="92" t="str">
        <f t="shared" si="11"/>
        <v/>
      </c>
      <c r="D734" s="120"/>
      <c r="E734" s="120"/>
    </row>
    <row r="735" spans="1:5" ht="15.75" x14ac:dyDescent="0.25">
      <c r="A735" s="104"/>
      <c r="B735" s="104"/>
      <c r="C735" s="92" t="str">
        <f t="shared" si="11"/>
        <v/>
      </c>
      <c r="D735" s="120"/>
      <c r="E735" s="120"/>
    </row>
    <row r="736" spans="1:5" ht="15.75" x14ac:dyDescent="0.25">
      <c r="A736" s="104"/>
      <c r="B736" s="104"/>
      <c r="C736" s="92" t="str">
        <f t="shared" si="11"/>
        <v/>
      </c>
      <c r="D736" s="120"/>
      <c r="E736" s="120"/>
    </row>
    <row r="737" spans="1:5" ht="15.75" x14ac:dyDescent="0.25">
      <c r="A737" s="104"/>
      <c r="B737" s="104"/>
      <c r="C737" s="92" t="str">
        <f t="shared" si="11"/>
        <v/>
      </c>
      <c r="D737" s="120"/>
      <c r="E737" s="120"/>
    </row>
    <row r="738" spans="1:5" ht="15.75" x14ac:dyDescent="0.25">
      <c r="A738" s="104"/>
      <c r="B738" s="104"/>
      <c r="C738" s="92" t="str">
        <f t="shared" si="11"/>
        <v/>
      </c>
      <c r="D738" s="120"/>
      <c r="E738" s="120"/>
    </row>
    <row r="739" spans="1:5" ht="15.75" x14ac:dyDescent="0.25">
      <c r="A739" s="104"/>
      <c r="B739" s="104"/>
      <c r="C739" s="92" t="str">
        <f t="shared" si="11"/>
        <v/>
      </c>
      <c r="D739" s="120"/>
      <c r="E739" s="120"/>
    </row>
    <row r="740" spans="1:5" ht="15.75" x14ac:dyDescent="0.25">
      <c r="A740" s="104"/>
      <c r="B740" s="104"/>
      <c r="C740" s="92" t="str">
        <f t="shared" si="11"/>
        <v/>
      </c>
      <c r="D740" s="120"/>
      <c r="E740" s="120"/>
    </row>
    <row r="741" spans="1:5" ht="15.75" x14ac:dyDescent="0.25">
      <c r="A741" s="104"/>
      <c r="B741" s="104"/>
      <c r="C741" s="92" t="str">
        <f t="shared" si="11"/>
        <v/>
      </c>
      <c r="D741" s="120"/>
      <c r="E741" s="120"/>
    </row>
    <row r="742" spans="1:5" ht="15.75" x14ac:dyDescent="0.25">
      <c r="A742" s="104"/>
      <c r="B742" s="104"/>
      <c r="C742" s="92" t="str">
        <f t="shared" si="11"/>
        <v/>
      </c>
      <c r="D742" s="120"/>
      <c r="E742" s="120"/>
    </row>
    <row r="743" spans="1:5" ht="15.75" x14ac:dyDescent="0.25">
      <c r="A743" s="104"/>
      <c r="B743" s="104"/>
      <c r="C743" s="92" t="str">
        <f t="shared" si="11"/>
        <v/>
      </c>
      <c r="D743" s="120"/>
      <c r="E743" s="120"/>
    </row>
    <row r="744" spans="1:5" ht="15.75" x14ac:dyDescent="0.25">
      <c r="A744" s="104"/>
      <c r="B744" s="104"/>
      <c r="C744" s="92" t="str">
        <f t="shared" si="11"/>
        <v/>
      </c>
      <c r="D744" s="120"/>
      <c r="E744" s="120"/>
    </row>
    <row r="745" spans="1:5" ht="15.75" x14ac:dyDescent="0.25">
      <c r="A745" s="104"/>
      <c r="B745" s="104"/>
      <c r="C745" s="92" t="str">
        <f t="shared" si="11"/>
        <v/>
      </c>
      <c r="D745" s="120"/>
      <c r="E745" s="120"/>
    </row>
    <row r="746" spans="1:5" ht="15.75" x14ac:dyDescent="0.25">
      <c r="A746" s="104"/>
      <c r="B746" s="104"/>
      <c r="C746" s="92" t="str">
        <f t="shared" si="11"/>
        <v/>
      </c>
      <c r="D746" s="120"/>
      <c r="E746" s="120"/>
    </row>
    <row r="747" spans="1:5" ht="15.75" x14ac:dyDescent="0.25">
      <c r="A747" s="104"/>
      <c r="B747" s="104"/>
      <c r="C747" s="92" t="str">
        <f t="shared" si="11"/>
        <v/>
      </c>
      <c r="D747" s="120"/>
      <c r="E747" s="120"/>
    </row>
    <row r="748" spans="1:5" ht="15.75" x14ac:dyDescent="0.25">
      <c r="A748" s="104"/>
      <c r="B748" s="104"/>
      <c r="C748" s="92" t="str">
        <f t="shared" si="11"/>
        <v/>
      </c>
      <c r="D748" s="120"/>
      <c r="E748" s="120"/>
    </row>
    <row r="749" spans="1:5" ht="15.75" x14ac:dyDescent="0.25">
      <c r="A749" s="104"/>
      <c r="B749" s="104"/>
      <c r="C749" s="92" t="str">
        <f t="shared" si="11"/>
        <v/>
      </c>
      <c r="D749" s="120"/>
      <c r="E749" s="120"/>
    </row>
    <row r="750" spans="1:5" ht="15.75" x14ac:dyDescent="0.25">
      <c r="A750" s="104"/>
      <c r="B750" s="104"/>
      <c r="C750" s="92" t="str">
        <f t="shared" si="11"/>
        <v/>
      </c>
      <c r="D750" s="120"/>
      <c r="E750" s="120"/>
    </row>
    <row r="751" spans="1:5" ht="15.75" x14ac:dyDescent="0.25">
      <c r="A751" s="104"/>
      <c r="B751" s="104"/>
      <c r="C751" s="92" t="str">
        <f t="shared" si="11"/>
        <v/>
      </c>
      <c r="D751" s="120"/>
      <c r="E751" s="120"/>
    </row>
    <row r="752" spans="1:5" ht="15.75" x14ac:dyDescent="0.25">
      <c r="A752" s="104"/>
      <c r="B752" s="104"/>
      <c r="C752" s="92" t="str">
        <f t="shared" si="11"/>
        <v/>
      </c>
      <c r="D752" s="120"/>
      <c r="E752" s="120"/>
    </row>
    <row r="753" spans="1:5" ht="15.75" x14ac:dyDescent="0.25">
      <c r="A753" s="104"/>
      <c r="B753" s="104"/>
      <c r="C753" s="92" t="str">
        <f t="shared" si="11"/>
        <v/>
      </c>
      <c r="D753" s="120"/>
      <c r="E753" s="120"/>
    </row>
    <row r="754" spans="1:5" ht="15.75" x14ac:dyDescent="0.25">
      <c r="A754" s="104"/>
      <c r="B754" s="104"/>
      <c r="C754" s="92" t="str">
        <f t="shared" si="11"/>
        <v/>
      </c>
      <c r="D754" s="120"/>
      <c r="E754" s="120"/>
    </row>
    <row r="755" spans="1:5" ht="15.75" x14ac:dyDescent="0.25">
      <c r="A755" s="104"/>
      <c r="B755" s="104"/>
      <c r="C755" s="92" t="str">
        <f t="shared" si="11"/>
        <v/>
      </c>
      <c r="D755" s="120"/>
      <c r="E755" s="120"/>
    </row>
    <row r="756" spans="1:5" ht="15.75" x14ac:dyDescent="0.25">
      <c r="A756" s="104"/>
      <c r="B756" s="104"/>
      <c r="C756" s="92" t="str">
        <f t="shared" si="11"/>
        <v/>
      </c>
      <c r="D756" s="120"/>
      <c r="E756" s="120"/>
    </row>
    <row r="757" spans="1:5" ht="15.75" x14ac:dyDescent="0.25">
      <c r="A757" s="104"/>
      <c r="B757" s="104"/>
      <c r="C757" s="92" t="str">
        <f t="shared" si="11"/>
        <v/>
      </c>
      <c r="D757" s="120"/>
      <c r="E757" s="120"/>
    </row>
    <row r="758" spans="1:5" ht="15.75" x14ac:dyDescent="0.25">
      <c r="A758" s="104"/>
      <c r="B758" s="104"/>
      <c r="C758" s="92" t="str">
        <f t="shared" si="11"/>
        <v/>
      </c>
      <c r="D758" s="120"/>
      <c r="E758" s="120"/>
    </row>
    <row r="759" spans="1:5" ht="15.75" x14ac:dyDescent="0.25">
      <c r="A759" s="104"/>
      <c r="B759" s="104"/>
      <c r="C759" s="92" t="str">
        <f t="shared" si="11"/>
        <v/>
      </c>
      <c r="D759" s="120"/>
      <c r="E759" s="120"/>
    </row>
    <row r="760" spans="1:5" ht="15.75" x14ac:dyDescent="0.25">
      <c r="A760" s="104"/>
      <c r="B760" s="104"/>
      <c r="C760" s="92" t="str">
        <f t="shared" si="11"/>
        <v/>
      </c>
      <c r="D760" s="120"/>
      <c r="E760" s="120"/>
    </row>
    <row r="761" spans="1:5" ht="15.75" x14ac:dyDescent="0.25">
      <c r="A761" s="104"/>
      <c r="B761" s="104"/>
      <c r="C761" s="92" t="str">
        <f t="shared" si="11"/>
        <v/>
      </c>
      <c r="D761" s="120"/>
      <c r="E761" s="120"/>
    </row>
    <row r="762" spans="1:5" ht="15.75" x14ac:dyDescent="0.25">
      <c r="A762" s="104"/>
      <c r="B762" s="104"/>
      <c r="C762" s="92" t="str">
        <f t="shared" si="11"/>
        <v/>
      </c>
      <c r="D762" s="120"/>
      <c r="E762" s="120"/>
    </row>
    <row r="763" spans="1:5" ht="15.75" x14ac:dyDescent="0.25">
      <c r="A763" s="104"/>
      <c r="B763" s="104"/>
      <c r="C763" s="92" t="str">
        <f t="shared" si="11"/>
        <v/>
      </c>
      <c r="D763" s="120"/>
      <c r="E763" s="120"/>
    </row>
    <row r="764" spans="1:5" ht="15.75" x14ac:dyDescent="0.25">
      <c r="A764" s="104"/>
      <c r="B764" s="104"/>
      <c r="C764" s="92" t="str">
        <f t="shared" si="11"/>
        <v/>
      </c>
      <c r="D764" s="120"/>
      <c r="E764" s="120"/>
    </row>
    <row r="765" spans="1:5" ht="15.75" x14ac:dyDescent="0.25">
      <c r="A765" s="104"/>
      <c r="B765" s="104"/>
      <c r="C765" s="92" t="str">
        <f t="shared" si="11"/>
        <v/>
      </c>
      <c r="D765" s="120"/>
      <c r="E765" s="120"/>
    </row>
    <row r="766" spans="1:5" ht="15.75" x14ac:dyDescent="0.25">
      <c r="A766" s="104"/>
      <c r="B766" s="104"/>
      <c r="C766" s="92" t="str">
        <f t="shared" si="11"/>
        <v/>
      </c>
      <c r="D766" s="120"/>
      <c r="E766" s="120"/>
    </row>
    <row r="767" spans="1:5" ht="15.75" x14ac:dyDescent="0.25">
      <c r="A767" s="104"/>
      <c r="B767" s="104"/>
      <c r="C767" s="92" t="str">
        <f t="shared" si="11"/>
        <v/>
      </c>
      <c r="D767" s="120"/>
      <c r="E767" s="120"/>
    </row>
    <row r="768" spans="1:5" ht="15.75" x14ac:dyDescent="0.25">
      <c r="A768" s="104"/>
      <c r="B768" s="104"/>
      <c r="C768" s="92" t="str">
        <f t="shared" si="11"/>
        <v/>
      </c>
      <c r="D768" s="120"/>
      <c r="E768" s="120"/>
    </row>
    <row r="769" spans="1:5" ht="15.75" x14ac:dyDescent="0.25">
      <c r="A769" s="104"/>
      <c r="B769" s="104"/>
      <c r="C769" s="92" t="str">
        <f t="shared" si="11"/>
        <v/>
      </c>
      <c r="D769" s="120"/>
      <c r="E769" s="120"/>
    </row>
    <row r="770" spans="1:5" ht="15.75" x14ac:dyDescent="0.25">
      <c r="A770" s="104"/>
      <c r="B770" s="104"/>
      <c r="C770" s="92" t="str">
        <f t="shared" si="11"/>
        <v/>
      </c>
      <c r="D770" s="120"/>
      <c r="E770" s="120"/>
    </row>
    <row r="771" spans="1:5" ht="15.75" x14ac:dyDescent="0.25">
      <c r="A771" s="104"/>
      <c r="B771" s="104"/>
      <c r="C771" s="92" t="str">
        <f t="shared" si="11"/>
        <v/>
      </c>
      <c r="D771" s="120"/>
      <c r="E771" s="120"/>
    </row>
    <row r="772" spans="1:5" ht="15.75" x14ac:dyDescent="0.25">
      <c r="A772" s="104"/>
      <c r="B772" s="104"/>
      <c r="C772" s="92" t="str">
        <f t="shared" si="11"/>
        <v/>
      </c>
      <c r="D772" s="120"/>
      <c r="E772" s="120"/>
    </row>
    <row r="773" spans="1:5" ht="15.75" x14ac:dyDescent="0.25">
      <c r="A773" s="104"/>
      <c r="B773" s="104"/>
      <c r="C773" s="92" t="str">
        <f t="shared" si="11"/>
        <v/>
      </c>
      <c r="D773" s="120"/>
      <c r="E773" s="120"/>
    </row>
    <row r="774" spans="1:5" ht="15.75" x14ac:dyDescent="0.25">
      <c r="A774" s="104"/>
      <c r="B774" s="104"/>
      <c r="C774" s="92" t="str">
        <f t="shared" si="11"/>
        <v/>
      </c>
      <c r="D774" s="120"/>
      <c r="E774" s="120"/>
    </row>
    <row r="775" spans="1:5" ht="15.75" x14ac:dyDescent="0.25">
      <c r="A775" s="104"/>
      <c r="B775" s="104"/>
      <c r="C775" s="92" t="str">
        <f t="shared" si="11"/>
        <v/>
      </c>
      <c r="D775" s="120"/>
      <c r="E775" s="120"/>
    </row>
    <row r="776" spans="1:5" ht="15.75" x14ac:dyDescent="0.25">
      <c r="A776" s="104"/>
      <c r="B776" s="104"/>
      <c r="C776" s="92" t="str">
        <f t="shared" si="11"/>
        <v/>
      </c>
      <c r="D776" s="120"/>
      <c r="E776" s="120"/>
    </row>
    <row r="777" spans="1:5" ht="15.75" x14ac:dyDescent="0.25">
      <c r="A777" s="104"/>
      <c r="B777" s="104"/>
      <c r="C777" s="92" t="str">
        <f t="shared" si="11"/>
        <v/>
      </c>
      <c r="D777" s="120"/>
      <c r="E777" s="120"/>
    </row>
    <row r="778" spans="1:5" ht="15.75" x14ac:dyDescent="0.25">
      <c r="A778" s="104"/>
      <c r="B778" s="104"/>
      <c r="C778" s="92" t="str">
        <f t="shared" ref="C778:C841" si="12">IF(A778=0,"","MinMax")</f>
        <v/>
      </c>
      <c r="D778" s="120"/>
      <c r="E778" s="120"/>
    </row>
    <row r="779" spans="1:5" ht="15.75" x14ac:dyDescent="0.25">
      <c r="A779" s="104"/>
      <c r="B779" s="104"/>
      <c r="C779" s="92" t="str">
        <f t="shared" si="12"/>
        <v/>
      </c>
      <c r="D779" s="120"/>
      <c r="E779" s="120"/>
    </row>
    <row r="780" spans="1:5" ht="15.75" x14ac:dyDescent="0.25">
      <c r="A780" s="104"/>
      <c r="B780" s="104"/>
      <c r="C780" s="92" t="str">
        <f t="shared" si="12"/>
        <v/>
      </c>
      <c r="D780" s="120"/>
      <c r="E780" s="120"/>
    </row>
    <row r="781" spans="1:5" ht="15.75" x14ac:dyDescent="0.25">
      <c r="A781" s="104"/>
      <c r="B781" s="104"/>
      <c r="C781" s="92" t="str">
        <f t="shared" si="12"/>
        <v/>
      </c>
      <c r="D781" s="120"/>
      <c r="E781" s="120"/>
    </row>
    <row r="782" spans="1:5" ht="15.75" x14ac:dyDescent="0.25">
      <c r="A782" s="104"/>
      <c r="B782" s="104"/>
      <c r="C782" s="92" t="str">
        <f t="shared" si="12"/>
        <v/>
      </c>
      <c r="D782" s="120"/>
      <c r="E782" s="120"/>
    </row>
    <row r="783" spans="1:5" ht="15.75" x14ac:dyDescent="0.25">
      <c r="A783" s="104"/>
      <c r="B783" s="104"/>
      <c r="C783" s="92" t="str">
        <f t="shared" si="12"/>
        <v/>
      </c>
      <c r="D783" s="120"/>
      <c r="E783" s="120"/>
    </row>
    <row r="784" spans="1:5" ht="15.75" x14ac:dyDescent="0.25">
      <c r="A784" s="104"/>
      <c r="B784" s="104"/>
      <c r="C784" s="92" t="str">
        <f t="shared" si="12"/>
        <v/>
      </c>
      <c r="D784" s="120"/>
      <c r="E784" s="120"/>
    </row>
    <row r="785" spans="1:5" ht="15.75" x14ac:dyDescent="0.25">
      <c r="A785" s="104"/>
      <c r="B785" s="104"/>
      <c r="C785" s="92" t="str">
        <f t="shared" si="12"/>
        <v/>
      </c>
      <c r="D785" s="120"/>
      <c r="E785" s="120"/>
    </row>
    <row r="786" spans="1:5" ht="15.75" x14ac:dyDescent="0.25">
      <c r="A786" s="104"/>
      <c r="B786" s="104"/>
      <c r="C786" s="92" t="str">
        <f t="shared" si="12"/>
        <v/>
      </c>
      <c r="D786" s="120"/>
      <c r="E786" s="120"/>
    </row>
    <row r="787" spans="1:5" ht="15.75" x14ac:dyDescent="0.25">
      <c r="A787" s="104"/>
      <c r="B787" s="104"/>
      <c r="C787" s="92" t="str">
        <f t="shared" si="12"/>
        <v/>
      </c>
      <c r="D787" s="120"/>
      <c r="E787" s="120"/>
    </row>
    <row r="788" spans="1:5" ht="15.75" x14ac:dyDescent="0.25">
      <c r="A788" s="104"/>
      <c r="B788" s="104"/>
      <c r="C788" s="92" t="str">
        <f t="shared" si="12"/>
        <v/>
      </c>
      <c r="D788" s="120"/>
      <c r="E788" s="120"/>
    </row>
    <row r="789" spans="1:5" ht="15.75" x14ac:dyDescent="0.25">
      <c r="A789" s="104"/>
      <c r="B789" s="104"/>
      <c r="C789" s="92" t="str">
        <f t="shared" si="12"/>
        <v/>
      </c>
      <c r="D789" s="120"/>
      <c r="E789" s="120"/>
    </row>
    <row r="790" spans="1:5" ht="15.75" x14ac:dyDescent="0.25">
      <c r="A790" s="104"/>
      <c r="B790" s="104"/>
      <c r="C790" s="92" t="str">
        <f t="shared" si="12"/>
        <v/>
      </c>
      <c r="D790" s="120"/>
      <c r="E790" s="120"/>
    </row>
    <row r="791" spans="1:5" ht="15.75" x14ac:dyDescent="0.25">
      <c r="A791" s="104"/>
      <c r="B791" s="104"/>
      <c r="C791" s="92" t="str">
        <f t="shared" si="12"/>
        <v/>
      </c>
      <c r="D791" s="120"/>
      <c r="E791" s="120"/>
    </row>
    <row r="792" spans="1:5" ht="15.75" x14ac:dyDescent="0.25">
      <c r="A792" s="104"/>
      <c r="B792" s="104"/>
      <c r="C792" s="92" t="str">
        <f t="shared" si="12"/>
        <v/>
      </c>
      <c r="D792" s="120"/>
      <c r="E792" s="120"/>
    </row>
    <row r="793" spans="1:5" ht="15.75" x14ac:dyDescent="0.25">
      <c r="A793" s="104"/>
      <c r="B793" s="104"/>
      <c r="C793" s="92" t="str">
        <f t="shared" si="12"/>
        <v/>
      </c>
      <c r="D793" s="120"/>
      <c r="E793" s="120"/>
    </row>
    <row r="794" spans="1:5" ht="15.75" x14ac:dyDescent="0.25">
      <c r="A794" s="104"/>
      <c r="B794" s="104"/>
      <c r="C794" s="92" t="str">
        <f t="shared" si="12"/>
        <v/>
      </c>
      <c r="D794" s="120"/>
      <c r="E794" s="120"/>
    </row>
    <row r="795" spans="1:5" ht="15.75" x14ac:dyDescent="0.25">
      <c r="A795" s="104"/>
      <c r="B795" s="104"/>
      <c r="C795" s="92" t="str">
        <f t="shared" si="12"/>
        <v/>
      </c>
      <c r="D795" s="120"/>
      <c r="E795" s="120"/>
    </row>
    <row r="796" spans="1:5" ht="15.75" x14ac:dyDescent="0.25">
      <c r="A796" s="104"/>
      <c r="B796" s="104"/>
      <c r="C796" s="92" t="str">
        <f t="shared" si="12"/>
        <v/>
      </c>
      <c r="D796" s="120"/>
      <c r="E796" s="120"/>
    </row>
    <row r="797" spans="1:5" ht="15.75" x14ac:dyDescent="0.25">
      <c r="A797" s="104"/>
      <c r="B797" s="104"/>
      <c r="C797" s="92" t="str">
        <f t="shared" si="12"/>
        <v/>
      </c>
      <c r="D797" s="120"/>
      <c r="E797" s="120"/>
    </row>
    <row r="798" spans="1:5" ht="15.75" x14ac:dyDescent="0.25">
      <c r="A798" s="104"/>
      <c r="B798" s="104"/>
      <c r="C798" s="92" t="str">
        <f t="shared" si="12"/>
        <v/>
      </c>
      <c r="D798" s="120"/>
      <c r="E798" s="120"/>
    </row>
    <row r="799" spans="1:5" ht="15.75" x14ac:dyDescent="0.25">
      <c r="A799" s="104"/>
      <c r="B799" s="104"/>
      <c r="C799" s="92" t="str">
        <f t="shared" si="12"/>
        <v/>
      </c>
      <c r="D799" s="120"/>
      <c r="E799" s="120"/>
    </row>
    <row r="800" spans="1:5" ht="15.75" x14ac:dyDescent="0.25">
      <c r="A800" s="104"/>
      <c r="B800" s="104"/>
      <c r="C800" s="92" t="str">
        <f t="shared" si="12"/>
        <v/>
      </c>
      <c r="D800" s="120"/>
      <c r="E800" s="120"/>
    </row>
    <row r="801" spans="1:5" ht="15.75" x14ac:dyDescent="0.25">
      <c r="A801" s="104"/>
      <c r="B801" s="104"/>
      <c r="C801" s="92" t="str">
        <f t="shared" si="12"/>
        <v/>
      </c>
      <c r="D801" s="120"/>
      <c r="E801" s="120"/>
    </row>
    <row r="802" spans="1:5" ht="15.75" x14ac:dyDescent="0.25">
      <c r="A802" s="104"/>
      <c r="B802" s="104"/>
      <c r="C802" s="92" t="str">
        <f t="shared" si="12"/>
        <v/>
      </c>
      <c r="D802" s="120"/>
      <c r="E802" s="120"/>
    </row>
    <row r="803" spans="1:5" ht="15.75" x14ac:dyDescent="0.25">
      <c r="A803" s="104"/>
      <c r="B803" s="104"/>
      <c r="C803" s="92" t="str">
        <f t="shared" si="12"/>
        <v/>
      </c>
      <c r="D803" s="120"/>
      <c r="E803" s="120"/>
    </row>
    <row r="804" spans="1:5" ht="15.75" x14ac:dyDescent="0.25">
      <c r="A804" s="104"/>
      <c r="B804" s="104"/>
      <c r="C804" s="92" t="str">
        <f t="shared" si="12"/>
        <v/>
      </c>
      <c r="D804" s="120"/>
      <c r="E804" s="120"/>
    </row>
    <row r="805" spans="1:5" ht="15.75" x14ac:dyDescent="0.25">
      <c r="A805" s="104"/>
      <c r="B805" s="104"/>
      <c r="C805" s="92" t="str">
        <f t="shared" si="12"/>
        <v/>
      </c>
      <c r="D805" s="120"/>
      <c r="E805" s="120"/>
    </row>
    <row r="806" spans="1:5" ht="15.75" x14ac:dyDescent="0.25">
      <c r="A806" s="104"/>
      <c r="B806" s="104"/>
      <c r="C806" s="92" t="str">
        <f t="shared" si="12"/>
        <v/>
      </c>
      <c r="D806" s="120"/>
      <c r="E806" s="120"/>
    </row>
    <row r="807" spans="1:5" ht="15.75" x14ac:dyDescent="0.25">
      <c r="A807" s="104"/>
      <c r="B807" s="104"/>
      <c r="C807" s="92" t="str">
        <f t="shared" si="12"/>
        <v/>
      </c>
      <c r="D807" s="120"/>
      <c r="E807" s="120"/>
    </row>
    <row r="808" spans="1:5" ht="15.75" x14ac:dyDescent="0.25">
      <c r="A808" s="104"/>
      <c r="B808" s="104"/>
      <c r="C808" s="92" t="str">
        <f t="shared" si="12"/>
        <v/>
      </c>
      <c r="D808" s="120"/>
      <c r="E808" s="120"/>
    </row>
    <row r="809" spans="1:5" ht="15.75" x14ac:dyDescent="0.25">
      <c r="A809" s="104"/>
      <c r="B809" s="104"/>
      <c r="C809" s="92" t="str">
        <f t="shared" si="12"/>
        <v/>
      </c>
      <c r="D809" s="120"/>
      <c r="E809" s="120"/>
    </row>
    <row r="810" spans="1:5" ht="15.75" x14ac:dyDescent="0.25">
      <c r="A810" s="104"/>
      <c r="B810" s="104"/>
      <c r="C810" s="92" t="str">
        <f t="shared" si="12"/>
        <v/>
      </c>
      <c r="D810" s="120"/>
      <c r="E810" s="120"/>
    </row>
    <row r="811" spans="1:5" ht="15.75" x14ac:dyDescent="0.25">
      <c r="A811" s="104"/>
      <c r="B811" s="104"/>
      <c r="C811" s="92" t="str">
        <f t="shared" si="12"/>
        <v/>
      </c>
      <c r="D811" s="120"/>
      <c r="E811" s="120"/>
    </row>
    <row r="812" spans="1:5" ht="15.75" x14ac:dyDescent="0.25">
      <c r="A812" s="104"/>
      <c r="B812" s="104"/>
      <c r="C812" s="92" t="str">
        <f t="shared" si="12"/>
        <v/>
      </c>
      <c r="D812" s="120"/>
      <c r="E812" s="120"/>
    </row>
    <row r="813" spans="1:5" ht="15.75" x14ac:dyDescent="0.25">
      <c r="A813" s="104"/>
      <c r="B813" s="104"/>
      <c r="C813" s="92" t="str">
        <f t="shared" si="12"/>
        <v/>
      </c>
      <c r="D813" s="120"/>
      <c r="E813" s="120"/>
    </row>
    <row r="814" spans="1:5" ht="15.75" x14ac:dyDescent="0.25">
      <c r="A814" s="104"/>
      <c r="B814" s="104"/>
      <c r="C814" s="92" t="str">
        <f t="shared" si="12"/>
        <v/>
      </c>
      <c r="D814" s="120"/>
      <c r="E814" s="120"/>
    </row>
    <row r="815" spans="1:5" ht="15.75" x14ac:dyDescent="0.25">
      <c r="A815" s="104"/>
      <c r="B815" s="104"/>
      <c r="C815" s="92" t="str">
        <f t="shared" si="12"/>
        <v/>
      </c>
      <c r="D815" s="120"/>
      <c r="E815" s="120"/>
    </row>
    <row r="816" spans="1:5" ht="15.75" x14ac:dyDescent="0.25">
      <c r="A816" s="104"/>
      <c r="B816" s="104"/>
      <c r="C816" s="92" t="str">
        <f t="shared" si="12"/>
        <v/>
      </c>
      <c r="D816" s="120"/>
      <c r="E816" s="120"/>
    </row>
    <row r="817" spans="1:5" ht="15.75" x14ac:dyDescent="0.25">
      <c r="A817" s="104"/>
      <c r="B817" s="104"/>
      <c r="C817" s="92" t="str">
        <f t="shared" si="12"/>
        <v/>
      </c>
      <c r="D817" s="120"/>
      <c r="E817" s="120"/>
    </row>
    <row r="818" spans="1:5" ht="15.75" x14ac:dyDescent="0.25">
      <c r="A818" s="104"/>
      <c r="B818" s="104"/>
      <c r="C818" s="92" t="str">
        <f t="shared" si="12"/>
        <v/>
      </c>
      <c r="D818" s="120"/>
      <c r="E818" s="120"/>
    </row>
    <row r="819" spans="1:5" ht="15.75" x14ac:dyDescent="0.25">
      <c r="A819" s="104"/>
      <c r="B819" s="104"/>
      <c r="C819" s="92" t="str">
        <f t="shared" si="12"/>
        <v/>
      </c>
      <c r="D819" s="120"/>
      <c r="E819" s="120"/>
    </row>
    <row r="820" spans="1:5" ht="15.75" x14ac:dyDescent="0.25">
      <c r="A820" s="104"/>
      <c r="B820" s="104"/>
      <c r="C820" s="92" t="str">
        <f t="shared" si="12"/>
        <v/>
      </c>
      <c r="D820" s="120"/>
      <c r="E820" s="120"/>
    </row>
    <row r="821" spans="1:5" ht="15.75" x14ac:dyDescent="0.25">
      <c r="A821" s="104"/>
      <c r="B821" s="104"/>
      <c r="C821" s="92" t="str">
        <f t="shared" si="12"/>
        <v/>
      </c>
      <c r="D821" s="120"/>
      <c r="E821" s="120"/>
    </row>
    <row r="822" spans="1:5" ht="15.75" x14ac:dyDescent="0.25">
      <c r="A822" s="104"/>
      <c r="B822" s="104"/>
      <c r="C822" s="92" t="str">
        <f t="shared" si="12"/>
        <v/>
      </c>
      <c r="D822" s="120"/>
      <c r="E822" s="120"/>
    </row>
    <row r="823" spans="1:5" ht="15.75" x14ac:dyDescent="0.25">
      <c r="A823" s="104"/>
      <c r="B823" s="104"/>
      <c r="C823" s="92" t="str">
        <f t="shared" si="12"/>
        <v/>
      </c>
      <c r="D823" s="120"/>
      <c r="E823" s="120"/>
    </row>
    <row r="824" spans="1:5" ht="15.75" x14ac:dyDescent="0.25">
      <c r="A824" s="104"/>
      <c r="B824" s="104"/>
      <c r="C824" s="92" t="str">
        <f t="shared" si="12"/>
        <v/>
      </c>
      <c r="D824" s="120"/>
      <c r="E824" s="120"/>
    </row>
    <row r="825" spans="1:5" ht="15.75" x14ac:dyDescent="0.25">
      <c r="A825" s="104"/>
      <c r="B825" s="104"/>
      <c r="C825" s="92" t="str">
        <f t="shared" si="12"/>
        <v/>
      </c>
      <c r="D825" s="120"/>
      <c r="E825" s="120"/>
    </row>
    <row r="826" spans="1:5" ht="15.75" x14ac:dyDescent="0.25">
      <c r="A826" s="104"/>
      <c r="B826" s="104"/>
      <c r="C826" s="92" t="str">
        <f t="shared" si="12"/>
        <v/>
      </c>
      <c r="D826" s="120"/>
      <c r="E826" s="120"/>
    </row>
    <row r="827" spans="1:5" ht="15.75" x14ac:dyDescent="0.25">
      <c r="A827" s="104"/>
      <c r="B827" s="104"/>
      <c r="C827" s="92" t="str">
        <f t="shared" si="12"/>
        <v/>
      </c>
      <c r="D827" s="120"/>
      <c r="E827" s="120"/>
    </row>
    <row r="828" spans="1:5" ht="15.75" x14ac:dyDescent="0.25">
      <c r="A828" s="104"/>
      <c r="B828" s="104"/>
      <c r="C828" s="92" t="str">
        <f t="shared" si="12"/>
        <v/>
      </c>
      <c r="D828" s="120"/>
      <c r="E828" s="120"/>
    </row>
    <row r="829" spans="1:5" ht="15.75" x14ac:dyDescent="0.25">
      <c r="A829" s="104"/>
      <c r="B829" s="104"/>
      <c r="C829" s="92" t="str">
        <f t="shared" si="12"/>
        <v/>
      </c>
      <c r="D829" s="120"/>
      <c r="E829" s="120"/>
    </row>
    <row r="830" spans="1:5" ht="15.75" x14ac:dyDescent="0.25">
      <c r="A830" s="104"/>
      <c r="B830" s="104"/>
      <c r="C830" s="92" t="str">
        <f t="shared" si="12"/>
        <v/>
      </c>
      <c r="D830" s="120"/>
      <c r="E830" s="120"/>
    </row>
    <row r="831" spans="1:5" ht="15.75" x14ac:dyDescent="0.25">
      <c r="A831" s="104"/>
      <c r="B831" s="104"/>
      <c r="C831" s="92" t="str">
        <f t="shared" si="12"/>
        <v/>
      </c>
      <c r="D831" s="120"/>
      <c r="E831" s="120"/>
    </row>
    <row r="832" spans="1:5" ht="15.75" x14ac:dyDescent="0.25">
      <c r="A832" s="104"/>
      <c r="B832" s="104"/>
      <c r="C832" s="92" t="str">
        <f t="shared" si="12"/>
        <v/>
      </c>
      <c r="D832" s="120"/>
      <c r="E832" s="120"/>
    </row>
    <row r="833" spans="1:5" ht="15.75" x14ac:dyDescent="0.25">
      <c r="A833" s="104"/>
      <c r="B833" s="104"/>
      <c r="C833" s="92" t="str">
        <f t="shared" si="12"/>
        <v/>
      </c>
      <c r="D833" s="120"/>
      <c r="E833" s="120"/>
    </row>
    <row r="834" spans="1:5" ht="15.75" x14ac:dyDescent="0.25">
      <c r="A834" s="104"/>
      <c r="B834" s="104"/>
      <c r="C834" s="92" t="str">
        <f t="shared" si="12"/>
        <v/>
      </c>
      <c r="D834" s="120"/>
      <c r="E834" s="120"/>
    </row>
    <row r="835" spans="1:5" ht="15.75" x14ac:dyDescent="0.25">
      <c r="A835" s="104"/>
      <c r="B835" s="104"/>
      <c r="C835" s="92" t="str">
        <f t="shared" si="12"/>
        <v/>
      </c>
      <c r="D835" s="120"/>
      <c r="E835" s="120"/>
    </row>
    <row r="836" spans="1:5" ht="15.75" x14ac:dyDescent="0.25">
      <c r="A836" s="104"/>
      <c r="B836" s="104"/>
      <c r="C836" s="92" t="str">
        <f t="shared" si="12"/>
        <v/>
      </c>
      <c r="D836" s="120"/>
      <c r="E836" s="120"/>
    </row>
    <row r="837" spans="1:5" ht="15.75" x14ac:dyDescent="0.25">
      <c r="A837" s="104"/>
      <c r="B837" s="104"/>
      <c r="C837" s="92" t="str">
        <f t="shared" si="12"/>
        <v/>
      </c>
      <c r="D837" s="120"/>
      <c r="E837" s="120"/>
    </row>
    <row r="838" spans="1:5" ht="15.75" x14ac:dyDescent="0.25">
      <c r="A838" s="104"/>
      <c r="B838" s="104"/>
      <c r="C838" s="92" t="str">
        <f t="shared" si="12"/>
        <v/>
      </c>
      <c r="D838" s="120"/>
      <c r="E838" s="120"/>
    </row>
    <row r="839" spans="1:5" ht="15.75" x14ac:dyDescent="0.25">
      <c r="A839" s="104"/>
      <c r="B839" s="104"/>
      <c r="C839" s="92" t="str">
        <f t="shared" si="12"/>
        <v/>
      </c>
      <c r="D839" s="120"/>
      <c r="E839" s="120"/>
    </row>
    <row r="840" spans="1:5" ht="15.75" x14ac:dyDescent="0.25">
      <c r="A840" s="104"/>
      <c r="B840" s="104"/>
      <c r="C840" s="92" t="str">
        <f t="shared" si="12"/>
        <v/>
      </c>
      <c r="D840" s="120"/>
      <c r="E840" s="120"/>
    </row>
    <row r="841" spans="1:5" ht="15.75" x14ac:dyDescent="0.25">
      <c r="A841" s="104"/>
      <c r="B841" s="104"/>
      <c r="C841" s="92" t="str">
        <f t="shared" si="12"/>
        <v/>
      </c>
      <c r="D841" s="120"/>
      <c r="E841" s="120"/>
    </row>
    <row r="842" spans="1:5" ht="15.75" x14ac:dyDescent="0.25">
      <c r="A842" s="104"/>
      <c r="B842" s="104"/>
      <c r="C842" s="92" t="str">
        <f t="shared" ref="C842:C905" si="13">IF(A842=0,"","MinMax")</f>
        <v/>
      </c>
      <c r="D842" s="120"/>
      <c r="E842" s="120"/>
    </row>
    <row r="843" spans="1:5" ht="15.75" x14ac:dyDescent="0.25">
      <c r="A843" s="104"/>
      <c r="B843" s="104"/>
      <c r="C843" s="92" t="str">
        <f t="shared" si="13"/>
        <v/>
      </c>
      <c r="D843" s="120"/>
      <c r="E843" s="120"/>
    </row>
    <row r="844" spans="1:5" ht="15.75" x14ac:dyDescent="0.25">
      <c r="A844" s="104"/>
      <c r="B844" s="104"/>
      <c r="C844" s="92" t="str">
        <f t="shared" si="13"/>
        <v/>
      </c>
      <c r="D844" s="120"/>
      <c r="E844" s="120"/>
    </row>
    <row r="845" spans="1:5" ht="15.75" x14ac:dyDescent="0.25">
      <c r="A845" s="104"/>
      <c r="B845" s="104"/>
      <c r="C845" s="92" t="str">
        <f t="shared" si="13"/>
        <v/>
      </c>
      <c r="D845" s="120"/>
      <c r="E845" s="120"/>
    </row>
    <row r="846" spans="1:5" ht="15.75" x14ac:dyDescent="0.25">
      <c r="A846" s="104"/>
      <c r="B846" s="104"/>
      <c r="C846" s="92" t="str">
        <f t="shared" si="13"/>
        <v/>
      </c>
      <c r="D846" s="120"/>
      <c r="E846" s="120"/>
    </row>
    <row r="847" spans="1:5" ht="15.75" x14ac:dyDescent="0.25">
      <c r="A847" s="104"/>
      <c r="B847" s="104"/>
      <c r="C847" s="92" t="str">
        <f t="shared" si="13"/>
        <v/>
      </c>
      <c r="D847" s="120"/>
      <c r="E847" s="120"/>
    </row>
    <row r="848" spans="1:5" ht="15.75" x14ac:dyDescent="0.25">
      <c r="A848" s="104"/>
      <c r="B848" s="104"/>
      <c r="C848" s="92" t="str">
        <f t="shared" si="13"/>
        <v/>
      </c>
      <c r="D848" s="120"/>
      <c r="E848" s="120"/>
    </row>
    <row r="849" spans="1:5" ht="15.75" x14ac:dyDescent="0.25">
      <c r="A849" s="104"/>
      <c r="B849" s="104"/>
      <c r="C849" s="92" t="str">
        <f t="shared" si="13"/>
        <v/>
      </c>
      <c r="D849" s="120"/>
      <c r="E849" s="120"/>
    </row>
    <row r="850" spans="1:5" ht="15.75" x14ac:dyDescent="0.25">
      <c r="A850" s="104"/>
      <c r="B850" s="104"/>
      <c r="C850" s="92" t="str">
        <f t="shared" si="13"/>
        <v/>
      </c>
      <c r="D850" s="120"/>
      <c r="E850" s="120"/>
    </row>
    <row r="851" spans="1:5" ht="15.75" x14ac:dyDescent="0.25">
      <c r="A851" s="104"/>
      <c r="B851" s="104"/>
      <c r="C851" s="92" t="str">
        <f t="shared" si="13"/>
        <v/>
      </c>
      <c r="D851" s="120"/>
      <c r="E851" s="120"/>
    </row>
    <row r="852" spans="1:5" ht="15.75" x14ac:dyDescent="0.25">
      <c r="A852" s="104"/>
      <c r="B852" s="104"/>
      <c r="C852" s="92" t="str">
        <f t="shared" si="13"/>
        <v/>
      </c>
      <c r="D852" s="120"/>
      <c r="E852" s="120"/>
    </row>
    <row r="853" spans="1:5" ht="15.75" x14ac:dyDescent="0.25">
      <c r="A853" s="104"/>
      <c r="B853" s="104"/>
      <c r="C853" s="92" t="str">
        <f t="shared" si="13"/>
        <v/>
      </c>
      <c r="D853" s="120"/>
      <c r="E853" s="120"/>
    </row>
    <row r="854" spans="1:5" ht="15.75" x14ac:dyDescent="0.25">
      <c r="A854" s="104"/>
      <c r="B854" s="104"/>
      <c r="C854" s="92" t="str">
        <f t="shared" si="13"/>
        <v/>
      </c>
      <c r="D854" s="120"/>
      <c r="E854" s="120"/>
    </row>
    <row r="855" spans="1:5" ht="15.75" x14ac:dyDescent="0.25">
      <c r="A855" s="104"/>
      <c r="B855" s="104"/>
      <c r="C855" s="92" t="str">
        <f t="shared" si="13"/>
        <v/>
      </c>
      <c r="D855" s="120"/>
      <c r="E855" s="120"/>
    </row>
    <row r="856" spans="1:5" ht="15.75" x14ac:dyDescent="0.25">
      <c r="A856" s="104"/>
      <c r="B856" s="104"/>
      <c r="C856" s="92" t="str">
        <f t="shared" si="13"/>
        <v/>
      </c>
      <c r="D856" s="120"/>
      <c r="E856" s="120"/>
    </row>
    <row r="857" spans="1:5" ht="15.75" x14ac:dyDescent="0.25">
      <c r="A857" s="104"/>
      <c r="B857" s="104"/>
      <c r="C857" s="92" t="str">
        <f t="shared" si="13"/>
        <v/>
      </c>
      <c r="D857" s="120"/>
      <c r="E857" s="120"/>
    </row>
    <row r="858" spans="1:5" ht="15.75" x14ac:dyDescent="0.25">
      <c r="A858" s="104"/>
      <c r="B858" s="104"/>
      <c r="C858" s="92" t="str">
        <f t="shared" si="13"/>
        <v/>
      </c>
      <c r="D858" s="120"/>
      <c r="E858" s="120"/>
    </row>
    <row r="859" spans="1:5" ht="15.75" x14ac:dyDescent="0.25">
      <c r="A859" s="104"/>
      <c r="B859" s="104"/>
      <c r="C859" s="92" t="str">
        <f t="shared" si="13"/>
        <v/>
      </c>
      <c r="D859" s="120"/>
      <c r="E859" s="120"/>
    </row>
    <row r="860" spans="1:5" ht="15.75" x14ac:dyDescent="0.25">
      <c r="A860" s="104"/>
      <c r="B860" s="104"/>
      <c r="C860" s="92" t="str">
        <f t="shared" si="13"/>
        <v/>
      </c>
      <c r="D860" s="120"/>
      <c r="E860" s="120"/>
    </row>
    <row r="861" spans="1:5" ht="15.75" x14ac:dyDescent="0.25">
      <c r="A861" s="104"/>
      <c r="B861" s="104"/>
      <c r="C861" s="92" t="str">
        <f t="shared" si="13"/>
        <v/>
      </c>
      <c r="D861" s="120"/>
      <c r="E861" s="120"/>
    </row>
    <row r="862" spans="1:5" ht="15.75" x14ac:dyDescent="0.25">
      <c r="A862" s="104"/>
      <c r="B862" s="104"/>
      <c r="C862" s="92" t="str">
        <f t="shared" si="13"/>
        <v/>
      </c>
      <c r="D862" s="120"/>
      <c r="E862" s="120"/>
    </row>
    <row r="863" spans="1:5" ht="15.75" x14ac:dyDescent="0.25">
      <c r="A863" s="104"/>
      <c r="B863" s="104"/>
      <c r="C863" s="92" t="str">
        <f t="shared" si="13"/>
        <v/>
      </c>
      <c r="D863" s="120"/>
      <c r="E863" s="120"/>
    </row>
    <row r="864" spans="1:5" ht="15.75" x14ac:dyDescent="0.25">
      <c r="A864" s="104"/>
      <c r="B864" s="104"/>
      <c r="C864" s="92" t="str">
        <f t="shared" si="13"/>
        <v/>
      </c>
      <c r="D864" s="120"/>
      <c r="E864" s="120"/>
    </row>
    <row r="865" spans="1:5" ht="15.75" x14ac:dyDescent="0.25">
      <c r="A865" s="104"/>
      <c r="B865" s="104"/>
      <c r="C865" s="92" t="str">
        <f t="shared" si="13"/>
        <v/>
      </c>
      <c r="D865" s="120"/>
      <c r="E865" s="120"/>
    </row>
    <row r="866" spans="1:5" ht="15.75" x14ac:dyDescent="0.25">
      <c r="A866" s="104"/>
      <c r="B866" s="104"/>
      <c r="C866" s="92" t="str">
        <f t="shared" si="13"/>
        <v/>
      </c>
      <c r="D866" s="120"/>
      <c r="E866" s="120"/>
    </row>
    <row r="867" spans="1:5" ht="15.75" x14ac:dyDescent="0.25">
      <c r="A867" s="104"/>
      <c r="B867" s="104"/>
      <c r="C867" s="92" t="str">
        <f t="shared" si="13"/>
        <v/>
      </c>
      <c r="D867" s="120"/>
      <c r="E867" s="120"/>
    </row>
    <row r="868" spans="1:5" ht="15.75" x14ac:dyDescent="0.25">
      <c r="A868" s="104"/>
      <c r="B868" s="104"/>
      <c r="C868" s="92" t="str">
        <f t="shared" si="13"/>
        <v/>
      </c>
      <c r="D868" s="120"/>
      <c r="E868" s="120"/>
    </row>
    <row r="869" spans="1:5" ht="15.75" x14ac:dyDescent="0.25">
      <c r="A869" s="104"/>
      <c r="B869" s="104"/>
      <c r="C869" s="92" t="str">
        <f t="shared" si="13"/>
        <v/>
      </c>
      <c r="D869" s="120"/>
      <c r="E869" s="120"/>
    </row>
    <row r="870" spans="1:5" ht="15.75" x14ac:dyDescent="0.25">
      <c r="A870" s="104"/>
      <c r="B870" s="104"/>
      <c r="C870" s="92" t="str">
        <f t="shared" si="13"/>
        <v/>
      </c>
      <c r="D870" s="120"/>
      <c r="E870" s="120"/>
    </row>
    <row r="871" spans="1:5" ht="15.75" x14ac:dyDescent="0.25">
      <c r="A871" s="104"/>
      <c r="B871" s="104"/>
      <c r="C871" s="92" t="str">
        <f t="shared" si="13"/>
        <v/>
      </c>
      <c r="D871" s="120"/>
      <c r="E871" s="120"/>
    </row>
    <row r="872" spans="1:5" ht="15.75" x14ac:dyDescent="0.25">
      <c r="A872" s="104"/>
      <c r="B872" s="104"/>
      <c r="C872" s="92" t="str">
        <f t="shared" si="13"/>
        <v/>
      </c>
      <c r="D872" s="120"/>
      <c r="E872" s="120"/>
    </row>
    <row r="873" spans="1:5" ht="15.75" x14ac:dyDescent="0.25">
      <c r="A873" s="104"/>
      <c r="B873" s="104"/>
      <c r="C873" s="92" t="str">
        <f t="shared" si="13"/>
        <v/>
      </c>
      <c r="D873" s="120"/>
      <c r="E873" s="120"/>
    </row>
    <row r="874" spans="1:5" ht="15.75" x14ac:dyDescent="0.25">
      <c r="A874" s="104"/>
      <c r="B874" s="104"/>
      <c r="C874" s="92" t="str">
        <f t="shared" si="13"/>
        <v/>
      </c>
      <c r="D874" s="120"/>
      <c r="E874" s="120"/>
    </row>
    <row r="875" spans="1:5" ht="15.75" x14ac:dyDescent="0.25">
      <c r="A875" s="104"/>
      <c r="B875" s="104"/>
      <c r="C875" s="92" t="str">
        <f t="shared" si="13"/>
        <v/>
      </c>
      <c r="D875" s="120"/>
      <c r="E875" s="120"/>
    </row>
    <row r="876" spans="1:5" ht="15.75" x14ac:dyDescent="0.25">
      <c r="A876" s="104"/>
      <c r="B876" s="104"/>
      <c r="C876" s="92" t="str">
        <f t="shared" si="13"/>
        <v/>
      </c>
      <c r="D876" s="120"/>
      <c r="E876" s="120"/>
    </row>
    <row r="877" spans="1:5" ht="15.75" x14ac:dyDescent="0.25">
      <c r="A877" s="104"/>
      <c r="B877" s="104"/>
      <c r="C877" s="92" t="str">
        <f t="shared" si="13"/>
        <v/>
      </c>
      <c r="D877" s="120"/>
      <c r="E877" s="120"/>
    </row>
    <row r="878" spans="1:5" ht="15.75" x14ac:dyDescent="0.25">
      <c r="A878" s="104"/>
      <c r="B878" s="104"/>
      <c r="C878" s="92" t="str">
        <f t="shared" si="13"/>
        <v/>
      </c>
      <c r="D878" s="120"/>
      <c r="E878" s="120"/>
    </row>
    <row r="879" spans="1:5" ht="15.75" x14ac:dyDescent="0.25">
      <c r="A879" s="104"/>
      <c r="B879" s="104"/>
      <c r="C879" s="92" t="str">
        <f t="shared" si="13"/>
        <v/>
      </c>
      <c r="D879" s="120"/>
      <c r="E879" s="120"/>
    </row>
    <row r="880" spans="1:5" ht="15.75" x14ac:dyDescent="0.25">
      <c r="A880" s="104"/>
      <c r="B880" s="104"/>
      <c r="C880" s="92" t="str">
        <f t="shared" si="13"/>
        <v/>
      </c>
      <c r="D880" s="120"/>
      <c r="E880" s="120"/>
    </row>
    <row r="881" spans="1:5" ht="15.75" x14ac:dyDescent="0.25">
      <c r="A881" s="104"/>
      <c r="B881" s="104"/>
      <c r="C881" s="92" t="str">
        <f t="shared" si="13"/>
        <v/>
      </c>
      <c r="D881" s="120"/>
      <c r="E881" s="120"/>
    </row>
    <row r="882" spans="1:5" ht="15.75" x14ac:dyDescent="0.25">
      <c r="A882" s="104"/>
      <c r="B882" s="104"/>
      <c r="C882" s="92" t="str">
        <f t="shared" si="13"/>
        <v/>
      </c>
      <c r="D882" s="120"/>
      <c r="E882" s="120"/>
    </row>
    <row r="883" spans="1:5" ht="15.75" x14ac:dyDescent="0.25">
      <c r="A883" s="104"/>
      <c r="B883" s="104"/>
      <c r="C883" s="92" t="str">
        <f t="shared" si="13"/>
        <v/>
      </c>
      <c r="D883" s="120"/>
      <c r="E883" s="120"/>
    </row>
    <row r="884" spans="1:5" ht="15.75" x14ac:dyDescent="0.25">
      <c r="A884" s="104"/>
      <c r="B884" s="104"/>
      <c r="C884" s="92" t="str">
        <f t="shared" si="13"/>
        <v/>
      </c>
      <c r="D884" s="120"/>
      <c r="E884" s="120"/>
    </row>
    <row r="885" spans="1:5" ht="15.75" x14ac:dyDescent="0.25">
      <c r="A885" s="104"/>
      <c r="B885" s="104"/>
      <c r="C885" s="92" t="str">
        <f t="shared" si="13"/>
        <v/>
      </c>
      <c r="D885" s="120"/>
      <c r="E885" s="120"/>
    </row>
    <row r="886" spans="1:5" ht="15.75" x14ac:dyDescent="0.25">
      <c r="A886" s="104"/>
      <c r="B886" s="104"/>
      <c r="C886" s="92" t="str">
        <f t="shared" si="13"/>
        <v/>
      </c>
      <c r="D886" s="120"/>
      <c r="E886" s="120"/>
    </row>
    <row r="887" spans="1:5" ht="15.75" x14ac:dyDescent="0.25">
      <c r="A887" s="104"/>
      <c r="B887" s="104"/>
      <c r="C887" s="92" t="str">
        <f t="shared" si="13"/>
        <v/>
      </c>
      <c r="D887" s="120"/>
      <c r="E887" s="120"/>
    </row>
    <row r="888" spans="1:5" ht="15.75" x14ac:dyDescent="0.25">
      <c r="A888" s="104"/>
      <c r="B888" s="104"/>
      <c r="C888" s="92" t="str">
        <f t="shared" si="13"/>
        <v/>
      </c>
      <c r="D888" s="120"/>
      <c r="E888" s="120"/>
    </row>
    <row r="889" spans="1:5" ht="15.75" x14ac:dyDescent="0.25">
      <c r="A889" s="104"/>
      <c r="B889" s="104"/>
      <c r="C889" s="92" t="str">
        <f t="shared" si="13"/>
        <v/>
      </c>
      <c r="D889" s="120"/>
      <c r="E889" s="120"/>
    </row>
    <row r="890" spans="1:5" ht="15.75" x14ac:dyDescent="0.25">
      <c r="A890" s="104"/>
      <c r="B890" s="104"/>
      <c r="C890" s="92" t="str">
        <f t="shared" si="13"/>
        <v/>
      </c>
      <c r="D890" s="120"/>
      <c r="E890" s="120"/>
    </row>
    <row r="891" spans="1:5" ht="15.75" x14ac:dyDescent="0.25">
      <c r="A891" s="104"/>
      <c r="B891" s="104"/>
      <c r="C891" s="92" t="str">
        <f t="shared" si="13"/>
        <v/>
      </c>
      <c r="D891" s="120"/>
      <c r="E891" s="120"/>
    </row>
    <row r="892" spans="1:5" ht="15.75" x14ac:dyDescent="0.25">
      <c r="A892" s="104"/>
      <c r="B892" s="104"/>
      <c r="C892" s="92" t="str">
        <f t="shared" si="13"/>
        <v/>
      </c>
      <c r="D892" s="120"/>
      <c r="E892" s="120"/>
    </row>
    <row r="893" spans="1:5" ht="15.75" x14ac:dyDescent="0.25">
      <c r="A893" s="104"/>
      <c r="B893" s="104"/>
      <c r="C893" s="92" t="str">
        <f t="shared" si="13"/>
        <v/>
      </c>
      <c r="D893" s="120"/>
      <c r="E893" s="120"/>
    </row>
    <row r="894" spans="1:5" ht="15.75" x14ac:dyDescent="0.25">
      <c r="A894" s="104"/>
      <c r="B894" s="104"/>
      <c r="C894" s="92" t="str">
        <f t="shared" si="13"/>
        <v/>
      </c>
      <c r="D894" s="120"/>
      <c r="E894" s="120"/>
    </row>
    <row r="895" spans="1:5" ht="15.75" x14ac:dyDescent="0.25">
      <c r="A895" s="104"/>
      <c r="B895" s="104"/>
      <c r="C895" s="92" t="str">
        <f t="shared" si="13"/>
        <v/>
      </c>
      <c r="D895" s="120"/>
      <c r="E895" s="120"/>
    </row>
    <row r="896" spans="1:5" ht="15.75" x14ac:dyDescent="0.25">
      <c r="A896" s="104"/>
      <c r="B896" s="104"/>
      <c r="C896" s="92" t="str">
        <f t="shared" si="13"/>
        <v/>
      </c>
      <c r="D896" s="120"/>
      <c r="E896" s="120"/>
    </row>
    <row r="897" spans="1:5" ht="15.75" x14ac:dyDescent="0.25">
      <c r="A897" s="104"/>
      <c r="B897" s="104"/>
      <c r="C897" s="92" t="str">
        <f t="shared" si="13"/>
        <v/>
      </c>
      <c r="D897" s="120"/>
      <c r="E897" s="120"/>
    </row>
    <row r="898" spans="1:5" ht="15.75" x14ac:dyDescent="0.25">
      <c r="A898" s="104"/>
      <c r="B898" s="104"/>
      <c r="C898" s="92" t="str">
        <f t="shared" si="13"/>
        <v/>
      </c>
      <c r="D898" s="120"/>
      <c r="E898" s="120"/>
    </row>
    <row r="899" spans="1:5" ht="15.75" x14ac:dyDescent="0.25">
      <c r="A899" s="104"/>
      <c r="B899" s="104"/>
      <c r="C899" s="92" t="str">
        <f t="shared" si="13"/>
        <v/>
      </c>
      <c r="D899" s="120"/>
      <c r="E899" s="120"/>
    </row>
    <row r="900" spans="1:5" ht="15.75" x14ac:dyDescent="0.25">
      <c r="A900" s="104"/>
      <c r="B900" s="104"/>
      <c r="C900" s="92" t="str">
        <f t="shared" si="13"/>
        <v/>
      </c>
      <c r="D900" s="120"/>
      <c r="E900" s="120"/>
    </row>
    <row r="901" spans="1:5" ht="15.75" x14ac:dyDescent="0.25">
      <c r="A901" s="104"/>
      <c r="B901" s="104"/>
      <c r="C901" s="92" t="str">
        <f t="shared" si="13"/>
        <v/>
      </c>
      <c r="D901" s="120"/>
      <c r="E901" s="120"/>
    </row>
    <row r="902" spans="1:5" ht="15.75" x14ac:dyDescent="0.25">
      <c r="A902" s="104"/>
      <c r="B902" s="104"/>
      <c r="C902" s="92" t="str">
        <f t="shared" si="13"/>
        <v/>
      </c>
      <c r="D902" s="120"/>
      <c r="E902" s="120"/>
    </row>
    <row r="903" spans="1:5" ht="15.75" x14ac:dyDescent="0.25">
      <c r="A903" s="104"/>
      <c r="B903" s="104"/>
      <c r="C903" s="92" t="str">
        <f t="shared" si="13"/>
        <v/>
      </c>
      <c r="D903" s="120"/>
      <c r="E903" s="120"/>
    </row>
    <row r="904" spans="1:5" ht="15.75" x14ac:dyDescent="0.25">
      <c r="A904" s="104"/>
      <c r="B904" s="104"/>
      <c r="C904" s="92" t="str">
        <f t="shared" si="13"/>
        <v/>
      </c>
      <c r="D904" s="120"/>
      <c r="E904" s="120"/>
    </row>
    <row r="905" spans="1:5" ht="15.75" x14ac:dyDescent="0.25">
      <c r="A905" s="104"/>
      <c r="B905" s="104"/>
      <c r="C905" s="92" t="str">
        <f t="shared" si="13"/>
        <v/>
      </c>
      <c r="D905" s="120"/>
      <c r="E905" s="120"/>
    </row>
    <row r="906" spans="1:5" ht="15.75" x14ac:dyDescent="0.25">
      <c r="A906" s="104"/>
      <c r="B906" s="104"/>
      <c r="C906" s="92" t="str">
        <f t="shared" ref="C906:C969" si="14">IF(A906=0,"","MinMax")</f>
        <v/>
      </c>
      <c r="D906" s="120"/>
      <c r="E906" s="120"/>
    </row>
    <row r="907" spans="1:5" ht="15.75" x14ac:dyDescent="0.25">
      <c r="A907" s="104"/>
      <c r="B907" s="104"/>
      <c r="C907" s="92" t="str">
        <f t="shared" si="14"/>
        <v/>
      </c>
      <c r="D907" s="120"/>
      <c r="E907" s="120"/>
    </row>
    <row r="908" spans="1:5" ht="15.75" x14ac:dyDescent="0.25">
      <c r="A908" s="104"/>
      <c r="B908" s="104"/>
      <c r="C908" s="92" t="str">
        <f t="shared" si="14"/>
        <v/>
      </c>
      <c r="D908" s="120"/>
      <c r="E908" s="120"/>
    </row>
    <row r="909" spans="1:5" ht="15.75" x14ac:dyDescent="0.25">
      <c r="A909" s="104"/>
      <c r="B909" s="104"/>
      <c r="C909" s="92" t="str">
        <f t="shared" si="14"/>
        <v/>
      </c>
      <c r="D909" s="120"/>
      <c r="E909" s="120"/>
    </row>
    <row r="910" spans="1:5" ht="15.75" x14ac:dyDescent="0.25">
      <c r="A910" s="104"/>
      <c r="B910" s="104"/>
      <c r="C910" s="92" t="str">
        <f t="shared" si="14"/>
        <v/>
      </c>
      <c r="D910" s="120"/>
      <c r="E910" s="120"/>
    </row>
    <row r="911" spans="1:5" ht="15.75" x14ac:dyDescent="0.25">
      <c r="A911" s="104"/>
      <c r="B911" s="104"/>
      <c r="C911" s="92" t="str">
        <f t="shared" si="14"/>
        <v/>
      </c>
      <c r="D911" s="120"/>
      <c r="E911" s="120"/>
    </row>
    <row r="912" spans="1:5" ht="15.75" x14ac:dyDescent="0.25">
      <c r="A912" s="104"/>
      <c r="B912" s="104"/>
      <c r="C912" s="92" t="str">
        <f t="shared" si="14"/>
        <v/>
      </c>
      <c r="D912" s="120"/>
      <c r="E912" s="120"/>
    </row>
    <row r="913" spans="1:5" ht="15.75" x14ac:dyDescent="0.25">
      <c r="A913" s="104"/>
      <c r="B913" s="104"/>
      <c r="C913" s="92" t="str">
        <f t="shared" si="14"/>
        <v/>
      </c>
      <c r="D913" s="120"/>
      <c r="E913" s="120"/>
    </row>
    <row r="914" spans="1:5" ht="15.75" x14ac:dyDescent="0.25">
      <c r="A914" s="104"/>
      <c r="B914" s="104"/>
      <c r="C914" s="92" t="str">
        <f t="shared" si="14"/>
        <v/>
      </c>
      <c r="D914" s="120"/>
      <c r="E914" s="120"/>
    </row>
    <row r="915" spans="1:5" ht="15.75" x14ac:dyDescent="0.25">
      <c r="A915" s="104"/>
      <c r="B915" s="104"/>
      <c r="C915" s="92" t="str">
        <f t="shared" si="14"/>
        <v/>
      </c>
      <c r="D915" s="120"/>
      <c r="E915" s="120"/>
    </row>
    <row r="916" spans="1:5" ht="15.75" x14ac:dyDescent="0.25">
      <c r="A916" s="104"/>
      <c r="B916" s="104"/>
      <c r="C916" s="92" t="str">
        <f t="shared" si="14"/>
        <v/>
      </c>
      <c r="D916" s="120"/>
      <c r="E916" s="120"/>
    </row>
    <row r="917" spans="1:5" ht="15.75" x14ac:dyDescent="0.25">
      <c r="A917" s="104"/>
      <c r="B917" s="104"/>
      <c r="C917" s="92" t="str">
        <f t="shared" si="14"/>
        <v/>
      </c>
      <c r="D917" s="120"/>
      <c r="E917" s="120"/>
    </row>
    <row r="918" spans="1:5" ht="15.75" x14ac:dyDescent="0.25">
      <c r="A918" s="104"/>
      <c r="B918" s="104"/>
      <c r="C918" s="92" t="str">
        <f t="shared" si="14"/>
        <v/>
      </c>
      <c r="D918" s="120"/>
      <c r="E918" s="120"/>
    </row>
    <row r="919" spans="1:5" ht="15.75" x14ac:dyDescent="0.25">
      <c r="A919" s="104"/>
      <c r="B919" s="104"/>
      <c r="C919" s="92" t="str">
        <f t="shared" si="14"/>
        <v/>
      </c>
      <c r="D919" s="120"/>
      <c r="E919" s="120"/>
    </row>
    <row r="920" spans="1:5" ht="15.75" x14ac:dyDescent="0.25">
      <c r="A920" s="104"/>
      <c r="B920" s="104"/>
      <c r="C920" s="92" t="str">
        <f t="shared" si="14"/>
        <v/>
      </c>
      <c r="D920" s="120"/>
      <c r="E920" s="120"/>
    </row>
    <row r="921" spans="1:5" ht="15.75" x14ac:dyDescent="0.25">
      <c r="A921" s="104"/>
      <c r="B921" s="104"/>
      <c r="C921" s="92" t="str">
        <f t="shared" si="14"/>
        <v/>
      </c>
      <c r="D921" s="120"/>
      <c r="E921" s="120"/>
    </row>
    <row r="922" spans="1:5" ht="15.75" x14ac:dyDescent="0.25">
      <c r="A922" s="104"/>
      <c r="B922" s="104"/>
      <c r="C922" s="92" t="str">
        <f t="shared" si="14"/>
        <v/>
      </c>
      <c r="D922" s="120"/>
      <c r="E922" s="120"/>
    </row>
    <row r="923" spans="1:5" ht="15.75" x14ac:dyDescent="0.25">
      <c r="A923" s="104"/>
      <c r="B923" s="104"/>
      <c r="C923" s="92" t="str">
        <f t="shared" si="14"/>
        <v/>
      </c>
      <c r="D923" s="120"/>
      <c r="E923" s="120"/>
    </row>
    <row r="924" spans="1:5" ht="15.75" x14ac:dyDescent="0.25">
      <c r="A924" s="104"/>
      <c r="B924" s="104"/>
      <c r="C924" s="92" t="str">
        <f t="shared" si="14"/>
        <v/>
      </c>
      <c r="D924" s="120"/>
      <c r="E924" s="120"/>
    </row>
    <row r="925" spans="1:5" ht="15.75" x14ac:dyDescent="0.25">
      <c r="A925" s="104"/>
      <c r="B925" s="104"/>
      <c r="C925" s="92" t="str">
        <f t="shared" si="14"/>
        <v/>
      </c>
      <c r="D925" s="120"/>
      <c r="E925" s="120"/>
    </row>
    <row r="926" spans="1:5" ht="15.75" x14ac:dyDescent="0.25">
      <c r="A926" s="104"/>
      <c r="B926" s="104"/>
      <c r="C926" s="92" t="str">
        <f t="shared" si="14"/>
        <v/>
      </c>
      <c r="D926" s="120"/>
      <c r="E926" s="120"/>
    </row>
    <row r="927" spans="1:5" ht="15.75" x14ac:dyDescent="0.25">
      <c r="A927" s="104"/>
      <c r="B927" s="104"/>
      <c r="C927" s="92" t="str">
        <f t="shared" si="14"/>
        <v/>
      </c>
      <c r="D927" s="120"/>
      <c r="E927" s="120"/>
    </row>
    <row r="928" spans="1:5" ht="15.75" x14ac:dyDescent="0.25">
      <c r="A928" s="104"/>
      <c r="B928" s="104"/>
      <c r="C928" s="92" t="str">
        <f t="shared" si="14"/>
        <v/>
      </c>
      <c r="D928" s="120"/>
      <c r="E928" s="120"/>
    </row>
    <row r="929" spans="1:5" ht="15.75" x14ac:dyDescent="0.25">
      <c r="A929" s="104"/>
      <c r="B929" s="104"/>
      <c r="C929" s="92" t="str">
        <f t="shared" si="14"/>
        <v/>
      </c>
      <c r="D929" s="120"/>
      <c r="E929" s="120"/>
    </row>
    <row r="930" spans="1:5" ht="15.75" x14ac:dyDescent="0.25">
      <c r="A930" s="104"/>
      <c r="B930" s="104"/>
      <c r="C930" s="92" t="str">
        <f t="shared" si="14"/>
        <v/>
      </c>
      <c r="D930" s="120"/>
      <c r="E930" s="120"/>
    </row>
    <row r="931" spans="1:5" ht="15.75" x14ac:dyDescent="0.25">
      <c r="A931" s="104"/>
      <c r="B931" s="104"/>
      <c r="C931" s="92" t="str">
        <f t="shared" si="14"/>
        <v/>
      </c>
      <c r="D931" s="120"/>
      <c r="E931" s="120"/>
    </row>
    <row r="932" spans="1:5" ht="15.75" x14ac:dyDescent="0.25">
      <c r="A932" s="104"/>
      <c r="B932" s="104"/>
      <c r="C932" s="92" t="str">
        <f t="shared" si="14"/>
        <v/>
      </c>
      <c r="D932" s="120"/>
      <c r="E932" s="120"/>
    </row>
    <row r="933" spans="1:5" ht="15.75" x14ac:dyDescent="0.25">
      <c r="A933" s="104"/>
      <c r="B933" s="104"/>
      <c r="C933" s="92" t="str">
        <f t="shared" si="14"/>
        <v/>
      </c>
      <c r="D933" s="120"/>
      <c r="E933" s="120"/>
    </row>
    <row r="934" spans="1:5" ht="15.75" x14ac:dyDescent="0.25">
      <c r="A934" s="104"/>
      <c r="B934" s="104"/>
      <c r="C934" s="92" t="str">
        <f t="shared" si="14"/>
        <v/>
      </c>
      <c r="D934" s="120"/>
      <c r="E934" s="120"/>
    </row>
    <row r="935" spans="1:5" ht="15.75" x14ac:dyDescent="0.25">
      <c r="A935" s="104"/>
      <c r="B935" s="104"/>
      <c r="C935" s="92" t="str">
        <f t="shared" si="14"/>
        <v/>
      </c>
      <c r="D935" s="120"/>
      <c r="E935" s="120"/>
    </row>
    <row r="936" spans="1:5" ht="15.75" x14ac:dyDescent="0.25">
      <c r="A936" s="104"/>
      <c r="B936" s="104"/>
      <c r="C936" s="92" t="str">
        <f t="shared" si="14"/>
        <v/>
      </c>
      <c r="D936" s="120"/>
      <c r="E936" s="120"/>
    </row>
    <row r="937" spans="1:5" ht="15.75" x14ac:dyDescent="0.25">
      <c r="A937" s="104"/>
      <c r="B937" s="104"/>
      <c r="C937" s="92" t="str">
        <f t="shared" si="14"/>
        <v/>
      </c>
      <c r="D937" s="120"/>
      <c r="E937" s="120"/>
    </row>
    <row r="938" spans="1:5" ht="15.75" x14ac:dyDescent="0.25">
      <c r="A938" s="104"/>
      <c r="B938" s="104"/>
      <c r="C938" s="92" t="str">
        <f t="shared" si="14"/>
        <v/>
      </c>
      <c r="D938" s="120"/>
      <c r="E938" s="120"/>
    </row>
    <row r="939" spans="1:5" ht="15.75" x14ac:dyDescent="0.25">
      <c r="A939" s="104"/>
      <c r="B939" s="104"/>
      <c r="C939" s="92" t="str">
        <f t="shared" si="14"/>
        <v/>
      </c>
      <c r="D939" s="120"/>
      <c r="E939" s="120"/>
    </row>
    <row r="940" spans="1:5" ht="15.75" x14ac:dyDescent="0.25">
      <c r="A940" s="104"/>
      <c r="B940" s="104"/>
      <c r="C940" s="92" t="str">
        <f t="shared" si="14"/>
        <v/>
      </c>
      <c r="D940" s="120"/>
      <c r="E940" s="120"/>
    </row>
    <row r="941" spans="1:5" ht="15.75" x14ac:dyDescent="0.25">
      <c r="A941" s="104"/>
      <c r="B941" s="104"/>
      <c r="C941" s="92" t="str">
        <f t="shared" si="14"/>
        <v/>
      </c>
      <c r="D941" s="120"/>
      <c r="E941" s="120"/>
    </row>
    <row r="942" spans="1:5" ht="15.75" x14ac:dyDescent="0.25">
      <c r="A942" s="104"/>
      <c r="B942" s="104"/>
      <c r="C942" s="92" t="str">
        <f t="shared" si="14"/>
        <v/>
      </c>
      <c r="D942" s="120"/>
      <c r="E942" s="120"/>
    </row>
    <row r="943" spans="1:5" ht="15.75" x14ac:dyDescent="0.25">
      <c r="A943" s="104"/>
      <c r="B943" s="104"/>
      <c r="C943" s="92" t="str">
        <f t="shared" si="14"/>
        <v/>
      </c>
      <c r="D943" s="120"/>
      <c r="E943" s="120"/>
    </row>
    <row r="944" spans="1:5" ht="15.75" x14ac:dyDescent="0.25">
      <c r="A944" s="104"/>
      <c r="B944" s="104"/>
      <c r="C944" s="92" t="str">
        <f t="shared" si="14"/>
        <v/>
      </c>
      <c r="D944" s="120"/>
      <c r="E944" s="120"/>
    </row>
    <row r="945" spans="1:5" ht="15.75" x14ac:dyDescent="0.25">
      <c r="A945" s="104"/>
      <c r="B945" s="104"/>
      <c r="C945" s="92" t="str">
        <f t="shared" si="14"/>
        <v/>
      </c>
      <c r="D945" s="120"/>
      <c r="E945" s="120"/>
    </row>
    <row r="946" spans="1:5" ht="15.75" x14ac:dyDescent="0.25">
      <c r="A946" s="104"/>
      <c r="B946" s="104"/>
      <c r="C946" s="92" t="str">
        <f t="shared" si="14"/>
        <v/>
      </c>
      <c r="D946" s="120"/>
      <c r="E946" s="120"/>
    </row>
    <row r="947" spans="1:5" ht="15.75" x14ac:dyDescent="0.25">
      <c r="A947" s="104"/>
      <c r="B947" s="104"/>
      <c r="C947" s="92" t="str">
        <f t="shared" si="14"/>
        <v/>
      </c>
      <c r="D947" s="120"/>
      <c r="E947" s="120"/>
    </row>
    <row r="948" spans="1:5" ht="15.75" x14ac:dyDescent="0.25">
      <c r="A948" s="104"/>
      <c r="B948" s="104"/>
      <c r="C948" s="92" t="str">
        <f t="shared" si="14"/>
        <v/>
      </c>
      <c r="D948" s="120"/>
      <c r="E948" s="120"/>
    </row>
    <row r="949" spans="1:5" ht="15.75" x14ac:dyDescent="0.25">
      <c r="A949" s="104"/>
      <c r="B949" s="104"/>
      <c r="C949" s="92" t="str">
        <f t="shared" si="14"/>
        <v/>
      </c>
      <c r="D949" s="120"/>
      <c r="E949" s="120"/>
    </row>
    <row r="950" spans="1:5" ht="15.75" x14ac:dyDescent="0.25">
      <c r="A950" s="104"/>
      <c r="B950" s="104"/>
      <c r="C950" s="92" t="str">
        <f t="shared" si="14"/>
        <v/>
      </c>
      <c r="D950" s="120"/>
      <c r="E950" s="120"/>
    </row>
    <row r="951" spans="1:5" ht="15.75" x14ac:dyDescent="0.25">
      <c r="A951" s="104"/>
      <c r="B951" s="104"/>
      <c r="C951" s="92" t="str">
        <f t="shared" si="14"/>
        <v/>
      </c>
      <c r="D951" s="120"/>
      <c r="E951" s="120"/>
    </row>
    <row r="952" spans="1:5" ht="15.75" x14ac:dyDescent="0.25">
      <c r="A952" s="104"/>
      <c r="B952" s="104"/>
      <c r="C952" s="92" t="str">
        <f t="shared" si="14"/>
        <v/>
      </c>
      <c r="D952" s="120"/>
      <c r="E952" s="120"/>
    </row>
    <row r="953" spans="1:5" ht="15.75" x14ac:dyDescent="0.25">
      <c r="A953" s="104"/>
      <c r="B953" s="104"/>
      <c r="C953" s="92" t="str">
        <f t="shared" si="14"/>
        <v/>
      </c>
      <c r="D953" s="120"/>
      <c r="E953" s="120"/>
    </row>
    <row r="954" spans="1:5" ht="15.75" x14ac:dyDescent="0.25">
      <c r="A954" s="104"/>
      <c r="B954" s="104"/>
      <c r="C954" s="92" t="str">
        <f t="shared" si="14"/>
        <v/>
      </c>
      <c r="D954" s="120"/>
      <c r="E954" s="120"/>
    </row>
    <row r="955" spans="1:5" ht="15.75" x14ac:dyDescent="0.25">
      <c r="A955" s="104"/>
      <c r="B955" s="104"/>
      <c r="C955" s="92" t="str">
        <f t="shared" si="14"/>
        <v/>
      </c>
      <c r="D955" s="120"/>
      <c r="E955" s="120"/>
    </row>
    <row r="956" spans="1:5" ht="15.75" x14ac:dyDescent="0.25">
      <c r="A956" s="104"/>
      <c r="B956" s="104"/>
      <c r="C956" s="92" t="str">
        <f t="shared" si="14"/>
        <v/>
      </c>
      <c r="D956" s="120"/>
      <c r="E956" s="120"/>
    </row>
    <row r="957" spans="1:5" ht="15.75" x14ac:dyDescent="0.25">
      <c r="A957" s="104"/>
      <c r="B957" s="104"/>
      <c r="C957" s="92" t="str">
        <f t="shared" si="14"/>
        <v/>
      </c>
      <c r="D957" s="120"/>
      <c r="E957" s="120"/>
    </row>
    <row r="958" spans="1:5" ht="15.75" x14ac:dyDescent="0.25">
      <c r="A958" s="104"/>
      <c r="B958" s="104"/>
      <c r="C958" s="92" t="str">
        <f t="shared" si="14"/>
        <v/>
      </c>
      <c r="D958" s="120"/>
      <c r="E958" s="120"/>
    </row>
    <row r="959" spans="1:5" ht="15.75" x14ac:dyDescent="0.25">
      <c r="A959" s="104"/>
      <c r="B959" s="104"/>
      <c r="C959" s="92" t="str">
        <f t="shared" si="14"/>
        <v/>
      </c>
      <c r="D959" s="120"/>
      <c r="E959" s="120"/>
    </row>
    <row r="960" spans="1:5" ht="15.75" x14ac:dyDescent="0.25">
      <c r="A960" s="104"/>
      <c r="B960" s="104"/>
      <c r="C960" s="92" t="str">
        <f t="shared" si="14"/>
        <v/>
      </c>
      <c r="D960" s="120"/>
      <c r="E960" s="120"/>
    </row>
    <row r="961" spans="1:5" ht="15.75" x14ac:dyDescent="0.25">
      <c r="A961" s="104"/>
      <c r="B961" s="104"/>
      <c r="C961" s="92" t="str">
        <f t="shared" si="14"/>
        <v/>
      </c>
      <c r="D961" s="120"/>
      <c r="E961" s="120"/>
    </row>
    <row r="962" spans="1:5" ht="15.75" x14ac:dyDescent="0.25">
      <c r="A962" s="104"/>
      <c r="B962" s="104"/>
      <c r="C962" s="92" t="str">
        <f t="shared" si="14"/>
        <v/>
      </c>
      <c r="D962" s="120"/>
      <c r="E962" s="120"/>
    </row>
    <row r="963" spans="1:5" ht="15.75" x14ac:dyDescent="0.25">
      <c r="A963" s="104"/>
      <c r="B963" s="104"/>
      <c r="C963" s="92" t="str">
        <f t="shared" si="14"/>
        <v/>
      </c>
      <c r="D963" s="120"/>
      <c r="E963" s="120"/>
    </row>
    <row r="964" spans="1:5" ht="15.75" x14ac:dyDescent="0.25">
      <c r="A964" s="104"/>
      <c r="B964" s="104"/>
      <c r="C964" s="92" t="str">
        <f t="shared" si="14"/>
        <v/>
      </c>
      <c r="D964" s="120"/>
      <c r="E964" s="120"/>
    </row>
    <row r="965" spans="1:5" ht="15.75" x14ac:dyDescent="0.25">
      <c r="A965" s="104"/>
      <c r="B965" s="104"/>
      <c r="C965" s="92" t="str">
        <f t="shared" si="14"/>
        <v/>
      </c>
      <c r="D965" s="120"/>
      <c r="E965" s="120"/>
    </row>
    <row r="966" spans="1:5" ht="15.75" x14ac:dyDescent="0.25">
      <c r="A966" s="104"/>
      <c r="B966" s="104"/>
      <c r="C966" s="92" t="str">
        <f t="shared" si="14"/>
        <v/>
      </c>
      <c r="D966" s="120"/>
      <c r="E966" s="120"/>
    </row>
    <row r="967" spans="1:5" ht="15.75" x14ac:dyDescent="0.25">
      <c r="A967" s="104"/>
      <c r="B967" s="104"/>
      <c r="C967" s="92" t="str">
        <f t="shared" si="14"/>
        <v/>
      </c>
      <c r="D967" s="120"/>
      <c r="E967" s="120"/>
    </row>
    <row r="968" spans="1:5" ht="15.75" x14ac:dyDescent="0.25">
      <c r="A968" s="104"/>
      <c r="B968" s="104"/>
      <c r="C968" s="92" t="str">
        <f t="shared" si="14"/>
        <v/>
      </c>
      <c r="D968" s="120"/>
      <c r="E968" s="120"/>
    </row>
    <row r="969" spans="1:5" ht="15.75" x14ac:dyDescent="0.25">
      <c r="A969" s="104"/>
      <c r="B969" s="104"/>
      <c r="C969" s="92" t="str">
        <f t="shared" si="14"/>
        <v/>
      </c>
      <c r="D969" s="120"/>
      <c r="E969" s="120"/>
    </row>
    <row r="970" spans="1:5" ht="15.75" x14ac:dyDescent="0.25">
      <c r="A970" s="104"/>
      <c r="B970" s="104"/>
      <c r="C970" s="92" t="str">
        <f t="shared" ref="C970:C1008" si="15">IF(A970=0,"","MinMax")</f>
        <v/>
      </c>
      <c r="D970" s="120"/>
      <c r="E970" s="120"/>
    </row>
    <row r="971" spans="1:5" ht="15.75" x14ac:dyDescent="0.25">
      <c r="A971" s="104"/>
      <c r="B971" s="104"/>
      <c r="C971" s="92" t="str">
        <f t="shared" si="15"/>
        <v/>
      </c>
      <c r="D971" s="120"/>
      <c r="E971" s="120"/>
    </row>
    <row r="972" spans="1:5" ht="15.75" x14ac:dyDescent="0.25">
      <c r="A972" s="104"/>
      <c r="B972" s="104"/>
      <c r="C972" s="92" t="str">
        <f t="shared" si="15"/>
        <v/>
      </c>
      <c r="D972" s="120"/>
      <c r="E972" s="120"/>
    </row>
    <row r="973" spans="1:5" ht="15.75" x14ac:dyDescent="0.25">
      <c r="A973" s="104"/>
      <c r="B973" s="104"/>
      <c r="C973" s="92" t="str">
        <f t="shared" si="15"/>
        <v/>
      </c>
      <c r="D973" s="120"/>
      <c r="E973" s="120"/>
    </row>
    <row r="974" spans="1:5" ht="15.75" x14ac:dyDescent="0.25">
      <c r="A974" s="104"/>
      <c r="B974" s="104"/>
      <c r="C974" s="92" t="str">
        <f t="shared" si="15"/>
        <v/>
      </c>
      <c r="D974" s="120"/>
      <c r="E974" s="120"/>
    </row>
    <row r="975" spans="1:5" ht="15.75" x14ac:dyDescent="0.25">
      <c r="A975" s="104"/>
      <c r="B975" s="104"/>
      <c r="C975" s="92" t="str">
        <f t="shared" si="15"/>
        <v/>
      </c>
      <c r="D975" s="120"/>
      <c r="E975" s="120"/>
    </row>
    <row r="976" spans="1:5" ht="15.75" x14ac:dyDescent="0.25">
      <c r="A976" s="104"/>
      <c r="B976" s="104"/>
      <c r="C976" s="92" t="str">
        <f t="shared" si="15"/>
        <v/>
      </c>
      <c r="D976" s="120"/>
      <c r="E976" s="120"/>
    </row>
    <row r="977" spans="1:5" ht="15.75" x14ac:dyDescent="0.25">
      <c r="A977" s="104"/>
      <c r="B977" s="104"/>
      <c r="C977" s="92" t="str">
        <f t="shared" si="15"/>
        <v/>
      </c>
      <c r="D977" s="120"/>
      <c r="E977" s="120"/>
    </row>
    <row r="978" spans="1:5" ht="15.75" x14ac:dyDescent="0.25">
      <c r="A978" s="104"/>
      <c r="B978" s="104"/>
      <c r="C978" s="92" t="str">
        <f t="shared" si="15"/>
        <v/>
      </c>
      <c r="D978" s="120"/>
      <c r="E978" s="120"/>
    </row>
    <row r="979" spans="1:5" ht="15.75" x14ac:dyDescent="0.25">
      <c r="A979" s="104"/>
      <c r="B979" s="104"/>
      <c r="C979" s="92" t="str">
        <f t="shared" si="15"/>
        <v/>
      </c>
      <c r="D979" s="120"/>
      <c r="E979" s="120"/>
    </row>
    <row r="980" spans="1:5" ht="15.75" x14ac:dyDescent="0.25">
      <c r="A980" s="104"/>
      <c r="B980" s="104"/>
      <c r="C980" s="92" t="str">
        <f t="shared" si="15"/>
        <v/>
      </c>
      <c r="D980" s="120"/>
      <c r="E980" s="120"/>
    </row>
    <row r="981" spans="1:5" ht="15.75" x14ac:dyDescent="0.25">
      <c r="A981" s="104"/>
      <c r="B981" s="104"/>
      <c r="C981" s="92" t="str">
        <f t="shared" si="15"/>
        <v/>
      </c>
      <c r="D981" s="120"/>
      <c r="E981" s="120"/>
    </row>
    <row r="982" spans="1:5" ht="15.75" x14ac:dyDescent="0.25">
      <c r="A982" s="104"/>
      <c r="B982" s="104"/>
      <c r="C982" s="92" t="str">
        <f t="shared" si="15"/>
        <v/>
      </c>
      <c r="D982" s="120"/>
      <c r="E982" s="120"/>
    </row>
    <row r="983" spans="1:5" ht="15.75" x14ac:dyDescent="0.25">
      <c r="A983" s="104"/>
      <c r="B983" s="104"/>
      <c r="C983" s="92" t="str">
        <f t="shared" si="15"/>
        <v/>
      </c>
      <c r="D983" s="120"/>
      <c r="E983" s="120"/>
    </row>
    <row r="984" spans="1:5" ht="15.75" x14ac:dyDescent="0.25">
      <c r="A984" s="104"/>
      <c r="B984" s="104"/>
      <c r="C984" s="92" t="str">
        <f t="shared" si="15"/>
        <v/>
      </c>
      <c r="D984" s="120"/>
      <c r="E984" s="120"/>
    </row>
    <row r="985" spans="1:5" ht="15.75" x14ac:dyDescent="0.25">
      <c r="A985" s="104"/>
      <c r="B985" s="104"/>
      <c r="C985" s="92" t="str">
        <f t="shared" si="15"/>
        <v/>
      </c>
      <c r="D985" s="120"/>
      <c r="E985" s="120"/>
    </row>
    <row r="986" spans="1:5" ht="15.75" x14ac:dyDescent="0.25">
      <c r="A986" s="104"/>
      <c r="B986" s="104"/>
      <c r="C986" s="92" t="str">
        <f t="shared" si="15"/>
        <v/>
      </c>
      <c r="D986" s="120"/>
      <c r="E986" s="120"/>
    </row>
    <row r="987" spans="1:5" ht="15.75" x14ac:dyDescent="0.25">
      <c r="A987" s="104"/>
      <c r="B987" s="104"/>
      <c r="C987" s="92" t="str">
        <f t="shared" si="15"/>
        <v/>
      </c>
      <c r="D987" s="120"/>
      <c r="E987" s="120"/>
    </row>
    <row r="988" spans="1:5" ht="15.75" x14ac:dyDescent="0.25">
      <c r="A988" s="104"/>
      <c r="B988" s="104"/>
      <c r="C988" s="92" t="str">
        <f t="shared" si="15"/>
        <v/>
      </c>
      <c r="D988" s="120"/>
      <c r="E988" s="120"/>
    </row>
    <row r="989" spans="1:5" ht="15.75" x14ac:dyDescent="0.25">
      <c r="A989" s="104"/>
      <c r="B989" s="104"/>
      <c r="C989" s="92" t="str">
        <f t="shared" si="15"/>
        <v/>
      </c>
      <c r="D989" s="120"/>
      <c r="E989" s="120"/>
    </row>
    <row r="990" spans="1:5" ht="15.75" x14ac:dyDescent="0.25">
      <c r="A990" s="104"/>
      <c r="B990" s="104"/>
      <c r="C990" s="92" t="str">
        <f t="shared" si="15"/>
        <v/>
      </c>
      <c r="D990" s="120"/>
      <c r="E990" s="120"/>
    </row>
    <row r="991" spans="1:5" ht="15.75" x14ac:dyDescent="0.25">
      <c r="A991" s="104"/>
      <c r="B991" s="104"/>
      <c r="C991" s="92" t="str">
        <f t="shared" si="15"/>
        <v/>
      </c>
      <c r="D991" s="120"/>
      <c r="E991" s="120"/>
    </row>
    <row r="992" spans="1:5" ht="15.75" x14ac:dyDescent="0.25">
      <c r="A992" s="104"/>
      <c r="B992" s="104"/>
      <c r="C992" s="92" t="str">
        <f t="shared" si="15"/>
        <v/>
      </c>
      <c r="D992" s="120"/>
      <c r="E992" s="120"/>
    </row>
    <row r="993" spans="1:5" ht="15.75" x14ac:dyDescent="0.25">
      <c r="A993" s="104"/>
      <c r="B993" s="104"/>
      <c r="C993" s="92" t="str">
        <f t="shared" si="15"/>
        <v/>
      </c>
      <c r="D993" s="120"/>
      <c r="E993" s="120"/>
    </row>
    <row r="994" spans="1:5" ht="15.75" x14ac:dyDescent="0.25">
      <c r="A994" s="104"/>
      <c r="B994" s="104"/>
      <c r="C994" s="92" t="str">
        <f t="shared" si="15"/>
        <v/>
      </c>
      <c r="D994" s="120"/>
      <c r="E994" s="120"/>
    </row>
    <row r="995" spans="1:5" ht="15.75" x14ac:dyDescent="0.25">
      <c r="A995" s="104"/>
      <c r="B995" s="104"/>
      <c r="C995" s="92" t="str">
        <f t="shared" si="15"/>
        <v/>
      </c>
      <c r="D995" s="120"/>
      <c r="E995" s="120"/>
    </row>
    <row r="996" spans="1:5" ht="15.75" x14ac:dyDescent="0.25">
      <c r="A996" s="104"/>
      <c r="B996" s="104"/>
      <c r="C996" s="92" t="str">
        <f t="shared" si="15"/>
        <v/>
      </c>
      <c r="D996" s="120"/>
      <c r="E996" s="120"/>
    </row>
    <row r="997" spans="1:5" ht="15.75" x14ac:dyDescent="0.25">
      <c r="A997" s="104"/>
      <c r="B997" s="104"/>
      <c r="C997" s="92" t="str">
        <f t="shared" si="15"/>
        <v/>
      </c>
      <c r="D997" s="120"/>
      <c r="E997" s="120"/>
    </row>
    <row r="998" spans="1:5" ht="15.75" x14ac:dyDescent="0.25">
      <c r="A998" s="104"/>
      <c r="B998" s="104"/>
      <c r="C998" s="92" t="str">
        <f t="shared" si="15"/>
        <v/>
      </c>
      <c r="D998" s="120"/>
      <c r="E998" s="120"/>
    </row>
    <row r="999" spans="1:5" ht="15.75" x14ac:dyDescent="0.25">
      <c r="A999" s="104"/>
      <c r="B999" s="104"/>
      <c r="C999" s="92" t="str">
        <f t="shared" si="15"/>
        <v/>
      </c>
      <c r="D999" s="120"/>
      <c r="E999" s="120"/>
    </row>
    <row r="1000" spans="1:5" ht="15.75" x14ac:dyDescent="0.25">
      <c r="A1000" s="104"/>
      <c r="B1000" s="104"/>
      <c r="C1000" s="92" t="str">
        <f t="shared" si="15"/>
        <v/>
      </c>
      <c r="D1000" s="120"/>
      <c r="E1000" s="120"/>
    </row>
    <row r="1001" spans="1:5" ht="15.75" x14ac:dyDescent="0.25">
      <c r="A1001" s="104"/>
      <c r="B1001" s="104"/>
      <c r="C1001" s="92" t="str">
        <f t="shared" si="15"/>
        <v/>
      </c>
      <c r="D1001" s="120"/>
      <c r="E1001" s="120"/>
    </row>
    <row r="1002" spans="1:5" ht="15.75" x14ac:dyDescent="0.25">
      <c r="A1002" s="104"/>
      <c r="B1002" s="104"/>
      <c r="C1002" s="92" t="str">
        <f t="shared" si="15"/>
        <v/>
      </c>
      <c r="D1002" s="120"/>
      <c r="E1002" s="120"/>
    </row>
    <row r="1003" spans="1:5" ht="15.75" x14ac:dyDescent="0.25">
      <c r="A1003" s="104"/>
      <c r="B1003" s="104"/>
      <c r="C1003" s="92" t="str">
        <f t="shared" si="15"/>
        <v/>
      </c>
      <c r="D1003" s="120"/>
      <c r="E1003" s="120"/>
    </row>
    <row r="1004" spans="1:5" ht="15.75" x14ac:dyDescent="0.25">
      <c r="A1004" s="104"/>
      <c r="B1004" s="104"/>
      <c r="C1004" s="92" t="str">
        <f t="shared" si="15"/>
        <v/>
      </c>
      <c r="D1004" s="120"/>
      <c r="E1004" s="120"/>
    </row>
    <row r="1005" spans="1:5" ht="15.75" x14ac:dyDescent="0.25">
      <c r="A1005" s="104"/>
      <c r="B1005" s="104"/>
      <c r="C1005" s="92" t="str">
        <f t="shared" si="15"/>
        <v/>
      </c>
      <c r="D1005" s="120"/>
      <c r="E1005" s="120"/>
    </row>
    <row r="1006" spans="1:5" ht="15.75" x14ac:dyDescent="0.25">
      <c r="A1006" s="104"/>
      <c r="B1006" s="104"/>
      <c r="C1006" s="92" t="str">
        <f t="shared" si="15"/>
        <v/>
      </c>
      <c r="D1006" s="120"/>
      <c r="E1006" s="120"/>
    </row>
    <row r="1007" spans="1:5" ht="15.75" x14ac:dyDescent="0.25">
      <c r="A1007" s="104"/>
      <c r="B1007" s="104"/>
      <c r="C1007" s="92" t="str">
        <f t="shared" si="15"/>
        <v/>
      </c>
      <c r="D1007" s="120"/>
      <c r="E1007" s="120"/>
    </row>
    <row r="1008" spans="1:5" ht="15.75" x14ac:dyDescent="0.25">
      <c r="A1008" s="104"/>
      <c r="B1008" s="104"/>
      <c r="C1008" s="92" t="str">
        <f t="shared" si="15"/>
        <v/>
      </c>
      <c r="D1008" s="120"/>
      <c r="E1008" s="120"/>
    </row>
  </sheetData>
  <dataValidations count="3">
    <dataValidation type="list" showInputMessage="1" showErrorMessage="1" errorTitle="Invalid Input" error="Choose from the list" sqref="B9:B1048576" xr:uid="{24CC4461-B9FB-4913-BFD9-F1635C202051}">
      <formula1>NL_Mat_Name</formula1>
    </dataValidation>
    <dataValidation type="textLength" allowBlank="1" showInputMessage="1" showErrorMessage="1" errorTitle="Invalid Input" error="Please enter maximum 32 characters only." sqref="A9:A1048576" xr:uid="{FEFDD29B-D1C3-4525-A4AF-65A33677ED32}">
      <formula1>1</formula1>
      <formula2>32</formula2>
    </dataValidation>
    <dataValidation type="decimal" allowBlank="1" showInputMessage="1" showErrorMessage="1" errorTitle="Invalid Input" error="Please enter a float value only." sqref="D9:E1048576" xr:uid="{CBFC78AD-2AEB-4DCF-94A1-BAE87C8DD33D}">
      <formula1>0</formula1>
      <formula2>1000000000000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B26E-5946-4687-A1C5-2CD9F433D764}">
  <sheetPr codeName="Sheet9"/>
  <dimension ref="A1:AE20"/>
  <sheetViews>
    <sheetView topLeftCell="A7" zoomScale="130" zoomScaleNormal="130" workbookViewId="0">
      <selection activeCell="B19" sqref="B19"/>
    </sheetView>
  </sheetViews>
  <sheetFormatPr defaultColWidth="10.85546875" defaultRowHeight="15.75" x14ac:dyDescent="0.25"/>
  <cols>
    <col min="1" max="2" width="20.7109375" style="104" customWidth="1"/>
    <col min="3" max="3" width="15.7109375" style="113" customWidth="1"/>
    <col min="4" max="21" width="10.7109375" style="113" customWidth="1"/>
    <col min="22" max="25" width="15.7109375" style="113" customWidth="1"/>
    <col min="26" max="27" width="10.7109375" style="113" customWidth="1"/>
    <col min="28" max="29" width="15.7109375" style="113" customWidth="1"/>
    <col min="30" max="31" width="10.7109375" style="113" customWidth="1"/>
    <col min="32" max="16384" width="10.85546875" style="91"/>
  </cols>
  <sheetData>
    <row r="1" spans="1:31" x14ac:dyDescent="0.25">
      <c r="A1" s="71" t="s">
        <v>192</v>
      </c>
      <c r="B1" s="88"/>
      <c r="C1" s="109"/>
      <c r="D1" s="109"/>
      <c r="E1" s="109"/>
      <c r="F1" s="109"/>
      <c r="G1" s="109"/>
      <c r="H1" s="109"/>
      <c r="I1" s="109"/>
      <c r="J1" s="109"/>
      <c r="K1" s="109"/>
      <c r="L1" s="109"/>
      <c r="M1" s="109"/>
      <c r="N1" s="109"/>
      <c r="O1" s="110"/>
      <c r="P1" s="109"/>
      <c r="Q1" s="109"/>
      <c r="R1" s="109"/>
      <c r="S1" s="109"/>
      <c r="T1" s="109"/>
      <c r="U1" s="109"/>
      <c r="V1" s="109"/>
      <c r="W1" s="109"/>
      <c r="X1" s="109"/>
      <c r="Y1" s="109"/>
      <c r="Z1" s="109"/>
      <c r="AA1" s="109"/>
      <c r="AB1" s="109"/>
      <c r="AC1" s="109"/>
      <c r="AD1" s="109"/>
      <c r="AE1" s="110"/>
    </row>
    <row r="2" spans="1:31" x14ac:dyDescent="0.25">
      <c r="A2" s="95" t="s">
        <v>222</v>
      </c>
      <c r="B2" s="92"/>
      <c r="C2" s="111"/>
      <c r="D2" s="111"/>
      <c r="E2" s="111"/>
      <c r="F2" s="111"/>
      <c r="G2" s="111"/>
      <c r="H2" s="111"/>
      <c r="I2" s="111"/>
      <c r="J2" s="111"/>
      <c r="K2" s="111"/>
      <c r="L2" s="111"/>
      <c r="M2" s="111"/>
      <c r="N2" s="111"/>
      <c r="O2" s="112"/>
      <c r="P2" s="145" t="s">
        <v>258</v>
      </c>
      <c r="Q2" s="111"/>
      <c r="R2" s="111"/>
      <c r="S2" s="111"/>
      <c r="T2" s="111"/>
      <c r="U2" s="111"/>
      <c r="V2" s="111"/>
      <c r="W2" s="111"/>
      <c r="X2" s="111"/>
      <c r="Y2" s="111"/>
      <c r="Z2" s="111"/>
      <c r="AA2" s="111"/>
      <c r="AB2" s="111"/>
      <c r="AC2" s="111"/>
      <c r="AD2" s="111"/>
      <c r="AE2" s="112"/>
    </row>
    <row r="3" spans="1:31" x14ac:dyDescent="0.25">
      <c r="A3" s="95" t="s">
        <v>253</v>
      </c>
      <c r="B3" s="92"/>
      <c r="C3" s="111"/>
      <c r="D3" s="111"/>
      <c r="E3" s="111"/>
      <c r="F3" s="111"/>
      <c r="G3" s="111"/>
      <c r="H3" s="111"/>
      <c r="I3" s="111"/>
      <c r="J3" s="111"/>
      <c r="K3" s="111"/>
      <c r="L3" s="111"/>
      <c r="M3" s="111"/>
      <c r="N3" s="111"/>
      <c r="O3" s="112"/>
      <c r="P3" s="145" t="s">
        <v>259</v>
      </c>
      <c r="Q3" s="111"/>
      <c r="R3" s="111"/>
      <c r="S3" s="111"/>
      <c r="T3" s="111"/>
      <c r="U3" s="111"/>
      <c r="V3" s="111"/>
      <c r="W3" s="111"/>
      <c r="X3" s="111"/>
      <c r="Y3" s="111"/>
      <c r="Z3" s="111"/>
      <c r="AA3" s="111"/>
      <c r="AB3" s="111"/>
      <c r="AC3" s="111"/>
      <c r="AD3" s="111"/>
      <c r="AE3" s="112"/>
    </row>
    <row r="4" spans="1:31" x14ac:dyDescent="0.25">
      <c r="A4" s="95" t="str">
        <f>"- K0: Elastic stiffness (Input as Float) ("&amp;'User Defined Units'!$B$10&amp;"-"&amp;'User Defined Units'!$B$11&amp;"/"&amp;'User Defined Units'!$B$15&amp;")"</f>
        <v>- K0: Elastic stiffness (Input as Float) (kN-m/rad)</v>
      </c>
      <c r="B4" s="92"/>
      <c r="C4" s="111"/>
      <c r="D4" s="111"/>
      <c r="E4" s="111"/>
      <c r="F4" s="111"/>
      <c r="G4" s="111"/>
      <c r="H4" s="111"/>
      <c r="I4" s="111"/>
      <c r="J4" s="111"/>
      <c r="K4" s="111"/>
      <c r="L4" s="111"/>
      <c r="M4" s="111"/>
      <c r="N4" s="111"/>
      <c r="O4" s="112"/>
      <c r="P4" s="145" t="s">
        <v>260</v>
      </c>
      <c r="Q4" s="111"/>
      <c r="R4" s="111"/>
      <c r="S4" s="111"/>
      <c r="T4" s="111"/>
      <c r="U4" s="111"/>
      <c r="V4" s="111"/>
      <c r="W4" s="111"/>
      <c r="X4" s="111"/>
      <c r="Y4" s="111"/>
      <c r="Z4" s="111"/>
      <c r="AA4" s="111"/>
      <c r="AB4" s="111"/>
      <c r="AC4" s="111"/>
      <c r="AD4" s="111"/>
      <c r="AE4" s="112"/>
    </row>
    <row r="5" spans="1:31" ht="31.5" customHeight="1" x14ac:dyDescent="0.25">
      <c r="A5" s="206" t="s">
        <v>254</v>
      </c>
      <c r="B5" s="207"/>
      <c r="C5" s="207"/>
      <c r="D5" s="207"/>
      <c r="E5" s="207"/>
      <c r="F5" s="207"/>
      <c r="G5" s="207"/>
      <c r="H5" s="207"/>
      <c r="I5" s="207"/>
      <c r="J5" s="207"/>
      <c r="K5" s="207"/>
      <c r="L5" s="207"/>
      <c r="M5" s="207"/>
      <c r="N5" s="207"/>
      <c r="O5" s="208"/>
      <c r="P5" s="145" t="s">
        <v>261</v>
      </c>
      <c r="Q5" s="111"/>
      <c r="R5" s="111"/>
      <c r="S5" s="111"/>
      <c r="T5" s="111"/>
      <c r="U5" s="111"/>
      <c r="V5" s="111"/>
      <c r="W5" s="111"/>
      <c r="X5" s="111"/>
      <c r="Y5" s="111"/>
      <c r="Z5" s="111"/>
      <c r="AA5" s="111"/>
      <c r="AB5" s="111"/>
      <c r="AC5" s="111"/>
      <c r="AD5" s="111"/>
      <c r="AE5" s="112"/>
    </row>
    <row r="6" spans="1:31" ht="31.5" customHeight="1" x14ac:dyDescent="0.25">
      <c r="A6" s="206" t="s">
        <v>255</v>
      </c>
      <c r="B6" s="207"/>
      <c r="C6" s="207"/>
      <c r="D6" s="207"/>
      <c r="E6" s="207"/>
      <c r="F6" s="207"/>
      <c r="G6" s="207"/>
      <c r="H6" s="207"/>
      <c r="I6" s="207"/>
      <c r="J6" s="207"/>
      <c r="K6" s="207"/>
      <c r="L6" s="207"/>
      <c r="M6" s="207"/>
      <c r="N6" s="207"/>
      <c r="O6" s="208"/>
      <c r="P6" s="145" t="s">
        <v>262</v>
      </c>
      <c r="Q6" s="111"/>
      <c r="R6" s="111"/>
      <c r="S6" s="111"/>
      <c r="T6" s="111"/>
      <c r="U6" s="111"/>
      <c r="V6" s="111"/>
      <c r="W6" s="111"/>
      <c r="X6" s="111"/>
      <c r="Y6" s="111"/>
      <c r="Z6" s="111"/>
      <c r="AA6" s="111"/>
      <c r="AB6" s="111"/>
      <c r="AC6" s="111"/>
      <c r="AD6" s="111"/>
      <c r="AE6" s="112"/>
    </row>
    <row r="7" spans="1:31" ht="15.75" customHeight="1" x14ac:dyDescent="0.25">
      <c r="A7" s="95" t="str">
        <f>"- My_Pos: Effective yield strength for positive loading direction (Input as Float) ("&amp;'User Defined Units'!$B$10&amp;"-"&amp;'User Defined Units'!$B$11&amp;")"</f>
        <v>- My_Pos: Effective yield strength for positive loading direction (Input as Float) (kN-m)</v>
      </c>
      <c r="B7" s="192"/>
      <c r="C7" s="192"/>
      <c r="D7" s="192"/>
      <c r="E7" s="192"/>
      <c r="F7" s="192"/>
      <c r="G7" s="192"/>
      <c r="H7" s="192"/>
      <c r="I7" s="192"/>
      <c r="J7" s="192"/>
      <c r="K7" s="192"/>
      <c r="L7" s="192"/>
      <c r="M7" s="192"/>
      <c r="N7" s="192"/>
      <c r="O7" s="193"/>
      <c r="P7" s="145" t="s">
        <v>263</v>
      </c>
      <c r="Q7" s="111"/>
      <c r="R7" s="111"/>
      <c r="S7" s="111"/>
      <c r="T7" s="111"/>
      <c r="U7" s="111"/>
      <c r="V7" s="111"/>
      <c r="W7" s="111"/>
      <c r="X7" s="111"/>
      <c r="Y7" s="111"/>
      <c r="Z7" s="111"/>
      <c r="AA7" s="111"/>
      <c r="AB7" s="111"/>
      <c r="AC7" s="111"/>
      <c r="AD7" s="111"/>
      <c r="AE7" s="112"/>
    </row>
    <row r="8" spans="1:31" x14ac:dyDescent="0.25">
      <c r="A8" s="95" t="str">
        <f>"- My_Neg: Effective yield strength for negative loading direction (Input as Float) ("&amp;'User Defined Units'!$B$10&amp;"-"&amp;'User Defined Units'!$B$11&amp;")"</f>
        <v>- My_Neg: Effective yield strength for negative loading direction (Input as Float) (kN-m)</v>
      </c>
      <c r="B8" s="92"/>
      <c r="C8" s="111"/>
      <c r="D8" s="111"/>
      <c r="E8" s="111"/>
      <c r="F8" s="111"/>
      <c r="G8" s="111"/>
      <c r="H8" s="111"/>
      <c r="I8" s="111"/>
      <c r="J8" s="111"/>
      <c r="K8" s="111"/>
      <c r="L8" s="111"/>
      <c r="M8" s="111"/>
      <c r="N8" s="111"/>
      <c r="O8" s="112"/>
      <c r="P8" s="145" t="s">
        <v>269</v>
      </c>
      <c r="Q8" s="111"/>
      <c r="R8" s="111"/>
      <c r="S8" s="111"/>
      <c r="T8" s="111"/>
      <c r="U8" s="111"/>
      <c r="V8" s="111"/>
      <c r="W8" s="111"/>
      <c r="X8" s="111"/>
      <c r="Y8" s="111"/>
      <c r="Z8" s="111"/>
      <c r="AA8" s="111"/>
      <c r="AB8" s="111"/>
      <c r="AC8" s="111"/>
      <c r="AD8" s="111"/>
      <c r="AE8" s="112"/>
    </row>
    <row r="9" spans="1:31" x14ac:dyDescent="0.25">
      <c r="A9" s="95" t="str">
        <f>"- Mu_Pos: Effective ultimate strength for positive loading direction (Input as Float) ("&amp;'User Defined Units'!$B$10&amp;"-"&amp;'User Defined Units'!$B$11&amp;")"</f>
        <v>- Mu_Pos: Effective ultimate strength for positive loading direction (Input as Float) (kN-m)</v>
      </c>
      <c r="B9" s="92"/>
      <c r="C9" s="111"/>
      <c r="D9" s="111"/>
      <c r="E9" s="111"/>
      <c r="F9" s="111"/>
      <c r="G9" s="111"/>
      <c r="H9" s="111"/>
      <c r="I9" s="111"/>
      <c r="J9" s="111"/>
      <c r="K9" s="111"/>
      <c r="L9" s="111"/>
      <c r="M9" s="111"/>
      <c r="N9" s="111"/>
      <c r="O9" s="112"/>
      <c r="P9" s="145" t="s">
        <v>268</v>
      </c>
      <c r="Q9" s="111"/>
      <c r="R9" s="111"/>
      <c r="S9" s="111"/>
      <c r="T9" s="111"/>
      <c r="U9" s="111"/>
      <c r="V9" s="111"/>
      <c r="W9" s="111"/>
      <c r="X9" s="111"/>
      <c r="Y9" s="111"/>
      <c r="Z9" s="111"/>
      <c r="AA9" s="111"/>
      <c r="AB9" s="111"/>
      <c r="AC9" s="111"/>
      <c r="AD9" s="111"/>
      <c r="AE9" s="112"/>
    </row>
    <row r="10" spans="1:31" x14ac:dyDescent="0.25">
      <c r="A10" s="95" t="str">
        <f>"- Mu_Neg: Effective ultimate strength for negative loading direction (Input as Float) ("&amp;'User Defined Units'!$B$10&amp;"-"&amp;'User Defined Units'!$B$11&amp;")"</f>
        <v>- Mu_Neg: Effective ultimate strength for negative loading direction (Input as Float) (kN-m)</v>
      </c>
      <c r="B10" s="92"/>
      <c r="C10" s="111"/>
      <c r="D10" s="111"/>
      <c r="E10" s="111"/>
      <c r="F10" s="111"/>
      <c r="G10" s="111"/>
      <c r="H10" s="111"/>
      <c r="I10" s="111"/>
      <c r="J10" s="111"/>
      <c r="K10" s="111"/>
      <c r="L10" s="111"/>
      <c r="M10" s="111"/>
      <c r="N10" s="111"/>
      <c r="O10" s="112"/>
      <c r="P10" s="145" t="s">
        <v>270</v>
      </c>
      <c r="Q10" s="111"/>
      <c r="R10" s="111"/>
      <c r="S10" s="111"/>
      <c r="T10" s="111"/>
      <c r="U10" s="111"/>
      <c r="V10" s="111"/>
      <c r="W10" s="111"/>
      <c r="X10" s="111"/>
      <c r="Y10" s="111"/>
      <c r="Z10" s="111"/>
      <c r="AA10" s="111"/>
      <c r="AB10" s="111"/>
      <c r="AC10" s="111"/>
      <c r="AD10" s="111"/>
      <c r="AE10" s="112"/>
    </row>
    <row r="11" spans="1:31" ht="31.5" customHeight="1" x14ac:dyDescent="0.25">
      <c r="A11" s="206" t="s">
        <v>264</v>
      </c>
      <c r="B11" s="207"/>
      <c r="C11" s="207"/>
      <c r="D11" s="207"/>
      <c r="E11" s="207"/>
      <c r="F11" s="207"/>
      <c r="G11" s="207"/>
      <c r="H11" s="207"/>
      <c r="I11" s="207"/>
      <c r="J11" s="207"/>
      <c r="K11" s="207"/>
      <c r="L11" s="207"/>
      <c r="M11" s="207"/>
      <c r="N11" s="207"/>
      <c r="O11" s="208"/>
      <c r="P11" s="145" t="s">
        <v>271</v>
      </c>
      <c r="Q11" s="111"/>
      <c r="R11" s="111"/>
      <c r="S11" s="111"/>
      <c r="T11" s="111"/>
      <c r="U11" s="111"/>
      <c r="V11" s="111"/>
      <c r="W11" s="111"/>
      <c r="X11" s="111"/>
      <c r="Y11" s="111"/>
      <c r="Z11" s="111"/>
      <c r="AA11" s="111"/>
      <c r="AB11" s="111"/>
      <c r="AC11" s="111"/>
      <c r="AD11" s="111"/>
      <c r="AE11" s="112"/>
    </row>
    <row r="12" spans="1:31" ht="31.5" customHeight="1" x14ac:dyDescent="0.25">
      <c r="A12" s="206" t="s">
        <v>265</v>
      </c>
      <c r="B12" s="207"/>
      <c r="C12" s="207"/>
      <c r="D12" s="207"/>
      <c r="E12" s="207"/>
      <c r="F12" s="207"/>
      <c r="G12" s="207"/>
      <c r="H12" s="207"/>
      <c r="I12" s="207"/>
      <c r="J12" s="207"/>
      <c r="K12" s="207"/>
      <c r="L12" s="207"/>
      <c r="M12" s="207"/>
      <c r="N12" s="207"/>
      <c r="O12" s="208"/>
      <c r="P12" s="145" t="s">
        <v>272</v>
      </c>
      <c r="Q12" s="111"/>
      <c r="R12" s="111"/>
      <c r="S12" s="111"/>
      <c r="T12" s="111"/>
      <c r="U12" s="111"/>
      <c r="V12" s="111"/>
      <c r="W12" s="111"/>
      <c r="X12" s="111"/>
      <c r="Y12" s="111"/>
      <c r="Z12" s="111"/>
      <c r="AA12" s="111"/>
      <c r="AB12" s="111"/>
      <c r="AC12" s="111"/>
      <c r="AD12" s="111"/>
      <c r="AE12" s="112"/>
    </row>
    <row r="13" spans="1:31" ht="15.75" customHeight="1" x14ac:dyDescent="0.25">
      <c r="A13" s="54" t="s">
        <v>266</v>
      </c>
      <c r="B13" s="192"/>
      <c r="C13" s="192"/>
      <c r="D13" s="192"/>
      <c r="E13" s="192"/>
      <c r="F13" s="192"/>
      <c r="G13" s="192"/>
      <c r="H13" s="192"/>
      <c r="I13" s="192"/>
      <c r="J13" s="192"/>
      <c r="K13" s="192"/>
      <c r="L13" s="192"/>
      <c r="M13" s="192"/>
      <c r="N13" s="192"/>
      <c r="O13" s="193"/>
      <c r="P13" s="145" t="s">
        <v>273</v>
      </c>
      <c r="Q13" s="111"/>
      <c r="R13" s="111"/>
      <c r="S13" s="111"/>
      <c r="T13" s="111"/>
      <c r="U13" s="111"/>
      <c r="V13" s="111"/>
      <c r="W13" s="111"/>
      <c r="X13" s="111"/>
      <c r="Y13" s="111"/>
      <c r="Z13" s="111"/>
      <c r="AA13" s="111"/>
      <c r="AB13" s="111"/>
      <c r="AC13" s="111"/>
      <c r="AD13" s="111"/>
      <c r="AE13" s="112"/>
    </row>
    <row r="14" spans="1:31" ht="15.75" customHeight="1" x14ac:dyDescent="0.25">
      <c r="A14" s="147" t="s">
        <v>267</v>
      </c>
      <c r="B14" s="57"/>
      <c r="C14" s="57"/>
      <c r="D14" s="57"/>
      <c r="E14" s="57"/>
      <c r="F14" s="57"/>
      <c r="G14" s="57"/>
      <c r="H14" s="57"/>
      <c r="I14" s="57"/>
      <c r="J14" s="57"/>
      <c r="K14" s="57"/>
      <c r="L14" s="57"/>
      <c r="M14" s="57"/>
      <c r="N14" s="57"/>
      <c r="O14" s="151"/>
      <c r="P14" s="145" t="s">
        <v>274</v>
      </c>
      <c r="Q14" s="111"/>
      <c r="R14" s="111"/>
      <c r="S14" s="111"/>
      <c r="T14" s="111"/>
      <c r="U14" s="111"/>
      <c r="V14" s="111"/>
      <c r="W14" s="111"/>
      <c r="X14" s="111"/>
      <c r="Y14" s="111"/>
      <c r="Z14" s="111"/>
      <c r="AA14" s="111"/>
      <c r="AB14" s="111"/>
      <c r="AC14" s="111"/>
      <c r="AD14" s="111"/>
      <c r="AE14" s="112"/>
    </row>
    <row r="15" spans="1:31" ht="15.75" customHeight="1" x14ac:dyDescent="0.25">
      <c r="A15" s="147" t="s">
        <v>256</v>
      </c>
      <c r="B15" s="146"/>
      <c r="C15" s="146"/>
      <c r="D15" s="146"/>
      <c r="E15" s="93"/>
      <c r="F15" s="111"/>
      <c r="G15" s="111"/>
      <c r="H15" s="111"/>
      <c r="I15" s="111"/>
      <c r="J15" s="111"/>
      <c r="K15" s="111"/>
      <c r="L15" s="111"/>
      <c r="M15" s="111"/>
      <c r="N15" s="111"/>
      <c r="O15" s="112"/>
      <c r="P15" s="145" t="s">
        <v>275</v>
      </c>
      <c r="Q15" s="111"/>
      <c r="R15" s="111"/>
      <c r="S15" s="111"/>
      <c r="T15" s="111"/>
      <c r="U15" s="111"/>
      <c r="V15" s="111"/>
      <c r="W15" s="111"/>
      <c r="X15" s="111"/>
      <c r="Y15" s="111"/>
      <c r="Z15" s="111"/>
      <c r="AA15" s="111"/>
      <c r="AB15" s="111"/>
      <c r="AC15" s="111"/>
      <c r="AD15" s="111"/>
      <c r="AE15" s="112"/>
    </row>
    <row r="16" spans="1:31" ht="31.5" customHeight="1" x14ac:dyDescent="0.25">
      <c r="A16" s="209" t="s">
        <v>257</v>
      </c>
      <c r="B16" s="210"/>
      <c r="C16" s="210"/>
      <c r="D16" s="210"/>
      <c r="E16" s="210"/>
      <c r="F16" s="210"/>
      <c r="G16" s="210"/>
      <c r="H16" s="210"/>
      <c r="I16" s="210"/>
      <c r="J16" s="210"/>
      <c r="K16" s="210"/>
      <c r="L16" s="210"/>
      <c r="M16" s="210"/>
      <c r="N16" s="210"/>
      <c r="O16" s="211"/>
      <c r="P16" s="145" t="s">
        <v>276</v>
      </c>
      <c r="Q16" s="111"/>
      <c r="R16" s="111"/>
      <c r="S16" s="111"/>
      <c r="T16" s="111"/>
      <c r="U16" s="111"/>
      <c r="V16" s="111"/>
      <c r="W16" s="111"/>
      <c r="X16" s="111"/>
      <c r="Y16" s="111"/>
      <c r="Z16" s="111"/>
      <c r="AA16" s="111"/>
      <c r="AB16" s="111"/>
      <c r="AC16" s="111"/>
      <c r="AD16" s="111"/>
      <c r="AE16" s="112"/>
    </row>
    <row r="17" spans="1:31" ht="15.75" customHeight="1" x14ac:dyDescent="0.25">
      <c r="A17" s="148"/>
      <c r="B17" s="149"/>
      <c r="C17" s="149"/>
      <c r="D17" s="149"/>
      <c r="E17" s="107"/>
      <c r="F17" s="99"/>
      <c r="G17" s="99"/>
      <c r="H17" s="99"/>
      <c r="I17" s="99"/>
      <c r="J17" s="99"/>
      <c r="K17" s="99"/>
      <c r="L17" s="99"/>
      <c r="M17" s="99"/>
      <c r="N17" s="99"/>
      <c r="O17" s="100"/>
      <c r="P17" s="150" t="s">
        <v>277</v>
      </c>
      <c r="Q17" s="99"/>
      <c r="R17" s="99"/>
      <c r="S17" s="99"/>
      <c r="T17" s="99"/>
      <c r="U17" s="99"/>
      <c r="V17" s="99"/>
      <c r="W17" s="99"/>
      <c r="X17" s="99"/>
      <c r="Y17" s="99"/>
      <c r="Z17" s="99"/>
      <c r="AA17" s="99"/>
      <c r="AB17" s="99"/>
      <c r="AC17" s="99"/>
      <c r="AD17" s="99"/>
      <c r="AE17" s="100"/>
    </row>
    <row r="18" spans="1:31" x14ac:dyDescent="0.25">
      <c r="A18" s="102"/>
      <c r="B18" s="6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row>
    <row r="19" spans="1:31" s="60" customFormat="1" ht="16.5" customHeight="1" x14ac:dyDescent="0.25">
      <c r="A19" s="85" t="s">
        <v>10</v>
      </c>
      <c r="B19" s="85" t="s">
        <v>19</v>
      </c>
      <c r="C19" s="85" t="s">
        <v>36</v>
      </c>
      <c r="D19" s="85" t="s">
        <v>37</v>
      </c>
      <c r="E19" s="85" t="s">
        <v>38</v>
      </c>
      <c r="F19" s="85" t="s">
        <v>39</v>
      </c>
      <c r="G19" s="85" t="s">
        <v>40</v>
      </c>
      <c r="H19" s="85" t="s">
        <v>41</v>
      </c>
      <c r="I19" s="85" t="s">
        <v>42</v>
      </c>
      <c r="J19" s="85" t="s">
        <v>43</v>
      </c>
      <c r="K19" s="85" t="s">
        <v>44</v>
      </c>
      <c r="L19" s="85" t="s">
        <v>45</v>
      </c>
      <c r="M19" s="85" t="s">
        <v>64</v>
      </c>
      <c r="N19" s="85" t="s">
        <v>46</v>
      </c>
      <c r="O19" s="85" t="s">
        <v>47</v>
      </c>
      <c r="P19" s="85" t="s">
        <v>48</v>
      </c>
      <c r="Q19" s="85" t="s">
        <v>49</v>
      </c>
      <c r="R19" s="85" t="s">
        <v>50</v>
      </c>
      <c r="S19" s="85" t="s">
        <v>51</v>
      </c>
      <c r="T19" s="85" t="s">
        <v>52</v>
      </c>
      <c r="U19" s="85" t="s">
        <v>53</v>
      </c>
      <c r="V19" s="85" t="s">
        <v>54</v>
      </c>
      <c r="W19" s="85" t="s">
        <v>55</v>
      </c>
      <c r="X19" s="85" t="s">
        <v>56</v>
      </c>
      <c r="Y19" s="85" t="s">
        <v>57</v>
      </c>
      <c r="Z19" s="85" t="s">
        <v>58</v>
      </c>
      <c r="AA19" s="85" t="s">
        <v>59</v>
      </c>
      <c r="AB19" s="85" t="s">
        <v>60</v>
      </c>
      <c r="AC19" s="85" t="s">
        <v>61</v>
      </c>
      <c r="AD19" s="85" t="s">
        <v>62</v>
      </c>
      <c r="AE19" s="85" t="s">
        <v>63</v>
      </c>
    </row>
    <row r="20" spans="1:31" x14ac:dyDescent="0.25">
      <c r="A20" s="179" t="s">
        <v>320</v>
      </c>
      <c r="B20" s="104" t="s">
        <v>319</v>
      </c>
      <c r="C20" s="113">
        <v>114958.97490209967</v>
      </c>
      <c r="D20" s="113">
        <v>0</v>
      </c>
      <c r="E20" s="113">
        <v>0</v>
      </c>
      <c r="F20" s="113">
        <v>243.16919999999999</v>
      </c>
      <c r="G20" s="113">
        <v>388.62200000000001</v>
      </c>
      <c r="H20" s="113">
        <f>F20*1.1</f>
        <v>267.48612000000003</v>
      </c>
      <c r="I20" s="113">
        <f>G20*1.1</f>
        <v>427.48420000000004</v>
      </c>
      <c r="J20" s="113">
        <v>0</v>
      </c>
      <c r="K20" s="113">
        <v>0</v>
      </c>
      <c r="L20" s="113">
        <v>0</v>
      </c>
      <c r="M20" s="113">
        <v>0</v>
      </c>
      <c r="N20" s="113">
        <v>0</v>
      </c>
      <c r="O20" s="113">
        <v>0</v>
      </c>
      <c r="P20" s="113">
        <v>0</v>
      </c>
      <c r="Q20" s="113">
        <v>0</v>
      </c>
      <c r="R20" s="113">
        <v>1</v>
      </c>
      <c r="S20" s="113">
        <v>1</v>
      </c>
      <c r="T20" s="113">
        <v>1</v>
      </c>
      <c r="U20" s="113">
        <v>1</v>
      </c>
      <c r="V20" s="113">
        <v>2.2268112818223454E-2</v>
      </c>
      <c r="W20" s="113">
        <v>2.2268112818223454E-2</v>
      </c>
      <c r="X20" s="113">
        <v>2.2268112818223454E-2</v>
      </c>
      <c r="Y20" s="113">
        <v>2.2268112818223454E-2</v>
      </c>
      <c r="Z20" s="113">
        <v>0.2</v>
      </c>
      <c r="AA20" s="113">
        <v>0.2</v>
      </c>
      <c r="AB20" s="113">
        <v>4.1385682576436635E-2</v>
      </c>
      <c r="AC20" s="113">
        <v>4.1385682576436635E-2</v>
      </c>
      <c r="AD20" s="113">
        <v>1</v>
      </c>
      <c r="AE20" s="113">
        <v>1</v>
      </c>
    </row>
  </sheetData>
  <mergeCells count="5">
    <mergeCell ref="A6:O6"/>
    <mergeCell ref="A12:O12"/>
    <mergeCell ref="A5:O5"/>
    <mergeCell ref="A11:O11"/>
    <mergeCell ref="A16:O16"/>
  </mergeCells>
  <conditionalFormatting sqref="J20:J1048576">
    <cfRule type="expression" dxfId="6" priority="4">
      <formula>OR(B20="IMKBilinear",B20="IMKPeakOriented")</formula>
    </cfRule>
  </conditionalFormatting>
  <conditionalFormatting sqref="K20:K1048576">
    <cfRule type="expression" dxfId="5" priority="3">
      <formula>OR(B20="IMKBilinear",B20="IMKPeakOriented")</formula>
    </cfRule>
  </conditionalFormatting>
  <conditionalFormatting sqref="K20:L1048576">
    <cfRule type="expression" dxfId="4" priority="6">
      <formula>OR(C20="IMKPinching",C20="IMKPeakOriented")</formula>
    </cfRule>
  </conditionalFormatting>
  <conditionalFormatting sqref="L20:L1048576">
    <cfRule type="expression" dxfId="3" priority="2">
      <formula>OR(B20="IMKBilinear",B20="IMKPeakOriented")</formula>
    </cfRule>
  </conditionalFormatting>
  <conditionalFormatting sqref="M20:M1048576">
    <cfRule type="expression" dxfId="2" priority="1">
      <formula>OR(B20="IMKPeakOriented",B20="IMKPinching")</formula>
    </cfRule>
  </conditionalFormatting>
  <dataValidations count="4">
    <dataValidation type="textLength" allowBlank="1" showInputMessage="1" showErrorMessage="1" errorTitle="Invalid Input" error="Please enter maximum 32 characters only." sqref="A20:A1048576" xr:uid="{0EC59F64-990E-497D-8F14-343CD7ECC886}">
      <formula1>1</formula1>
      <formula2>32</formula2>
    </dataValidation>
    <dataValidation type="list" showInputMessage="1" showErrorMessage="1" errorTitle="Invalid Input" error="Choose from the list" sqref="B20:B1048576" xr:uid="{279C696D-6E2E-4175-B430-7BA291FB10BD}">
      <formula1>"IMKBilinear, IMKPeakOriented, IMKPinching"</formula1>
    </dataValidation>
    <dataValidation type="decimal" allowBlank="1" showInputMessage="1" showErrorMessage="1" errorTitle="Invalid Input" error="Please enter a float value only." sqref="D20:AE1048576" xr:uid="{225206F4-F767-49ED-BE1B-D966A8CB3279}">
      <formula1>0</formula1>
      <formula2>1000000000000</formula2>
    </dataValidation>
    <dataValidation type="decimal" allowBlank="1" showInputMessage="1" showErrorMessage="1" errorTitle="Invalid Input" error="Please enter a float value only." sqref="C20:C1048576" xr:uid="{B42B9AD7-83E4-4677-8604-4C2177709045}">
      <formula1>0</formula1>
      <formula2>1E+24</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0D375-DBFA-4947-9799-8505849C9E0A}">
  <sheetPr codeName="Sheet10"/>
  <dimension ref="A1:M1016"/>
  <sheetViews>
    <sheetView zoomScale="130" zoomScaleNormal="130" workbookViewId="0">
      <selection activeCell="D22" sqref="D22"/>
    </sheetView>
  </sheetViews>
  <sheetFormatPr defaultColWidth="10.85546875" defaultRowHeight="15.75" x14ac:dyDescent="0.25"/>
  <cols>
    <col min="1" max="4" width="20.7109375" style="45" customWidth="1"/>
    <col min="5" max="5" width="20.7109375" style="41" customWidth="1"/>
    <col min="6" max="13" width="10.7109375" style="52" customWidth="1"/>
    <col min="14" max="16384" width="10.85546875" style="3"/>
  </cols>
  <sheetData>
    <row r="1" spans="1:13" x14ac:dyDescent="0.25">
      <c r="A1" s="33" t="s">
        <v>192</v>
      </c>
      <c r="B1" s="39"/>
      <c r="C1" s="39"/>
      <c r="D1" s="39"/>
      <c r="E1" s="39"/>
      <c r="F1" s="46"/>
      <c r="G1" s="46"/>
      <c r="H1" s="46"/>
      <c r="I1" s="46"/>
      <c r="J1" s="46"/>
      <c r="K1" s="46"/>
      <c r="L1" s="46"/>
      <c r="M1" s="47"/>
    </row>
    <row r="2" spans="1:13" x14ac:dyDescent="0.25">
      <c r="A2" s="48" t="s">
        <v>278</v>
      </c>
      <c r="B2" s="41"/>
      <c r="C2" s="41"/>
      <c r="D2" s="41"/>
      <c r="F2" s="58"/>
      <c r="G2" s="58"/>
      <c r="H2" s="58"/>
      <c r="I2" s="58"/>
      <c r="J2" s="58"/>
      <c r="K2" s="58"/>
      <c r="L2" s="58"/>
      <c r="M2" s="49"/>
    </row>
    <row r="3" spans="1:13" x14ac:dyDescent="0.25">
      <c r="A3" s="48" t="s">
        <v>279</v>
      </c>
      <c r="B3" s="41"/>
      <c r="C3" s="41"/>
      <c r="D3" s="41"/>
      <c r="F3" s="58"/>
      <c r="G3" s="58"/>
      <c r="H3" s="58"/>
      <c r="I3" s="58"/>
      <c r="J3" s="58"/>
      <c r="K3" s="58"/>
      <c r="L3" s="58"/>
      <c r="M3" s="49"/>
    </row>
    <row r="4" spans="1:13" x14ac:dyDescent="0.25">
      <c r="A4" s="95" t="s">
        <v>280</v>
      </c>
      <c r="B4" s="41"/>
      <c r="C4" s="41"/>
      <c r="D4" s="41"/>
      <c r="F4" s="58"/>
      <c r="G4" s="58"/>
      <c r="H4" s="58"/>
      <c r="I4" s="58"/>
      <c r="J4" s="58"/>
      <c r="K4" s="58"/>
      <c r="L4" s="58"/>
      <c r="M4" s="49"/>
    </row>
    <row r="5" spans="1:13" x14ac:dyDescent="0.25">
      <c r="A5" s="48" t="s">
        <v>281</v>
      </c>
      <c r="B5" s="41"/>
      <c r="C5" s="41"/>
      <c r="D5" s="41"/>
      <c r="F5" s="58"/>
      <c r="G5" s="58"/>
      <c r="H5" s="58"/>
      <c r="I5" s="58"/>
      <c r="J5" s="58"/>
      <c r="K5" s="58"/>
      <c r="L5" s="58"/>
      <c r="M5" s="49"/>
    </row>
    <row r="6" spans="1:13" x14ac:dyDescent="0.25">
      <c r="A6" s="48" t="s">
        <v>282</v>
      </c>
      <c r="B6" s="41"/>
      <c r="C6" s="41"/>
      <c r="D6" s="41"/>
      <c r="F6" s="58"/>
      <c r="G6" s="58"/>
      <c r="H6" s="58"/>
      <c r="I6" s="58"/>
      <c r="J6" s="58"/>
      <c r="K6" s="58"/>
      <c r="L6" s="58"/>
      <c r="M6" s="49"/>
    </row>
    <row r="7" spans="1:13" x14ac:dyDescent="0.25">
      <c r="A7" s="48" t="str">
        <f>"- h: Section height (Input as Float) ("&amp;'User Defined Units'!$B$11&amp;")"</f>
        <v>- h: Section height (Input as Float) (m)</v>
      </c>
      <c r="B7" s="41"/>
      <c r="C7" s="41"/>
      <c r="D7" s="41"/>
      <c r="F7" s="58"/>
      <c r="G7" s="58"/>
      <c r="H7" s="58"/>
      <c r="I7" s="58"/>
      <c r="J7" s="58"/>
      <c r="K7" s="58"/>
      <c r="L7" s="58"/>
      <c r="M7" s="49"/>
    </row>
    <row r="8" spans="1:13" x14ac:dyDescent="0.25">
      <c r="A8" s="48" t="str">
        <f>"- b: Section width (Input as Float) ("&amp;'User Defined Units'!$B$11&amp;")"</f>
        <v>- b: Section width (Input as Float) (m)</v>
      </c>
      <c r="B8" s="41"/>
      <c r="C8" s="41"/>
      <c r="D8" s="41"/>
      <c r="F8" s="58"/>
      <c r="G8" s="58"/>
      <c r="H8" s="58"/>
      <c r="I8" s="58"/>
      <c r="J8" s="58"/>
      <c r="K8" s="58"/>
      <c r="L8" s="58"/>
      <c r="M8" s="49"/>
    </row>
    <row r="9" spans="1:13" x14ac:dyDescent="0.25">
      <c r="A9" s="48" t="s">
        <v>284</v>
      </c>
      <c r="B9" s="41"/>
      <c r="C9" s="41"/>
      <c r="D9" s="41"/>
      <c r="F9" s="58"/>
      <c r="G9" s="58"/>
      <c r="H9" s="58"/>
      <c r="I9" s="58"/>
      <c r="J9" s="58"/>
      <c r="K9" s="58"/>
      <c r="L9" s="58"/>
      <c r="M9" s="49"/>
    </row>
    <row r="10" spans="1:13" x14ac:dyDescent="0.25">
      <c r="A10" s="48" t="s">
        <v>283</v>
      </c>
      <c r="B10" s="41"/>
      <c r="C10" s="41"/>
      <c r="D10" s="41"/>
      <c r="F10" s="58"/>
      <c r="G10" s="58"/>
      <c r="H10" s="58"/>
      <c r="I10" s="58"/>
      <c r="J10" s="58"/>
      <c r="K10" s="58"/>
      <c r="L10" s="58"/>
      <c r="M10" s="49"/>
    </row>
    <row r="11" spans="1:13" x14ac:dyDescent="0.25">
      <c r="A11" s="48" t="s">
        <v>285</v>
      </c>
      <c r="B11" s="41"/>
      <c r="C11" s="41"/>
      <c r="D11" s="41"/>
      <c r="F11" s="58"/>
      <c r="G11" s="58"/>
      <c r="H11" s="58"/>
      <c r="I11" s="58"/>
      <c r="J11" s="58"/>
      <c r="K11" s="58"/>
      <c r="L11" s="58"/>
      <c r="M11" s="49"/>
    </row>
    <row r="12" spans="1:13" x14ac:dyDescent="0.25">
      <c r="A12" s="48" t="s">
        <v>286</v>
      </c>
      <c r="B12" s="41"/>
      <c r="C12" s="41"/>
      <c r="D12" s="41"/>
      <c r="F12" s="58"/>
      <c r="G12" s="58"/>
      <c r="H12" s="58"/>
      <c r="I12" s="58"/>
      <c r="J12" s="58"/>
      <c r="K12" s="58"/>
      <c r="L12" s="58"/>
      <c r="M12" s="49"/>
    </row>
    <row r="13" spans="1:13" x14ac:dyDescent="0.25">
      <c r="A13" s="48" t="s">
        <v>287</v>
      </c>
      <c r="B13" s="41"/>
      <c r="C13" s="41"/>
      <c r="D13" s="41"/>
      <c r="F13" s="58"/>
      <c r="G13" s="58"/>
      <c r="H13" s="58"/>
      <c r="I13" s="58"/>
      <c r="J13" s="58"/>
      <c r="K13" s="58"/>
      <c r="L13" s="58"/>
      <c r="M13" s="49"/>
    </row>
    <row r="14" spans="1:13" x14ac:dyDescent="0.25">
      <c r="A14" s="53" t="s">
        <v>288</v>
      </c>
      <c r="B14" s="43"/>
      <c r="C14" s="43"/>
      <c r="D14" s="43"/>
      <c r="E14" s="43"/>
      <c r="F14" s="50"/>
      <c r="G14" s="50"/>
      <c r="H14" s="50"/>
      <c r="I14" s="50"/>
      <c r="J14" s="50"/>
      <c r="K14" s="50"/>
      <c r="L14" s="50"/>
      <c r="M14" s="51"/>
    </row>
    <row r="15" spans="1:13" x14ac:dyDescent="0.25">
      <c r="A15" s="34"/>
      <c r="B15" s="1"/>
      <c r="C15" s="1"/>
      <c r="D15" s="1"/>
      <c r="E15" s="1"/>
      <c r="F15" s="4"/>
      <c r="G15" s="4"/>
      <c r="H15" s="4"/>
      <c r="I15" s="4"/>
      <c r="J15" s="4"/>
      <c r="K15" s="4"/>
      <c r="L15" s="4"/>
      <c r="M15" s="4"/>
    </row>
    <row r="16" spans="1:13" s="2" customFormat="1" x14ac:dyDescent="0.25">
      <c r="A16" s="31" t="s">
        <v>70</v>
      </c>
      <c r="B16" s="31" t="s">
        <v>69</v>
      </c>
      <c r="C16" s="31" t="s">
        <v>110</v>
      </c>
      <c r="D16" s="31" t="s">
        <v>18</v>
      </c>
      <c r="E16" s="31" t="s">
        <v>77</v>
      </c>
      <c r="F16" s="31" t="s">
        <v>78</v>
      </c>
      <c r="G16" s="31" t="s">
        <v>28</v>
      </c>
      <c r="H16" s="31" t="s">
        <v>79</v>
      </c>
      <c r="I16" s="31" t="s">
        <v>80</v>
      </c>
      <c r="J16" s="31" t="s">
        <v>81</v>
      </c>
      <c r="K16" s="31" t="s">
        <v>82</v>
      </c>
      <c r="L16" s="31" t="s">
        <v>83</v>
      </c>
      <c r="M16" s="31" t="s">
        <v>84</v>
      </c>
    </row>
    <row r="17" spans="1:13" x14ac:dyDescent="0.25">
      <c r="A17" s="45" t="s">
        <v>85</v>
      </c>
      <c r="B17" s="45" t="s">
        <v>72</v>
      </c>
      <c r="C17" s="45" t="s">
        <v>111</v>
      </c>
      <c r="D17" s="45" t="s">
        <v>16</v>
      </c>
      <c r="E17" s="41" t="str">
        <f t="shared" ref="E17:E80" si="0">IF(A17=0,"","Elastic")</f>
        <v>Elastic</v>
      </c>
      <c r="F17" s="52">
        <v>0.7</v>
      </c>
      <c r="G17" s="52">
        <v>0.7</v>
      </c>
      <c r="H17" s="52">
        <v>1</v>
      </c>
      <c r="I17" s="52">
        <v>1</v>
      </c>
      <c r="J17" s="52">
        <v>1</v>
      </c>
      <c r="K17" s="52">
        <v>0.7</v>
      </c>
      <c r="L17" s="52">
        <v>0.7</v>
      </c>
      <c r="M17" s="52">
        <v>1</v>
      </c>
    </row>
    <row r="18" spans="1:13" x14ac:dyDescent="0.25">
      <c r="A18" s="45" t="s">
        <v>86</v>
      </c>
      <c r="B18" s="45" t="s">
        <v>72</v>
      </c>
      <c r="C18" s="45" t="s">
        <v>112</v>
      </c>
      <c r="D18" s="45" t="s">
        <v>16</v>
      </c>
      <c r="E18" s="41" t="str">
        <f t="shared" si="0"/>
        <v>Elastic</v>
      </c>
      <c r="F18" s="52">
        <v>0.6</v>
      </c>
      <c r="G18" s="52">
        <v>0.3</v>
      </c>
      <c r="H18" s="52">
        <v>1</v>
      </c>
      <c r="I18" s="52">
        <v>1</v>
      </c>
      <c r="J18" s="52">
        <v>1</v>
      </c>
      <c r="K18" s="52">
        <v>0.35</v>
      </c>
      <c r="L18" s="52">
        <v>0.35</v>
      </c>
      <c r="M18" s="52">
        <v>1</v>
      </c>
    </row>
    <row r="19" spans="1:13" x14ac:dyDescent="0.25">
      <c r="E19" s="41" t="str">
        <f t="shared" si="0"/>
        <v/>
      </c>
    </row>
    <row r="20" spans="1:13" x14ac:dyDescent="0.25">
      <c r="E20" s="41" t="str">
        <f t="shared" si="0"/>
        <v/>
      </c>
    </row>
    <row r="21" spans="1:13" x14ac:dyDescent="0.25">
      <c r="E21" s="41" t="str">
        <f t="shared" si="0"/>
        <v/>
      </c>
    </row>
    <row r="22" spans="1:13" x14ac:dyDescent="0.25">
      <c r="E22" s="41" t="str">
        <f t="shared" si="0"/>
        <v/>
      </c>
    </row>
    <row r="23" spans="1:13" x14ac:dyDescent="0.25">
      <c r="E23" s="41" t="str">
        <f t="shared" si="0"/>
        <v/>
      </c>
    </row>
    <row r="24" spans="1:13" x14ac:dyDescent="0.25">
      <c r="E24" s="41" t="str">
        <f t="shared" si="0"/>
        <v/>
      </c>
    </row>
    <row r="25" spans="1:13" x14ac:dyDescent="0.25">
      <c r="E25" s="41" t="str">
        <f t="shared" si="0"/>
        <v/>
      </c>
    </row>
    <row r="26" spans="1:13" x14ac:dyDescent="0.25">
      <c r="E26" s="41" t="str">
        <f t="shared" si="0"/>
        <v/>
      </c>
    </row>
    <row r="27" spans="1:13" x14ac:dyDescent="0.25">
      <c r="E27" s="41" t="str">
        <f t="shared" si="0"/>
        <v/>
      </c>
    </row>
    <row r="28" spans="1:13" x14ac:dyDescent="0.25">
      <c r="E28" s="41" t="str">
        <f t="shared" si="0"/>
        <v/>
      </c>
    </row>
    <row r="29" spans="1:13" x14ac:dyDescent="0.25">
      <c r="E29" s="41" t="str">
        <f t="shared" si="0"/>
        <v/>
      </c>
    </row>
    <row r="30" spans="1:13" x14ac:dyDescent="0.25">
      <c r="E30" s="41" t="str">
        <f t="shared" si="0"/>
        <v/>
      </c>
    </row>
    <row r="31" spans="1:13" x14ac:dyDescent="0.25">
      <c r="E31" s="41" t="str">
        <f t="shared" si="0"/>
        <v/>
      </c>
    </row>
    <row r="32" spans="1:13" x14ac:dyDescent="0.25">
      <c r="E32" s="41" t="str">
        <f t="shared" si="0"/>
        <v/>
      </c>
    </row>
    <row r="33" spans="5:5" x14ac:dyDescent="0.25">
      <c r="E33" s="41" t="str">
        <f t="shared" si="0"/>
        <v/>
      </c>
    </row>
    <row r="34" spans="5:5" x14ac:dyDescent="0.25">
      <c r="E34" s="41" t="str">
        <f t="shared" si="0"/>
        <v/>
      </c>
    </row>
    <row r="35" spans="5:5" x14ac:dyDescent="0.25">
      <c r="E35" s="41" t="str">
        <f t="shared" si="0"/>
        <v/>
      </c>
    </row>
    <row r="36" spans="5:5" x14ac:dyDescent="0.25">
      <c r="E36" s="41" t="str">
        <f t="shared" si="0"/>
        <v/>
      </c>
    </row>
    <row r="37" spans="5:5" x14ac:dyDescent="0.25">
      <c r="E37" s="41" t="str">
        <f t="shared" si="0"/>
        <v/>
      </c>
    </row>
    <row r="38" spans="5:5" x14ac:dyDescent="0.25">
      <c r="E38" s="41" t="str">
        <f t="shared" si="0"/>
        <v/>
      </c>
    </row>
    <row r="39" spans="5:5" x14ac:dyDescent="0.25">
      <c r="E39" s="41" t="str">
        <f t="shared" si="0"/>
        <v/>
      </c>
    </row>
    <row r="40" spans="5:5" x14ac:dyDescent="0.25">
      <c r="E40" s="41" t="str">
        <f t="shared" si="0"/>
        <v/>
      </c>
    </row>
    <row r="41" spans="5:5" x14ac:dyDescent="0.25">
      <c r="E41" s="41" t="str">
        <f t="shared" si="0"/>
        <v/>
      </c>
    </row>
    <row r="42" spans="5:5" x14ac:dyDescent="0.25">
      <c r="E42" s="41" t="str">
        <f t="shared" si="0"/>
        <v/>
      </c>
    </row>
    <row r="43" spans="5:5" x14ac:dyDescent="0.25">
      <c r="E43" s="41" t="str">
        <f t="shared" si="0"/>
        <v/>
      </c>
    </row>
    <row r="44" spans="5:5" x14ac:dyDescent="0.25">
      <c r="E44" s="41" t="str">
        <f t="shared" si="0"/>
        <v/>
      </c>
    </row>
    <row r="45" spans="5:5" x14ac:dyDescent="0.25">
      <c r="E45" s="41" t="str">
        <f t="shared" si="0"/>
        <v/>
      </c>
    </row>
    <row r="46" spans="5:5" x14ac:dyDescent="0.25">
      <c r="E46" s="41" t="str">
        <f t="shared" si="0"/>
        <v/>
      </c>
    </row>
    <row r="47" spans="5:5" x14ac:dyDescent="0.25">
      <c r="E47" s="41" t="str">
        <f t="shared" si="0"/>
        <v/>
      </c>
    </row>
    <row r="48" spans="5:5" x14ac:dyDescent="0.25">
      <c r="E48" s="41" t="str">
        <f t="shared" si="0"/>
        <v/>
      </c>
    </row>
    <row r="49" spans="5:5" x14ac:dyDescent="0.25">
      <c r="E49" s="41" t="str">
        <f t="shared" si="0"/>
        <v/>
      </c>
    </row>
    <row r="50" spans="5:5" x14ac:dyDescent="0.25">
      <c r="E50" s="41" t="str">
        <f t="shared" si="0"/>
        <v/>
      </c>
    </row>
    <row r="51" spans="5:5" x14ac:dyDescent="0.25">
      <c r="E51" s="41" t="str">
        <f t="shared" si="0"/>
        <v/>
      </c>
    </row>
    <row r="52" spans="5:5" x14ac:dyDescent="0.25">
      <c r="E52" s="41" t="str">
        <f t="shared" si="0"/>
        <v/>
      </c>
    </row>
    <row r="53" spans="5:5" x14ac:dyDescent="0.25">
      <c r="E53" s="41" t="str">
        <f t="shared" si="0"/>
        <v/>
      </c>
    </row>
    <row r="54" spans="5:5" x14ac:dyDescent="0.25">
      <c r="E54" s="41" t="str">
        <f t="shared" si="0"/>
        <v/>
      </c>
    </row>
    <row r="55" spans="5:5" x14ac:dyDescent="0.25">
      <c r="E55" s="41" t="str">
        <f t="shared" si="0"/>
        <v/>
      </c>
    </row>
    <row r="56" spans="5:5" x14ac:dyDescent="0.25">
      <c r="E56" s="41" t="str">
        <f t="shared" si="0"/>
        <v/>
      </c>
    </row>
    <row r="57" spans="5:5" x14ac:dyDescent="0.25">
      <c r="E57" s="41" t="str">
        <f t="shared" si="0"/>
        <v/>
      </c>
    </row>
    <row r="58" spans="5:5" x14ac:dyDescent="0.25">
      <c r="E58" s="41" t="str">
        <f t="shared" si="0"/>
        <v/>
      </c>
    </row>
    <row r="59" spans="5:5" x14ac:dyDescent="0.25">
      <c r="E59" s="41" t="str">
        <f t="shared" si="0"/>
        <v/>
      </c>
    </row>
    <row r="60" spans="5:5" x14ac:dyDescent="0.25">
      <c r="E60" s="41" t="str">
        <f t="shared" si="0"/>
        <v/>
      </c>
    </row>
    <row r="61" spans="5:5" x14ac:dyDescent="0.25">
      <c r="E61" s="41" t="str">
        <f t="shared" si="0"/>
        <v/>
      </c>
    </row>
    <row r="62" spans="5:5" x14ac:dyDescent="0.25">
      <c r="E62" s="41" t="str">
        <f t="shared" si="0"/>
        <v/>
      </c>
    </row>
    <row r="63" spans="5:5" x14ac:dyDescent="0.25">
      <c r="E63" s="41" t="str">
        <f t="shared" si="0"/>
        <v/>
      </c>
    </row>
    <row r="64" spans="5:5" x14ac:dyDescent="0.25">
      <c r="E64" s="41" t="str">
        <f t="shared" si="0"/>
        <v/>
      </c>
    </row>
    <row r="65" spans="5:5" x14ac:dyDescent="0.25">
      <c r="E65" s="41" t="str">
        <f t="shared" si="0"/>
        <v/>
      </c>
    </row>
    <row r="66" spans="5:5" x14ac:dyDescent="0.25">
      <c r="E66" s="41" t="str">
        <f t="shared" si="0"/>
        <v/>
      </c>
    </row>
    <row r="67" spans="5:5" x14ac:dyDescent="0.25">
      <c r="E67" s="41" t="str">
        <f t="shared" si="0"/>
        <v/>
      </c>
    </row>
    <row r="68" spans="5:5" x14ac:dyDescent="0.25">
      <c r="E68" s="41" t="str">
        <f t="shared" si="0"/>
        <v/>
      </c>
    </row>
    <row r="69" spans="5:5" x14ac:dyDescent="0.25">
      <c r="E69" s="41" t="str">
        <f t="shared" si="0"/>
        <v/>
      </c>
    </row>
    <row r="70" spans="5:5" x14ac:dyDescent="0.25">
      <c r="E70" s="41" t="str">
        <f t="shared" si="0"/>
        <v/>
      </c>
    </row>
    <row r="71" spans="5:5" x14ac:dyDescent="0.25">
      <c r="E71" s="41" t="str">
        <f t="shared" si="0"/>
        <v/>
      </c>
    </row>
    <row r="72" spans="5:5" x14ac:dyDescent="0.25">
      <c r="E72" s="41" t="str">
        <f t="shared" si="0"/>
        <v/>
      </c>
    </row>
    <row r="73" spans="5:5" x14ac:dyDescent="0.25">
      <c r="E73" s="41" t="str">
        <f t="shared" si="0"/>
        <v/>
      </c>
    </row>
    <row r="74" spans="5:5" x14ac:dyDescent="0.25">
      <c r="E74" s="41" t="str">
        <f t="shared" si="0"/>
        <v/>
      </c>
    </row>
    <row r="75" spans="5:5" x14ac:dyDescent="0.25">
      <c r="E75" s="41" t="str">
        <f t="shared" si="0"/>
        <v/>
      </c>
    </row>
    <row r="76" spans="5:5" x14ac:dyDescent="0.25">
      <c r="E76" s="41" t="str">
        <f t="shared" si="0"/>
        <v/>
      </c>
    </row>
    <row r="77" spans="5:5" x14ac:dyDescent="0.25">
      <c r="E77" s="41" t="str">
        <f t="shared" si="0"/>
        <v/>
      </c>
    </row>
    <row r="78" spans="5:5" x14ac:dyDescent="0.25">
      <c r="E78" s="41" t="str">
        <f t="shared" si="0"/>
        <v/>
      </c>
    </row>
    <row r="79" spans="5:5" x14ac:dyDescent="0.25">
      <c r="E79" s="41" t="str">
        <f t="shared" si="0"/>
        <v/>
      </c>
    </row>
    <row r="80" spans="5:5" x14ac:dyDescent="0.25">
      <c r="E80" s="41" t="str">
        <f t="shared" si="0"/>
        <v/>
      </c>
    </row>
    <row r="81" spans="5:5" x14ac:dyDescent="0.25">
      <c r="E81" s="41" t="str">
        <f t="shared" ref="E81:E144" si="1">IF(A81=0,"","Elastic")</f>
        <v/>
      </c>
    </row>
    <row r="82" spans="5:5" x14ac:dyDescent="0.25">
      <c r="E82" s="41" t="str">
        <f t="shared" si="1"/>
        <v/>
      </c>
    </row>
    <row r="83" spans="5:5" x14ac:dyDescent="0.25">
      <c r="E83" s="41" t="str">
        <f t="shared" si="1"/>
        <v/>
      </c>
    </row>
    <row r="84" spans="5:5" x14ac:dyDescent="0.25">
      <c r="E84" s="41" t="str">
        <f t="shared" si="1"/>
        <v/>
      </c>
    </row>
    <row r="85" spans="5:5" x14ac:dyDescent="0.25">
      <c r="E85" s="41" t="str">
        <f t="shared" si="1"/>
        <v/>
      </c>
    </row>
    <row r="86" spans="5:5" x14ac:dyDescent="0.25">
      <c r="E86" s="41" t="str">
        <f t="shared" si="1"/>
        <v/>
      </c>
    </row>
    <row r="87" spans="5:5" x14ac:dyDescent="0.25">
      <c r="E87" s="41" t="str">
        <f t="shared" si="1"/>
        <v/>
      </c>
    </row>
    <row r="88" spans="5:5" x14ac:dyDescent="0.25">
      <c r="E88" s="41" t="str">
        <f t="shared" si="1"/>
        <v/>
      </c>
    </row>
    <row r="89" spans="5:5" x14ac:dyDescent="0.25">
      <c r="E89" s="41" t="str">
        <f t="shared" si="1"/>
        <v/>
      </c>
    </row>
    <row r="90" spans="5:5" x14ac:dyDescent="0.25">
      <c r="E90" s="41" t="str">
        <f t="shared" si="1"/>
        <v/>
      </c>
    </row>
    <row r="91" spans="5:5" x14ac:dyDescent="0.25">
      <c r="E91" s="41" t="str">
        <f t="shared" si="1"/>
        <v/>
      </c>
    </row>
    <row r="92" spans="5:5" x14ac:dyDescent="0.25">
      <c r="E92" s="41" t="str">
        <f t="shared" si="1"/>
        <v/>
      </c>
    </row>
    <row r="93" spans="5:5" x14ac:dyDescent="0.25">
      <c r="E93" s="41" t="str">
        <f t="shared" si="1"/>
        <v/>
      </c>
    </row>
    <row r="94" spans="5:5" x14ac:dyDescent="0.25">
      <c r="E94" s="41" t="str">
        <f t="shared" si="1"/>
        <v/>
      </c>
    </row>
    <row r="95" spans="5:5" x14ac:dyDescent="0.25">
      <c r="E95" s="41" t="str">
        <f t="shared" si="1"/>
        <v/>
      </c>
    </row>
    <row r="96" spans="5:5" x14ac:dyDescent="0.25">
      <c r="E96" s="41" t="str">
        <f t="shared" si="1"/>
        <v/>
      </c>
    </row>
    <row r="97" spans="5:5" x14ac:dyDescent="0.25">
      <c r="E97" s="41" t="str">
        <f t="shared" si="1"/>
        <v/>
      </c>
    </row>
    <row r="98" spans="5:5" x14ac:dyDescent="0.25">
      <c r="E98" s="41" t="str">
        <f t="shared" si="1"/>
        <v/>
      </c>
    </row>
    <row r="99" spans="5:5" x14ac:dyDescent="0.25">
      <c r="E99" s="41" t="str">
        <f t="shared" si="1"/>
        <v/>
      </c>
    </row>
    <row r="100" spans="5:5" x14ac:dyDescent="0.25">
      <c r="E100" s="41" t="str">
        <f t="shared" si="1"/>
        <v/>
      </c>
    </row>
    <row r="101" spans="5:5" x14ac:dyDescent="0.25">
      <c r="E101" s="41" t="str">
        <f t="shared" si="1"/>
        <v/>
      </c>
    </row>
    <row r="102" spans="5:5" x14ac:dyDescent="0.25">
      <c r="E102" s="41" t="str">
        <f t="shared" si="1"/>
        <v/>
      </c>
    </row>
    <row r="103" spans="5:5" x14ac:dyDescent="0.25">
      <c r="E103" s="41" t="str">
        <f t="shared" si="1"/>
        <v/>
      </c>
    </row>
    <row r="104" spans="5:5" x14ac:dyDescent="0.25">
      <c r="E104" s="41" t="str">
        <f t="shared" si="1"/>
        <v/>
      </c>
    </row>
    <row r="105" spans="5:5" x14ac:dyDescent="0.25">
      <c r="E105" s="41" t="str">
        <f t="shared" si="1"/>
        <v/>
      </c>
    </row>
    <row r="106" spans="5:5" x14ac:dyDescent="0.25">
      <c r="E106" s="41" t="str">
        <f t="shared" si="1"/>
        <v/>
      </c>
    </row>
    <row r="107" spans="5:5" x14ac:dyDescent="0.25">
      <c r="E107" s="41" t="str">
        <f t="shared" si="1"/>
        <v/>
      </c>
    </row>
    <row r="108" spans="5:5" x14ac:dyDescent="0.25">
      <c r="E108" s="41" t="str">
        <f t="shared" si="1"/>
        <v/>
      </c>
    </row>
    <row r="109" spans="5:5" x14ac:dyDescent="0.25">
      <c r="E109" s="41" t="str">
        <f t="shared" si="1"/>
        <v/>
      </c>
    </row>
    <row r="110" spans="5:5" x14ac:dyDescent="0.25">
      <c r="E110" s="41" t="str">
        <f t="shared" si="1"/>
        <v/>
      </c>
    </row>
    <row r="111" spans="5:5" x14ac:dyDescent="0.25">
      <c r="E111" s="41" t="str">
        <f t="shared" si="1"/>
        <v/>
      </c>
    </row>
    <row r="112" spans="5:5" x14ac:dyDescent="0.25">
      <c r="E112" s="41" t="str">
        <f t="shared" si="1"/>
        <v/>
      </c>
    </row>
    <row r="113" spans="5:5" x14ac:dyDescent="0.25">
      <c r="E113" s="41" t="str">
        <f t="shared" si="1"/>
        <v/>
      </c>
    </row>
    <row r="114" spans="5:5" x14ac:dyDescent="0.25">
      <c r="E114" s="41" t="str">
        <f t="shared" si="1"/>
        <v/>
      </c>
    </row>
    <row r="115" spans="5:5" x14ac:dyDescent="0.25">
      <c r="E115" s="41" t="str">
        <f t="shared" si="1"/>
        <v/>
      </c>
    </row>
    <row r="116" spans="5:5" x14ac:dyDescent="0.25">
      <c r="E116" s="41" t="str">
        <f t="shared" si="1"/>
        <v/>
      </c>
    </row>
    <row r="117" spans="5:5" x14ac:dyDescent="0.25">
      <c r="E117" s="41" t="str">
        <f t="shared" si="1"/>
        <v/>
      </c>
    </row>
    <row r="118" spans="5:5" x14ac:dyDescent="0.25">
      <c r="E118" s="41" t="str">
        <f t="shared" si="1"/>
        <v/>
      </c>
    </row>
    <row r="119" spans="5:5" x14ac:dyDescent="0.25">
      <c r="E119" s="41" t="str">
        <f t="shared" si="1"/>
        <v/>
      </c>
    </row>
    <row r="120" spans="5:5" x14ac:dyDescent="0.25">
      <c r="E120" s="41" t="str">
        <f t="shared" si="1"/>
        <v/>
      </c>
    </row>
    <row r="121" spans="5:5" x14ac:dyDescent="0.25">
      <c r="E121" s="41" t="str">
        <f t="shared" si="1"/>
        <v/>
      </c>
    </row>
    <row r="122" spans="5:5" x14ac:dyDescent="0.25">
      <c r="E122" s="41" t="str">
        <f t="shared" si="1"/>
        <v/>
      </c>
    </row>
    <row r="123" spans="5:5" x14ac:dyDescent="0.25">
      <c r="E123" s="41" t="str">
        <f t="shared" si="1"/>
        <v/>
      </c>
    </row>
    <row r="124" spans="5:5" x14ac:dyDescent="0.25">
      <c r="E124" s="41" t="str">
        <f t="shared" si="1"/>
        <v/>
      </c>
    </row>
    <row r="125" spans="5:5" x14ac:dyDescent="0.25">
      <c r="E125" s="41" t="str">
        <f t="shared" si="1"/>
        <v/>
      </c>
    </row>
    <row r="126" spans="5:5" x14ac:dyDescent="0.25">
      <c r="E126" s="41" t="str">
        <f t="shared" si="1"/>
        <v/>
      </c>
    </row>
    <row r="127" spans="5:5" x14ac:dyDescent="0.25">
      <c r="E127" s="41" t="str">
        <f t="shared" si="1"/>
        <v/>
      </c>
    </row>
    <row r="128" spans="5:5" x14ac:dyDescent="0.25">
      <c r="E128" s="41" t="str">
        <f t="shared" si="1"/>
        <v/>
      </c>
    </row>
    <row r="129" spans="5:5" x14ac:dyDescent="0.25">
      <c r="E129" s="41" t="str">
        <f t="shared" si="1"/>
        <v/>
      </c>
    </row>
    <row r="130" spans="5:5" x14ac:dyDescent="0.25">
      <c r="E130" s="41" t="str">
        <f t="shared" si="1"/>
        <v/>
      </c>
    </row>
    <row r="131" spans="5:5" x14ac:dyDescent="0.25">
      <c r="E131" s="41" t="str">
        <f t="shared" si="1"/>
        <v/>
      </c>
    </row>
    <row r="132" spans="5:5" x14ac:dyDescent="0.25">
      <c r="E132" s="41" t="str">
        <f t="shared" si="1"/>
        <v/>
      </c>
    </row>
    <row r="133" spans="5:5" x14ac:dyDescent="0.25">
      <c r="E133" s="41" t="str">
        <f t="shared" si="1"/>
        <v/>
      </c>
    </row>
    <row r="134" spans="5:5" x14ac:dyDescent="0.25">
      <c r="E134" s="41" t="str">
        <f t="shared" si="1"/>
        <v/>
      </c>
    </row>
    <row r="135" spans="5:5" x14ac:dyDescent="0.25">
      <c r="E135" s="41" t="str">
        <f t="shared" si="1"/>
        <v/>
      </c>
    </row>
    <row r="136" spans="5:5" x14ac:dyDescent="0.25">
      <c r="E136" s="41" t="str">
        <f t="shared" si="1"/>
        <v/>
      </c>
    </row>
    <row r="137" spans="5:5" x14ac:dyDescent="0.25">
      <c r="E137" s="41" t="str">
        <f t="shared" si="1"/>
        <v/>
      </c>
    </row>
    <row r="138" spans="5:5" x14ac:dyDescent="0.25">
      <c r="E138" s="41" t="str">
        <f t="shared" si="1"/>
        <v/>
      </c>
    </row>
    <row r="139" spans="5:5" x14ac:dyDescent="0.25">
      <c r="E139" s="41" t="str">
        <f t="shared" si="1"/>
        <v/>
      </c>
    </row>
    <row r="140" spans="5:5" x14ac:dyDescent="0.25">
      <c r="E140" s="41" t="str">
        <f t="shared" si="1"/>
        <v/>
      </c>
    </row>
    <row r="141" spans="5:5" x14ac:dyDescent="0.25">
      <c r="E141" s="41" t="str">
        <f t="shared" si="1"/>
        <v/>
      </c>
    </row>
    <row r="142" spans="5:5" x14ac:dyDescent="0.25">
      <c r="E142" s="41" t="str">
        <f t="shared" si="1"/>
        <v/>
      </c>
    </row>
    <row r="143" spans="5:5" x14ac:dyDescent="0.25">
      <c r="E143" s="41" t="str">
        <f t="shared" si="1"/>
        <v/>
      </c>
    </row>
    <row r="144" spans="5:5" x14ac:dyDescent="0.25">
      <c r="E144" s="41" t="str">
        <f t="shared" si="1"/>
        <v/>
      </c>
    </row>
    <row r="145" spans="5:5" x14ac:dyDescent="0.25">
      <c r="E145" s="41" t="str">
        <f t="shared" ref="E145:E208" si="2">IF(A145=0,"","Elastic")</f>
        <v/>
      </c>
    </row>
    <row r="146" spans="5:5" x14ac:dyDescent="0.25">
      <c r="E146" s="41" t="str">
        <f t="shared" si="2"/>
        <v/>
      </c>
    </row>
    <row r="147" spans="5:5" x14ac:dyDescent="0.25">
      <c r="E147" s="41" t="str">
        <f t="shared" si="2"/>
        <v/>
      </c>
    </row>
    <row r="148" spans="5:5" x14ac:dyDescent="0.25">
      <c r="E148" s="41" t="str">
        <f t="shared" si="2"/>
        <v/>
      </c>
    </row>
    <row r="149" spans="5:5" x14ac:dyDescent="0.25">
      <c r="E149" s="41" t="str">
        <f t="shared" si="2"/>
        <v/>
      </c>
    </row>
    <row r="150" spans="5:5" x14ac:dyDescent="0.25">
      <c r="E150" s="41" t="str">
        <f t="shared" si="2"/>
        <v/>
      </c>
    </row>
    <row r="151" spans="5:5" x14ac:dyDescent="0.25">
      <c r="E151" s="41" t="str">
        <f t="shared" si="2"/>
        <v/>
      </c>
    </row>
    <row r="152" spans="5:5" x14ac:dyDescent="0.25">
      <c r="E152" s="41" t="str">
        <f t="shared" si="2"/>
        <v/>
      </c>
    </row>
    <row r="153" spans="5:5" x14ac:dyDescent="0.25">
      <c r="E153" s="41" t="str">
        <f t="shared" si="2"/>
        <v/>
      </c>
    </row>
    <row r="154" spans="5:5" x14ac:dyDescent="0.25">
      <c r="E154" s="41" t="str">
        <f t="shared" si="2"/>
        <v/>
      </c>
    </row>
    <row r="155" spans="5:5" x14ac:dyDescent="0.25">
      <c r="E155" s="41" t="str">
        <f t="shared" si="2"/>
        <v/>
      </c>
    </row>
    <row r="156" spans="5:5" x14ac:dyDescent="0.25">
      <c r="E156" s="41" t="str">
        <f t="shared" si="2"/>
        <v/>
      </c>
    </row>
    <row r="157" spans="5:5" x14ac:dyDescent="0.25">
      <c r="E157" s="41" t="str">
        <f t="shared" si="2"/>
        <v/>
      </c>
    </row>
    <row r="158" spans="5:5" x14ac:dyDescent="0.25">
      <c r="E158" s="41" t="str">
        <f t="shared" si="2"/>
        <v/>
      </c>
    </row>
    <row r="159" spans="5:5" x14ac:dyDescent="0.25">
      <c r="E159" s="41" t="str">
        <f t="shared" si="2"/>
        <v/>
      </c>
    </row>
    <row r="160" spans="5:5" x14ac:dyDescent="0.25">
      <c r="E160" s="41" t="str">
        <f t="shared" si="2"/>
        <v/>
      </c>
    </row>
    <row r="161" spans="5:5" x14ac:dyDescent="0.25">
      <c r="E161" s="41" t="str">
        <f t="shared" si="2"/>
        <v/>
      </c>
    </row>
    <row r="162" spans="5:5" x14ac:dyDescent="0.25">
      <c r="E162" s="41" t="str">
        <f t="shared" si="2"/>
        <v/>
      </c>
    </row>
    <row r="163" spans="5:5" x14ac:dyDescent="0.25">
      <c r="E163" s="41" t="str">
        <f t="shared" si="2"/>
        <v/>
      </c>
    </row>
    <row r="164" spans="5:5" x14ac:dyDescent="0.25">
      <c r="E164" s="41" t="str">
        <f t="shared" si="2"/>
        <v/>
      </c>
    </row>
    <row r="165" spans="5:5" x14ac:dyDescent="0.25">
      <c r="E165" s="41" t="str">
        <f t="shared" si="2"/>
        <v/>
      </c>
    </row>
    <row r="166" spans="5:5" x14ac:dyDescent="0.25">
      <c r="E166" s="41" t="str">
        <f t="shared" si="2"/>
        <v/>
      </c>
    </row>
    <row r="167" spans="5:5" x14ac:dyDescent="0.25">
      <c r="E167" s="41" t="str">
        <f t="shared" si="2"/>
        <v/>
      </c>
    </row>
    <row r="168" spans="5:5" x14ac:dyDescent="0.25">
      <c r="E168" s="41" t="str">
        <f t="shared" si="2"/>
        <v/>
      </c>
    </row>
    <row r="169" spans="5:5" x14ac:dyDescent="0.25">
      <c r="E169" s="41" t="str">
        <f t="shared" si="2"/>
        <v/>
      </c>
    </row>
    <row r="170" spans="5:5" x14ac:dyDescent="0.25">
      <c r="E170" s="41" t="str">
        <f t="shared" si="2"/>
        <v/>
      </c>
    </row>
    <row r="171" spans="5:5" x14ac:dyDescent="0.25">
      <c r="E171" s="41" t="str">
        <f t="shared" si="2"/>
        <v/>
      </c>
    </row>
    <row r="172" spans="5:5" x14ac:dyDescent="0.25">
      <c r="E172" s="41" t="str">
        <f t="shared" si="2"/>
        <v/>
      </c>
    </row>
    <row r="173" spans="5:5" x14ac:dyDescent="0.25">
      <c r="E173" s="41" t="str">
        <f t="shared" si="2"/>
        <v/>
      </c>
    </row>
    <row r="174" spans="5:5" x14ac:dyDescent="0.25">
      <c r="E174" s="41" t="str">
        <f t="shared" si="2"/>
        <v/>
      </c>
    </row>
    <row r="175" spans="5:5" x14ac:dyDescent="0.25">
      <c r="E175" s="41" t="str">
        <f t="shared" si="2"/>
        <v/>
      </c>
    </row>
    <row r="176" spans="5:5" x14ac:dyDescent="0.25">
      <c r="E176" s="41" t="str">
        <f t="shared" si="2"/>
        <v/>
      </c>
    </row>
    <row r="177" spans="5:5" x14ac:dyDescent="0.25">
      <c r="E177" s="41" t="str">
        <f t="shared" si="2"/>
        <v/>
      </c>
    </row>
    <row r="178" spans="5:5" x14ac:dyDescent="0.25">
      <c r="E178" s="41" t="str">
        <f t="shared" si="2"/>
        <v/>
      </c>
    </row>
    <row r="179" spans="5:5" x14ac:dyDescent="0.25">
      <c r="E179" s="41" t="str">
        <f t="shared" si="2"/>
        <v/>
      </c>
    </row>
    <row r="180" spans="5:5" x14ac:dyDescent="0.25">
      <c r="E180" s="41" t="str">
        <f t="shared" si="2"/>
        <v/>
      </c>
    </row>
    <row r="181" spans="5:5" x14ac:dyDescent="0.25">
      <c r="E181" s="41" t="str">
        <f t="shared" si="2"/>
        <v/>
      </c>
    </row>
    <row r="182" spans="5:5" x14ac:dyDescent="0.25">
      <c r="E182" s="41" t="str">
        <f t="shared" si="2"/>
        <v/>
      </c>
    </row>
    <row r="183" spans="5:5" x14ac:dyDescent="0.25">
      <c r="E183" s="41" t="str">
        <f t="shared" si="2"/>
        <v/>
      </c>
    </row>
    <row r="184" spans="5:5" x14ac:dyDescent="0.25">
      <c r="E184" s="41" t="str">
        <f t="shared" si="2"/>
        <v/>
      </c>
    </row>
    <row r="185" spans="5:5" x14ac:dyDescent="0.25">
      <c r="E185" s="41" t="str">
        <f t="shared" si="2"/>
        <v/>
      </c>
    </row>
    <row r="186" spans="5:5" x14ac:dyDescent="0.25">
      <c r="E186" s="41" t="str">
        <f t="shared" si="2"/>
        <v/>
      </c>
    </row>
    <row r="187" spans="5:5" x14ac:dyDescent="0.25">
      <c r="E187" s="41" t="str">
        <f t="shared" si="2"/>
        <v/>
      </c>
    </row>
    <row r="188" spans="5:5" x14ac:dyDescent="0.25">
      <c r="E188" s="41" t="str">
        <f t="shared" si="2"/>
        <v/>
      </c>
    </row>
    <row r="189" spans="5:5" x14ac:dyDescent="0.25">
      <c r="E189" s="41" t="str">
        <f t="shared" si="2"/>
        <v/>
      </c>
    </row>
    <row r="190" spans="5:5" x14ac:dyDescent="0.25">
      <c r="E190" s="41" t="str">
        <f t="shared" si="2"/>
        <v/>
      </c>
    </row>
    <row r="191" spans="5:5" x14ac:dyDescent="0.25">
      <c r="E191" s="41" t="str">
        <f t="shared" si="2"/>
        <v/>
      </c>
    </row>
    <row r="192" spans="5:5" x14ac:dyDescent="0.25">
      <c r="E192" s="41" t="str">
        <f t="shared" si="2"/>
        <v/>
      </c>
    </row>
    <row r="193" spans="5:5" x14ac:dyDescent="0.25">
      <c r="E193" s="41" t="str">
        <f t="shared" si="2"/>
        <v/>
      </c>
    </row>
    <row r="194" spans="5:5" x14ac:dyDescent="0.25">
      <c r="E194" s="41" t="str">
        <f t="shared" si="2"/>
        <v/>
      </c>
    </row>
    <row r="195" spans="5:5" x14ac:dyDescent="0.25">
      <c r="E195" s="41" t="str">
        <f t="shared" si="2"/>
        <v/>
      </c>
    </row>
    <row r="196" spans="5:5" x14ac:dyDescent="0.25">
      <c r="E196" s="41" t="str">
        <f t="shared" si="2"/>
        <v/>
      </c>
    </row>
    <row r="197" spans="5:5" x14ac:dyDescent="0.25">
      <c r="E197" s="41" t="str">
        <f t="shared" si="2"/>
        <v/>
      </c>
    </row>
    <row r="198" spans="5:5" x14ac:dyDescent="0.25">
      <c r="E198" s="41" t="str">
        <f t="shared" si="2"/>
        <v/>
      </c>
    </row>
    <row r="199" spans="5:5" x14ac:dyDescent="0.25">
      <c r="E199" s="41" t="str">
        <f t="shared" si="2"/>
        <v/>
      </c>
    </row>
    <row r="200" spans="5:5" x14ac:dyDescent="0.25">
      <c r="E200" s="41" t="str">
        <f t="shared" si="2"/>
        <v/>
      </c>
    </row>
    <row r="201" spans="5:5" x14ac:dyDescent="0.25">
      <c r="E201" s="41" t="str">
        <f t="shared" si="2"/>
        <v/>
      </c>
    </row>
    <row r="202" spans="5:5" x14ac:dyDescent="0.25">
      <c r="E202" s="41" t="str">
        <f t="shared" si="2"/>
        <v/>
      </c>
    </row>
    <row r="203" spans="5:5" x14ac:dyDescent="0.25">
      <c r="E203" s="41" t="str">
        <f t="shared" si="2"/>
        <v/>
      </c>
    </row>
    <row r="204" spans="5:5" x14ac:dyDescent="0.25">
      <c r="E204" s="41" t="str">
        <f t="shared" si="2"/>
        <v/>
      </c>
    </row>
    <row r="205" spans="5:5" x14ac:dyDescent="0.25">
      <c r="E205" s="41" t="str">
        <f t="shared" si="2"/>
        <v/>
      </c>
    </row>
    <row r="206" spans="5:5" x14ac:dyDescent="0.25">
      <c r="E206" s="41" t="str">
        <f t="shared" si="2"/>
        <v/>
      </c>
    </row>
    <row r="207" spans="5:5" x14ac:dyDescent="0.25">
      <c r="E207" s="41" t="str">
        <f t="shared" si="2"/>
        <v/>
      </c>
    </row>
    <row r="208" spans="5:5" x14ac:dyDescent="0.25">
      <c r="E208" s="41" t="str">
        <f t="shared" si="2"/>
        <v/>
      </c>
    </row>
    <row r="209" spans="5:5" x14ac:dyDescent="0.25">
      <c r="E209" s="41" t="str">
        <f t="shared" ref="E209:E272" si="3">IF(A209=0,"","Elastic")</f>
        <v/>
      </c>
    </row>
    <row r="210" spans="5:5" x14ac:dyDescent="0.25">
      <c r="E210" s="41" t="str">
        <f t="shared" si="3"/>
        <v/>
      </c>
    </row>
    <row r="211" spans="5:5" x14ac:dyDescent="0.25">
      <c r="E211" s="41" t="str">
        <f t="shared" si="3"/>
        <v/>
      </c>
    </row>
    <row r="212" spans="5:5" x14ac:dyDescent="0.25">
      <c r="E212" s="41" t="str">
        <f t="shared" si="3"/>
        <v/>
      </c>
    </row>
    <row r="213" spans="5:5" x14ac:dyDescent="0.25">
      <c r="E213" s="41" t="str">
        <f t="shared" si="3"/>
        <v/>
      </c>
    </row>
    <row r="214" spans="5:5" x14ac:dyDescent="0.25">
      <c r="E214" s="41" t="str">
        <f t="shared" si="3"/>
        <v/>
      </c>
    </row>
    <row r="215" spans="5:5" x14ac:dyDescent="0.25">
      <c r="E215" s="41" t="str">
        <f t="shared" si="3"/>
        <v/>
      </c>
    </row>
    <row r="216" spans="5:5" x14ac:dyDescent="0.25">
      <c r="E216" s="41" t="str">
        <f t="shared" si="3"/>
        <v/>
      </c>
    </row>
    <row r="217" spans="5:5" x14ac:dyDescent="0.25">
      <c r="E217" s="41" t="str">
        <f t="shared" si="3"/>
        <v/>
      </c>
    </row>
    <row r="218" spans="5:5" x14ac:dyDescent="0.25">
      <c r="E218" s="41" t="str">
        <f t="shared" si="3"/>
        <v/>
      </c>
    </row>
    <row r="219" spans="5:5" x14ac:dyDescent="0.25">
      <c r="E219" s="41" t="str">
        <f t="shared" si="3"/>
        <v/>
      </c>
    </row>
    <row r="220" spans="5:5" x14ac:dyDescent="0.25">
      <c r="E220" s="41" t="str">
        <f t="shared" si="3"/>
        <v/>
      </c>
    </row>
    <row r="221" spans="5:5" x14ac:dyDescent="0.25">
      <c r="E221" s="41" t="str">
        <f t="shared" si="3"/>
        <v/>
      </c>
    </row>
    <row r="222" spans="5:5" x14ac:dyDescent="0.25">
      <c r="E222" s="41" t="str">
        <f t="shared" si="3"/>
        <v/>
      </c>
    </row>
    <row r="223" spans="5:5" x14ac:dyDescent="0.25">
      <c r="E223" s="41" t="str">
        <f t="shared" si="3"/>
        <v/>
      </c>
    </row>
    <row r="224" spans="5:5" x14ac:dyDescent="0.25">
      <c r="E224" s="41" t="str">
        <f t="shared" si="3"/>
        <v/>
      </c>
    </row>
    <row r="225" spans="5:5" x14ac:dyDescent="0.25">
      <c r="E225" s="41" t="str">
        <f t="shared" si="3"/>
        <v/>
      </c>
    </row>
    <row r="226" spans="5:5" x14ac:dyDescent="0.25">
      <c r="E226" s="41" t="str">
        <f t="shared" si="3"/>
        <v/>
      </c>
    </row>
    <row r="227" spans="5:5" x14ac:dyDescent="0.25">
      <c r="E227" s="41" t="str">
        <f t="shared" si="3"/>
        <v/>
      </c>
    </row>
    <row r="228" spans="5:5" x14ac:dyDescent="0.25">
      <c r="E228" s="41" t="str">
        <f t="shared" si="3"/>
        <v/>
      </c>
    </row>
    <row r="229" spans="5:5" x14ac:dyDescent="0.25">
      <c r="E229" s="41" t="str">
        <f t="shared" si="3"/>
        <v/>
      </c>
    </row>
    <row r="230" spans="5:5" x14ac:dyDescent="0.25">
      <c r="E230" s="41" t="str">
        <f t="shared" si="3"/>
        <v/>
      </c>
    </row>
    <row r="231" spans="5:5" x14ac:dyDescent="0.25">
      <c r="E231" s="41" t="str">
        <f t="shared" si="3"/>
        <v/>
      </c>
    </row>
    <row r="232" spans="5:5" x14ac:dyDescent="0.25">
      <c r="E232" s="41" t="str">
        <f t="shared" si="3"/>
        <v/>
      </c>
    </row>
    <row r="233" spans="5:5" x14ac:dyDescent="0.25">
      <c r="E233" s="41" t="str">
        <f t="shared" si="3"/>
        <v/>
      </c>
    </row>
    <row r="234" spans="5:5" x14ac:dyDescent="0.25">
      <c r="E234" s="41" t="str">
        <f t="shared" si="3"/>
        <v/>
      </c>
    </row>
    <row r="235" spans="5:5" x14ac:dyDescent="0.25">
      <c r="E235" s="41" t="str">
        <f t="shared" si="3"/>
        <v/>
      </c>
    </row>
    <row r="236" spans="5:5" x14ac:dyDescent="0.25">
      <c r="E236" s="41" t="str">
        <f t="shared" si="3"/>
        <v/>
      </c>
    </row>
    <row r="237" spans="5:5" x14ac:dyDescent="0.25">
      <c r="E237" s="41" t="str">
        <f t="shared" si="3"/>
        <v/>
      </c>
    </row>
    <row r="238" spans="5:5" x14ac:dyDescent="0.25">
      <c r="E238" s="41" t="str">
        <f t="shared" si="3"/>
        <v/>
      </c>
    </row>
    <row r="239" spans="5:5" x14ac:dyDescent="0.25">
      <c r="E239" s="41" t="str">
        <f t="shared" si="3"/>
        <v/>
      </c>
    </row>
    <row r="240" spans="5:5" x14ac:dyDescent="0.25">
      <c r="E240" s="41" t="str">
        <f t="shared" si="3"/>
        <v/>
      </c>
    </row>
    <row r="241" spans="5:5" x14ac:dyDescent="0.25">
      <c r="E241" s="41" t="str">
        <f t="shared" si="3"/>
        <v/>
      </c>
    </row>
    <row r="242" spans="5:5" x14ac:dyDescent="0.25">
      <c r="E242" s="41" t="str">
        <f t="shared" si="3"/>
        <v/>
      </c>
    </row>
    <row r="243" spans="5:5" x14ac:dyDescent="0.25">
      <c r="E243" s="41" t="str">
        <f t="shared" si="3"/>
        <v/>
      </c>
    </row>
    <row r="244" spans="5:5" x14ac:dyDescent="0.25">
      <c r="E244" s="41" t="str">
        <f t="shared" si="3"/>
        <v/>
      </c>
    </row>
    <row r="245" spans="5:5" x14ac:dyDescent="0.25">
      <c r="E245" s="41" t="str">
        <f t="shared" si="3"/>
        <v/>
      </c>
    </row>
    <row r="246" spans="5:5" x14ac:dyDescent="0.25">
      <c r="E246" s="41" t="str">
        <f t="shared" si="3"/>
        <v/>
      </c>
    </row>
    <row r="247" spans="5:5" x14ac:dyDescent="0.25">
      <c r="E247" s="41" t="str">
        <f t="shared" si="3"/>
        <v/>
      </c>
    </row>
    <row r="248" spans="5:5" x14ac:dyDescent="0.25">
      <c r="E248" s="41" t="str">
        <f t="shared" si="3"/>
        <v/>
      </c>
    </row>
    <row r="249" spans="5:5" x14ac:dyDescent="0.25">
      <c r="E249" s="41" t="str">
        <f t="shared" si="3"/>
        <v/>
      </c>
    </row>
    <row r="250" spans="5:5" x14ac:dyDescent="0.25">
      <c r="E250" s="41" t="str">
        <f t="shared" si="3"/>
        <v/>
      </c>
    </row>
    <row r="251" spans="5:5" x14ac:dyDescent="0.25">
      <c r="E251" s="41" t="str">
        <f t="shared" si="3"/>
        <v/>
      </c>
    </row>
    <row r="252" spans="5:5" x14ac:dyDescent="0.25">
      <c r="E252" s="41" t="str">
        <f t="shared" si="3"/>
        <v/>
      </c>
    </row>
    <row r="253" spans="5:5" x14ac:dyDescent="0.25">
      <c r="E253" s="41" t="str">
        <f t="shared" si="3"/>
        <v/>
      </c>
    </row>
    <row r="254" spans="5:5" x14ac:dyDescent="0.25">
      <c r="E254" s="41" t="str">
        <f t="shared" si="3"/>
        <v/>
      </c>
    </row>
    <row r="255" spans="5:5" x14ac:dyDescent="0.25">
      <c r="E255" s="41" t="str">
        <f t="shared" si="3"/>
        <v/>
      </c>
    </row>
    <row r="256" spans="5:5" x14ac:dyDescent="0.25">
      <c r="E256" s="41" t="str">
        <f t="shared" si="3"/>
        <v/>
      </c>
    </row>
    <row r="257" spans="5:5" x14ac:dyDescent="0.25">
      <c r="E257" s="41" t="str">
        <f t="shared" si="3"/>
        <v/>
      </c>
    </row>
    <row r="258" spans="5:5" x14ac:dyDescent="0.25">
      <c r="E258" s="41" t="str">
        <f t="shared" si="3"/>
        <v/>
      </c>
    </row>
    <row r="259" spans="5:5" x14ac:dyDescent="0.25">
      <c r="E259" s="41" t="str">
        <f t="shared" si="3"/>
        <v/>
      </c>
    </row>
    <row r="260" spans="5:5" x14ac:dyDescent="0.25">
      <c r="E260" s="41" t="str">
        <f t="shared" si="3"/>
        <v/>
      </c>
    </row>
    <row r="261" spans="5:5" x14ac:dyDescent="0.25">
      <c r="E261" s="41" t="str">
        <f t="shared" si="3"/>
        <v/>
      </c>
    </row>
    <row r="262" spans="5:5" x14ac:dyDescent="0.25">
      <c r="E262" s="41" t="str">
        <f t="shared" si="3"/>
        <v/>
      </c>
    </row>
    <row r="263" spans="5:5" x14ac:dyDescent="0.25">
      <c r="E263" s="41" t="str">
        <f t="shared" si="3"/>
        <v/>
      </c>
    </row>
    <row r="264" spans="5:5" x14ac:dyDescent="0.25">
      <c r="E264" s="41" t="str">
        <f t="shared" si="3"/>
        <v/>
      </c>
    </row>
    <row r="265" spans="5:5" x14ac:dyDescent="0.25">
      <c r="E265" s="41" t="str">
        <f t="shared" si="3"/>
        <v/>
      </c>
    </row>
    <row r="266" spans="5:5" x14ac:dyDescent="0.25">
      <c r="E266" s="41" t="str">
        <f t="shared" si="3"/>
        <v/>
      </c>
    </row>
    <row r="267" spans="5:5" x14ac:dyDescent="0.25">
      <c r="E267" s="41" t="str">
        <f t="shared" si="3"/>
        <v/>
      </c>
    </row>
    <row r="268" spans="5:5" x14ac:dyDescent="0.25">
      <c r="E268" s="41" t="str">
        <f t="shared" si="3"/>
        <v/>
      </c>
    </row>
    <row r="269" spans="5:5" x14ac:dyDescent="0.25">
      <c r="E269" s="41" t="str">
        <f t="shared" si="3"/>
        <v/>
      </c>
    </row>
    <row r="270" spans="5:5" x14ac:dyDescent="0.25">
      <c r="E270" s="41" t="str">
        <f t="shared" si="3"/>
        <v/>
      </c>
    </row>
    <row r="271" spans="5:5" x14ac:dyDescent="0.25">
      <c r="E271" s="41" t="str">
        <f t="shared" si="3"/>
        <v/>
      </c>
    </row>
    <row r="272" spans="5:5" x14ac:dyDescent="0.25">
      <c r="E272" s="41" t="str">
        <f t="shared" si="3"/>
        <v/>
      </c>
    </row>
    <row r="273" spans="5:5" x14ac:dyDescent="0.25">
      <c r="E273" s="41" t="str">
        <f t="shared" ref="E273:E336" si="4">IF(A273=0,"","Elastic")</f>
        <v/>
      </c>
    </row>
    <row r="274" spans="5:5" x14ac:dyDescent="0.25">
      <c r="E274" s="41" t="str">
        <f t="shared" si="4"/>
        <v/>
      </c>
    </row>
    <row r="275" spans="5:5" x14ac:dyDescent="0.25">
      <c r="E275" s="41" t="str">
        <f t="shared" si="4"/>
        <v/>
      </c>
    </row>
    <row r="276" spans="5:5" x14ac:dyDescent="0.25">
      <c r="E276" s="41" t="str">
        <f t="shared" si="4"/>
        <v/>
      </c>
    </row>
    <row r="277" spans="5:5" x14ac:dyDescent="0.25">
      <c r="E277" s="41" t="str">
        <f t="shared" si="4"/>
        <v/>
      </c>
    </row>
    <row r="278" spans="5:5" x14ac:dyDescent="0.25">
      <c r="E278" s="41" t="str">
        <f t="shared" si="4"/>
        <v/>
      </c>
    </row>
    <row r="279" spans="5:5" x14ac:dyDescent="0.25">
      <c r="E279" s="41" t="str">
        <f t="shared" si="4"/>
        <v/>
      </c>
    </row>
    <row r="280" spans="5:5" x14ac:dyDescent="0.25">
      <c r="E280" s="41" t="str">
        <f t="shared" si="4"/>
        <v/>
      </c>
    </row>
    <row r="281" spans="5:5" x14ac:dyDescent="0.25">
      <c r="E281" s="41" t="str">
        <f t="shared" si="4"/>
        <v/>
      </c>
    </row>
    <row r="282" spans="5:5" x14ac:dyDescent="0.25">
      <c r="E282" s="41" t="str">
        <f t="shared" si="4"/>
        <v/>
      </c>
    </row>
    <row r="283" spans="5:5" x14ac:dyDescent="0.25">
      <c r="E283" s="41" t="str">
        <f t="shared" si="4"/>
        <v/>
      </c>
    </row>
    <row r="284" spans="5:5" x14ac:dyDescent="0.25">
      <c r="E284" s="41" t="str">
        <f t="shared" si="4"/>
        <v/>
      </c>
    </row>
    <row r="285" spans="5:5" x14ac:dyDescent="0.25">
      <c r="E285" s="41" t="str">
        <f t="shared" si="4"/>
        <v/>
      </c>
    </row>
    <row r="286" spans="5:5" x14ac:dyDescent="0.25">
      <c r="E286" s="41" t="str">
        <f t="shared" si="4"/>
        <v/>
      </c>
    </row>
    <row r="287" spans="5:5" x14ac:dyDescent="0.25">
      <c r="E287" s="41" t="str">
        <f t="shared" si="4"/>
        <v/>
      </c>
    </row>
    <row r="288" spans="5:5" x14ac:dyDescent="0.25">
      <c r="E288" s="41" t="str">
        <f t="shared" si="4"/>
        <v/>
      </c>
    </row>
    <row r="289" spans="5:5" x14ac:dyDescent="0.25">
      <c r="E289" s="41" t="str">
        <f t="shared" si="4"/>
        <v/>
      </c>
    </row>
    <row r="290" spans="5:5" x14ac:dyDescent="0.25">
      <c r="E290" s="41" t="str">
        <f t="shared" si="4"/>
        <v/>
      </c>
    </row>
    <row r="291" spans="5:5" x14ac:dyDescent="0.25">
      <c r="E291" s="41" t="str">
        <f t="shared" si="4"/>
        <v/>
      </c>
    </row>
    <row r="292" spans="5:5" x14ac:dyDescent="0.25">
      <c r="E292" s="41" t="str">
        <f t="shared" si="4"/>
        <v/>
      </c>
    </row>
    <row r="293" spans="5:5" x14ac:dyDescent="0.25">
      <c r="E293" s="41" t="str">
        <f t="shared" si="4"/>
        <v/>
      </c>
    </row>
    <row r="294" spans="5:5" x14ac:dyDescent="0.25">
      <c r="E294" s="41" t="str">
        <f t="shared" si="4"/>
        <v/>
      </c>
    </row>
    <row r="295" spans="5:5" x14ac:dyDescent="0.25">
      <c r="E295" s="41" t="str">
        <f t="shared" si="4"/>
        <v/>
      </c>
    </row>
    <row r="296" spans="5:5" x14ac:dyDescent="0.25">
      <c r="E296" s="41" t="str">
        <f t="shared" si="4"/>
        <v/>
      </c>
    </row>
    <row r="297" spans="5:5" x14ac:dyDescent="0.25">
      <c r="E297" s="41" t="str">
        <f t="shared" si="4"/>
        <v/>
      </c>
    </row>
    <row r="298" spans="5:5" x14ac:dyDescent="0.25">
      <c r="E298" s="41" t="str">
        <f t="shared" si="4"/>
        <v/>
      </c>
    </row>
    <row r="299" spans="5:5" x14ac:dyDescent="0.25">
      <c r="E299" s="41" t="str">
        <f t="shared" si="4"/>
        <v/>
      </c>
    </row>
    <row r="300" spans="5:5" x14ac:dyDescent="0.25">
      <c r="E300" s="41" t="str">
        <f t="shared" si="4"/>
        <v/>
      </c>
    </row>
    <row r="301" spans="5:5" x14ac:dyDescent="0.25">
      <c r="E301" s="41" t="str">
        <f t="shared" si="4"/>
        <v/>
      </c>
    </row>
    <row r="302" spans="5:5" x14ac:dyDescent="0.25">
      <c r="E302" s="41" t="str">
        <f t="shared" si="4"/>
        <v/>
      </c>
    </row>
    <row r="303" spans="5:5" x14ac:dyDescent="0.25">
      <c r="E303" s="41" t="str">
        <f t="shared" si="4"/>
        <v/>
      </c>
    </row>
    <row r="304" spans="5:5" x14ac:dyDescent="0.25">
      <c r="E304" s="41" t="str">
        <f t="shared" si="4"/>
        <v/>
      </c>
    </row>
    <row r="305" spans="5:5" x14ac:dyDescent="0.25">
      <c r="E305" s="41" t="str">
        <f t="shared" si="4"/>
        <v/>
      </c>
    </row>
    <row r="306" spans="5:5" x14ac:dyDescent="0.25">
      <c r="E306" s="41" t="str">
        <f t="shared" si="4"/>
        <v/>
      </c>
    </row>
    <row r="307" spans="5:5" x14ac:dyDescent="0.25">
      <c r="E307" s="41" t="str">
        <f t="shared" si="4"/>
        <v/>
      </c>
    </row>
    <row r="308" spans="5:5" x14ac:dyDescent="0.25">
      <c r="E308" s="41" t="str">
        <f t="shared" si="4"/>
        <v/>
      </c>
    </row>
    <row r="309" spans="5:5" x14ac:dyDescent="0.25">
      <c r="E309" s="41" t="str">
        <f t="shared" si="4"/>
        <v/>
      </c>
    </row>
    <row r="310" spans="5:5" x14ac:dyDescent="0.25">
      <c r="E310" s="41" t="str">
        <f t="shared" si="4"/>
        <v/>
      </c>
    </row>
    <row r="311" spans="5:5" x14ac:dyDescent="0.25">
      <c r="E311" s="41" t="str">
        <f t="shared" si="4"/>
        <v/>
      </c>
    </row>
    <row r="312" spans="5:5" x14ac:dyDescent="0.25">
      <c r="E312" s="41" t="str">
        <f t="shared" si="4"/>
        <v/>
      </c>
    </row>
    <row r="313" spans="5:5" x14ac:dyDescent="0.25">
      <c r="E313" s="41" t="str">
        <f t="shared" si="4"/>
        <v/>
      </c>
    </row>
    <row r="314" spans="5:5" x14ac:dyDescent="0.25">
      <c r="E314" s="41" t="str">
        <f t="shared" si="4"/>
        <v/>
      </c>
    </row>
    <row r="315" spans="5:5" x14ac:dyDescent="0.25">
      <c r="E315" s="41" t="str">
        <f t="shared" si="4"/>
        <v/>
      </c>
    </row>
    <row r="316" spans="5:5" x14ac:dyDescent="0.25">
      <c r="E316" s="41" t="str">
        <f t="shared" si="4"/>
        <v/>
      </c>
    </row>
    <row r="317" spans="5:5" x14ac:dyDescent="0.25">
      <c r="E317" s="41" t="str">
        <f t="shared" si="4"/>
        <v/>
      </c>
    </row>
    <row r="318" spans="5:5" x14ac:dyDescent="0.25">
      <c r="E318" s="41" t="str">
        <f t="shared" si="4"/>
        <v/>
      </c>
    </row>
    <row r="319" spans="5:5" x14ac:dyDescent="0.25">
      <c r="E319" s="41" t="str">
        <f t="shared" si="4"/>
        <v/>
      </c>
    </row>
    <row r="320" spans="5:5" x14ac:dyDescent="0.25">
      <c r="E320" s="41" t="str">
        <f t="shared" si="4"/>
        <v/>
      </c>
    </row>
    <row r="321" spans="5:5" x14ac:dyDescent="0.25">
      <c r="E321" s="41" t="str">
        <f t="shared" si="4"/>
        <v/>
      </c>
    </row>
    <row r="322" spans="5:5" x14ac:dyDescent="0.25">
      <c r="E322" s="41" t="str">
        <f t="shared" si="4"/>
        <v/>
      </c>
    </row>
    <row r="323" spans="5:5" x14ac:dyDescent="0.25">
      <c r="E323" s="41" t="str">
        <f t="shared" si="4"/>
        <v/>
      </c>
    </row>
    <row r="324" spans="5:5" x14ac:dyDescent="0.25">
      <c r="E324" s="41" t="str">
        <f t="shared" si="4"/>
        <v/>
      </c>
    </row>
    <row r="325" spans="5:5" x14ac:dyDescent="0.25">
      <c r="E325" s="41" t="str">
        <f t="shared" si="4"/>
        <v/>
      </c>
    </row>
    <row r="326" spans="5:5" x14ac:dyDescent="0.25">
      <c r="E326" s="41" t="str">
        <f t="shared" si="4"/>
        <v/>
      </c>
    </row>
    <row r="327" spans="5:5" x14ac:dyDescent="0.25">
      <c r="E327" s="41" t="str">
        <f t="shared" si="4"/>
        <v/>
      </c>
    </row>
    <row r="328" spans="5:5" x14ac:dyDescent="0.25">
      <c r="E328" s="41" t="str">
        <f t="shared" si="4"/>
        <v/>
      </c>
    </row>
    <row r="329" spans="5:5" x14ac:dyDescent="0.25">
      <c r="E329" s="41" t="str">
        <f t="shared" si="4"/>
        <v/>
      </c>
    </row>
    <row r="330" spans="5:5" x14ac:dyDescent="0.25">
      <c r="E330" s="41" t="str">
        <f t="shared" si="4"/>
        <v/>
      </c>
    </row>
    <row r="331" spans="5:5" x14ac:dyDescent="0.25">
      <c r="E331" s="41" t="str">
        <f t="shared" si="4"/>
        <v/>
      </c>
    </row>
    <row r="332" spans="5:5" x14ac:dyDescent="0.25">
      <c r="E332" s="41" t="str">
        <f t="shared" si="4"/>
        <v/>
      </c>
    </row>
    <row r="333" spans="5:5" x14ac:dyDescent="0.25">
      <c r="E333" s="41" t="str">
        <f t="shared" si="4"/>
        <v/>
      </c>
    </row>
    <row r="334" spans="5:5" x14ac:dyDescent="0.25">
      <c r="E334" s="41" t="str">
        <f t="shared" si="4"/>
        <v/>
      </c>
    </row>
    <row r="335" spans="5:5" x14ac:dyDescent="0.25">
      <c r="E335" s="41" t="str">
        <f t="shared" si="4"/>
        <v/>
      </c>
    </row>
    <row r="336" spans="5:5" x14ac:dyDescent="0.25">
      <c r="E336" s="41" t="str">
        <f t="shared" si="4"/>
        <v/>
      </c>
    </row>
    <row r="337" spans="5:5" x14ac:dyDescent="0.25">
      <c r="E337" s="41" t="str">
        <f t="shared" ref="E337:E400" si="5">IF(A337=0,"","Elastic")</f>
        <v/>
      </c>
    </row>
    <row r="338" spans="5:5" x14ac:dyDescent="0.25">
      <c r="E338" s="41" t="str">
        <f t="shared" si="5"/>
        <v/>
      </c>
    </row>
    <row r="339" spans="5:5" x14ac:dyDescent="0.25">
      <c r="E339" s="41" t="str">
        <f t="shared" si="5"/>
        <v/>
      </c>
    </row>
    <row r="340" spans="5:5" x14ac:dyDescent="0.25">
      <c r="E340" s="41" t="str">
        <f t="shared" si="5"/>
        <v/>
      </c>
    </row>
    <row r="341" spans="5:5" x14ac:dyDescent="0.25">
      <c r="E341" s="41" t="str">
        <f t="shared" si="5"/>
        <v/>
      </c>
    </row>
    <row r="342" spans="5:5" x14ac:dyDescent="0.25">
      <c r="E342" s="41" t="str">
        <f t="shared" si="5"/>
        <v/>
      </c>
    </row>
    <row r="343" spans="5:5" x14ac:dyDescent="0.25">
      <c r="E343" s="41" t="str">
        <f t="shared" si="5"/>
        <v/>
      </c>
    </row>
    <row r="344" spans="5:5" x14ac:dyDescent="0.25">
      <c r="E344" s="41" t="str">
        <f t="shared" si="5"/>
        <v/>
      </c>
    </row>
    <row r="345" spans="5:5" x14ac:dyDescent="0.25">
      <c r="E345" s="41" t="str">
        <f t="shared" si="5"/>
        <v/>
      </c>
    </row>
    <row r="346" spans="5:5" x14ac:dyDescent="0.25">
      <c r="E346" s="41" t="str">
        <f t="shared" si="5"/>
        <v/>
      </c>
    </row>
    <row r="347" spans="5:5" x14ac:dyDescent="0.25">
      <c r="E347" s="41" t="str">
        <f t="shared" si="5"/>
        <v/>
      </c>
    </row>
    <row r="348" spans="5:5" x14ac:dyDescent="0.25">
      <c r="E348" s="41" t="str">
        <f t="shared" si="5"/>
        <v/>
      </c>
    </row>
    <row r="349" spans="5:5" x14ac:dyDescent="0.25">
      <c r="E349" s="41" t="str">
        <f t="shared" si="5"/>
        <v/>
      </c>
    </row>
    <row r="350" spans="5:5" x14ac:dyDescent="0.25">
      <c r="E350" s="41" t="str">
        <f t="shared" si="5"/>
        <v/>
      </c>
    </row>
    <row r="351" spans="5:5" x14ac:dyDescent="0.25">
      <c r="E351" s="41" t="str">
        <f t="shared" si="5"/>
        <v/>
      </c>
    </row>
    <row r="352" spans="5:5" x14ac:dyDescent="0.25">
      <c r="E352" s="41" t="str">
        <f t="shared" si="5"/>
        <v/>
      </c>
    </row>
    <row r="353" spans="5:5" x14ac:dyDescent="0.25">
      <c r="E353" s="41" t="str">
        <f t="shared" si="5"/>
        <v/>
      </c>
    </row>
    <row r="354" spans="5:5" x14ac:dyDescent="0.25">
      <c r="E354" s="41" t="str">
        <f t="shared" si="5"/>
        <v/>
      </c>
    </row>
    <row r="355" spans="5:5" x14ac:dyDescent="0.25">
      <c r="E355" s="41" t="str">
        <f t="shared" si="5"/>
        <v/>
      </c>
    </row>
    <row r="356" spans="5:5" x14ac:dyDescent="0.25">
      <c r="E356" s="41" t="str">
        <f t="shared" si="5"/>
        <v/>
      </c>
    </row>
    <row r="357" spans="5:5" x14ac:dyDescent="0.25">
      <c r="E357" s="41" t="str">
        <f t="shared" si="5"/>
        <v/>
      </c>
    </row>
    <row r="358" spans="5:5" x14ac:dyDescent="0.25">
      <c r="E358" s="41" t="str">
        <f t="shared" si="5"/>
        <v/>
      </c>
    </row>
    <row r="359" spans="5:5" x14ac:dyDescent="0.25">
      <c r="E359" s="41" t="str">
        <f t="shared" si="5"/>
        <v/>
      </c>
    </row>
    <row r="360" spans="5:5" x14ac:dyDescent="0.25">
      <c r="E360" s="41" t="str">
        <f t="shared" si="5"/>
        <v/>
      </c>
    </row>
    <row r="361" spans="5:5" x14ac:dyDescent="0.25">
      <c r="E361" s="41" t="str">
        <f t="shared" si="5"/>
        <v/>
      </c>
    </row>
    <row r="362" spans="5:5" x14ac:dyDescent="0.25">
      <c r="E362" s="41" t="str">
        <f t="shared" si="5"/>
        <v/>
      </c>
    </row>
    <row r="363" spans="5:5" x14ac:dyDescent="0.25">
      <c r="E363" s="41" t="str">
        <f t="shared" si="5"/>
        <v/>
      </c>
    </row>
    <row r="364" spans="5:5" x14ac:dyDescent="0.25">
      <c r="E364" s="41" t="str">
        <f t="shared" si="5"/>
        <v/>
      </c>
    </row>
    <row r="365" spans="5:5" x14ac:dyDescent="0.25">
      <c r="E365" s="41" t="str">
        <f t="shared" si="5"/>
        <v/>
      </c>
    </row>
    <row r="366" spans="5:5" x14ac:dyDescent="0.25">
      <c r="E366" s="41" t="str">
        <f t="shared" si="5"/>
        <v/>
      </c>
    </row>
    <row r="367" spans="5:5" x14ac:dyDescent="0.25">
      <c r="E367" s="41" t="str">
        <f t="shared" si="5"/>
        <v/>
      </c>
    </row>
    <row r="368" spans="5:5" x14ac:dyDescent="0.25">
      <c r="E368" s="41" t="str">
        <f t="shared" si="5"/>
        <v/>
      </c>
    </row>
    <row r="369" spans="5:5" x14ac:dyDescent="0.25">
      <c r="E369" s="41" t="str">
        <f t="shared" si="5"/>
        <v/>
      </c>
    </row>
    <row r="370" spans="5:5" x14ac:dyDescent="0.25">
      <c r="E370" s="41" t="str">
        <f t="shared" si="5"/>
        <v/>
      </c>
    </row>
    <row r="371" spans="5:5" x14ac:dyDescent="0.25">
      <c r="E371" s="41" t="str">
        <f t="shared" si="5"/>
        <v/>
      </c>
    </row>
    <row r="372" spans="5:5" x14ac:dyDescent="0.25">
      <c r="E372" s="41" t="str">
        <f t="shared" si="5"/>
        <v/>
      </c>
    </row>
    <row r="373" spans="5:5" x14ac:dyDescent="0.25">
      <c r="E373" s="41" t="str">
        <f t="shared" si="5"/>
        <v/>
      </c>
    </row>
    <row r="374" spans="5:5" x14ac:dyDescent="0.25">
      <c r="E374" s="41" t="str">
        <f t="shared" si="5"/>
        <v/>
      </c>
    </row>
    <row r="375" spans="5:5" x14ac:dyDescent="0.25">
      <c r="E375" s="41" t="str">
        <f t="shared" si="5"/>
        <v/>
      </c>
    </row>
    <row r="376" spans="5:5" x14ac:dyDescent="0.25">
      <c r="E376" s="41" t="str">
        <f t="shared" si="5"/>
        <v/>
      </c>
    </row>
    <row r="377" spans="5:5" x14ac:dyDescent="0.25">
      <c r="E377" s="41" t="str">
        <f t="shared" si="5"/>
        <v/>
      </c>
    </row>
    <row r="378" spans="5:5" x14ac:dyDescent="0.25">
      <c r="E378" s="41" t="str">
        <f t="shared" si="5"/>
        <v/>
      </c>
    </row>
    <row r="379" spans="5:5" x14ac:dyDescent="0.25">
      <c r="E379" s="41" t="str">
        <f t="shared" si="5"/>
        <v/>
      </c>
    </row>
    <row r="380" spans="5:5" x14ac:dyDescent="0.25">
      <c r="E380" s="41" t="str">
        <f t="shared" si="5"/>
        <v/>
      </c>
    </row>
    <row r="381" spans="5:5" x14ac:dyDescent="0.25">
      <c r="E381" s="41" t="str">
        <f t="shared" si="5"/>
        <v/>
      </c>
    </row>
    <row r="382" spans="5:5" x14ac:dyDescent="0.25">
      <c r="E382" s="41" t="str">
        <f t="shared" si="5"/>
        <v/>
      </c>
    </row>
    <row r="383" spans="5:5" x14ac:dyDescent="0.25">
      <c r="E383" s="41" t="str">
        <f t="shared" si="5"/>
        <v/>
      </c>
    </row>
    <row r="384" spans="5:5" x14ac:dyDescent="0.25">
      <c r="E384" s="41" t="str">
        <f t="shared" si="5"/>
        <v/>
      </c>
    </row>
    <row r="385" spans="5:5" x14ac:dyDescent="0.25">
      <c r="E385" s="41" t="str">
        <f t="shared" si="5"/>
        <v/>
      </c>
    </row>
    <row r="386" spans="5:5" x14ac:dyDescent="0.25">
      <c r="E386" s="41" t="str">
        <f t="shared" si="5"/>
        <v/>
      </c>
    </row>
    <row r="387" spans="5:5" x14ac:dyDescent="0.25">
      <c r="E387" s="41" t="str">
        <f t="shared" si="5"/>
        <v/>
      </c>
    </row>
    <row r="388" spans="5:5" x14ac:dyDescent="0.25">
      <c r="E388" s="41" t="str">
        <f t="shared" si="5"/>
        <v/>
      </c>
    </row>
    <row r="389" spans="5:5" x14ac:dyDescent="0.25">
      <c r="E389" s="41" t="str">
        <f t="shared" si="5"/>
        <v/>
      </c>
    </row>
    <row r="390" spans="5:5" x14ac:dyDescent="0.25">
      <c r="E390" s="41" t="str">
        <f t="shared" si="5"/>
        <v/>
      </c>
    </row>
    <row r="391" spans="5:5" x14ac:dyDescent="0.25">
      <c r="E391" s="41" t="str">
        <f t="shared" si="5"/>
        <v/>
      </c>
    </row>
    <row r="392" spans="5:5" x14ac:dyDescent="0.25">
      <c r="E392" s="41" t="str">
        <f t="shared" si="5"/>
        <v/>
      </c>
    </row>
    <row r="393" spans="5:5" x14ac:dyDescent="0.25">
      <c r="E393" s="41" t="str">
        <f t="shared" si="5"/>
        <v/>
      </c>
    </row>
    <row r="394" spans="5:5" x14ac:dyDescent="0.25">
      <c r="E394" s="41" t="str">
        <f t="shared" si="5"/>
        <v/>
      </c>
    </row>
    <row r="395" spans="5:5" x14ac:dyDescent="0.25">
      <c r="E395" s="41" t="str">
        <f t="shared" si="5"/>
        <v/>
      </c>
    </row>
    <row r="396" spans="5:5" x14ac:dyDescent="0.25">
      <c r="E396" s="41" t="str">
        <f t="shared" si="5"/>
        <v/>
      </c>
    </row>
    <row r="397" spans="5:5" x14ac:dyDescent="0.25">
      <c r="E397" s="41" t="str">
        <f t="shared" si="5"/>
        <v/>
      </c>
    </row>
    <row r="398" spans="5:5" x14ac:dyDescent="0.25">
      <c r="E398" s="41" t="str">
        <f t="shared" si="5"/>
        <v/>
      </c>
    </row>
    <row r="399" spans="5:5" x14ac:dyDescent="0.25">
      <c r="E399" s="41" t="str">
        <f t="shared" si="5"/>
        <v/>
      </c>
    </row>
    <row r="400" spans="5:5" x14ac:dyDescent="0.25">
      <c r="E400" s="41" t="str">
        <f t="shared" si="5"/>
        <v/>
      </c>
    </row>
    <row r="401" spans="5:5" x14ac:dyDescent="0.25">
      <c r="E401" s="41" t="str">
        <f t="shared" ref="E401:E464" si="6">IF(A401=0,"","Elastic")</f>
        <v/>
      </c>
    </row>
    <row r="402" spans="5:5" x14ac:dyDescent="0.25">
      <c r="E402" s="41" t="str">
        <f t="shared" si="6"/>
        <v/>
      </c>
    </row>
    <row r="403" spans="5:5" x14ac:dyDescent="0.25">
      <c r="E403" s="41" t="str">
        <f t="shared" si="6"/>
        <v/>
      </c>
    </row>
    <row r="404" spans="5:5" x14ac:dyDescent="0.25">
      <c r="E404" s="41" t="str">
        <f t="shared" si="6"/>
        <v/>
      </c>
    </row>
    <row r="405" spans="5:5" x14ac:dyDescent="0.25">
      <c r="E405" s="41" t="str">
        <f t="shared" si="6"/>
        <v/>
      </c>
    </row>
    <row r="406" spans="5:5" x14ac:dyDescent="0.25">
      <c r="E406" s="41" t="str">
        <f t="shared" si="6"/>
        <v/>
      </c>
    </row>
    <row r="407" spans="5:5" x14ac:dyDescent="0.25">
      <c r="E407" s="41" t="str">
        <f t="shared" si="6"/>
        <v/>
      </c>
    </row>
    <row r="408" spans="5:5" x14ac:dyDescent="0.25">
      <c r="E408" s="41" t="str">
        <f t="shared" si="6"/>
        <v/>
      </c>
    </row>
    <row r="409" spans="5:5" x14ac:dyDescent="0.25">
      <c r="E409" s="41" t="str">
        <f t="shared" si="6"/>
        <v/>
      </c>
    </row>
    <row r="410" spans="5:5" x14ac:dyDescent="0.25">
      <c r="E410" s="41" t="str">
        <f t="shared" si="6"/>
        <v/>
      </c>
    </row>
    <row r="411" spans="5:5" x14ac:dyDescent="0.25">
      <c r="E411" s="41" t="str">
        <f t="shared" si="6"/>
        <v/>
      </c>
    </row>
    <row r="412" spans="5:5" x14ac:dyDescent="0.25">
      <c r="E412" s="41" t="str">
        <f t="shared" si="6"/>
        <v/>
      </c>
    </row>
    <row r="413" spans="5:5" x14ac:dyDescent="0.25">
      <c r="E413" s="41" t="str">
        <f t="shared" si="6"/>
        <v/>
      </c>
    </row>
    <row r="414" spans="5:5" x14ac:dyDescent="0.25">
      <c r="E414" s="41" t="str">
        <f t="shared" si="6"/>
        <v/>
      </c>
    </row>
    <row r="415" spans="5:5" x14ac:dyDescent="0.25">
      <c r="E415" s="41" t="str">
        <f t="shared" si="6"/>
        <v/>
      </c>
    </row>
    <row r="416" spans="5:5" x14ac:dyDescent="0.25">
      <c r="E416" s="41" t="str">
        <f t="shared" si="6"/>
        <v/>
      </c>
    </row>
    <row r="417" spans="5:5" x14ac:dyDescent="0.25">
      <c r="E417" s="41" t="str">
        <f t="shared" si="6"/>
        <v/>
      </c>
    </row>
    <row r="418" spans="5:5" x14ac:dyDescent="0.25">
      <c r="E418" s="41" t="str">
        <f t="shared" si="6"/>
        <v/>
      </c>
    </row>
    <row r="419" spans="5:5" x14ac:dyDescent="0.25">
      <c r="E419" s="41" t="str">
        <f t="shared" si="6"/>
        <v/>
      </c>
    </row>
    <row r="420" spans="5:5" x14ac:dyDescent="0.25">
      <c r="E420" s="41" t="str">
        <f t="shared" si="6"/>
        <v/>
      </c>
    </row>
    <row r="421" spans="5:5" x14ac:dyDescent="0.25">
      <c r="E421" s="41" t="str">
        <f t="shared" si="6"/>
        <v/>
      </c>
    </row>
    <row r="422" spans="5:5" x14ac:dyDescent="0.25">
      <c r="E422" s="41" t="str">
        <f t="shared" si="6"/>
        <v/>
      </c>
    </row>
    <row r="423" spans="5:5" x14ac:dyDescent="0.25">
      <c r="E423" s="41" t="str">
        <f t="shared" si="6"/>
        <v/>
      </c>
    </row>
    <row r="424" spans="5:5" x14ac:dyDescent="0.25">
      <c r="E424" s="41" t="str">
        <f t="shared" si="6"/>
        <v/>
      </c>
    </row>
    <row r="425" spans="5:5" x14ac:dyDescent="0.25">
      <c r="E425" s="41" t="str">
        <f t="shared" si="6"/>
        <v/>
      </c>
    </row>
    <row r="426" spans="5:5" x14ac:dyDescent="0.25">
      <c r="E426" s="41" t="str">
        <f t="shared" si="6"/>
        <v/>
      </c>
    </row>
    <row r="427" spans="5:5" x14ac:dyDescent="0.25">
      <c r="E427" s="41" t="str">
        <f t="shared" si="6"/>
        <v/>
      </c>
    </row>
    <row r="428" spans="5:5" x14ac:dyDescent="0.25">
      <c r="E428" s="41" t="str">
        <f t="shared" si="6"/>
        <v/>
      </c>
    </row>
    <row r="429" spans="5:5" x14ac:dyDescent="0.25">
      <c r="E429" s="41" t="str">
        <f t="shared" si="6"/>
        <v/>
      </c>
    </row>
    <row r="430" spans="5:5" x14ac:dyDescent="0.25">
      <c r="E430" s="41" t="str">
        <f t="shared" si="6"/>
        <v/>
      </c>
    </row>
    <row r="431" spans="5:5" x14ac:dyDescent="0.25">
      <c r="E431" s="41" t="str">
        <f t="shared" si="6"/>
        <v/>
      </c>
    </row>
    <row r="432" spans="5:5" x14ac:dyDescent="0.25">
      <c r="E432" s="41" t="str">
        <f t="shared" si="6"/>
        <v/>
      </c>
    </row>
    <row r="433" spans="5:5" x14ac:dyDescent="0.25">
      <c r="E433" s="41" t="str">
        <f t="shared" si="6"/>
        <v/>
      </c>
    </row>
    <row r="434" spans="5:5" x14ac:dyDescent="0.25">
      <c r="E434" s="41" t="str">
        <f t="shared" si="6"/>
        <v/>
      </c>
    </row>
    <row r="435" spans="5:5" x14ac:dyDescent="0.25">
      <c r="E435" s="41" t="str">
        <f t="shared" si="6"/>
        <v/>
      </c>
    </row>
    <row r="436" spans="5:5" x14ac:dyDescent="0.25">
      <c r="E436" s="41" t="str">
        <f t="shared" si="6"/>
        <v/>
      </c>
    </row>
    <row r="437" spans="5:5" x14ac:dyDescent="0.25">
      <c r="E437" s="41" t="str">
        <f t="shared" si="6"/>
        <v/>
      </c>
    </row>
    <row r="438" spans="5:5" x14ac:dyDescent="0.25">
      <c r="E438" s="41" t="str">
        <f t="shared" si="6"/>
        <v/>
      </c>
    </row>
    <row r="439" spans="5:5" x14ac:dyDescent="0.25">
      <c r="E439" s="41" t="str">
        <f t="shared" si="6"/>
        <v/>
      </c>
    </row>
    <row r="440" spans="5:5" x14ac:dyDescent="0.25">
      <c r="E440" s="41" t="str">
        <f t="shared" si="6"/>
        <v/>
      </c>
    </row>
    <row r="441" spans="5:5" x14ac:dyDescent="0.25">
      <c r="E441" s="41" t="str">
        <f t="shared" si="6"/>
        <v/>
      </c>
    </row>
    <row r="442" spans="5:5" x14ac:dyDescent="0.25">
      <c r="E442" s="41" t="str">
        <f t="shared" si="6"/>
        <v/>
      </c>
    </row>
    <row r="443" spans="5:5" x14ac:dyDescent="0.25">
      <c r="E443" s="41" t="str">
        <f t="shared" si="6"/>
        <v/>
      </c>
    </row>
    <row r="444" spans="5:5" x14ac:dyDescent="0.25">
      <c r="E444" s="41" t="str">
        <f t="shared" si="6"/>
        <v/>
      </c>
    </row>
    <row r="445" spans="5:5" x14ac:dyDescent="0.25">
      <c r="E445" s="41" t="str">
        <f t="shared" si="6"/>
        <v/>
      </c>
    </row>
    <row r="446" spans="5:5" x14ac:dyDescent="0.25">
      <c r="E446" s="41" t="str">
        <f t="shared" si="6"/>
        <v/>
      </c>
    </row>
    <row r="447" spans="5:5" x14ac:dyDescent="0.25">
      <c r="E447" s="41" t="str">
        <f t="shared" si="6"/>
        <v/>
      </c>
    </row>
    <row r="448" spans="5:5" x14ac:dyDescent="0.25">
      <c r="E448" s="41" t="str">
        <f t="shared" si="6"/>
        <v/>
      </c>
    </row>
    <row r="449" spans="5:5" x14ac:dyDescent="0.25">
      <c r="E449" s="41" t="str">
        <f t="shared" si="6"/>
        <v/>
      </c>
    </row>
    <row r="450" spans="5:5" x14ac:dyDescent="0.25">
      <c r="E450" s="41" t="str">
        <f t="shared" si="6"/>
        <v/>
      </c>
    </row>
    <row r="451" spans="5:5" x14ac:dyDescent="0.25">
      <c r="E451" s="41" t="str">
        <f t="shared" si="6"/>
        <v/>
      </c>
    </row>
    <row r="452" spans="5:5" x14ac:dyDescent="0.25">
      <c r="E452" s="41" t="str">
        <f t="shared" si="6"/>
        <v/>
      </c>
    </row>
    <row r="453" spans="5:5" x14ac:dyDescent="0.25">
      <c r="E453" s="41" t="str">
        <f t="shared" si="6"/>
        <v/>
      </c>
    </row>
    <row r="454" spans="5:5" x14ac:dyDescent="0.25">
      <c r="E454" s="41" t="str">
        <f t="shared" si="6"/>
        <v/>
      </c>
    </row>
    <row r="455" spans="5:5" x14ac:dyDescent="0.25">
      <c r="E455" s="41" t="str">
        <f t="shared" si="6"/>
        <v/>
      </c>
    </row>
    <row r="456" spans="5:5" x14ac:dyDescent="0.25">
      <c r="E456" s="41" t="str">
        <f t="shared" si="6"/>
        <v/>
      </c>
    </row>
    <row r="457" spans="5:5" x14ac:dyDescent="0.25">
      <c r="E457" s="41" t="str">
        <f t="shared" si="6"/>
        <v/>
      </c>
    </row>
    <row r="458" spans="5:5" x14ac:dyDescent="0.25">
      <c r="E458" s="41" t="str">
        <f t="shared" si="6"/>
        <v/>
      </c>
    </row>
    <row r="459" spans="5:5" x14ac:dyDescent="0.25">
      <c r="E459" s="41" t="str">
        <f t="shared" si="6"/>
        <v/>
      </c>
    </row>
    <row r="460" spans="5:5" x14ac:dyDescent="0.25">
      <c r="E460" s="41" t="str">
        <f t="shared" si="6"/>
        <v/>
      </c>
    </row>
    <row r="461" spans="5:5" x14ac:dyDescent="0.25">
      <c r="E461" s="41" t="str">
        <f t="shared" si="6"/>
        <v/>
      </c>
    </row>
    <row r="462" spans="5:5" x14ac:dyDescent="0.25">
      <c r="E462" s="41" t="str">
        <f t="shared" si="6"/>
        <v/>
      </c>
    </row>
    <row r="463" spans="5:5" x14ac:dyDescent="0.25">
      <c r="E463" s="41" t="str">
        <f t="shared" si="6"/>
        <v/>
      </c>
    </row>
    <row r="464" spans="5:5" x14ac:dyDescent="0.25">
      <c r="E464" s="41" t="str">
        <f t="shared" si="6"/>
        <v/>
      </c>
    </row>
    <row r="465" spans="5:5" x14ac:dyDescent="0.25">
      <c r="E465" s="41" t="str">
        <f t="shared" ref="E465:E528" si="7">IF(A465=0,"","Elastic")</f>
        <v/>
      </c>
    </row>
    <row r="466" spans="5:5" x14ac:dyDescent="0.25">
      <c r="E466" s="41" t="str">
        <f t="shared" si="7"/>
        <v/>
      </c>
    </row>
    <row r="467" spans="5:5" x14ac:dyDescent="0.25">
      <c r="E467" s="41" t="str">
        <f t="shared" si="7"/>
        <v/>
      </c>
    </row>
    <row r="468" spans="5:5" x14ac:dyDescent="0.25">
      <c r="E468" s="41" t="str">
        <f t="shared" si="7"/>
        <v/>
      </c>
    </row>
    <row r="469" spans="5:5" x14ac:dyDescent="0.25">
      <c r="E469" s="41" t="str">
        <f t="shared" si="7"/>
        <v/>
      </c>
    </row>
    <row r="470" spans="5:5" x14ac:dyDescent="0.25">
      <c r="E470" s="41" t="str">
        <f t="shared" si="7"/>
        <v/>
      </c>
    </row>
    <row r="471" spans="5:5" x14ac:dyDescent="0.25">
      <c r="E471" s="41" t="str">
        <f t="shared" si="7"/>
        <v/>
      </c>
    </row>
    <row r="472" spans="5:5" x14ac:dyDescent="0.25">
      <c r="E472" s="41" t="str">
        <f t="shared" si="7"/>
        <v/>
      </c>
    </row>
    <row r="473" spans="5:5" x14ac:dyDescent="0.25">
      <c r="E473" s="41" t="str">
        <f t="shared" si="7"/>
        <v/>
      </c>
    </row>
    <row r="474" spans="5:5" x14ac:dyDescent="0.25">
      <c r="E474" s="41" t="str">
        <f t="shared" si="7"/>
        <v/>
      </c>
    </row>
    <row r="475" spans="5:5" x14ac:dyDescent="0.25">
      <c r="E475" s="41" t="str">
        <f t="shared" si="7"/>
        <v/>
      </c>
    </row>
    <row r="476" spans="5:5" x14ac:dyDescent="0.25">
      <c r="E476" s="41" t="str">
        <f t="shared" si="7"/>
        <v/>
      </c>
    </row>
    <row r="477" spans="5:5" x14ac:dyDescent="0.25">
      <c r="E477" s="41" t="str">
        <f t="shared" si="7"/>
        <v/>
      </c>
    </row>
    <row r="478" spans="5:5" x14ac:dyDescent="0.25">
      <c r="E478" s="41" t="str">
        <f t="shared" si="7"/>
        <v/>
      </c>
    </row>
    <row r="479" spans="5:5" x14ac:dyDescent="0.25">
      <c r="E479" s="41" t="str">
        <f t="shared" si="7"/>
        <v/>
      </c>
    </row>
    <row r="480" spans="5:5" x14ac:dyDescent="0.25">
      <c r="E480" s="41" t="str">
        <f t="shared" si="7"/>
        <v/>
      </c>
    </row>
    <row r="481" spans="5:5" x14ac:dyDescent="0.25">
      <c r="E481" s="41" t="str">
        <f t="shared" si="7"/>
        <v/>
      </c>
    </row>
    <row r="482" spans="5:5" x14ac:dyDescent="0.25">
      <c r="E482" s="41" t="str">
        <f t="shared" si="7"/>
        <v/>
      </c>
    </row>
    <row r="483" spans="5:5" x14ac:dyDescent="0.25">
      <c r="E483" s="41" t="str">
        <f t="shared" si="7"/>
        <v/>
      </c>
    </row>
    <row r="484" spans="5:5" x14ac:dyDescent="0.25">
      <c r="E484" s="41" t="str">
        <f t="shared" si="7"/>
        <v/>
      </c>
    </row>
    <row r="485" spans="5:5" x14ac:dyDescent="0.25">
      <c r="E485" s="41" t="str">
        <f t="shared" si="7"/>
        <v/>
      </c>
    </row>
    <row r="486" spans="5:5" x14ac:dyDescent="0.25">
      <c r="E486" s="41" t="str">
        <f t="shared" si="7"/>
        <v/>
      </c>
    </row>
    <row r="487" spans="5:5" x14ac:dyDescent="0.25">
      <c r="E487" s="41" t="str">
        <f t="shared" si="7"/>
        <v/>
      </c>
    </row>
    <row r="488" spans="5:5" x14ac:dyDescent="0.25">
      <c r="E488" s="41" t="str">
        <f t="shared" si="7"/>
        <v/>
      </c>
    </row>
    <row r="489" spans="5:5" x14ac:dyDescent="0.25">
      <c r="E489" s="41" t="str">
        <f t="shared" si="7"/>
        <v/>
      </c>
    </row>
    <row r="490" spans="5:5" x14ac:dyDescent="0.25">
      <c r="E490" s="41" t="str">
        <f t="shared" si="7"/>
        <v/>
      </c>
    </row>
    <row r="491" spans="5:5" x14ac:dyDescent="0.25">
      <c r="E491" s="41" t="str">
        <f t="shared" si="7"/>
        <v/>
      </c>
    </row>
    <row r="492" spans="5:5" x14ac:dyDescent="0.25">
      <c r="E492" s="41" t="str">
        <f t="shared" si="7"/>
        <v/>
      </c>
    </row>
    <row r="493" spans="5:5" x14ac:dyDescent="0.25">
      <c r="E493" s="41" t="str">
        <f t="shared" si="7"/>
        <v/>
      </c>
    </row>
    <row r="494" spans="5:5" x14ac:dyDescent="0.25">
      <c r="E494" s="41" t="str">
        <f t="shared" si="7"/>
        <v/>
      </c>
    </row>
    <row r="495" spans="5:5" x14ac:dyDescent="0.25">
      <c r="E495" s="41" t="str">
        <f t="shared" si="7"/>
        <v/>
      </c>
    </row>
    <row r="496" spans="5:5" x14ac:dyDescent="0.25">
      <c r="E496" s="41" t="str">
        <f t="shared" si="7"/>
        <v/>
      </c>
    </row>
    <row r="497" spans="5:5" x14ac:dyDescent="0.25">
      <c r="E497" s="41" t="str">
        <f t="shared" si="7"/>
        <v/>
      </c>
    </row>
    <row r="498" spans="5:5" x14ac:dyDescent="0.25">
      <c r="E498" s="41" t="str">
        <f t="shared" si="7"/>
        <v/>
      </c>
    </row>
    <row r="499" spans="5:5" x14ac:dyDescent="0.25">
      <c r="E499" s="41" t="str">
        <f t="shared" si="7"/>
        <v/>
      </c>
    </row>
    <row r="500" spans="5:5" x14ac:dyDescent="0.25">
      <c r="E500" s="41" t="str">
        <f t="shared" si="7"/>
        <v/>
      </c>
    </row>
    <row r="501" spans="5:5" x14ac:dyDescent="0.25">
      <c r="E501" s="41" t="str">
        <f t="shared" si="7"/>
        <v/>
      </c>
    </row>
    <row r="502" spans="5:5" x14ac:dyDescent="0.25">
      <c r="E502" s="41" t="str">
        <f t="shared" si="7"/>
        <v/>
      </c>
    </row>
    <row r="503" spans="5:5" x14ac:dyDescent="0.25">
      <c r="E503" s="41" t="str">
        <f t="shared" si="7"/>
        <v/>
      </c>
    </row>
    <row r="504" spans="5:5" x14ac:dyDescent="0.25">
      <c r="E504" s="41" t="str">
        <f t="shared" si="7"/>
        <v/>
      </c>
    </row>
    <row r="505" spans="5:5" x14ac:dyDescent="0.25">
      <c r="E505" s="41" t="str">
        <f t="shared" si="7"/>
        <v/>
      </c>
    </row>
    <row r="506" spans="5:5" x14ac:dyDescent="0.25">
      <c r="E506" s="41" t="str">
        <f t="shared" si="7"/>
        <v/>
      </c>
    </row>
    <row r="507" spans="5:5" x14ac:dyDescent="0.25">
      <c r="E507" s="41" t="str">
        <f t="shared" si="7"/>
        <v/>
      </c>
    </row>
    <row r="508" spans="5:5" x14ac:dyDescent="0.25">
      <c r="E508" s="41" t="str">
        <f t="shared" si="7"/>
        <v/>
      </c>
    </row>
    <row r="509" spans="5:5" x14ac:dyDescent="0.25">
      <c r="E509" s="41" t="str">
        <f t="shared" si="7"/>
        <v/>
      </c>
    </row>
    <row r="510" spans="5:5" x14ac:dyDescent="0.25">
      <c r="E510" s="41" t="str">
        <f t="shared" si="7"/>
        <v/>
      </c>
    </row>
    <row r="511" spans="5:5" x14ac:dyDescent="0.25">
      <c r="E511" s="41" t="str">
        <f t="shared" si="7"/>
        <v/>
      </c>
    </row>
    <row r="512" spans="5:5" x14ac:dyDescent="0.25">
      <c r="E512" s="41" t="str">
        <f t="shared" si="7"/>
        <v/>
      </c>
    </row>
    <row r="513" spans="5:5" x14ac:dyDescent="0.25">
      <c r="E513" s="41" t="str">
        <f t="shared" si="7"/>
        <v/>
      </c>
    </row>
    <row r="514" spans="5:5" x14ac:dyDescent="0.25">
      <c r="E514" s="41" t="str">
        <f t="shared" si="7"/>
        <v/>
      </c>
    </row>
    <row r="515" spans="5:5" x14ac:dyDescent="0.25">
      <c r="E515" s="41" t="str">
        <f t="shared" si="7"/>
        <v/>
      </c>
    </row>
    <row r="516" spans="5:5" x14ac:dyDescent="0.25">
      <c r="E516" s="41" t="str">
        <f t="shared" si="7"/>
        <v/>
      </c>
    </row>
    <row r="517" spans="5:5" x14ac:dyDescent="0.25">
      <c r="E517" s="41" t="str">
        <f t="shared" si="7"/>
        <v/>
      </c>
    </row>
    <row r="518" spans="5:5" x14ac:dyDescent="0.25">
      <c r="E518" s="41" t="str">
        <f t="shared" si="7"/>
        <v/>
      </c>
    </row>
    <row r="519" spans="5:5" x14ac:dyDescent="0.25">
      <c r="E519" s="41" t="str">
        <f t="shared" si="7"/>
        <v/>
      </c>
    </row>
    <row r="520" spans="5:5" x14ac:dyDescent="0.25">
      <c r="E520" s="41" t="str">
        <f t="shared" si="7"/>
        <v/>
      </c>
    </row>
    <row r="521" spans="5:5" x14ac:dyDescent="0.25">
      <c r="E521" s="41" t="str">
        <f t="shared" si="7"/>
        <v/>
      </c>
    </row>
    <row r="522" spans="5:5" x14ac:dyDescent="0.25">
      <c r="E522" s="41" t="str">
        <f t="shared" si="7"/>
        <v/>
      </c>
    </row>
    <row r="523" spans="5:5" x14ac:dyDescent="0.25">
      <c r="E523" s="41" t="str">
        <f t="shared" si="7"/>
        <v/>
      </c>
    </row>
    <row r="524" spans="5:5" x14ac:dyDescent="0.25">
      <c r="E524" s="41" t="str">
        <f t="shared" si="7"/>
        <v/>
      </c>
    </row>
    <row r="525" spans="5:5" x14ac:dyDescent="0.25">
      <c r="E525" s="41" t="str">
        <f t="shared" si="7"/>
        <v/>
      </c>
    </row>
    <row r="526" spans="5:5" x14ac:dyDescent="0.25">
      <c r="E526" s="41" t="str">
        <f t="shared" si="7"/>
        <v/>
      </c>
    </row>
    <row r="527" spans="5:5" x14ac:dyDescent="0.25">
      <c r="E527" s="41" t="str">
        <f t="shared" si="7"/>
        <v/>
      </c>
    </row>
    <row r="528" spans="5:5" x14ac:dyDescent="0.25">
      <c r="E528" s="41" t="str">
        <f t="shared" si="7"/>
        <v/>
      </c>
    </row>
    <row r="529" spans="5:5" x14ac:dyDescent="0.25">
      <c r="E529" s="41" t="str">
        <f t="shared" ref="E529:E592" si="8">IF(A529=0,"","Elastic")</f>
        <v/>
      </c>
    </row>
    <row r="530" spans="5:5" x14ac:dyDescent="0.25">
      <c r="E530" s="41" t="str">
        <f t="shared" si="8"/>
        <v/>
      </c>
    </row>
    <row r="531" spans="5:5" x14ac:dyDescent="0.25">
      <c r="E531" s="41" t="str">
        <f t="shared" si="8"/>
        <v/>
      </c>
    </row>
    <row r="532" spans="5:5" x14ac:dyDescent="0.25">
      <c r="E532" s="41" t="str">
        <f t="shared" si="8"/>
        <v/>
      </c>
    </row>
    <row r="533" spans="5:5" x14ac:dyDescent="0.25">
      <c r="E533" s="41" t="str">
        <f t="shared" si="8"/>
        <v/>
      </c>
    </row>
    <row r="534" spans="5:5" x14ac:dyDescent="0.25">
      <c r="E534" s="41" t="str">
        <f t="shared" si="8"/>
        <v/>
      </c>
    </row>
    <row r="535" spans="5:5" x14ac:dyDescent="0.25">
      <c r="E535" s="41" t="str">
        <f t="shared" si="8"/>
        <v/>
      </c>
    </row>
    <row r="536" spans="5:5" x14ac:dyDescent="0.25">
      <c r="E536" s="41" t="str">
        <f t="shared" si="8"/>
        <v/>
      </c>
    </row>
    <row r="537" spans="5:5" x14ac:dyDescent="0.25">
      <c r="E537" s="41" t="str">
        <f t="shared" si="8"/>
        <v/>
      </c>
    </row>
    <row r="538" spans="5:5" x14ac:dyDescent="0.25">
      <c r="E538" s="41" t="str">
        <f t="shared" si="8"/>
        <v/>
      </c>
    </row>
    <row r="539" spans="5:5" x14ac:dyDescent="0.25">
      <c r="E539" s="41" t="str">
        <f t="shared" si="8"/>
        <v/>
      </c>
    </row>
    <row r="540" spans="5:5" x14ac:dyDescent="0.25">
      <c r="E540" s="41" t="str">
        <f t="shared" si="8"/>
        <v/>
      </c>
    </row>
    <row r="541" spans="5:5" x14ac:dyDescent="0.25">
      <c r="E541" s="41" t="str">
        <f t="shared" si="8"/>
        <v/>
      </c>
    </row>
    <row r="542" spans="5:5" x14ac:dyDescent="0.25">
      <c r="E542" s="41" t="str">
        <f t="shared" si="8"/>
        <v/>
      </c>
    </row>
    <row r="543" spans="5:5" x14ac:dyDescent="0.25">
      <c r="E543" s="41" t="str">
        <f t="shared" si="8"/>
        <v/>
      </c>
    </row>
    <row r="544" spans="5:5" x14ac:dyDescent="0.25">
      <c r="E544" s="41" t="str">
        <f t="shared" si="8"/>
        <v/>
      </c>
    </row>
    <row r="545" spans="5:5" x14ac:dyDescent="0.25">
      <c r="E545" s="41" t="str">
        <f t="shared" si="8"/>
        <v/>
      </c>
    </row>
    <row r="546" spans="5:5" x14ac:dyDescent="0.25">
      <c r="E546" s="41" t="str">
        <f t="shared" si="8"/>
        <v/>
      </c>
    </row>
    <row r="547" spans="5:5" x14ac:dyDescent="0.25">
      <c r="E547" s="41" t="str">
        <f t="shared" si="8"/>
        <v/>
      </c>
    </row>
    <row r="548" spans="5:5" x14ac:dyDescent="0.25">
      <c r="E548" s="41" t="str">
        <f t="shared" si="8"/>
        <v/>
      </c>
    </row>
    <row r="549" spans="5:5" x14ac:dyDescent="0.25">
      <c r="E549" s="41" t="str">
        <f t="shared" si="8"/>
        <v/>
      </c>
    </row>
    <row r="550" spans="5:5" x14ac:dyDescent="0.25">
      <c r="E550" s="41" t="str">
        <f t="shared" si="8"/>
        <v/>
      </c>
    </row>
    <row r="551" spans="5:5" x14ac:dyDescent="0.25">
      <c r="E551" s="41" t="str">
        <f t="shared" si="8"/>
        <v/>
      </c>
    </row>
    <row r="552" spans="5:5" x14ac:dyDescent="0.25">
      <c r="E552" s="41" t="str">
        <f t="shared" si="8"/>
        <v/>
      </c>
    </row>
    <row r="553" spans="5:5" x14ac:dyDescent="0.25">
      <c r="E553" s="41" t="str">
        <f t="shared" si="8"/>
        <v/>
      </c>
    </row>
    <row r="554" spans="5:5" x14ac:dyDescent="0.25">
      <c r="E554" s="41" t="str">
        <f t="shared" si="8"/>
        <v/>
      </c>
    </row>
    <row r="555" spans="5:5" x14ac:dyDescent="0.25">
      <c r="E555" s="41" t="str">
        <f t="shared" si="8"/>
        <v/>
      </c>
    </row>
    <row r="556" spans="5:5" x14ac:dyDescent="0.25">
      <c r="E556" s="41" t="str">
        <f t="shared" si="8"/>
        <v/>
      </c>
    </row>
    <row r="557" spans="5:5" x14ac:dyDescent="0.25">
      <c r="E557" s="41" t="str">
        <f t="shared" si="8"/>
        <v/>
      </c>
    </row>
    <row r="558" spans="5:5" x14ac:dyDescent="0.25">
      <c r="E558" s="41" t="str">
        <f t="shared" si="8"/>
        <v/>
      </c>
    </row>
    <row r="559" spans="5:5" x14ac:dyDescent="0.25">
      <c r="E559" s="41" t="str">
        <f t="shared" si="8"/>
        <v/>
      </c>
    </row>
    <row r="560" spans="5:5" x14ac:dyDescent="0.25">
      <c r="E560" s="41" t="str">
        <f t="shared" si="8"/>
        <v/>
      </c>
    </row>
    <row r="561" spans="5:5" x14ac:dyDescent="0.25">
      <c r="E561" s="41" t="str">
        <f t="shared" si="8"/>
        <v/>
      </c>
    </row>
    <row r="562" spans="5:5" x14ac:dyDescent="0.25">
      <c r="E562" s="41" t="str">
        <f t="shared" si="8"/>
        <v/>
      </c>
    </row>
    <row r="563" spans="5:5" x14ac:dyDescent="0.25">
      <c r="E563" s="41" t="str">
        <f t="shared" si="8"/>
        <v/>
      </c>
    </row>
    <row r="564" spans="5:5" x14ac:dyDescent="0.25">
      <c r="E564" s="41" t="str">
        <f t="shared" si="8"/>
        <v/>
      </c>
    </row>
    <row r="565" spans="5:5" x14ac:dyDescent="0.25">
      <c r="E565" s="41" t="str">
        <f t="shared" si="8"/>
        <v/>
      </c>
    </row>
    <row r="566" spans="5:5" x14ac:dyDescent="0.25">
      <c r="E566" s="41" t="str">
        <f t="shared" si="8"/>
        <v/>
      </c>
    </row>
    <row r="567" spans="5:5" x14ac:dyDescent="0.25">
      <c r="E567" s="41" t="str">
        <f t="shared" si="8"/>
        <v/>
      </c>
    </row>
    <row r="568" spans="5:5" x14ac:dyDescent="0.25">
      <c r="E568" s="41" t="str">
        <f t="shared" si="8"/>
        <v/>
      </c>
    </row>
    <row r="569" spans="5:5" x14ac:dyDescent="0.25">
      <c r="E569" s="41" t="str">
        <f t="shared" si="8"/>
        <v/>
      </c>
    </row>
    <row r="570" spans="5:5" x14ac:dyDescent="0.25">
      <c r="E570" s="41" t="str">
        <f t="shared" si="8"/>
        <v/>
      </c>
    </row>
    <row r="571" spans="5:5" x14ac:dyDescent="0.25">
      <c r="E571" s="41" t="str">
        <f t="shared" si="8"/>
        <v/>
      </c>
    </row>
    <row r="572" spans="5:5" x14ac:dyDescent="0.25">
      <c r="E572" s="41" t="str">
        <f t="shared" si="8"/>
        <v/>
      </c>
    </row>
    <row r="573" spans="5:5" x14ac:dyDescent="0.25">
      <c r="E573" s="41" t="str">
        <f t="shared" si="8"/>
        <v/>
      </c>
    </row>
    <row r="574" spans="5:5" x14ac:dyDescent="0.25">
      <c r="E574" s="41" t="str">
        <f t="shared" si="8"/>
        <v/>
      </c>
    </row>
    <row r="575" spans="5:5" x14ac:dyDescent="0.25">
      <c r="E575" s="41" t="str">
        <f t="shared" si="8"/>
        <v/>
      </c>
    </row>
    <row r="576" spans="5:5" x14ac:dyDescent="0.25">
      <c r="E576" s="41" t="str">
        <f t="shared" si="8"/>
        <v/>
      </c>
    </row>
    <row r="577" spans="5:5" x14ac:dyDescent="0.25">
      <c r="E577" s="41" t="str">
        <f t="shared" si="8"/>
        <v/>
      </c>
    </row>
    <row r="578" spans="5:5" x14ac:dyDescent="0.25">
      <c r="E578" s="41" t="str">
        <f t="shared" si="8"/>
        <v/>
      </c>
    </row>
    <row r="579" spans="5:5" x14ac:dyDescent="0.25">
      <c r="E579" s="41" t="str">
        <f t="shared" si="8"/>
        <v/>
      </c>
    </row>
    <row r="580" spans="5:5" x14ac:dyDescent="0.25">
      <c r="E580" s="41" t="str">
        <f t="shared" si="8"/>
        <v/>
      </c>
    </row>
    <row r="581" spans="5:5" x14ac:dyDescent="0.25">
      <c r="E581" s="41" t="str">
        <f t="shared" si="8"/>
        <v/>
      </c>
    </row>
    <row r="582" spans="5:5" x14ac:dyDescent="0.25">
      <c r="E582" s="41" t="str">
        <f t="shared" si="8"/>
        <v/>
      </c>
    </row>
    <row r="583" spans="5:5" x14ac:dyDescent="0.25">
      <c r="E583" s="41" t="str">
        <f t="shared" si="8"/>
        <v/>
      </c>
    </row>
    <row r="584" spans="5:5" x14ac:dyDescent="0.25">
      <c r="E584" s="41" t="str">
        <f t="shared" si="8"/>
        <v/>
      </c>
    </row>
    <row r="585" spans="5:5" x14ac:dyDescent="0.25">
      <c r="E585" s="41" t="str">
        <f t="shared" si="8"/>
        <v/>
      </c>
    </row>
    <row r="586" spans="5:5" x14ac:dyDescent="0.25">
      <c r="E586" s="41" t="str">
        <f t="shared" si="8"/>
        <v/>
      </c>
    </row>
    <row r="587" spans="5:5" x14ac:dyDescent="0.25">
      <c r="E587" s="41" t="str">
        <f t="shared" si="8"/>
        <v/>
      </c>
    </row>
    <row r="588" spans="5:5" x14ac:dyDescent="0.25">
      <c r="E588" s="41" t="str">
        <f t="shared" si="8"/>
        <v/>
      </c>
    </row>
    <row r="589" spans="5:5" x14ac:dyDescent="0.25">
      <c r="E589" s="41" t="str">
        <f t="shared" si="8"/>
        <v/>
      </c>
    </row>
    <row r="590" spans="5:5" x14ac:dyDescent="0.25">
      <c r="E590" s="41" t="str">
        <f t="shared" si="8"/>
        <v/>
      </c>
    </row>
    <row r="591" spans="5:5" x14ac:dyDescent="0.25">
      <c r="E591" s="41" t="str">
        <f t="shared" si="8"/>
        <v/>
      </c>
    </row>
    <row r="592" spans="5:5" x14ac:dyDescent="0.25">
      <c r="E592" s="41" t="str">
        <f t="shared" si="8"/>
        <v/>
      </c>
    </row>
    <row r="593" spans="5:5" x14ac:dyDescent="0.25">
      <c r="E593" s="41" t="str">
        <f t="shared" ref="E593:E656" si="9">IF(A593=0,"","Elastic")</f>
        <v/>
      </c>
    </row>
    <row r="594" spans="5:5" x14ac:dyDescent="0.25">
      <c r="E594" s="41" t="str">
        <f t="shared" si="9"/>
        <v/>
      </c>
    </row>
    <row r="595" spans="5:5" x14ac:dyDescent="0.25">
      <c r="E595" s="41" t="str">
        <f t="shared" si="9"/>
        <v/>
      </c>
    </row>
    <row r="596" spans="5:5" x14ac:dyDescent="0.25">
      <c r="E596" s="41" t="str">
        <f t="shared" si="9"/>
        <v/>
      </c>
    </row>
    <row r="597" spans="5:5" x14ac:dyDescent="0.25">
      <c r="E597" s="41" t="str">
        <f t="shared" si="9"/>
        <v/>
      </c>
    </row>
    <row r="598" spans="5:5" x14ac:dyDescent="0.25">
      <c r="E598" s="41" t="str">
        <f t="shared" si="9"/>
        <v/>
      </c>
    </row>
    <row r="599" spans="5:5" x14ac:dyDescent="0.25">
      <c r="E599" s="41" t="str">
        <f t="shared" si="9"/>
        <v/>
      </c>
    </row>
    <row r="600" spans="5:5" x14ac:dyDescent="0.25">
      <c r="E600" s="41" t="str">
        <f t="shared" si="9"/>
        <v/>
      </c>
    </row>
    <row r="601" spans="5:5" x14ac:dyDescent="0.25">
      <c r="E601" s="41" t="str">
        <f t="shared" si="9"/>
        <v/>
      </c>
    </row>
    <row r="602" spans="5:5" x14ac:dyDescent="0.25">
      <c r="E602" s="41" t="str">
        <f t="shared" si="9"/>
        <v/>
      </c>
    </row>
    <row r="603" spans="5:5" x14ac:dyDescent="0.25">
      <c r="E603" s="41" t="str">
        <f t="shared" si="9"/>
        <v/>
      </c>
    </row>
    <row r="604" spans="5:5" x14ac:dyDescent="0.25">
      <c r="E604" s="41" t="str">
        <f t="shared" si="9"/>
        <v/>
      </c>
    </row>
    <row r="605" spans="5:5" x14ac:dyDescent="0.25">
      <c r="E605" s="41" t="str">
        <f t="shared" si="9"/>
        <v/>
      </c>
    </row>
    <row r="606" spans="5:5" x14ac:dyDescent="0.25">
      <c r="E606" s="41" t="str">
        <f t="shared" si="9"/>
        <v/>
      </c>
    </row>
    <row r="607" spans="5:5" x14ac:dyDescent="0.25">
      <c r="E607" s="41" t="str">
        <f t="shared" si="9"/>
        <v/>
      </c>
    </row>
    <row r="608" spans="5:5" x14ac:dyDescent="0.25">
      <c r="E608" s="41" t="str">
        <f t="shared" si="9"/>
        <v/>
      </c>
    </row>
    <row r="609" spans="5:5" x14ac:dyDescent="0.25">
      <c r="E609" s="41" t="str">
        <f t="shared" si="9"/>
        <v/>
      </c>
    </row>
    <row r="610" spans="5:5" x14ac:dyDescent="0.25">
      <c r="E610" s="41" t="str">
        <f t="shared" si="9"/>
        <v/>
      </c>
    </row>
    <row r="611" spans="5:5" x14ac:dyDescent="0.25">
      <c r="E611" s="41" t="str">
        <f t="shared" si="9"/>
        <v/>
      </c>
    </row>
    <row r="612" spans="5:5" x14ac:dyDescent="0.25">
      <c r="E612" s="41" t="str">
        <f t="shared" si="9"/>
        <v/>
      </c>
    </row>
    <row r="613" spans="5:5" x14ac:dyDescent="0.25">
      <c r="E613" s="41" t="str">
        <f t="shared" si="9"/>
        <v/>
      </c>
    </row>
    <row r="614" spans="5:5" x14ac:dyDescent="0.25">
      <c r="E614" s="41" t="str">
        <f t="shared" si="9"/>
        <v/>
      </c>
    </row>
    <row r="615" spans="5:5" x14ac:dyDescent="0.25">
      <c r="E615" s="41" t="str">
        <f t="shared" si="9"/>
        <v/>
      </c>
    </row>
    <row r="616" spans="5:5" x14ac:dyDescent="0.25">
      <c r="E616" s="41" t="str">
        <f t="shared" si="9"/>
        <v/>
      </c>
    </row>
    <row r="617" spans="5:5" x14ac:dyDescent="0.25">
      <c r="E617" s="41" t="str">
        <f t="shared" si="9"/>
        <v/>
      </c>
    </row>
    <row r="618" spans="5:5" x14ac:dyDescent="0.25">
      <c r="E618" s="41" t="str">
        <f t="shared" si="9"/>
        <v/>
      </c>
    </row>
    <row r="619" spans="5:5" x14ac:dyDescent="0.25">
      <c r="E619" s="41" t="str">
        <f t="shared" si="9"/>
        <v/>
      </c>
    </row>
    <row r="620" spans="5:5" x14ac:dyDescent="0.25">
      <c r="E620" s="41" t="str">
        <f t="shared" si="9"/>
        <v/>
      </c>
    </row>
    <row r="621" spans="5:5" x14ac:dyDescent="0.25">
      <c r="E621" s="41" t="str">
        <f t="shared" si="9"/>
        <v/>
      </c>
    </row>
    <row r="622" spans="5:5" x14ac:dyDescent="0.25">
      <c r="E622" s="41" t="str">
        <f t="shared" si="9"/>
        <v/>
      </c>
    </row>
    <row r="623" spans="5:5" x14ac:dyDescent="0.25">
      <c r="E623" s="41" t="str">
        <f t="shared" si="9"/>
        <v/>
      </c>
    </row>
    <row r="624" spans="5:5" x14ac:dyDescent="0.25">
      <c r="E624" s="41" t="str">
        <f t="shared" si="9"/>
        <v/>
      </c>
    </row>
    <row r="625" spans="5:5" x14ac:dyDescent="0.25">
      <c r="E625" s="41" t="str">
        <f t="shared" si="9"/>
        <v/>
      </c>
    </row>
    <row r="626" spans="5:5" x14ac:dyDescent="0.25">
      <c r="E626" s="41" t="str">
        <f t="shared" si="9"/>
        <v/>
      </c>
    </row>
    <row r="627" spans="5:5" x14ac:dyDescent="0.25">
      <c r="E627" s="41" t="str">
        <f t="shared" si="9"/>
        <v/>
      </c>
    </row>
    <row r="628" spans="5:5" x14ac:dyDescent="0.25">
      <c r="E628" s="41" t="str">
        <f t="shared" si="9"/>
        <v/>
      </c>
    </row>
    <row r="629" spans="5:5" x14ac:dyDescent="0.25">
      <c r="E629" s="41" t="str">
        <f t="shared" si="9"/>
        <v/>
      </c>
    </row>
    <row r="630" spans="5:5" x14ac:dyDescent="0.25">
      <c r="E630" s="41" t="str">
        <f t="shared" si="9"/>
        <v/>
      </c>
    </row>
    <row r="631" spans="5:5" x14ac:dyDescent="0.25">
      <c r="E631" s="41" t="str">
        <f t="shared" si="9"/>
        <v/>
      </c>
    </row>
    <row r="632" spans="5:5" x14ac:dyDescent="0.25">
      <c r="E632" s="41" t="str">
        <f t="shared" si="9"/>
        <v/>
      </c>
    </row>
    <row r="633" spans="5:5" x14ac:dyDescent="0.25">
      <c r="E633" s="41" t="str">
        <f t="shared" si="9"/>
        <v/>
      </c>
    </row>
    <row r="634" spans="5:5" x14ac:dyDescent="0.25">
      <c r="E634" s="41" t="str">
        <f t="shared" si="9"/>
        <v/>
      </c>
    </row>
    <row r="635" spans="5:5" x14ac:dyDescent="0.25">
      <c r="E635" s="41" t="str">
        <f t="shared" si="9"/>
        <v/>
      </c>
    </row>
    <row r="636" spans="5:5" x14ac:dyDescent="0.25">
      <c r="E636" s="41" t="str">
        <f t="shared" si="9"/>
        <v/>
      </c>
    </row>
    <row r="637" spans="5:5" x14ac:dyDescent="0.25">
      <c r="E637" s="41" t="str">
        <f t="shared" si="9"/>
        <v/>
      </c>
    </row>
    <row r="638" spans="5:5" x14ac:dyDescent="0.25">
      <c r="E638" s="41" t="str">
        <f t="shared" si="9"/>
        <v/>
      </c>
    </row>
    <row r="639" spans="5:5" x14ac:dyDescent="0.25">
      <c r="E639" s="41" t="str">
        <f t="shared" si="9"/>
        <v/>
      </c>
    </row>
    <row r="640" spans="5:5" x14ac:dyDescent="0.25">
      <c r="E640" s="41" t="str">
        <f t="shared" si="9"/>
        <v/>
      </c>
    </row>
    <row r="641" spans="5:5" x14ac:dyDescent="0.25">
      <c r="E641" s="41" t="str">
        <f t="shared" si="9"/>
        <v/>
      </c>
    </row>
    <row r="642" spans="5:5" x14ac:dyDescent="0.25">
      <c r="E642" s="41" t="str">
        <f t="shared" si="9"/>
        <v/>
      </c>
    </row>
    <row r="643" spans="5:5" x14ac:dyDescent="0.25">
      <c r="E643" s="41" t="str">
        <f t="shared" si="9"/>
        <v/>
      </c>
    </row>
    <row r="644" spans="5:5" x14ac:dyDescent="0.25">
      <c r="E644" s="41" t="str">
        <f t="shared" si="9"/>
        <v/>
      </c>
    </row>
    <row r="645" spans="5:5" x14ac:dyDescent="0.25">
      <c r="E645" s="41" t="str">
        <f t="shared" si="9"/>
        <v/>
      </c>
    </row>
    <row r="646" spans="5:5" x14ac:dyDescent="0.25">
      <c r="E646" s="41" t="str">
        <f t="shared" si="9"/>
        <v/>
      </c>
    </row>
    <row r="647" spans="5:5" x14ac:dyDescent="0.25">
      <c r="E647" s="41" t="str">
        <f t="shared" si="9"/>
        <v/>
      </c>
    </row>
    <row r="648" spans="5:5" x14ac:dyDescent="0.25">
      <c r="E648" s="41" t="str">
        <f t="shared" si="9"/>
        <v/>
      </c>
    </row>
    <row r="649" spans="5:5" x14ac:dyDescent="0.25">
      <c r="E649" s="41" t="str">
        <f t="shared" si="9"/>
        <v/>
      </c>
    </row>
    <row r="650" spans="5:5" x14ac:dyDescent="0.25">
      <c r="E650" s="41" t="str">
        <f t="shared" si="9"/>
        <v/>
      </c>
    </row>
    <row r="651" spans="5:5" x14ac:dyDescent="0.25">
      <c r="E651" s="41" t="str">
        <f t="shared" si="9"/>
        <v/>
      </c>
    </row>
    <row r="652" spans="5:5" x14ac:dyDescent="0.25">
      <c r="E652" s="41" t="str">
        <f t="shared" si="9"/>
        <v/>
      </c>
    </row>
    <row r="653" spans="5:5" x14ac:dyDescent="0.25">
      <c r="E653" s="41" t="str">
        <f t="shared" si="9"/>
        <v/>
      </c>
    </row>
    <row r="654" spans="5:5" x14ac:dyDescent="0.25">
      <c r="E654" s="41" t="str">
        <f t="shared" si="9"/>
        <v/>
      </c>
    </row>
    <row r="655" spans="5:5" x14ac:dyDescent="0.25">
      <c r="E655" s="41" t="str">
        <f t="shared" si="9"/>
        <v/>
      </c>
    </row>
    <row r="656" spans="5:5" x14ac:dyDescent="0.25">
      <c r="E656" s="41" t="str">
        <f t="shared" si="9"/>
        <v/>
      </c>
    </row>
    <row r="657" spans="5:5" x14ac:dyDescent="0.25">
      <c r="E657" s="41" t="str">
        <f t="shared" ref="E657:E720" si="10">IF(A657=0,"","Elastic")</f>
        <v/>
      </c>
    </row>
    <row r="658" spans="5:5" x14ac:dyDescent="0.25">
      <c r="E658" s="41" t="str">
        <f t="shared" si="10"/>
        <v/>
      </c>
    </row>
    <row r="659" spans="5:5" x14ac:dyDescent="0.25">
      <c r="E659" s="41" t="str">
        <f t="shared" si="10"/>
        <v/>
      </c>
    </row>
    <row r="660" spans="5:5" x14ac:dyDescent="0.25">
      <c r="E660" s="41" t="str">
        <f t="shared" si="10"/>
        <v/>
      </c>
    </row>
    <row r="661" spans="5:5" x14ac:dyDescent="0.25">
      <c r="E661" s="41" t="str">
        <f t="shared" si="10"/>
        <v/>
      </c>
    </row>
    <row r="662" spans="5:5" x14ac:dyDescent="0.25">
      <c r="E662" s="41" t="str">
        <f t="shared" si="10"/>
        <v/>
      </c>
    </row>
    <row r="663" spans="5:5" x14ac:dyDescent="0.25">
      <c r="E663" s="41" t="str">
        <f t="shared" si="10"/>
        <v/>
      </c>
    </row>
    <row r="664" spans="5:5" x14ac:dyDescent="0.25">
      <c r="E664" s="41" t="str">
        <f t="shared" si="10"/>
        <v/>
      </c>
    </row>
    <row r="665" spans="5:5" x14ac:dyDescent="0.25">
      <c r="E665" s="41" t="str">
        <f t="shared" si="10"/>
        <v/>
      </c>
    </row>
    <row r="666" spans="5:5" x14ac:dyDescent="0.25">
      <c r="E666" s="41" t="str">
        <f t="shared" si="10"/>
        <v/>
      </c>
    </row>
    <row r="667" spans="5:5" x14ac:dyDescent="0.25">
      <c r="E667" s="41" t="str">
        <f t="shared" si="10"/>
        <v/>
      </c>
    </row>
    <row r="668" spans="5:5" x14ac:dyDescent="0.25">
      <c r="E668" s="41" t="str">
        <f t="shared" si="10"/>
        <v/>
      </c>
    </row>
    <row r="669" spans="5:5" x14ac:dyDescent="0.25">
      <c r="E669" s="41" t="str">
        <f t="shared" si="10"/>
        <v/>
      </c>
    </row>
    <row r="670" spans="5:5" x14ac:dyDescent="0.25">
      <c r="E670" s="41" t="str">
        <f t="shared" si="10"/>
        <v/>
      </c>
    </row>
    <row r="671" spans="5:5" x14ac:dyDescent="0.25">
      <c r="E671" s="41" t="str">
        <f t="shared" si="10"/>
        <v/>
      </c>
    </row>
    <row r="672" spans="5:5" x14ac:dyDescent="0.25">
      <c r="E672" s="41" t="str">
        <f t="shared" si="10"/>
        <v/>
      </c>
    </row>
    <row r="673" spans="5:5" x14ac:dyDescent="0.25">
      <c r="E673" s="41" t="str">
        <f t="shared" si="10"/>
        <v/>
      </c>
    </row>
    <row r="674" spans="5:5" x14ac:dyDescent="0.25">
      <c r="E674" s="41" t="str">
        <f t="shared" si="10"/>
        <v/>
      </c>
    </row>
    <row r="675" spans="5:5" x14ac:dyDescent="0.25">
      <c r="E675" s="41" t="str">
        <f t="shared" si="10"/>
        <v/>
      </c>
    </row>
    <row r="676" spans="5:5" x14ac:dyDescent="0.25">
      <c r="E676" s="41" t="str">
        <f t="shared" si="10"/>
        <v/>
      </c>
    </row>
    <row r="677" spans="5:5" x14ac:dyDescent="0.25">
      <c r="E677" s="41" t="str">
        <f t="shared" si="10"/>
        <v/>
      </c>
    </row>
    <row r="678" spans="5:5" x14ac:dyDescent="0.25">
      <c r="E678" s="41" t="str">
        <f t="shared" si="10"/>
        <v/>
      </c>
    </row>
    <row r="679" spans="5:5" x14ac:dyDescent="0.25">
      <c r="E679" s="41" t="str">
        <f t="shared" si="10"/>
        <v/>
      </c>
    </row>
    <row r="680" spans="5:5" x14ac:dyDescent="0.25">
      <c r="E680" s="41" t="str">
        <f t="shared" si="10"/>
        <v/>
      </c>
    </row>
    <row r="681" spans="5:5" x14ac:dyDescent="0.25">
      <c r="E681" s="41" t="str">
        <f t="shared" si="10"/>
        <v/>
      </c>
    </row>
    <row r="682" spans="5:5" x14ac:dyDescent="0.25">
      <c r="E682" s="41" t="str">
        <f t="shared" si="10"/>
        <v/>
      </c>
    </row>
    <row r="683" spans="5:5" x14ac:dyDescent="0.25">
      <c r="E683" s="41" t="str">
        <f t="shared" si="10"/>
        <v/>
      </c>
    </row>
    <row r="684" spans="5:5" x14ac:dyDescent="0.25">
      <c r="E684" s="41" t="str">
        <f t="shared" si="10"/>
        <v/>
      </c>
    </row>
    <row r="685" spans="5:5" x14ac:dyDescent="0.25">
      <c r="E685" s="41" t="str">
        <f t="shared" si="10"/>
        <v/>
      </c>
    </row>
    <row r="686" spans="5:5" x14ac:dyDescent="0.25">
      <c r="E686" s="41" t="str">
        <f t="shared" si="10"/>
        <v/>
      </c>
    </row>
    <row r="687" spans="5:5" x14ac:dyDescent="0.25">
      <c r="E687" s="41" t="str">
        <f t="shared" si="10"/>
        <v/>
      </c>
    </row>
    <row r="688" spans="5:5" x14ac:dyDescent="0.25">
      <c r="E688" s="41" t="str">
        <f t="shared" si="10"/>
        <v/>
      </c>
    </row>
    <row r="689" spans="5:5" x14ac:dyDescent="0.25">
      <c r="E689" s="41" t="str">
        <f t="shared" si="10"/>
        <v/>
      </c>
    </row>
    <row r="690" spans="5:5" x14ac:dyDescent="0.25">
      <c r="E690" s="41" t="str">
        <f t="shared" si="10"/>
        <v/>
      </c>
    </row>
    <row r="691" spans="5:5" x14ac:dyDescent="0.25">
      <c r="E691" s="41" t="str">
        <f t="shared" si="10"/>
        <v/>
      </c>
    </row>
    <row r="692" spans="5:5" x14ac:dyDescent="0.25">
      <c r="E692" s="41" t="str">
        <f t="shared" si="10"/>
        <v/>
      </c>
    </row>
    <row r="693" spans="5:5" x14ac:dyDescent="0.25">
      <c r="E693" s="41" t="str">
        <f t="shared" si="10"/>
        <v/>
      </c>
    </row>
    <row r="694" spans="5:5" x14ac:dyDescent="0.25">
      <c r="E694" s="41" t="str">
        <f t="shared" si="10"/>
        <v/>
      </c>
    </row>
    <row r="695" spans="5:5" x14ac:dyDescent="0.25">
      <c r="E695" s="41" t="str">
        <f t="shared" si="10"/>
        <v/>
      </c>
    </row>
    <row r="696" spans="5:5" x14ac:dyDescent="0.25">
      <c r="E696" s="41" t="str">
        <f t="shared" si="10"/>
        <v/>
      </c>
    </row>
    <row r="697" spans="5:5" x14ac:dyDescent="0.25">
      <c r="E697" s="41" t="str">
        <f t="shared" si="10"/>
        <v/>
      </c>
    </row>
    <row r="698" spans="5:5" x14ac:dyDescent="0.25">
      <c r="E698" s="41" t="str">
        <f t="shared" si="10"/>
        <v/>
      </c>
    </row>
    <row r="699" spans="5:5" x14ac:dyDescent="0.25">
      <c r="E699" s="41" t="str">
        <f t="shared" si="10"/>
        <v/>
      </c>
    </row>
    <row r="700" spans="5:5" x14ac:dyDescent="0.25">
      <c r="E700" s="41" t="str">
        <f t="shared" si="10"/>
        <v/>
      </c>
    </row>
    <row r="701" spans="5:5" x14ac:dyDescent="0.25">
      <c r="E701" s="41" t="str">
        <f t="shared" si="10"/>
        <v/>
      </c>
    </row>
    <row r="702" spans="5:5" x14ac:dyDescent="0.25">
      <c r="E702" s="41" t="str">
        <f t="shared" si="10"/>
        <v/>
      </c>
    </row>
    <row r="703" spans="5:5" x14ac:dyDescent="0.25">
      <c r="E703" s="41" t="str">
        <f t="shared" si="10"/>
        <v/>
      </c>
    </row>
    <row r="704" spans="5:5" x14ac:dyDescent="0.25">
      <c r="E704" s="41" t="str">
        <f t="shared" si="10"/>
        <v/>
      </c>
    </row>
    <row r="705" spans="5:5" x14ac:dyDescent="0.25">
      <c r="E705" s="41" t="str">
        <f t="shared" si="10"/>
        <v/>
      </c>
    </row>
    <row r="706" spans="5:5" x14ac:dyDescent="0.25">
      <c r="E706" s="41" t="str">
        <f t="shared" si="10"/>
        <v/>
      </c>
    </row>
    <row r="707" spans="5:5" x14ac:dyDescent="0.25">
      <c r="E707" s="41" t="str">
        <f t="shared" si="10"/>
        <v/>
      </c>
    </row>
    <row r="708" spans="5:5" x14ac:dyDescent="0.25">
      <c r="E708" s="41" t="str">
        <f t="shared" si="10"/>
        <v/>
      </c>
    </row>
    <row r="709" spans="5:5" x14ac:dyDescent="0.25">
      <c r="E709" s="41" t="str">
        <f t="shared" si="10"/>
        <v/>
      </c>
    </row>
    <row r="710" spans="5:5" x14ac:dyDescent="0.25">
      <c r="E710" s="41" t="str">
        <f t="shared" si="10"/>
        <v/>
      </c>
    </row>
    <row r="711" spans="5:5" x14ac:dyDescent="0.25">
      <c r="E711" s="41" t="str">
        <f t="shared" si="10"/>
        <v/>
      </c>
    </row>
    <row r="712" spans="5:5" x14ac:dyDescent="0.25">
      <c r="E712" s="41" t="str">
        <f t="shared" si="10"/>
        <v/>
      </c>
    </row>
    <row r="713" spans="5:5" x14ac:dyDescent="0.25">
      <c r="E713" s="41" t="str">
        <f t="shared" si="10"/>
        <v/>
      </c>
    </row>
    <row r="714" spans="5:5" x14ac:dyDescent="0.25">
      <c r="E714" s="41" t="str">
        <f t="shared" si="10"/>
        <v/>
      </c>
    </row>
    <row r="715" spans="5:5" x14ac:dyDescent="0.25">
      <c r="E715" s="41" t="str">
        <f t="shared" si="10"/>
        <v/>
      </c>
    </row>
    <row r="716" spans="5:5" x14ac:dyDescent="0.25">
      <c r="E716" s="41" t="str">
        <f t="shared" si="10"/>
        <v/>
      </c>
    </row>
    <row r="717" spans="5:5" x14ac:dyDescent="0.25">
      <c r="E717" s="41" t="str">
        <f t="shared" si="10"/>
        <v/>
      </c>
    </row>
    <row r="718" spans="5:5" x14ac:dyDescent="0.25">
      <c r="E718" s="41" t="str">
        <f t="shared" si="10"/>
        <v/>
      </c>
    </row>
    <row r="719" spans="5:5" x14ac:dyDescent="0.25">
      <c r="E719" s="41" t="str">
        <f t="shared" si="10"/>
        <v/>
      </c>
    </row>
    <row r="720" spans="5:5" x14ac:dyDescent="0.25">
      <c r="E720" s="41" t="str">
        <f t="shared" si="10"/>
        <v/>
      </c>
    </row>
    <row r="721" spans="5:5" x14ac:dyDescent="0.25">
      <c r="E721" s="41" t="str">
        <f t="shared" ref="E721:E784" si="11">IF(A721=0,"","Elastic")</f>
        <v/>
      </c>
    </row>
    <row r="722" spans="5:5" x14ac:dyDescent="0.25">
      <c r="E722" s="41" t="str">
        <f t="shared" si="11"/>
        <v/>
      </c>
    </row>
    <row r="723" spans="5:5" x14ac:dyDescent="0.25">
      <c r="E723" s="41" t="str">
        <f t="shared" si="11"/>
        <v/>
      </c>
    </row>
    <row r="724" spans="5:5" x14ac:dyDescent="0.25">
      <c r="E724" s="41" t="str">
        <f t="shared" si="11"/>
        <v/>
      </c>
    </row>
    <row r="725" spans="5:5" x14ac:dyDescent="0.25">
      <c r="E725" s="41" t="str">
        <f t="shared" si="11"/>
        <v/>
      </c>
    </row>
    <row r="726" spans="5:5" x14ac:dyDescent="0.25">
      <c r="E726" s="41" t="str">
        <f t="shared" si="11"/>
        <v/>
      </c>
    </row>
    <row r="727" spans="5:5" x14ac:dyDescent="0.25">
      <c r="E727" s="41" t="str">
        <f t="shared" si="11"/>
        <v/>
      </c>
    </row>
    <row r="728" spans="5:5" x14ac:dyDescent="0.25">
      <c r="E728" s="41" t="str">
        <f t="shared" si="11"/>
        <v/>
      </c>
    </row>
    <row r="729" spans="5:5" x14ac:dyDescent="0.25">
      <c r="E729" s="41" t="str">
        <f t="shared" si="11"/>
        <v/>
      </c>
    </row>
    <row r="730" spans="5:5" x14ac:dyDescent="0.25">
      <c r="E730" s="41" t="str">
        <f t="shared" si="11"/>
        <v/>
      </c>
    </row>
    <row r="731" spans="5:5" x14ac:dyDescent="0.25">
      <c r="E731" s="41" t="str">
        <f t="shared" si="11"/>
        <v/>
      </c>
    </row>
    <row r="732" spans="5:5" x14ac:dyDescent="0.25">
      <c r="E732" s="41" t="str">
        <f t="shared" si="11"/>
        <v/>
      </c>
    </row>
    <row r="733" spans="5:5" x14ac:dyDescent="0.25">
      <c r="E733" s="41" t="str">
        <f t="shared" si="11"/>
        <v/>
      </c>
    </row>
    <row r="734" spans="5:5" x14ac:dyDescent="0.25">
      <c r="E734" s="41" t="str">
        <f t="shared" si="11"/>
        <v/>
      </c>
    </row>
    <row r="735" spans="5:5" x14ac:dyDescent="0.25">
      <c r="E735" s="41" t="str">
        <f t="shared" si="11"/>
        <v/>
      </c>
    </row>
    <row r="736" spans="5:5" x14ac:dyDescent="0.25">
      <c r="E736" s="41" t="str">
        <f t="shared" si="11"/>
        <v/>
      </c>
    </row>
    <row r="737" spans="5:5" x14ac:dyDescent="0.25">
      <c r="E737" s="41" t="str">
        <f t="shared" si="11"/>
        <v/>
      </c>
    </row>
    <row r="738" spans="5:5" x14ac:dyDescent="0.25">
      <c r="E738" s="41" t="str">
        <f t="shared" si="11"/>
        <v/>
      </c>
    </row>
    <row r="739" spans="5:5" x14ac:dyDescent="0.25">
      <c r="E739" s="41" t="str">
        <f t="shared" si="11"/>
        <v/>
      </c>
    </row>
    <row r="740" spans="5:5" x14ac:dyDescent="0.25">
      <c r="E740" s="41" t="str">
        <f t="shared" si="11"/>
        <v/>
      </c>
    </row>
    <row r="741" spans="5:5" x14ac:dyDescent="0.25">
      <c r="E741" s="41" t="str">
        <f t="shared" si="11"/>
        <v/>
      </c>
    </row>
    <row r="742" spans="5:5" x14ac:dyDescent="0.25">
      <c r="E742" s="41" t="str">
        <f t="shared" si="11"/>
        <v/>
      </c>
    </row>
    <row r="743" spans="5:5" x14ac:dyDescent="0.25">
      <c r="E743" s="41" t="str">
        <f t="shared" si="11"/>
        <v/>
      </c>
    </row>
    <row r="744" spans="5:5" x14ac:dyDescent="0.25">
      <c r="E744" s="41" t="str">
        <f t="shared" si="11"/>
        <v/>
      </c>
    </row>
    <row r="745" spans="5:5" x14ac:dyDescent="0.25">
      <c r="E745" s="41" t="str">
        <f t="shared" si="11"/>
        <v/>
      </c>
    </row>
    <row r="746" spans="5:5" x14ac:dyDescent="0.25">
      <c r="E746" s="41" t="str">
        <f t="shared" si="11"/>
        <v/>
      </c>
    </row>
    <row r="747" spans="5:5" x14ac:dyDescent="0.25">
      <c r="E747" s="41" t="str">
        <f t="shared" si="11"/>
        <v/>
      </c>
    </row>
    <row r="748" spans="5:5" x14ac:dyDescent="0.25">
      <c r="E748" s="41" t="str">
        <f t="shared" si="11"/>
        <v/>
      </c>
    </row>
    <row r="749" spans="5:5" x14ac:dyDescent="0.25">
      <c r="E749" s="41" t="str">
        <f t="shared" si="11"/>
        <v/>
      </c>
    </row>
    <row r="750" spans="5:5" x14ac:dyDescent="0.25">
      <c r="E750" s="41" t="str">
        <f t="shared" si="11"/>
        <v/>
      </c>
    </row>
    <row r="751" spans="5:5" x14ac:dyDescent="0.25">
      <c r="E751" s="41" t="str">
        <f t="shared" si="11"/>
        <v/>
      </c>
    </row>
    <row r="752" spans="5:5" x14ac:dyDescent="0.25">
      <c r="E752" s="41" t="str">
        <f t="shared" si="11"/>
        <v/>
      </c>
    </row>
    <row r="753" spans="5:5" x14ac:dyDescent="0.25">
      <c r="E753" s="41" t="str">
        <f t="shared" si="11"/>
        <v/>
      </c>
    </row>
    <row r="754" spans="5:5" x14ac:dyDescent="0.25">
      <c r="E754" s="41" t="str">
        <f t="shared" si="11"/>
        <v/>
      </c>
    </row>
    <row r="755" spans="5:5" x14ac:dyDescent="0.25">
      <c r="E755" s="41" t="str">
        <f t="shared" si="11"/>
        <v/>
      </c>
    </row>
    <row r="756" spans="5:5" x14ac:dyDescent="0.25">
      <c r="E756" s="41" t="str">
        <f t="shared" si="11"/>
        <v/>
      </c>
    </row>
    <row r="757" spans="5:5" x14ac:dyDescent="0.25">
      <c r="E757" s="41" t="str">
        <f t="shared" si="11"/>
        <v/>
      </c>
    </row>
    <row r="758" spans="5:5" x14ac:dyDescent="0.25">
      <c r="E758" s="41" t="str">
        <f t="shared" si="11"/>
        <v/>
      </c>
    </row>
    <row r="759" spans="5:5" x14ac:dyDescent="0.25">
      <c r="E759" s="41" t="str">
        <f t="shared" si="11"/>
        <v/>
      </c>
    </row>
    <row r="760" spans="5:5" x14ac:dyDescent="0.25">
      <c r="E760" s="41" t="str">
        <f t="shared" si="11"/>
        <v/>
      </c>
    </row>
    <row r="761" spans="5:5" x14ac:dyDescent="0.25">
      <c r="E761" s="41" t="str">
        <f t="shared" si="11"/>
        <v/>
      </c>
    </row>
    <row r="762" spans="5:5" x14ac:dyDescent="0.25">
      <c r="E762" s="41" t="str">
        <f t="shared" si="11"/>
        <v/>
      </c>
    </row>
    <row r="763" spans="5:5" x14ac:dyDescent="0.25">
      <c r="E763" s="41" t="str">
        <f t="shared" si="11"/>
        <v/>
      </c>
    </row>
    <row r="764" spans="5:5" x14ac:dyDescent="0.25">
      <c r="E764" s="41" t="str">
        <f t="shared" si="11"/>
        <v/>
      </c>
    </row>
    <row r="765" spans="5:5" x14ac:dyDescent="0.25">
      <c r="E765" s="41" t="str">
        <f t="shared" si="11"/>
        <v/>
      </c>
    </row>
    <row r="766" spans="5:5" x14ac:dyDescent="0.25">
      <c r="E766" s="41" t="str">
        <f t="shared" si="11"/>
        <v/>
      </c>
    </row>
    <row r="767" spans="5:5" x14ac:dyDescent="0.25">
      <c r="E767" s="41" t="str">
        <f t="shared" si="11"/>
        <v/>
      </c>
    </row>
    <row r="768" spans="5:5" x14ac:dyDescent="0.25">
      <c r="E768" s="41" t="str">
        <f t="shared" si="11"/>
        <v/>
      </c>
    </row>
    <row r="769" spans="5:5" x14ac:dyDescent="0.25">
      <c r="E769" s="41" t="str">
        <f t="shared" si="11"/>
        <v/>
      </c>
    </row>
    <row r="770" spans="5:5" x14ac:dyDescent="0.25">
      <c r="E770" s="41" t="str">
        <f t="shared" si="11"/>
        <v/>
      </c>
    </row>
    <row r="771" spans="5:5" x14ac:dyDescent="0.25">
      <c r="E771" s="41" t="str">
        <f t="shared" si="11"/>
        <v/>
      </c>
    </row>
    <row r="772" spans="5:5" x14ac:dyDescent="0.25">
      <c r="E772" s="41" t="str">
        <f t="shared" si="11"/>
        <v/>
      </c>
    </row>
    <row r="773" spans="5:5" x14ac:dyDescent="0.25">
      <c r="E773" s="41" t="str">
        <f t="shared" si="11"/>
        <v/>
      </c>
    </row>
    <row r="774" spans="5:5" x14ac:dyDescent="0.25">
      <c r="E774" s="41" t="str">
        <f t="shared" si="11"/>
        <v/>
      </c>
    </row>
    <row r="775" spans="5:5" x14ac:dyDescent="0.25">
      <c r="E775" s="41" t="str">
        <f t="shared" si="11"/>
        <v/>
      </c>
    </row>
    <row r="776" spans="5:5" x14ac:dyDescent="0.25">
      <c r="E776" s="41" t="str">
        <f t="shared" si="11"/>
        <v/>
      </c>
    </row>
    <row r="777" spans="5:5" x14ac:dyDescent="0.25">
      <c r="E777" s="41" t="str">
        <f t="shared" si="11"/>
        <v/>
      </c>
    </row>
    <row r="778" spans="5:5" x14ac:dyDescent="0.25">
      <c r="E778" s="41" t="str">
        <f t="shared" si="11"/>
        <v/>
      </c>
    </row>
    <row r="779" spans="5:5" x14ac:dyDescent="0.25">
      <c r="E779" s="41" t="str">
        <f t="shared" si="11"/>
        <v/>
      </c>
    </row>
    <row r="780" spans="5:5" x14ac:dyDescent="0.25">
      <c r="E780" s="41" t="str">
        <f t="shared" si="11"/>
        <v/>
      </c>
    </row>
    <row r="781" spans="5:5" x14ac:dyDescent="0.25">
      <c r="E781" s="41" t="str">
        <f t="shared" si="11"/>
        <v/>
      </c>
    </row>
    <row r="782" spans="5:5" x14ac:dyDescent="0.25">
      <c r="E782" s="41" t="str">
        <f t="shared" si="11"/>
        <v/>
      </c>
    </row>
    <row r="783" spans="5:5" x14ac:dyDescent="0.25">
      <c r="E783" s="41" t="str">
        <f t="shared" si="11"/>
        <v/>
      </c>
    </row>
    <row r="784" spans="5:5" x14ac:dyDescent="0.25">
      <c r="E784" s="41" t="str">
        <f t="shared" si="11"/>
        <v/>
      </c>
    </row>
    <row r="785" spans="5:5" x14ac:dyDescent="0.25">
      <c r="E785" s="41" t="str">
        <f t="shared" ref="E785:E848" si="12">IF(A785=0,"","Elastic")</f>
        <v/>
      </c>
    </row>
    <row r="786" spans="5:5" x14ac:dyDescent="0.25">
      <c r="E786" s="41" t="str">
        <f t="shared" si="12"/>
        <v/>
      </c>
    </row>
    <row r="787" spans="5:5" x14ac:dyDescent="0.25">
      <c r="E787" s="41" t="str">
        <f t="shared" si="12"/>
        <v/>
      </c>
    </row>
    <row r="788" spans="5:5" x14ac:dyDescent="0.25">
      <c r="E788" s="41" t="str">
        <f t="shared" si="12"/>
        <v/>
      </c>
    </row>
    <row r="789" spans="5:5" x14ac:dyDescent="0.25">
      <c r="E789" s="41" t="str">
        <f t="shared" si="12"/>
        <v/>
      </c>
    </row>
    <row r="790" spans="5:5" x14ac:dyDescent="0.25">
      <c r="E790" s="41" t="str">
        <f t="shared" si="12"/>
        <v/>
      </c>
    </row>
    <row r="791" spans="5:5" x14ac:dyDescent="0.25">
      <c r="E791" s="41" t="str">
        <f t="shared" si="12"/>
        <v/>
      </c>
    </row>
    <row r="792" spans="5:5" x14ac:dyDescent="0.25">
      <c r="E792" s="41" t="str">
        <f t="shared" si="12"/>
        <v/>
      </c>
    </row>
    <row r="793" spans="5:5" x14ac:dyDescent="0.25">
      <c r="E793" s="41" t="str">
        <f t="shared" si="12"/>
        <v/>
      </c>
    </row>
    <row r="794" spans="5:5" x14ac:dyDescent="0.25">
      <c r="E794" s="41" t="str">
        <f t="shared" si="12"/>
        <v/>
      </c>
    </row>
    <row r="795" spans="5:5" x14ac:dyDescent="0.25">
      <c r="E795" s="41" t="str">
        <f t="shared" si="12"/>
        <v/>
      </c>
    </row>
    <row r="796" spans="5:5" x14ac:dyDescent="0.25">
      <c r="E796" s="41" t="str">
        <f t="shared" si="12"/>
        <v/>
      </c>
    </row>
    <row r="797" spans="5:5" x14ac:dyDescent="0.25">
      <c r="E797" s="41" t="str">
        <f t="shared" si="12"/>
        <v/>
      </c>
    </row>
    <row r="798" spans="5:5" x14ac:dyDescent="0.25">
      <c r="E798" s="41" t="str">
        <f t="shared" si="12"/>
        <v/>
      </c>
    </row>
    <row r="799" spans="5:5" x14ac:dyDescent="0.25">
      <c r="E799" s="41" t="str">
        <f t="shared" si="12"/>
        <v/>
      </c>
    </row>
    <row r="800" spans="5:5" x14ac:dyDescent="0.25">
      <c r="E800" s="41" t="str">
        <f t="shared" si="12"/>
        <v/>
      </c>
    </row>
    <row r="801" spans="5:5" x14ac:dyDescent="0.25">
      <c r="E801" s="41" t="str">
        <f t="shared" si="12"/>
        <v/>
      </c>
    </row>
    <row r="802" spans="5:5" x14ac:dyDescent="0.25">
      <c r="E802" s="41" t="str">
        <f t="shared" si="12"/>
        <v/>
      </c>
    </row>
    <row r="803" spans="5:5" x14ac:dyDescent="0.25">
      <c r="E803" s="41" t="str">
        <f t="shared" si="12"/>
        <v/>
      </c>
    </row>
    <row r="804" spans="5:5" x14ac:dyDescent="0.25">
      <c r="E804" s="41" t="str">
        <f t="shared" si="12"/>
        <v/>
      </c>
    </row>
    <row r="805" spans="5:5" x14ac:dyDescent="0.25">
      <c r="E805" s="41" t="str">
        <f t="shared" si="12"/>
        <v/>
      </c>
    </row>
    <row r="806" spans="5:5" x14ac:dyDescent="0.25">
      <c r="E806" s="41" t="str">
        <f t="shared" si="12"/>
        <v/>
      </c>
    </row>
    <row r="807" spans="5:5" x14ac:dyDescent="0.25">
      <c r="E807" s="41" t="str">
        <f t="shared" si="12"/>
        <v/>
      </c>
    </row>
    <row r="808" spans="5:5" x14ac:dyDescent="0.25">
      <c r="E808" s="41" t="str">
        <f t="shared" si="12"/>
        <v/>
      </c>
    </row>
    <row r="809" spans="5:5" x14ac:dyDescent="0.25">
      <c r="E809" s="41" t="str">
        <f t="shared" si="12"/>
        <v/>
      </c>
    </row>
    <row r="810" spans="5:5" x14ac:dyDescent="0.25">
      <c r="E810" s="41" t="str">
        <f t="shared" si="12"/>
        <v/>
      </c>
    </row>
    <row r="811" spans="5:5" x14ac:dyDescent="0.25">
      <c r="E811" s="41" t="str">
        <f t="shared" si="12"/>
        <v/>
      </c>
    </row>
    <row r="812" spans="5:5" x14ac:dyDescent="0.25">
      <c r="E812" s="41" t="str">
        <f t="shared" si="12"/>
        <v/>
      </c>
    </row>
    <row r="813" spans="5:5" x14ac:dyDescent="0.25">
      <c r="E813" s="41" t="str">
        <f t="shared" si="12"/>
        <v/>
      </c>
    </row>
    <row r="814" spans="5:5" x14ac:dyDescent="0.25">
      <c r="E814" s="41" t="str">
        <f t="shared" si="12"/>
        <v/>
      </c>
    </row>
    <row r="815" spans="5:5" x14ac:dyDescent="0.25">
      <c r="E815" s="41" t="str">
        <f t="shared" si="12"/>
        <v/>
      </c>
    </row>
    <row r="816" spans="5:5" x14ac:dyDescent="0.25">
      <c r="E816" s="41" t="str">
        <f t="shared" si="12"/>
        <v/>
      </c>
    </row>
    <row r="817" spans="5:5" x14ac:dyDescent="0.25">
      <c r="E817" s="41" t="str">
        <f t="shared" si="12"/>
        <v/>
      </c>
    </row>
    <row r="818" spans="5:5" x14ac:dyDescent="0.25">
      <c r="E818" s="41" t="str">
        <f t="shared" si="12"/>
        <v/>
      </c>
    </row>
    <row r="819" spans="5:5" x14ac:dyDescent="0.25">
      <c r="E819" s="41" t="str">
        <f t="shared" si="12"/>
        <v/>
      </c>
    </row>
    <row r="820" spans="5:5" x14ac:dyDescent="0.25">
      <c r="E820" s="41" t="str">
        <f t="shared" si="12"/>
        <v/>
      </c>
    </row>
    <row r="821" spans="5:5" x14ac:dyDescent="0.25">
      <c r="E821" s="41" t="str">
        <f t="shared" si="12"/>
        <v/>
      </c>
    </row>
    <row r="822" spans="5:5" x14ac:dyDescent="0.25">
      <c r="E822" s="41" t="str">
        <f t="shared" si="12"/>
        <v/>
      </c>
    </row>
    <row r="823" spans="5:5" x14ac:dyDescent="0.25">
      <c r="E823" s="41" t="str">
        <f t="shared" si="12"/>
        <v/>
      </c>
    </row>
    <row r="824" spans="5:5" x14ac:dyDescent="0.25">
      <c r="E824" s="41" t="str">
        <f t="shared" si="12"/>
        <v/>
      </c>
    </row>
    <row r="825" spans="5:5" x14ac:dyDescent="0.25">
      <c r="E825" s="41" t="str">
        <f t="shared" si="12"/>
        <v/>
      </c>
    </row>
    <row r="826" spans="5:5" x14ac:dyDescent="0.25">
      <c r="E826" s="41" t="str">
        <f t="shared" si="12"/>
        <v/>
      </c>
    </row>
    <row r="827" spans="5:5" x14ac:dyDescent="0.25">
      <c r="E827" s="41" t="str">
        <f t="shared" si="12"/>
        <v/>
      </c>
    </row>
    <row r="828" spans="5:5" x14ac:dyDescent="0.25">
      <c r="E828" s="41" t="str">
        <f t="shared" si="12"/>
        <v/>
      </c>
    </row>
    <row r="829" spans="5:5" x14ac:dyDescent="0.25">
      <c r="E829" s="41" t="str">
        <f t="shared" si="12"/>
        <v/>
      </c>
    </row>
    <row r="830" spans="5:5" x14ac:dyDescent="0.25">
      <c r="E830" s="41" t="str">
        <f t="shared" si="12"/>
        <v/>
      </c>
    </row>
    <row r="831" spans="5:5" x14ac:dyDescent="0.25">
      <c r="E831" s="41" t="str">
        <f t="shared" si="12"/>
        <v/>
      </c>
    </row>
    <row r="832" spans="5:5" x14ac:dyDescent="0.25">
      <c r="E832" s="41" t="str">
        <f t="shared" si="12"/>
        <v/>
      </c>
    </row>
    <row r="833" spans="5:5" x14ac:dyDescent="0.25">
      <c r="E833" s="41" t="str">
        <f t="shared" si="12"/>
        <v/>
      </c>
    </row>
    <row r="834" spans="5:5" x14ac:dyDescent="0.25">
      <c r="E834" s="41" t="str">
        <f t="shared" si="12"/>
        <v/>
      </c>
    </row>
    <row r="835" spans="5:5" x14ac:dyDescent="0.25">
      <c r="E835" s="41" t="str">
        <f t="shared" si="12"/>
        <v/>
      </c>
    </row>
    <row r="836" spans="5:5" x14ac:dyDescent="0.25">
      <c r="E836" s="41" t="str">
        <f t="shared" si="12"/>
        <v/>
      </c>
    </row>
    <row r="837" spans="5:5" x14ac:dyDescent="0.25">
      <c r="E837" s="41" t="str">
        <f t="shared" si="12"/>
        <v/>
      </c>
    </row>
    <row r="838" spans="5:5" x14ac:dyDescent="0.25">
      <c r="E838" s="41" t="str">
        <f t="shared" si="12"/>
        <v/>
      </c>
    </row>
    <row r="839" spans="5:5" x14ac:dyDescent="0.25">
      <c r="E839" s="41" t="str">
        <f t="shared" si="12"/>
        <v/>
      </c>
    </row>
    <row r="840" spans="5:5" x14ac:dyDescent="0.25">
      <c r="E840" s="41" t="str">
        <f t="shared" si="12"/>
        <v/>
      </c>
    </row>
    <row r="841" spans="5:5" x14ac:dyDescent="0.25">
      <c r="E841" s="41" t="str">
        <f t="shared" si="12"/>
        <v/>
      </c>
    </row>
    <row r="842" spans="5:5" x14ac:dyDescent="0.25">
      <c r="E842" s="41" t="str">
        <f t="shared" si="12"/>
        <v/>
      </c>
    </row>
    <row r="843" spans="5:5" x14ac:dyDescent="0.25">
      <c r="E843" s="41" t="str">
        <f t="shared" si="12"/>
        <v/>
      </c>
    </row>
    <row r="844" spans="5:5" x14ac:dyDescent="0.25">
      <c r="E844" s="41" t="str">
        <f t="shared" si="12"/>
        <v/>
      </c>
    </row>
    <row r="845" spans="5:5" x14ac:dyDescent="0.25">
      <c r="E845" s="41" t="str">
        <f t="shared" si="12"/>
        <v/>
      </c>
    </row>
    <row r="846" spans="5:5" x14ac:dyDescent="0.25">
      <c r="E846" s="41" t="str">
        <f t="shared" si="12"/>
        <v/>
      </c>
    </row>
    <row r="847" spans="5:5" x14ac:dyDescent="0.25">
      <c r="E847" s="41" t="str">
        <f t="shared" si="12"/>
        <v/>
      </c>
    </row>
    <row r="848" spans="5:5" x14ac:dyDescent="0.25">
      <c r="E848" s="41" t="str">
        <f t="shared" si="12"/>
        <v/>
      </c>
    </row>
    <row r="849" spans="5:5" x14ac:dyDescent="0.25">
      <c r="E849" s="41" t="str">
        <f t="shared" ref="E849:E912" si="13">IF(A849=0,"","Elastic")</f>
        <v/>
      </c>
    </row>
    <row r="850" spans="5:5" x14ac:dyDescent="0.25">
      <c r="E850" s="41" t="str">
        <f t="shared" si="13"/>
        <v/>
      </c>
    </row>
    <row r="851" spans="5:5" x14ac:dyDescent="0.25">
      <c r="E851" s="41" t="str">
        <f t="shared" si="13"/>
        <v/>
      </c>
    </row>
    <row r="852" spans="5:5" x14ac:dyDescent="0.25">
      <c r="E852" s="41" t="str">
        <f t="shared" si="13"/>
        <v/>
      </c>
    </row>
    <row r="853" spans="5:5" x14ac:dyDescent="0.25">
      <c r="E853" s="41" t="str">
        <f t="shared" si="13"/>
        <v/>
      </c>
    </row>
    <row r="854" spans="5:5" x14ac:dyDescent="0.25">
      <c r="E854" s="41" t="str">
        <f t="shared" si="13"/>
        <v/>
      </c>
    </row>
    <row r="855" spans="5:5" x14ac:dyDescent="0.25">
      <c r="E855" s="41" t="str">
        <f t="shared" si="13"/>
        <v/>
      </c>
    </row>
    <row r="856" spans="5:5" x14ac:dyDescent="0.25">
      <c r="E856" s="41" t="str">
        <f t="shared" si="13"/>
        <v/>
      </c>
    </row>
    <row r="857" spans="5:5" x14ac:dyDescent="0.25">
      <c r="E857" s="41" t="str">
        <f t="shared" si="13"/>
        <v/>
      </c>
    </row>
    <row r="858" spans="5:5" x14ac:dyDescent="0.25">
      <c r="E858" s="41" t="str">
        <f t="shared" si="13"/>
        <v/>
      </c>
    </row>
    <row r="859" spans="5:5" x14ac:dyDescent="0.25">
      <c r="E859" s="41" t="str">
        <f t="shared" si="13"/>
        <v/>
      </c>
    </row>
    <row r="860" spans="5:5" x14ac:dyDescent="0.25">
      <c r="E860" s="41" t="str">
        <f t="shared" si="13"/>
        <v/>
      </c>
    </row>
    <row r="861" spans="5:5" x14ac:dyDescent="0.25">
      <c r="E861" s="41" t="str">
        <f t="shared" si="13"/>
        <v/>
      </c>
    </row>
    <row r="862" spans="5:5" x14ac:dyDescent="0.25">
      <c r="E862" s="41" t="str">
        <f t="shared" si="13"/>
        <v/>
      </c>
    </row>
    <row r="863" spans="5:5" x14ac:dyDescent="0.25">
      <c r="E863" s="41" t="str">
        <f t="shared" si="13"/>
        <v/>
      </c>
    </row>
    <row r="864" spans="5:5" x14ac:dyDescent="0.25">
      <c r="E864" s="41" t="str">
        <f t="shared" si="13"/>
        <v/>
      </c>
    </row>
    <row r="865" spans="5:5" x14ac:dyDescent="0.25">
      <c r="E865" s="41" t="str">
        <f t="shared" si="13"/>
        <v/>
      </c>
    </row>
    <row r="866" spans="5:5" x14ac:dyDescent="0.25">
      <c r="E866" s="41" t="str">
        <f t="shared" si="13"/>
        <v/>
      </c>
    </row>
    <row r="867" spans="5:5" x14ac:dyDescent="0.25">
      <c r="E867" s="41" t="str">
        <f t="shared" si="13"/>
        <v/>
      </c>
    </row>
    <row r="868" spans="5:5" x14ac:dyDescent="0.25">
      <c r="E868" s="41" t="str">
        <f t="shared" si="13"/>
        <v/>
      </c>
    </row>
    <row r="869" spans="5:5" x14ac:dyDescent="0.25">
      <c r="E869" s="41" t="str">
        <f t="shared" si="13"/>
        <v/>
      </c>
    </row>
    <row r="870" spans="5:5" x14ac:dyDescent="0.25">
      <c r="E870" s="41" t="str">
        <f t="shared" si="13"/>
        <v/>
      </c>
    </row>
    <row r="871" spans="5:5" x14ac:dyDescent="0.25">
      <c r="E871" s="41" t="str">
        <f t="shared" si="13"/>
        <v/>
      </c>
    </row>
    <row r="872" spans="5:5" x14ac:dyDescent="0.25">
      <c r="E872" s="41" t="str">
        <f t="shared" si="13"/>
        <v/>
      </c>
    </row>
    <row r="873" spans="5:5" x14ac:dyDescent="0.25">
      <c r="E873" s="41" t="str">
        <f t="shared" si="13"/>
        <v/>
      </c>
    </row>
    <row r="874" spans="5:5" x14ac:dyDescent="0.25">
      <c r="E874" s="41" t="str">
        <f t="shared" si="13"/>
        <v/>
      </c>
    </row>
    <row r="875" spans="5:5" x14ac:dyDescent="0.25">
      <c r="E875" s="41" t="str">
        <f t="shared" si="13"/>
        <v/>
      </c>
    </row>
    <row r="876" spans="5:5" x14ac:dyDescent="0.25">
      <c r="E876" s="41" t="str">
        <f t="shared" si="13"/>
        <v/>
      </c>
    </row>
    <row r="877" spans="5:5" x14ac:dyDescent="0.25">
      <c r="E877" s="41" t="str">
        <f t="shared" si="13"/>
        <v/>
      </c>
    </row>
    <row r="878" spans="5:5" x14ac:dyDescent="0.25">
      <c r="E878" s="41" t="str">
        <f t="shared" si="13"/>
        <v/>
      </c>
    </row>
    <row r="879" spans="5:5" x14ac:dyDescent="0.25">
      <c r="E879" s="41" t="str">
        <f t="shared" si="13"/>
        <v/>
      </c>
    </row>
    <row r="880" spans="5:5" x14ac:dyDescent="0.25">
      <c r="E880" s="41" t="str">
        <f t="shared" si="13"/>
        <v/>
      </c>
    </row>
    <row r="881" spans="5:5" x14ac:dyDescent="0.25">
      <c r="E881" s="41" t="str">
        <f t="shared" si="13"/>
        <v/>
      </c>
    </row>
    <row r="882" spans="5:5" x14ac:dyDescent="0.25">
      <c r="E882" s="41" t="str">
        <f t="shared" si="13"/>
        <v/>
      </c>
    </row>
    <row r="883" spans="5:5" x14ac:dyDescent="0.25">
      <c r="E883" s="41" t="str">
        <f t="shared" si="13"/>
        <v/>
      </c>
    </row>
    <row r="884" spans="5:5" x14ac:dyDescent="0.25">
      <c r="E884" s="41" t="str">
        <f t="shared" si="13"/>
        <v/>
      </c>
    </row>
    <row r="885" spans="5:5" x14ac:dyDescent="0.25">
      <c r="E885" s="41" t="str">
        <f t="shared" si="13"/>
        <v/>
      </c>
    </row>
    <row r="886" spans="5:5" x14ac:dyDescent="0.25">
      <c r="E886" s="41" t="str">
        <f t="shared" si="13"/>
        <v/>
      </c>
    </row>
    <row r="887" spans="5:5" x14ac:dyDescent="0.25">
      <c r="E887" s="41" t="str">
        <f t="shared" si="13"/>
        <v/>
      </c>
    </row>
    <row r="888" spans="5:5" x14ac:dyDescent="0.25">
      <c r="E888" s="41" t="str">
        <f t="shared" si="13"/>
        <v/>
      </c>
    </row>
    <row r="889" spans="5:5" x14ac:dyDescent="0.25">
      <c r="E889" s="41" t="str">
        <f t="shared" si="13"/>
        <v/>
      </c>
    </row>
    <row r="890" spans="5:5" x14ac:dyDescent="0.25">
      <c r="E890" s="41" t="str">
        <f t="shared" si="13"/>
        <v/>
      </c>
    </row>
    <row r="891" spans="5:5" x14ac:dyDescent="0.25">
      <c r="E891" s="41" t="str">
        <f t="shared" si="13"/>
        <v/>
      </c>
    </row>
    <row r="892" spans="5:5" x14ac:dyDescent="0.25">
      <c r="E892" s="41" t="str">
        <f t="shared" si="13"/>
        <v/>
      </c>
    </row>
    <row r="893" spans="5:5" x14ac:dyDescent="0.25">
      <c r="E893" s="41" t="str">
        <f t="shared" si="13"/>
        <v/>
      </c>
    </row>
    <row r="894" spans="5:5" x14ac:dyDescent="0.25">
      <c r="E894" s="41" t="str">
        <f t="shared" si="13"/>
        <v/>
      </c>
    </row>
    <row r="895" spans="5:5" x14ac:dyDescent="0.25">
      <c r="E895" s="41" t="str">
        <f t="shared" si="13"/>
        <v/>
      </c>
    </row>
    <row r="896" spans="5:5" x14ac:dyDescent="0.25">
      <c r="E896" s="41" t="str">
        <f t="shared" si="13"/>
        <v/>
      </c>
    </row>
    <row r="897" spans="5:5" x14ac:dyDescent="0.25">
      <c r="E897" s="41" t="str">
        <f t="shared" si="13"/>
        <v/>
      </c>
    </row>
    <row r="898" spans="5:5" x14ac:dyDescent="0.25">
      <c r="E898" s="41" t="str">
        <f t="shared" si="13"/>
        <v/>
      </c>
    </row>
    <row r="899" spans="5:5" x14ac:dyDescent="0.25">
      <c r="E899" s="41" t="str">
        <f t="shared" si="13"/>
        <v/>
      </c>
    </row>
    <row r="900" spans="5:5" x14ac:dyDescent="0.25">
      <c r="E900" s="41" t="str">
        <f t="shared" si="13"/>
        <v/>
      </c>
    </row>
    <row r="901" spans="5:5" x14ac:dyDescent="0.25">
      <c r="E901" s="41" t="str">
        <f t="shared" si="13"/>
        <v/>
      </c>
    </row>
    <row r="902" spans="5:5" x14ac:dyDescent="0.25">
      <c r="E902" s="41" t="str">
        <f t="shared" si="13"/>
        <v/>
      </c>
    </row>
    <row r="903" spans="5:5" x14ac:dyDescent="0.25">
      <c r="E903" s="41" t="str">
        <f t="shared" si="13"/>
        <v/>
      </c>
    </row>
    <row r="904" spans="5:5" x14ac:dyDescent="0.25">
      <c r="E904" s="41" t="str">
        <f t="shared" si="13"/>
        <v/>
      </c>
    </row>
    <row r="905" spans="5:5" x14ac:dyDescent="0.25">
      <c r="E905" s="41" t="str">
        <f t="shared" si="13"/>
        <v/>
      </c>
    </row>
    <row r="906" spans="5:5" x14ac:dyDescent="0.25">
      <c r="E906" s="41" t="str">
        <f t="shared" si="13"/>
        <v/>
      </c>
    </row>
    <row r="907" spans="5:5" x14ac:dyDescent="0.25">
      <c r="E907" s="41" t="str">
        <f t="shared" si="13"/>
        <v/>
      </c>
    </row>
    <row r="908" spans="5:5" x14ac:dyDescent="0.25">
      <c r="E908" s="41" t="str">
        <f t="shared" si="13"/>
        <v/>
      </c>
    </row>
    <row r="909" spans="5:5" x14ac:dyDescent="0.25">
      <c r="E909" s="41" t="str">
        <f t="shared" si="13"/>
        <v/>
      </c>
    </row>
    <row r="910" spans="5:5" x14ac:dyDescent="0.25">
      <c r="E910" s="41" t="str">
        <f t="shared" si="13"/>
        <v/>
      </c>
    </row>
    <row r="911" spans="5:5" x14ac:dyDescent="0.25">
      <c r="E911" s="41" t="str">
        <f t="shared" si="13"/>
        <v/>
      </c>
    </row>
    <row r="912" spans="5:5" x14ac:dyDescent="0.25">
      <c r="E912" s="41" t="str">
        <f t="shared" si="13"/>
        <v/>
      </c>
    </row>
    <row r="913" spans="5:5" x14ac:dyDescent="0.25">
      <c r="E913" s="41" t="str">
        <f t="shared" ref="E913:E976" si="14">IF(A913=0,"","Elastic")</f>
        <v/>
      </c>
    </row>
    <row r="914" spans="5:5" x14ac:dyDescent="0.25">
      <c r="E914" s="41" t="str">
        <f t="shared" si="14"/>
        <v/>
      </c>
    </row>
    <row r="915" spans="5:5" x14ac:dyDescent="0.25">
      <c r="E915" s="41" t="str">
        <f t="shared" si="14"/>
        <v/>
      </c>
    </row>
    <row r="916" spans="5:5" x14ac:dyDescent="0.25">
      <c r="E916" s="41" t="str">
        <f t="shared" si="14"/>
        <v/>
      </c>
    </row>
    <row r="917" spans="5:5" x14ac:dyDescent="0.25">
      <c r="E917" s="41" t="str">
        <f t="shared" si="14"/>
        <v/>
      </c>
    </row>
    <row r="918" spans="5:5" x14ac:dyDescent="0.25">
      <c r="E918" s="41" t="str">
        <f t="shared" si="14"/>
        <v/>
      </c>
    </row>
    <row r="919" spans="5:5" x14ac:dyDescent="0.25">
      <c r="E919" s="41" t="str">
        <f t="shared" si="14"/>
        <v/>
      </c>
    </row>
    <row r="920" spans="5:5" x14ac:dyDescent="0.25">
      <c r="E920" s="41" t="str">
        <f t="shared" si="14"/>
        <v/>
      </c>
    </row>
    <row r="921" spans="5:5" x14ac:dyDescent="0.25">
      <c r="E921" s="41" t="str">
        <f t="shared" si="14"/>
        <v/>
      </c>
    </row>
    <row r="922" spans="5:5" x14ac:dyDescent="0.25">
      <c r="E922" s="41" t="str">
        <f t="shared" si="14"/>
        <v/>
      </c>
    </row>
    <row r="923" spans="5:5" x14ac:dyDescent="0.25">
      <c r="E923" s="41" t="str">
        <f t="shared" si="14"/>
        <v/>
      </c>
    </row>
    <row r="924" spans="5:5" x14ac:dyDescent="0.25">
      <c r="E924" s="41" t="str">
        <f t="shared" si="14"/>
        <v/>
      </c>
    </row>
    <row r="925" spans="5:5" x14ac:dyDescent="0.25">
      <c r="E925" s="41" t="str">
        <f t="shared" si="14"/>
        <v/>
      </c>
    </row>
    <row r="926" spans="5:5" x14ac:dyDescent="0.25">
      <c r="E926" s="41" t="str">
        <f t="shared" si="14"/>
        <v/>
      </c>
    </row>
    <row r="927" spans="5:5" x14ac:dyDescent="0.25">
      <c r="E927" s="41" t="str">
        <f t="shared" si="14"/>
        <v/>
      </c>
    </row>
    <row r="928" spans="5:5" x14ac:dyDescent="0.25">
      <c r="E928" s="41" t="str">
        <f t="shared" si="14"/>
        <v/>
      </c>
    </row>
    <row r="929" spans="5:5" x14ac:dyDescent="0.25">
      <c r="E929" s="41" t="str">
        <f t="shared" si="14"/>
        <v/>
      </c>
    </row>
    <row r="930" spans="5:5" x14ac:dyDescent="0.25">
      <c r="E930" s="41" t="str">
        <f t="shared" si="14"/>
        <v/>
      </c>
    </row>
    <row r="931" spans="5:5" x14ac:dyDescent="0.25">
      <c r="E931" s="41" t="str">
        <f t="shared" si="14"/>
        <v/>
      </c>
    </row>
    <row r="932" spans="5:5" x14ac:dyDescent="0.25">
      <c r="E932" s="41" t="str">
        <f t="shared" si="14"/>
        <v/>
      </c>
    </row>
    <row r="933" spans="5:5" x14ac:dyDescent="0.25">
      <c r="E933" s="41" t="str">
        <f t="shared" si="14"/>
        <v/>
      </c>
    </row>
    <row r="934" spans="5:5" x14ac:dyDescent="0.25">
      <c r="E934" s="41" t="str">
        <f t="shared" si="14"/>
        <v/>
      </c>
    </row>
    <row r="935" spans="5:5" x14ac:dyDescent="0.25">
      <c r="E935" s="41" t="str">
        <f t="shared" si="14"/>
        <v/>
      </c>
    </row>
    <row r="936" spans="5:5" x14ac:dyDescent="0.25">
      <c r="E936" s="41" t="str">
        <f t="shared" si="14"/>
        <v/>
      </c>
    </row>
    <row r="937" spans="5:5" x14ac:dyDescent="0.25">
      <c r="E937" s="41" t="str">
        <f t="shared" si="14"/>
        <v/>
      </c>
    </row>
    <row r="938" spans="5:5" x14ac:dyDescent="0.25">
      <c r="E938" s="41" t="str">
        <f t="shared" si="14"/>
        <v/>
      </c>
    </row>
    <row r="939" spans="5:5" x14ac:dyDescent="0.25">
      <c r="E939" s="41" t="str">
        <f t="shared" si="14"/>
        <v/>
      </c>
    </row>
    <row r="940" spans="5:5" x14ac:dyDescent="0.25">
      <c r="E940" s="41" t="str">
        <f t="shared" si="14"/>
        <v/>
      </c>
    </row>
    <row r="941" spans="5:5" x14ac:dyDescent="0.25">
      <c r="E941" s="41" t="str">
        <f t="shared" si="14"/>
        <v/>
      </c>
    </row>
    <row r="942" spans="5:5" x14ac:dyDescent="0.25">
      <c r="E942" s="41" t="str">
        <f t="shared" si="14"/>
        <v/>
      </c>
    </row>
    <row r="943" spans="5:5" x14ac:dyDescent="0.25">
      <c r="E943" s="41" t="str">
        <f t="shared" si="14"/>
        <v/>
      </c>
    </row>
    <row r="944" spans="5:5" x14ac:dyDescent="0.25">
      <c r="E944" s="41" t="str">
        <f t="shared" si="14"/>
        <v/>
      </c>
    </row>
    <row r="945" spans="5:5" x14ac:dyDescent="0.25">
      <c r="E945" s="41" t="str">
        <f t="shared" si="14"/>
        <v/>
      </c>
    </row>
    <row r="946" spans="5:5" x14ac:dyDescent="0.25">
      <c r="E946" s="41" t="str">
        <f t="shared" si="14"/>
        <v/>
      </c>
    </row>
    <row r="947" spans="5:5" x14ac:dyDescent="0.25">
      <c r="E947" s="41" t="str">
        <f t="shared" si="14"/>
        <v/>
      </c>
    </row>
    <row r="948" spans="5:5" x14ac:dyDescent="0.25">
      <c r="E948" s="41" t="str">
        <f t="shared" si="14"/>
        <v/>
      </c>
    </row>
    <row r="949" spans="5:5" x14ac:dyDescent="0.25">
      <c r="E949" s="41" t="str">
        <f t="shared" si="14"/>
        <v/>
      </c>
    </row>
    <row r="950" spans="5:5" x14ac:dyDescent="0.25">
      <c r="E950" s="41" t="str">
        <f t="shared" si="14"/>
        <v/>
      </c>
    </row>
    <row r="951" spans="5:5" x14ac:dyDescent="0.25">
      <c r="E951" s="41" t="str">
        <f t="shared" si="14"/>
        <v/>
      </c>
    </row>
    <row r="952" spans="5:5" x14ac:dyDescent="0.25">
      <c r="E952" s="41" t="str">
        <f t="shared" si="14"/>
        <v/>
      </c>
    </row>
    <row r="953" spans="5:5" x14ac:dyDescent="0.25">
      <c r="E953" s="41" t="str">
        <f t="shared" si="14"/>
        <v/>
      </c>
    </row>
    <row r="954" spans="5:5" x14ac:dyDescent="0.25">
      <c r="E954" s="41" t="str">
        <f t="shared" si="14"/>
        <v/>
      </c>
    </row>
    <row r="955" spans="5:5" x14ac:dyDescent="0.25">
      <c r="E955" s="41" t="str">
        <f t="shared" si="14"/>
        <v/>
      </c>
    </row>
    <row r="956" spans="5:5" x14ac:dyDescent="0.25">
      <c r="E956" s="41" t="str">
        <f t="shared" si="14"/>
        <v/>
      </c>
    </row>
    <row r="957" spans="5:5" x14ac:dyDescent="0.25">
      <c r="E957" s="41" t="str">
        <f t="shared" si="14"/>
        <v/>
      </c>
    </row>
    <row r="958" spans="5:5" x14ac:dyDescent="0.25">
      <c r="E958" s="41" t="str">
        <f t="shared" si="14"/>
        <v/>
      </c>
    </row>
    <row r="959" spans="5:5" x14ac:dyDescent="0.25">
      <c r="E959" s="41" t="str">
        <f t="shared" si="14"/>
        <v/>
      </c>
    </row>
    <row r="960" spans="5:5" x14ac:dyDescent="0.25">
      <c r="E960" s="41" t="str">
        <f t="shared" si="14"/>
        <v/>
      </c>
    </row>
    <row r="961" spans="5:5" x14ac:dyDescent="0.25">
      <c r="E961" s="41" t="str">
        <f t="shared" si="14"/>
        <v/>
      </c>
    </row>
    <row r="962" spans="5:5" x14ac:dyDescent="0.25">
      <c r="E962" s="41" t="str">
        <f t="shared" si="14"/>
        <v/>
      </c>
    </row>
    <row r="963" spans="5:5" x14ac:dyDescent="0.25">
      <c r="E963" s="41" t="str">
        <f t="shared" si="14"/>
        <v/>
      </c>
    </row>
    <row r="964" spans="5:5" x14ac:dyDescent="0.25">
      <c r="E964" s="41" t="str">
        <f t="shared" si="14"/>
        <v/>
      </c>
    </row>
    <row r="965" spans="5:5" x14ac:dyDescent="0.25">
      <c r="E965" s="41" t="str">
        <f t="shared" si="14"/>
        <v/>
      </c>
    </row>
    <row r="966" spans="5:5" x14ac:dyDescent="0.25">
      <c r="E966" s="41" t="str">
        <f t="shared" si="14"/>
        <v/>
      </c>
    </row>
    <row r="967" spans="5:5" x14ac:dyDescent="0.25">
      <c r="E967" s="41" t="str">
        <f t="shared" si="14"/>
        <v/>
      </c>
    </row>
    <row r="968" spans="5:5" x14ac:dyDescent="0.25">
      <c r="E968" s="41" t="str">
        <f t="shared" si="14"/>
        <v/>
      </c>
    </row>
    <row r="969" spans="5:5" x14ac:dyDescent="0.25">
      <c r="E969" s="41" t="str">
        <f t="shared" si="14"/>
        <v/>
      </c>
    </row>
    <row r="970" spans="5:5" x14ac:dyDescent="0.25">
      <c r="E970" s="41" t="str">
        <f t="shared" si="14"/>
        <v/>
      </c>
    </row>
    <row r="971" spans="5:5" x14ac:dyDescent="0.25">
      <c r="E971" s="41" t="str">
        <f t="shared" si="14"/>
        <v/>
      </c>
    </row>
    <row r="972" spans="5:5" x14ac:dyDescent="0.25">
      <c r="E972" s="41" t="str">
        <f t="shared" si="14"/>
        <v/>
      </c>
    </row>
    <row r="973" spans="5:5" x14ac:dyDescent="0.25">
      <c r="E973" s="41" t="str">
        <f t="shared" si="14"/>
        <v/>
      </c>
    </row>
    <row r="974" spans="5:5" x14ac:dyDescent="0.25">
      <c r="E974" s="41" t="str">
        <f t="shared" si="14"/>
        <v/>
      </c>
    </row>
    <row r="975" spans="5:5" x14ac:dyDescent="0.25">
      <c r="E975" s="41" t="str">
        <f t="shared" si="14"/>
        <v/>
      </c>
    </row>
    <row r="976" spans="5:5" x14ac:dyDescent="0.25">
      <c r="E976" s="41" t="str">
        <f t="shared" si="14"/>
        <v/>
      </c>
    </row>
    <row r="977" spans="5:5" x14ac:dyDescent="0.25">
      <c r="E977" s="41" t="str">
        <f t="shared" ref="E977:E1016" si="15">IF(A977=0,"","Elastic")</f>
        <v/>
      </c>
    </row>
    <row r="978" spans="5:5" x14ac:dyDescent="0.25">
      <c r="E978" s="41" t="str">
        <f t="shared" si="15"/>
        <v/>
      </c>
    </row>
    <row r="979" spans="5:5" x14ac:dyDescent="0.25">
      <c r="E979" s="41" t="str">
        <f t="shared" si="15"/>
        <v/>
      </c>
    </row>
    <row r="980" spans="5:5" x14ac:dyDescent="0.25">
      <c r="E980" s="41" t="str">
        <f t="shared" si="15"/>
        <v/>
      </c>
    </row>
    <row r="981" spans="5:5" x14ac:dyDescent="0.25">
      <c r="E981" s="41" t="str">
        <f t="shared" si="15"/>
        <v/>
      </c>
    </row>
    <row r="982" spans="5:5" x14ac:dyDescent="0.25">
      <c r="E982" s="41" t="str">
        <f t="shared" si="15"/>
        <v/>
      </c>
    </row>
    <row r="983" spans="5:5" x14ac:dyDescent="0.25">
      <c r="E983" s="41" t="str">
        <f t="shared" si="15"/>
        <v/>
      </c>
    </row>
    <row r="984" spans="5:5" x14ac:dyDescent="0.25">
      <c r="E984" s="41" t="str">
        <f t="shared" si="15"/>
        <v/>
      </c>
    </row>
    <row r="985" spans="5:5" x14ac:dyDescent="0.25">
      <c r="E985" s="41" t="str">
        <f t="shared" si="15"/>
        <v/>
      </c>
    </row>
    <row r="986" spans="5:5" x14ac:dyDescent="0.25">
      <c r="E986" s="41" t="str">
        <f t="shared" si="15"/>
        <v/>
      </c>
    </row>
    <row r="987" spans="5:5" x14ac:dyDescent="0.25">
      <c r="E987" s="41" t="str">
        <f t="shared" si="15"/>
        <v/>
      </c>
    </row>
    <row r="988" spans="5:5" x14ac:dyDescent="0.25">
      <c r="E988" s="41" t="str">
        <f t="shared" si="15"/>
        <v/>
      </c>
    </row>
    <row r="989" spans="5:5" x14ac:dyDescent="0.25">
      <c r="E989" s="41" t="str">
        <f t="shared" si="15"/>
        <v/>
      </c>
    </row>
    <row r="990" spans="5:5" x14ac:dyDescent="0.25">
      <c r="E990" s="41" t="str">
        <f t="shared" si="15"/>
        <v/>
      </c>
    </row>
    <row r="991" spans="5:5" x14ac:dyDescent="0.25">
      <c r="E991" s="41" t="str">
        <f t="shared" si="15"/>
        <v/>
      </c>
    </row>
    <row r="992" spans="5:5" x14ac:dyDescent="0.25">
      <c r="E992" s="41" t="str">
        <f t="shared" si="15"/>
        <v/>
      </c>
    </row>
    <row r="993" spans="5:5" x14ac:dyDescent="0.25">
      <c r="E993" s="41" t="str">
        <f t="shared" si="15"/>
        <v/>
      </c>
    </row>
    <row r="994" spans="5:5" x14ac:dyDescent="0.25">
      <c r="E994" s="41" t="str">
        <f t="shared" si="15"/>
        <v/>
      </c>
    </row>
    <row r="995" spans="5:5" x14ac:dyDescent="0.25">
      <c r="E995" s="41" t="str">
        <f t="shared" si="15"/>
        <v/>
      </c>
    </row>
    <row r="996" spans="5:5" x14ac:dyDescent="0.25">
      <c r="E996" s="41" t="str">
        <f t="shared" si="15"/>
        <v/>
      </c>
    </row>
    <row r="997" spans="5:5" x14ac:dyDescent="0.25">
      <c r="E997" s="41" t="str">
        <f t="shared" si="15"/>
        <v/>
      </c>
    </row>
    <row r="998" spans="5:5" x14ac:dyDescent="0.25">
      <c r="E998" s="41" t="str">
        <f t="shared" si="15"/>
        <v/>
      </c>
    </row>
    <row r="999" spans="5:5" x14ac:dyDescent="0.25">
      <c r="E999" s="41" t="str">
        <f t="shared" si="15"/>
        <v/>
      </c>
    </row>
    <row r="1000" spans="5:5" x14ac:dyDescent="0.25">
      <c r="E1000" s="41" t="str">
        <f t="shared" si="15"/>
        <v/>
      </c>
    </row>
    <row r="1001" spans="5:5" x14ac:dyDescent="0.25">
      <c r="E1001" s="41" t="str">
        <f t="shared" si="15"/>
        <v/>
      </c>
    </row>
    <row r="1002" spans="5:5" x14ac:dyDescent="0.25">
      <c r="E1002" s="41" t="str">
        <f t="shared" si="15"/>
        <v/>
      </c>
    </row>
    <row r="1003" spans="5:5" x14ac:dyDescent="0.25">
      <c r="E1003" s="41" t="str">
        <f t="shared" si="15"/>
        <v/>
      </c>
    </row>
    <row r="1004" spans="5:5" x14ac:dyDescent="0.25">
      <c r="E1004" s="41" t="str">
        <f t="shared" si="15"/>
        <v/>
      </c>
    </row>
    <row r="1005" spans="5:5" x14ac:dyDescent="0.25">
      <c r="E1005" s="41" t="str">
        <f t="shared" si="15"/>
        <v/>
      </c>
    </row>
    <row r="1006" spans="5:5" x14ac:dyDescent="0.25">
      <c r="E1006" s="41" t="str">
        <f t="shared" si="15"/>
        <v/>
      </c>
    </row>
    <row r="1007" spans="5:5" x14ac:dyDescent="0.25">
      <c r="E1007" s="41" t="str">
        <f t="shared" si="15"/>
        <v/>
      </c>
    </row>
    <row r="1008" spans="5:5" x14ac:dyDescent="0.25">
      <c r="E1008" s="41" t="str">
        <f t="shared" si="15"/>
        <v/>
      </c>
    </row>
    <row r="1009" spans="5:5" x14ac:dyDescent="0.25">
      <c r="E1009" s="41" t="str">
        <f t="shared" si="15"/>
        <v/>
      </c>
    </row>
    <row r="1010" spans="5:5" x14ac:dyDescent="0.25">
      <c r="E1010" s="41" t="str">
        <f t="shared" si="15"/>
        <v/>
      </c>
    </row>
    <row r="1011" spans="5:5" x14ac:dyDescent="0.25">
      <c r="E1011" s="41" t="str">
        <f t="shared" si="15"/>
        <v/>
      </c>
    </row>
    <row r="1012" spans="5:5" x14ac:dyDescent="0.25">
      <c r="E1012" s="41" t="str">
        <f t="shared" si="15"/>
        <v/>
      </c>
    </row>
    <row r="1013" spans="5:5" x14ac:dyDescent="0.25">
      <c r="E1013" s="41" t="str">
        <f t="shared" si="15"/>
        <v/>
      </c>
    </row>
    <row r="1014" spans="5:5" x14ac:dyDescent="0.25">
      <c r="E1014" s="41" t="str">
        <f t="shared" si="15"/>
        <v/>
      </c>
    </row>
    <row r="1015" spans="5:5" x14ac:dyDescent="0.25">
      <c r="E1015" s="41" t="str">
        <f t="shared" si="15"/>
        <v/>
      </c>
    </row>
    <row r="1016" spans="5:5" x14ac:dyDescent="0.25">
      <c r="E1016" s="41" t="str">
        <f t="shared" si="15"/>
        <v/>
      </c>
    </row>
  </sheetData>
  <dataValidations count="5">
    <dataValidation type="textLength" allowBlank="1" showInputMessage="1" showErrorMessage="1" errorTitle="Invalid Input" error="Please enter maximum 32 characters only." sqref="A17:A1048576" xr:uid="{A6951AF9-403B-4235-97E8-ED51DE5D0D5B}">
      <formula1>1</formula1>
      <formula2>32</formula2>
    </dataValidation>
    <dataValidation type="list" showInputMessage="1" showErrorMessage="1" errorTitle="Invalid Input" error="Choose from the list" sqref="B17:C1048576" xr:uid="{4EF50105-085C-447C-A0CE-688E34E28766}">
      <formula1>Sec_Shape</formula1>
    </dataValidation>
    <dataValidation type="list" showInputMessage="1" showErrorMessage="1" errorTitle="Invalid Input" error="Choose from the list" sqref="D17:D1048576" xr:uid="{A8355B54-42F1-4EFA-9077-D2579C7DD321}">
      <formula1>Base_Mat</formula1>
    </dataValidation>
    <dataValidation type="list" showInputMessage="1" showErrorMessage="1" errorTitle="Invalid Input" error="Choose from the list" sqref="C17:C1048576" xr:uid="{8FFF8FA0-B13C-1843-8905-149E9ADC17D0}">
      <formula1>"Column, Beam"</formula1>
    </dataValidation>
    <dataValidation type="decimal" allowBlank="1" showInputMessage="1" showErrorMessage="1" errorTitle="Invalid Input" error="Please enter a float value only." sqref="F17:M1048576" xr:uid="{86CFDFF3-56AA-47EF-8107-3860F2D02E07}">
      <formula1>0</formula1>
      <formula2>1000000000000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01F6-F9F4-47E7-AC86-EAACFBC8E9C9}">
  <sheetPr codeName="Sheet11"/>
  <dimension ref="A1:O1018"/>
  <sheetViews>
    <sheetView zoomScale="130" zoomScaleNormal="130" workbookViewId="0">
      <selection activeCell="A20" sqref="A20"/>
    </sheetView>
  </sheetViews>
  <sheetFormatPr defaultColWidth="10.85546875" defaultRowHeight="15.75" x14ac:dyDescent="0.25"/>
  <cols>
    <col min="1" max="6" width="20.7109375" style="45" customWidth="1"/>
    <col min="7" max="7" width="20.7109375" style="41" customWidth="1"/>
    <col min="8" max="8" width="10.7109375" style="52" customWidth="1"/>
    <col min="9" max="11" width="10.7109375" style="161" customWidth="1"/>
    <col min="12" max="15" width="15.7109375" style="59" customWidth="1"/>
    <col min="16" max="16384" width="10.85546875" style="3"/>
  </cols>
  <sheetData>
    <row r="1" spans="1:15" x14ac:dyDescent="0.25">
      <c r="A1" s="33" t="s">
        <v>192</v>
      </c>
      <c r="B1" s="39"/>
      <c r="C1" s="39"/>
      <c r="D1" s="39"/>
      <c r="E1" s="39"/>
      <c r="F1" s="39"/>
      <c r="G1" s="39"/>
      <c r="H1" s="46"/>
      <c r="I1" s="152"/>
      <c r="J1" s="152"/>
      <c r="K1" s="152"/>
      <c r="L1" s="153"/>
      <c r="M1" s="153"/>
      <c r="N1" s="153"/>
      <c r="O1" s="154"/>
    </row>
    <row r="2" spans="1:15" x14ac:dyDescent="0.25">
      <c r="A2" s="48" t="s">
        <v>289</v>
      </c>
      <c r="B2" s="41"/>
      <c r="C2" s="41"/>
      <c r="D2" s="41"/>
      <c r="E2" s="41"/>
      <c r="F2" s="41"/>
      <c r="H2" s="58"/>
      <c r="I2" s="155"/>
      <c r="J2" s="155"/>
      <c r="K2" s="155"/>
      <c r="L2" s="156"/>
      <c r="M2" s="156"/>
      <c r="N2" s="156"/>
      <c r="O2" s="157"/>
    </row>
    <row r="3" spans="1:15" x14ac:dyDescent="0.25">
      <c r="A3" s="48" t="s">
        <v>290</v>
      </c>
      <c r="B3" s="41"/>
      <c r="C3" s="41"/>
      <c r="D3" s="41"/>
      <c r="E3" s="41"/>
      <c r="F3" s="41"/>
      <c r="H3" s="58"/>
      <c r="I3" s="155"/>
      <c r="J3" s="155"/>
      <c r="K3" s="155"/>
      <c r="L3" s="156"/>
      <c r="M3" s="156"/>
      <c r="N3" s="156"/>
      <c r="O3" s="157"/>
    </row>
    <row r="4" spans="1:15" x14ac:dyDescent="0.25">
      <c r="A4" s="48" t="s">
        <v>291</v>
      </c>
      <c r="B4" s="41"/>
      <c r="C4" s="41"/>
      <c r="D4" s="41"/>
      <c r="E4" s="41"/>
      <c r="F4" s="41"/>
      <c r="H4" s="58"/>
      <c r="I4" s="155"/>
      <c r="J4" s="155"/>
      <c r="K4" s="155"/>
      <c r="L4" s="156"/>
      <c r="M4" s="156"/>
      <c r="N4" s="156"/>
      <c r="O4" s="157"/>
    </row>
    <row r="5" spans="1:15" x14ac:dyDescent="0.25">
      <c r="A5" s="48" t="s">
        <v>292</v>
      </c>
      <c r="B5" s="41"/>
      <c r="C5" s="41"/>
      <c r="D5" s="41"/>
      <c r="E5" s="41"/>
      <c r="F5" s="41"/>
      <c r="H5" s="58"/>
      <c r="I5" s="155"/>
      <c r="J5" s="155"/>
      <c r="K5" s="155"/>
      <c r="L5" s="156"/>
      <c r="M5" s="156"/>
      <c r="N5" s="156"/>
      <c r="O5" s="157"/>
    </row>
    <row r="6" spans="1:15" x14ac:dyDescent="0.25">
      <c r="A6" s="48" t="s">
        <v>293</v>
      </c>
      <c r="B6" s="41"/>
      <c r="C6" s="41"/>
      <c r="D6" s="41"/>
      <c r="E6" s="41"/>
      <c r="F6" s="41"/>
      <c r="H6" s="58"/>
      <c r="I6" s="155"/>
      <c r="J6" s="155"/>
      <c r="K6" s="155"/>
      <c r="L6" s="156"/>
      <c r="M6" s="156"/>
      <c r="N6" s="156"/>
      <c r="O6" s="157"/>
    </row>
    <row r="7" spans="1:15" x14ac:dyDescent="0.25">
      <c r="A7" s="48" t="s">
        <v>294</v>
      </c>
      <c r="B7" s="41"/>
      <c r="C7" s="41"/>
      <c r="D7" s="41"/>
      <c r="E7" s="41"/>
      <c r="F7" s="41"/>
      <c r="H7" s="58"/>
      <c r="I7" s="155"/>
      <c r="J7" s="155"/>
      <c r="K7" s="155"/>
      <c r="L7" s="156"/>
      <c r="M7" s="156"/>
      <c r="N7" s="156"/>
      <c r="O7" s="157"/>
    </row>
    <row r="8" spans="1:15" x14ac:dyDescent="0.25">
      <c r="A8" s="48" t="s">
        <v>281</v>
      </c>
      <c r="B8" s="41"/>
      <c r="C8" s="41"/>
      <c r="D8" s="41"/>
      <c r="E8" s="41"/>
      <c r="F8" s="41"/>
      <c r="H8" s="58"/>
      <c r="I8" s="155"/>
      <c r="J8" s="155"/>
      <c r="K8" s="155"/>
      <c r="L8" s="156"/>
      <c r="M8" s="156"/>
      <c r="N8" s="156"/>
      <c r="O8" s="157"/>
    </row>
    <row r="9" spans="1:15" x14ac:dyDescent="0.25">
      <c r="A9" s="48" t="s">
        <v>295</v>
      </c>
      <c r="B9" s="41"/>
      <c r="C9" s="41"/>
      <c r="D9" s="41"/>
      <c r="E9" s="41"/>
      <c r="F9" s="41"/>
      <c r="H9" s="58"/>
      <c r="I9" s="155"/>
      <c r="J9" s="155"/>
      <c r="K9" s="155"/>
      <c r="L9" s="156"/>
      <c r="M9" s="156"/>
      <c r="N9" s="156"/>
      <c r="O9" s="157"/>
    </row>
    <row r="10" spans="1:15" x14ac:dyDescent="0.25">
      <c r="A10" s="48" t="s">
        <v>296</v>
      </c>
      <c r="B10" s="41"/>
      <c r="C10" s="41"/>
      <c r="D10" s="41"/>
      <c r="E10" s="41"/>
      <c r="F10" s="41"/>
      <c r="H10" s="58"/>
      <c r="I10" s="155"/>
      <c r="J10" s="155"/>
      <c r="K10" s="155"/>
      <c r="L10" s="156"/>
      <c r="M10" s="156"/>
      <c r="N10" s="156"/>
      <c r="O10" s="157"/>
    </row>
    <row r="11" spans="1:15" x14ac:dyDescent="0.25">
      <c r="A11" s="48" t="s">
        <v>297</v>
      </c>
      <c r="B11" s="41"/>
      <c r="C11" s="41"/>
      <c r="D11" s="41"/>
      <c r="E11" s="41"/>
      <c r="F11" s="41"/>
      <c r="H11" s="58"/>
      <c r="I11" s="155"/>
      <c r="J11" s="155"/>
      <c r="K11" s="155"/>
      <c r="L11" s="156"/>
      <c r="M11" s="156"/>
      <c r="N11" s="156"/>
      <c r="O11" s="157"/>
    </row>
    <row r="12" spans="1:15" x14ac:dyDescent="0.25">
      <c r="A12" s="48" t="s">
        <v>298</v>
      </c>
      <c r="B12" s="41"/>
      <c r="C12" s="41"/>
      <c r="D12" s="41"/>
      <c r="E12" s="41"/>
      <c r="F12" s="41"/>
      <c r="H12" s="58"/>
      <c r="I12" s="155"/>
      <c r="J12" s="155"/>
      <c r="K12" s="155"/>
      <c r="L12" s="156"/>
      <c r="M12" s="156"/>
      <c r="N12" s="156"/>
      <c r="O12" s="157"/>
    </row>
    <row r="13" spans="1:15" x14ac:dyDescent="0.25">
      <c r="A13" s="48" t="str">
        <f>"- barDiaHoop: Diameter of hoops (Input as Float) ("&amp;'User Defined Units'!$B$11&amp;")"</f>
        <v>- barDiaHoop: Diameter of hoops (Input as Float) (m)</v>
      </c>
      <c r="B13" s="41"/>
      <c r="C13" s="41"/>
      <c r="D13" s="41"/>
      <c r="E13" s="41"/>
      <c r="F13" s="41"/>
      <c r="H13" s="58"/>
      <c r="I13" s="155"/>
      <c r="J13" s="155"/>
      <c r="K13" s="155"/>
      <c r="L13" s="156"/>
      <c r="M13" s="156"/>
      <c r="N13" s="156"/>
      <c r="O13" s="157"/>
    </row>
    <row r="14" spans="1:15" x14ac:dyDescent="0.25">
      <c r="A14" s="48" t="str">
        <f>"- barDiaTop: Diameter of top reinforcements (Input as Float) ("&amp;'User Defined Units'!$B$11&amp;")"</f>
        <v>- barDiaTop: Diameter of top reinforcements (Input as Float) (m)</v>
      </c>
      <c r="B14" s="41"/>
      <c r="C14" s="41"/>
      <c r="D14" s="41"/>
      <c r="E14" s="41"/>
      <c r="F14" s="41"/>
      <c r="H14" s="58"/>
      <c r="I14" s="155"/>
      <c r="J14" s="155"/>
      <c r="K14" s="155"/>
      <c r="L14" s="156"/>
      <c r="M14" s="156"/>
      <c r="N14" s="156"/>
      <c r="O14" s="157"/>
    </row>
    <row r="15" spans="1:15" x14ac:dyDescent="0.25">
      <c r="A15" s="48" t="str">
        <f>"- barDiaBot: Diameter of bottom reinforcements (Input as Float) ("&amp;'User Defined Units'!$B$11&amp;")"</f>
        <v>- barDiaBot: Diameter of bottom reinforcements (Input as Float) (m)</v>
      </c>
      <c r="B15" s="41"/>
      <c r="C15" s="41"/>
      <c r="D15" s="41"/>
      <c r="E15" s="41"/>
      <c r="F15" s="41"/>
      <c r="H15" s="58"/>
      <c r="I15" s="155"/>
      <c r="J15" s="155"/>
      <c r="K15" s="155"/>
      <c r="L15" s="156"/>
      <c r="M15" s="156"/>
      <c r="N15" s="156"/>
      <c r="O15" s="157"/>
    </row>
    <row r="16" spans="1:15" x14ac:dyDescent="0.25">
      <c r="A16" s="53" t="str">
        <f>"- barDiaInt: Diameter of intermediate reinforcements (Input as Float) ("&amp;'User Defined Units'!$B$11&amp;")"</f>
        <v>- barDiaInt: Diameter of intermediate reinforcements (Input as Float) (m)</v>
      </c>
      <c r="B16" s="43"/>
      <c r="C16" s="43"/>
      <c r="D16" s="43"/>
      <c r="E16" s="43"/>
      <c r="F16" s="43"/>
      <c r="G16" s="43"/>
      <c r="H16" s="50"/>
      <c r="I16" s="158"/>
      <c r="J16" s="158"/>
      <c r="K16" s="158"/>
      <c r="L16" s="159"/>
      <c r="M16" s="159"/>
      <c r="N16" s="159"/>
      <c r="O16" s="160"/>
    </row>
    <row r="17" spans="1:15" x14ac:dyDescent="0.25">
      <c r="A17" s="34"/>
      <c r="B17" s="1"/>
      <c r="C17" s="1"/>
      <c r="D17" s="1"/>
      <c r="E17" s="1"/>
      <c r="F17" s="1"/>
      <c r="G17" s="1"/>
      <c r="H17" s="4"/>
      <c r="I17" s="6"/>
      <c r="J17" s="6"/>
      <c r="K17" s="6"/>
      <c r="L17" s="5"/>
      <c r="M17" s="5"/>
      <c r="N17" s="5"/>
      <c r="O17" s="5"/>
    </row>
    <row r="18" spans="1:15" s="2" customFormat="1" x14ac:dyDescent="0.25">
      <c r="A18" s="31" t="s">
        <v>70</v>
      </c>
      <c r="B18" s="31" t="s">
        <v>87</v>
      </c>
      <c r="C18" s="31" t="s">
        <v>88</v>
      </c>
      <c r="D18" s="31" t="s">
        <v>89</v>
      </c>
      <c r="E18" s="31" t="s">
        <v>90</v>
      </c>
      <c r="F18" s="31" t="s">
        <v>91</v>
      </c>
      <c r="G18" s="31" t="s">
        <v>77</v>
      </c>
      <c r="H18" s="31" t="s">
        <v>92</v>
      </c>
      <c r="I18" s="31" t="s">
        <v>93</v>
      </c>
      <c r="J18" s="31" t="s">
        <v>94</v>
      </c>
      <c r="K18" s="31" t="s">
        <v>95</v>
      </c>
      <c r="L18" s="31" t="s">
        <v>96</v>
      </c>
      <c r="M18" s="31" t="s">
        <v>97</v>
      </c>
      <c r="N18" s="31" t="s">
        <v>98</v>
      </c>
      <c r="O18" s="31" t="s">
        <v>99</v>
      </c>
    </row>
    <row r="19" spans="1:15" x14ac:dyDescent="0.25">
      <c r="A19" s="45" t="s">
        <v>100</v>
      </c>
      <c r="B19" s="45" t="s">
        <v>85</v>
      </c>
      <c r="C19" s="45" t="s">
        <v>67</v>
      </c>
      <c r="D19" s="45" t="s">
        <v>25</v>
      </c>
      <c r="E19" s="45" t="s">
        <v>26</v>
      </c>
      <c r="F19" s="45" t="s">
        <v>32</v>
      </c>
      <c r="G19" s="41" t="str">
        <f t="shared" ref="G19:G82" si="0">IF(A19=0,"","Fiber")</f>
        <v>Fiber</v>
      </c>
      <c r="H19" s="52">
        <f>40/1000</f>
        <v>0.04</v>
      </c>
      <c r="I19" s="161">
        <v>7</v>
      </c>
      <c r="J19" s="161">
        <v>7</v>
      </c>
      <c r="K19" s="161">
        <v>10</v>
      </c>
      <c r="L19" s="59">
        <f>13/1000</f>
        <v>1.2999999999999999E-2</v>
      </c>
      <c r="M19" s="59">
        <f>22/1000</f>
        <v>2.1999999999999999E-2</v>
      </c>
      <c r="N19" s="59">
        <f>22/1000</f>
        <v>2.1999999999999999E-2</v>
      </c>
      <c r="O19" s="59">
        <f>22/1000</f>
        <v>2.1999999999999999E-2</v>
      </c>
    </row>
    <row r="20" spans="1:15" x14ac:dyDescent="0.25">
      <c r="A20" s="194"/>
      <c r="G20" s="41" t="str">
        <f t="shared" si="0"/>
        <v/>
      </c>
    </row>
    <row r="21" spans="1:15" x14ac:dyDescent="0.25">
      <c r="G21" s="41" t="str">
        <f t="shared" si="0"/>
        <v/>
      </c>
    </row>
    <row r="22" spans="1:15" x14ac:dyDescent="0.25">
      <c r="G22" s="41" t="str">
        <f t="shared" si="0"/>
        <v/>
      </c>
    </row>
    <row r="23" spans="1:15" x14ac:dyDescent="0.25">
      <c r="G23" s="41" t="str">
        <f t="shared" si="0"/>
        <v/>
      </c>
    </row>
    <row r="24" spans="1:15" x14ac:dyDescent="0.25">
      <c r="G24" s="41" t="str">
        <f t="shared" si="0"/>
        <v/>
      </c>
    </row>
    <row r="25" spans="1:15" x14ac:dyDescent="0.25">
      <c r="G25" s="41" t="str">
        <f t="shared" si="0"/>
        <v/>
      </c>
    </row>
    <row r="26" spans="1:15" x14ac:dyDescent="0.25">
      <c r="G26" s="41" t="str">
        <f t="shared" si="0"/>
        <v/>
      </c>
    </row>
    <row r="27" spans="1:15" x14ac:dyDescent="0.25">
      <c r="G27" s="41" t="str">
        <f t="shared" si="0"/>
        <v/>
      </c>
    </row>
    <row r="28" spans="1:15" x14ac:dyDescent="0.25">
      <c r="G28" s="41" t="str">
        <f t="shared" si="0"/>
        <v/>
      </c>
    </row>
    <row r="29" spans="1:15" x14ac:dyDescent="0.25">
      <c r="G29" s="41" t="str">
        <f t="shared" si="0"/>
        <v/>
      </c>
    </row>
    <row r="30" spans="1:15" x14ac:dyDescent="0.25">
      <c r="G30" s="41" t="str">
        <f t="shared" si="0"/>
        <v/>
      </c>
    </row>
    <row r="31" spans="1:15" x14ac:dyDescent="0.25">
      <c r="G31" s="41" t="str">
        <f t="shared" si="0"/>
        <v/>
      </c>
    </row>
    <row r="32" spans="1:15" x14ac:dyDescent="0.25">
      <c r="G32" s="41" t="str">
        <f t="shared" si="0"/>
        <v/>
      </c>
    </row>
    <row r="33" spans="7:7" x14ac:dyDescent="0.25">
      <c r="G33" s="41" t="str">
        <f t="shared" si="0"/>
        <v/>
      </c>
    </row>
    <row r="34" spans="7:7" x14ac:dyDescent="0.25">
      <c r="G34" s="41" t="str">
        <f t="shared" si="0"/>
        <v/>
      </c>
    </row>
    <row r="35" spans="7:7" x14ac:dyDescent="0.25">
      <c r="G35" s="41" t="str">
        <f t="shared" si="0"/>
        <v/>
      </c>
    </row>
    <row r="36" spans="7:7" x14ac:dyDescent="0.25">
      <c r="G36" s="41" t="str">
        <f t="shared" si="0"/>
        <v/>
      </c>
    </row>
    <row r="37" spans="7:7" x14ac:dyDescent="0.25">
      <c r="G37" s="41" t="str">
        <f t="shared" si="0"/>
        <v/>
      </c>
    </row>
    <row r="38" spans="7:7" x14ac:dyDescent="0.25">
      <c r="G38" s="41" t="str">
        <f t="shared" si="0"/>
        <v/>
      </c>
    </row>
    <row r="39" spans="7:7" x14ac:dyDescent="0.25">
      <c r="G39" s="41" t="str">
        <f t="shared" si="0"/>
        <v/>
      </c>
    </row>
    <row r="40" spans="7:7" x14ac:dyDescent="0.25">
      <c r="G40" s="41" t="str">
        <f t="shared" si="0"/>
        <v/>
      </c>
    </row>
    <row r="41" spans="7:7" x14ac:dyDescent="0.25">
      <c r="G41" s="41" t="str">
        <f t="shared" si="0"/>
        <v/>
      </c>
    </row>
    <row r="42" spans="7:7" x14ac:dyDescent="0.25">
      <c r="G42" s="41" t="str">
        <f t="shared" si="0"/>
        <v/>
      </c>
    </row>
    <row r="43" spans="7:7" x14ac:dyDescent="0.25">
      <c r="G43" s="41" t="str">
        <f t="shared" si="0"/>
        <v/>
      </c>
    </row>
    <row r="44" spans="7:7" x14ac:dyDescent="0.25">
      <c r="G44" s="41" t="str">
        <f t="shared" si="0"/>
        <v/>
      </c>
    </row>
    <row r="45" spans="7:7" x14ac:dyDescent="0.25">
      <c r="G45" s="41" t="str">
        <f t="shared" si="0"/>
        <v/>
      </c>
    </row>
    <row r="46" spans="7:7" x14ac:dyDescent="0.25">
      <c r="G46" s="41" t="str">
        <f t="shared" si="0"/>
        <v/>
      </c>
    </row>
    <row r="47" spans="7:7" x14ac:dyDescent="0.25">
      <c r="G47" s="41" t="str">
        <f t="shared" si="0"/>
        <v/>
      </c>
    </row>
    <row r="48" spans="7:7" x14ac:dyDescent="0.25">
      <c r="G48" s="41" t="str">
        <f t="shared" si="0"/>
        <v/>
      </c>
    </row>
    <row r="49" spans="7:7" x14ac:dyDescent="0.25">
      <c r="G49" s="41" t="str">
        <f t="shared" si="0"/>
        <v/>
      </c>
    </row>
    <row r="50" spans="7:7" x14ac:dyDescent="0.25">
      <c r="G50" s="41" t="str">
        <f t="shared" si="0"/>
        <v/>
      </c>
    </row>
    <row r="51" spans="7:7" x14ac:dyDescent="0.25">
      <c r="G51" s="41" t="str">
        <f t="shared" si="0"/>
        <v/>
      </c>
    </row>
    <row r="52" spans="7:7" x14ac:dyDescent="0.25">
      <c r="G52" s="41" t="str">
        <f t="shared" si="0"/>
        <v/>
      </c>
    </row>
    <row r="53" spans="7:7" x14ac:dyDescent="0.25">
      <c r="G53" s="41" t="str">
        <f t="shared" si="0"/>
        <v/>
      </c>
    </row>
    <row r="54" spans="7:7" x14ac:dyDescent="0.25">
      <c r="G54" s="41" t="str">
        <f t="shared" si="0"/>
        <v/>
      </c>
    </row>
    <row r="55" spans="7:7" x14ac:dyDescent="0.25">
      <c r="G55" s="41" t="str">
        <f t="shared" si="0"/>
        <v/>
      </c>
    </row>
    <row r="56" spans="7:7" x14ac:dyDescent="0.25">
      <c r="G56" s="41" t="str">
        <f t="shared" si="0"/>
        <v/>
      </c>
    </row>
    <row r="57" spans="7:7" x14ac:dyDescent="0.25">
      <c r="G57" s="41" t="str">
        <f t="shared" si="0"/>
        <v/>
      </c>
    </row>
    <row r="58" spans="7:7" x14ac:dyDescent="0.25">
      <c r="G58" s="41" t="str">
        <f t="shared" si="0"/>
        <v/>
      </c>
    </row>
    <row r="59" spans="7:7" x14ac:dyDescent="0.25">
      <c r="G59" s="41" t="str">
        <f t="shared" si="0"/>
        <v/>
      </c>
    </row>
    <row r="60" spans="7:7" x14ac:dyDescent="0.25">
      <c r="G60" s="41" t="str">
        <f t="shared" si="0"/>
        <v/>
      </c>
    </row>
    <row r="61" spans="7:7" x14ac:dyDescent="0.25">
      <c r="G61" s="41" t="str">
        <f t="shared" si="0"/>
        <v/>
      </c>
    </row>
    <row r="62" spans="7:7" x14ac:dyDescent="0.25">
      <c r="G62" s="41" t="str">
        <f t="shared" si="0"/>
        <v/>
      </c>
    </row>
    <row r="63" spans="7:7" x14ac:dyDescent="0.25">
      <c r="G63" s="41" t="str">
        <f t="shared" si="0"/>
        <v/>
      </c>
    </row>
    <row r="64" spans="7:7" x14ac:dyDescent="0.25">
      <c r="G64" s="41" t="str">
        <f t="shared" si="0"/>
        <v/>
      </c>
    </row>
    <row r="65" spans="7:7" x14ac:dyDescent="0.25">
      <c r="G65" s="41" t="str">
        <f t="shared" si="0"/>
        <v/>
      </c>
    </row>
    <row r="66" spans="7:7" x14ac:dyDescent="0.25">
      <c r="G66" s="41" t="str">
        <f t="shared" si="0"/>
        <v/>
      </c>
    </row>
    <row r="67" spans="7:7" x14ac:dyDescent="0.25">
      <c r="G67" s="41" t="str">
        <f t="shared" si="0"/>
        <v/>
      </c>
    </row>
    <row r="68" spans="7:7" x14ac:dyDescent="0.25">
      <c r="G68" s="41" t="str">
        <f t="shared" si="0"/>
        <v/>
      </c>
    </row>
    <row r="69" spans="7:7" x14ac:dyDescent="0.25">
      <c r="G69" s="41" t="str">
        <f t="shared" si="0"/>
        <v/>
      </c>
    </row>
    <row r="70" spans="7:7" x14ac:dyDescent="0.25">
      <c r="G70" s="41" t="str">
        <f t="shared" si="0"/>
        <v/>
      </c>
    </row>
    <row r="71" spans="7:7" x14ac:dyDescent="0.25">
      <c r="G71" s="41" t="str">
        <f t="shared" si="0"/>
        <v/>
      </c>
    </row>
    <row r="72" spans="7:7" x14ac:dyDescent="0.25">
      <c r="G72" s="41" t="str">
        <f t="shared" si="0"/>
        <v/>
      </c>
    </row>
    <row r="73" spans="7:7" x14ac:dyDescent="0.25">
      <c r="G73" s="41" t="str">
        <f t="shared" si="0"/>
        <v/>
      </c>
    </row>
    <row r="74" spans="7:7" x14ac:dyDescent="0.25">
      <c r="G74" s="41" t="str">
        <f t="shared" si="0"/>
        <v/>
      </c>
    </row>
    <row r="75" spans="7:7" x14ac:dyDescent="0.25">
      <c r="G75" s="41" t="str">
        <f t="shared" si="0"/>
        <v/>
      </c>
    </row>
    <row r="76" spans="7:7" x14ac:dyDescent="0.25">
      <c r="G76" s="41" t="str">
        <f t="shared" si="0"/>
        <v/>
      </c>
    </row>
    <row r="77" spans="7:7" x14ac:dyDescent="0.25">
      <c r="G77" s="41" t="str">
        <f t="shared" si="0"/>
        <v/>
      </c>
    </row>
    <row r="78" spans="7:7" x14ac:dyDescent="0.25">
      <c r="G78" s="41" t="str">
        <f t="shared" si="0"/>
        <v/>
      </c>
    </row>
    <row r="79" spans="7:7" x14ac:dyDescent="0.25">
      <c r="G79" s="41" t="str">
        <f t="shared" si="0"/>
        <v/>
      </c>
    </row>
    <row r="80" spans="7:7" x14ac:dyDescent="0.25">
      <c r="G80" s="41" t="str">
        <f t="shared" si="0"/>
        <v/>
      </c>
    </row>
    <row r="81" spans="7:7" x14ac:dyDescent="0.25">
      <c r="G81" s="41" t="str">
        <f t="shared" si="0"/>
        <v/>
      </c>
    </row>
    <row r="82" spans="7:7" x14ac:dyDescent="0.25">
      <c r="G82" s="41" t="str">
        <f t="shared" si="0"/>
        <v/>
      </c>
    </row>
    <row r="83" spans="7:7" x14ac:dyDescent="0.25">
      <c r="G83" s="41" t="str">
        <f t="shared" ref="G83:G146" si="1">IF(A83=0,"","Fiber")</f>
        <v/>
      </c>
    </row>
    <row r="84" spans="7:7" x14ac:dyDescent="0.25">
      <c r="G84" s="41" t="str">
        <f t="shared" si="1"/>
        <v/>
      </c>
    </row>
    <row r="85" spans="7:7" x14ac:dyDescent="0.25">
      <c r="G85" s="41" t="str">
        <f t="shared" si="1"/>
        <v/>
      </c>
    </row>
    <row r="86" spans="7:7" x14ac:dyDescent="0.25">
      <c r="G86" s="41" t="str">
        <f t="shared" si="1"/>
        <v/>
      </c>
    </row>
    <row r="87" spans="7:7" x14ac:dyDescent="0.25">
      <c r="G87" s="41" t="str">
        <f t="shared" si="1"/>
        <v/>
      </c>
    </row>
    <row r="88" spans="7:7" x14ac:dyDescent="0.25">
      <c r="G88" s="41" t="str">
        <f t="shared" si="1"/>
        <v/>
      </c>
    </row>
    <row r="89" spans="7:7" x14ac:dyDescent="0.25">
      <c r="G89" s="41" t="str">
        <f t="shared" si="1"/>
        <v/>
      </c>
    </row>
    <row r="90" spans="7:7" x14ac:dyDescent="0.25">
      <c r="G90" s="41" t="str">
        <f t="shared" si="1"/>
        <v/>
      </c>
    </row>
    <row r="91" spans="7:7" x14ac:dyDescent="0.25">
      <c r="G91" s="41" t="str">
        <f t="shared" si="1"/>
        <v/>
      </c>
    </row>
    <row r="92" spans="7:7" x14ac:dyDescent="0.25">
      <c r="G92" s="41" t="str">
        <f t="shared" si="1"/>
        <v/>
      </c>
    </row>
    <row r="93" spans="7:7" x14ac:dyDescent="0.25">
      <c r="G93" s="41" t="str">
        <f t="shared" si="1"/>
        <v/>
      </c>
    </row>
    <row r="94" spans="7:7" x14ac:dyDescent="0.25">
      <c r="G94" s="41" t="str">
        <f t="shared" si="1"/>
        <v/>
      </c>
    </row>
    <row r="95" spans="7:7" x14ac:dyDescent="0.25">
      <c r="G95" s="41" t="str">
        <f t="shared" si="1"/>
        <v/>
      </c>
    </row>
    <row r="96" spans="7:7" x14ac:dyDescent="0.25">
      <c r="G96" s="41" t="str">
        <f t="shared" si="1"/>
        <v/>
      </c>
    </row>
    <row r="97" spans="7:7" x14ac:dyDescent="0.25">
      <c r="G97" s="41" t="str">
        <f t="shared" si="1"/>
        <v/>
      </c>
    </row>
    <row r="98" spans="7:7" x14ac:dyDescent="0.25">
      <c r="G98" s="41" t="str">
        <f t="shared" si="1"/>
        <v/>
      </c>
    </row>
    <row r="99" spans="7:7" x14ac:dyDescent="0.25">
      <c r="G99" s="41" t="str">
        <f t="shared" si="1"/>
        <v/>
      </c>
    </row>
    <row r="100" spans="7:7" x14ac:dyDescent="0.25">
      <c r="G100" s="41" t="str">
        <f t="shared" si="1"/>
        <v/>
      </c>
    </row>
    <row r="101" spans="7:7" x14ac:dyDescent="0.25">
      <c r="G101" s="41" t="str">
        <f t="shared" si="1"/>
        <v/>
      </c>
    </row>
    <row r="102" spans="7:7" x14ac:dyDescent="0.25">
      <c r="G102" s="41" t="str">
        <f t="shared" si="1"/>
        <v/>
      </c>
    </row>
    <row r="103" spans="7:7" x14ac:dyDescent="0.25">
      <c r="G103" s="41" t="str">
        <f t="shared" si="1"/>
        <v/>
      </c>
    </row>
    <row r="104" spans="7:7" x14ac:dyDescent="0.25">
      <c r="G104" s="41" t="str">
        <f t="shared" si="1"/>
        <v/>
      </c>
    </row>
    <row r="105" spans="7:7" x14ac:dyDescent="0.25">
      <c r="G105" s="41" t="str">
        <f t="shared" si="1"/>
        <v/>
      </c>
    </row>
    <row r="106" spans="7:7" x14ac:dyDescent="0.25">
      <c r="G106" s="41" t="str">
        <f t="shared" si="1"/>
        <v/>
      </c>
    </row>
    <row r="107" spans="7:7" x14ac:dyDescent="0.25">
      <c r="G107" s="41" t="str">
        <f t="shared" si="1"/>
        <v/>
      </c>
    </row>
    <row r="108" spans="7:7" x14ac:dyDescent="0.25">
      <c r="G108" s="41" t="str">
        <f t="shared" si="1"/>
        <v/>
      </c>
    </row>
    <row r="109" spans="7:7" x14ac:dyDescent="0.25">
      <c r="G109" s="41" t="str">
        <f t="shared" si="1"/>
        <v/>
      </c>
    </row>
    <row r="110" spans="7:7" x14ac:dyDescent="0.25">
      <c r="G110" s="41" t="str">
        <f t="shared" si="1"/>
        <v/>
      </c>
    </row>
    <row r="111" spans="7:7" x14ac:dyDescent="0.25">
      <c r="G111" s="41" t="str">
        <f t="shared" si="1"/>
        <v/>
      </c>
    </row>
    <row r="112" spans="7:7" x14ac:dyDescent="0.25">
      <c r="G112" s="41" t="str">
        <f t="shared" si="1"/>
        <v/>
      </c>
    </row>
    <row r="113" spans="7:7" x14ac:dyDescent="0.25">
      <c r="G113" s="41" t="str">
        <f t="shared" si="1"/>
        <v/>
      </c>
    </row>
    <row r="114" spans="7:7" x14ac:dyDescent="0.25">
      <c r="G114" s="41" t="str">
        <f t="shared" si="1"/>
        <v/>
      </c>
    </row>
    <row r="115" spans="7:7" x14ac:dyDescent="0.25">
      <c r="G115" s="41" t="str">
        <f t="shared" si="1"/>
        <v/>
      </c>
    </row>
    <row r="116" spans="7:7" x14ac:dyDescent="0.25">
      <c r="G116" s="41" t="str">
        <f t="shared" si="1"/>
        <v/>
      </c>
    </row>
    <row r="117" spans="7:7" x14ac:dyDescent="0.25">
      <c r="G117" s="41" t="str">
        <f t="shared" si="1"/>
        <v/>
      </c>
    </row>
    <row r="118" spans="7:7" x14ac:dyDescent="0.25">
      <c r="G118" s="41" t="str">
        <f t="shared" si="1"/>
        <v/>
      </c>
    </row>
    <row r="119" spans="7:7" x14ac:dyDescent="0.25">
      <c r="G119" s="41" t="str">
        <f t="shared" si="1"/>
        <v/>
      </c>
    </row>
    <row r="120" spans="7:7" x14ac:dyDescent="0.25">
      <c r="G120" s="41" t="str">
        <f t="shared" si="1"/>
        <v/>
      </c>
    </row>
    <row r="121" spans="7:7" x14ac:dyDescent="0.25">
      <c r="G121" s="41" t="str">
        <f t="shared" si="1"/>
        <v/>
      </c>
    </row>
    <row r="122" spans="7:7" x14ac:dyDescent="0.25">
      <c r="G122" s="41" t="str">
        <f t="shared" si="1"/>
        <v/>
      </c>
    </row>
    <row r="123" spans="7:7" x14ac:dyDescent="0.25">
      <c r="G123" s="41" t="str">
        <f t="shared" si="1"/>
        <v/>
      </c>
    </row>
    <row r="124" spans="7:7" x14ac:dyDescent="0.25">
      <c r="G124" s="41" t="str">
        <f t="shared" si="1"/>
        <v/>
      </c>
    </row>
    <row r="125" spans="7:7" x14ac:dyDescent="0.25">
      <c r="G125" s="41" t="str">
        <f t="shared" si="1"/>
        <v/>
      </c>
    </row>
    <row r="126" spans="7:7" x14ac:dyDescent="0.25">
      <c r="G126" s="41" t="str">
        <f t="shared" si="1"/>
        <v/>
      </c>
    </row>
    <row r="127" spans="7:7" x14ac:dyDescent="0.25">
      <c r="G127" s="41" t="str">
        <f t="shared" si="1"/>
        <v/>
      </c>
    </row>
    <row r="128" spans="7:7" x14ac:dyDescent="0.25">
      <c r="G128" s="41" t="str">
        <f t="shared" si="1"/>
        <v/>
      </c>
    </row>
    <row r="129" spans="7:7" x14ac:dyDescent="0.25">
      <c r="G129" s="41" t="str">
        <f t="shared" si="1"/>
        <v/>
      </c>
    </row>
    <row r="130" spans="7:7" x14ac:dyDescent="0.25">
      <c r="G130" s="41" t="str">
        <f t="shared" si="1"/>
        <v/>
      </c>
    </row>
    <row r="131" spans="7:7" x14ac:dyDescent="0.25">
      <c r="G131" s="41" t="str">
        <f t="shared" si="1"/>
        <v/>
      </c>
    </row>
    <row r="132" spans="7:7" x14ac:dyDescent="0.25">
      <c r="G132" s="41" t="str">
        <f t="shared" si="1"/>
        <v/>
      </c>
    </row>
    <row r="133" spans="7:7" x14ac:dyDescent="0.25">
      <c r="G133" s="41" t="str">
        <f t="shared" si="1"/>
        <v/>
      </c>
    </row>
    <row r="134" spans="7:7" x14ac:dyDescent="0.25">
      <c r="G134" s="41" t="str">
        <f t="shared" si="1"/>
        <v/>
      </c>
    </row>
    <row r="135" spans="7:7" x14ac:dyDescent="0.25">
      <c r="G135" s="41" t="str">
        <f t="shared" si="1"/>
        <v/>
      </c>
    </row>
    <row r="136" spans="7:7" x14ac:dyDescent="0.25">
      <c r="G136" s="41" t="str">
        <f t="shared" si="1"/>
        <v/>
      </c>
    </row>
    <row r="137" spans="7:7" x14ac:dyDescent="0.25">
      <c r="G137" s="41" t="str">
        <f t="shared" si="1"/>
        <v/>
      </c>
    </row>
    <row r="138" spans="7:7" x14ac:dyDescent="0.25">
      <c r="G138" s="41" t="str">
        <f t="shared" si="1"/>
        <v/>
      </c>
    </row>
    <row r="139" spans="7:7" x14ac:dyDescent="0.25">
      <c r="G139" s="41" t="str">
        <f t="shared" si="1"/>
        <v/>
      </c>
    </row>
    <row r="140" spans="7:7" x14ac:dyDescent="0.25">
      <c r="G140" s="41" t="str">
        <f t="shared" si="1"/>
        <v/>
      </c>
    </row>
    <row r="141" spans="7:7" x14ac:dyDescent="0.25">
      <c r="G141" s="41" t="str">
        <f t="shared" si="1"/>
        <v/>
      </c>
    </row>
    <row r="142" spans="7:7" x14ac:dyDescent="0.25">
      <c r="G142" s="41" t="str">
        <f t="shared" si="1"/>
        <v/>
      </c>
    </row>
    <row r="143" spans="7:7" x14ac:dyDescent="0.25">
      <c r="G143" s="41" t="str">
        <f t="shared" si="1"/>
        <v/>
      </c>
    </row>
    <row r="144" spans="7:7" x14ac:dyDescent="0.25">
      <c r="G144" s="41" t="str">
        <f t="shared" si="1"/>
        <v/>
      </c>
    </row>
    <row r="145" spans="7:7" x14ac:dyDescent="0.25">
      <c r="G145" s="41" t="str">
        <f t="shared" si="1"/>
        <v/>
      </c>
    </row>
    <row r="146" spans="7:7" x14ac:dyDescent="0.25">
      <c r="G146" s="41" t="str">
        <f t="shared" si="1"/>
        <v/>
      </c>
    </row>
    <row r="147" spans="7:7" x14ac:dyDescent="0.25">
      <c r="G147" s="41" t="str">
        <f t="shared" ref="G147:G210" si="2">IF(A147=0,"","Fiber")</f>
        <v/>
      </c>
    </row>
    <row r="148" spans="7:7" x14ac:dyDescent="0.25">
      <c r="G148" s="41" t="str">
        <f t="shared" si="2"/>
        <v/>
      </c>
    </row>
    <row r="149" spans="7:7" x14ac:dyDescent="0.25">
      <c r="G149" s="41" t="str">
        <f t="shared" si="2"/>
        <v/>
      </c>
    </row>
    <row r="150" spans="7:7" x14ac:dyDescent="0.25">
      <c r="G150" s="41" t="str">
        <f t="shared" si="2"/>
        <v/>
      </c>
    </row>
    <row r="151" spans="7:7" x14ac:dyDescent="0.25">
      <c r="G151" s="41" t="str">
        <f t="shared" si="2"/>
        <v/>
      </c>
    </row>
    <row r="152" spans="7:7" x14ac:dyDescent="0.25">
      <c r="G152" s="41" t="str">
        <f t="shared" si="2"/>
        <v/>
      </c>
    </row>
    <row r="153" spans="7:7" x14ac:dyDescent="0.25">
      <c r="G153" s="41" t="str">
        <f t="shared" si="2"/>
        <v/>
      </c>
    </row>
    <row r="154" spans="7:7" x14ac:dyDescent="0.25">
      <c r="G154" s="41" t="str">
        <f t="shared" si="2"/>
        <v/>
      </c>
    </row>
    <row r="155" spans="7:7" x14ac:dyDescent="0.25">
      <c r="G155" s="41" t="str">
        <f t="shared" si="2"/>
        <v/>
      </c>
    </row>
    <row r="156" spans="7:7" x14ac:dyDescent="0.25">
      <c r="G156" s="41" t="str">
        <f t="shared" si="2"/>
        <v/>
      </c>
    </row>
    <row r="157" spans="7:7" x14ac:dyDescent="0.25">
      <c r="G157" s="41" t="str">
        <f t="shared" si="2"/>
        <v/>
      </c>
    </row>
    <row r="158" spans="7:7" x14ac:dyDescent="0.25">
      <c r="G158" s="41" t="str">
        <f t="shared" si="2"/>
        <v/>
      </c>
    </row>
    <row r="159" spans="7:7" x14ac:dyDescent="0.25">
      <c r="G159" s="41" t="str">
        <f t="shared" si="2"/>
        <v/>
      </c>
    </row>
    <row r="160" spans="7:7" x14ac:dyDescent="0.25">
      <c r="G160" s="41" t="str">
        <f t="shared" si="2"/>
        <v/>
      </c>
    </row>
    <row r="161" spans="7:7" x14ac:dyDescent="0.25">
      <c r="G161" s="41" t="str">
        <f t="shared" si="2"/>
        <v/>
      </c>
    </row>
    <row r="162" spans="7:7" x14ac:dyDescent="0.25">
      <c r="G162" s="41" t="str">
        <f t="shared" si="2"/>
        <v/>
      </c>
    </row>
    <row r="163" spans="7:7" x14ac:dyDescent="0.25">
      <c r="G163" s="41" t="str">
        <f t="shared" si="2"/>
        <v/>
      </c>
    </row>
    <row r="164" spans="7:7" x14ac:dyDescent="0.25">
      <c r="G164" s="41" t="str">
        <f t="shared" si="2"/>
        <v/>
      </c>
    </row>
    <row r="165" spans="7:7" x14ac:dyDescent="0.25">
      <c r="G165" s="41" t="str">
        <f t="shared" si="2"/>
        <v/>
      </c>
    </row>
    <row r="166" spans="7:7" x14ac:dyDescent="0.25">
      <c r="G166" s="41" t="str">
        <f t="shared" si="2"/>
        <v/>
      </c>
    </row>
    <row r="167" spans="7:7" x14ac:dyDescent="0.25">
      <c r="G167" s="41" t="str">
        <f t="shared" si="2"/>
        <v/>
      </c>
    </row>
    <row r="168" spans="7:7" x14ac:dyDescent="0.25">
      <c r="G168" s="41" t="str">
        <f t="shared" si="2"/>
        <v/>
      </c>
    </row>
    <row r="169" spans="7:7" x14ac:dyDescent="0.25">
      <c r="G169" s="41" t="str">
        <f t="shared" si="2"/>
        <v/>
      </c>
    </row>
    <row r="170" spans="7:7" x14ac:dyDescent="0.25">
      <c r="G170" s="41" t="str">
        <f t="shared" si="2"/>
        <v/>
      </c>
    </row>
    <row r="171" spans="7:7" x14ac:dyDescent="0.25">
      <c r="G171" s="41" t="str">
        <f t="shared" si="2"/>
        <v/>
      </c>
    </row>
    <row r="172" spans="7:7" x14ac:dyDescent="0.25">
      <c r="G172" s="41" t="str">
        <f t="shared" si="2"/>
        <v/>
      </c>
    </row>
    <row r="173" spans="7:7" x14ac:dyDescent="0.25">
      <c r="G173" s="41" t="str">
        <f t="shared" si="2"/>
        <v/>
      </c>
    </row>
    <row r="174" spans="7:7" x14ac:dyDescent="0.25">
      <c r="G174" s="41" t="str">
        <f t="shared" si="2"/>
        <v/>
      </c>
    </row>
    <row r="175" spans="7:7" x14ac:dyDescent="0.25">
      <c r="G175" s="41" t="str">
        <f t="shared" si="2"/>
        <v/>
      </c>
    </row>
    <row r="176" spans="7:7" x14ac:dyDescent="0.25">
      <c r="G176" s="41" t="str">
        <f t="shared" si="2"/>
        <v/>
      </c>
    </row>
    <row r="177" spans="7:7" x14ac:dyDescent="0.25">
      <c r="G177" s="41" t="str">
        <f t="shared" si="2"/>
        <v/>
      </c>
    </row>
    <row r="178" spans="7:7" x14ac:dyDescent="0.25">
      <c r="G178" s="41" t="str">
        <f t="shared" si="2"/>
        <v/>
      </c>
    </row>
    <row r="179" spans="7:7" x14ac:dyDescent="0.25">
      <c r="G179" s="41" t="str">
        <f t="shared" si="2"/>
        <v/>
      </c>
    </row>
    <row r="180" spans="7:7" x14ac:dyDescent="0.25">
      <c r="G180" s="41" t="str">
        <f t="shared" si="2"/>
        <v/>
      </c>
    </row>
    <row r="181" spans="7:7" x14ac:dyDescent="0.25">
      <c r="G181" s="41" t="str">
        <f t="shared" si="2"/>
        <v/>
      </c>
    </row>
    <row r="182" spans="7:7" x14ac:dyDescent="0.25">
      <c r="G182" s="41" t="str">
        <f t="shared" si="2"/>
        <v/>
      </c>
    </row>
    <row r="183" spans="7:7" x14ac:dyDescent="0.25">
      <c r="G183" s="41" t="str">
        <f t="shared" si="2"/>
        <v/>
      </c>
    </row>
    <row r="184" spans="7:7" x14ac:dyDescent="0.25">
      <c r="G184" s="41" t="str">
        <f t="shared" si="2"/>
        <v/>
      </c>
    </row>
    <row r="185" spans="7:7" x14ac:dyDescent="0.25">
      <c r="G185" s="41" t="str">
        <f t="shared" si="2"/>
        <v/>
      </c>
    </row>
    <row r="186" spans="7:7" x14ac:dyDescent="0.25">
      <c r="G186" s="41" t="str">
        <f t="shared" si="2"/>
        <v/>
      </c>
    </row>
    <row r="187" spans="7:7" x14ac:dyDescent="0.25">
      <c r="G187" s="41" t="str">
        <f t="shared" si="2"/>
        <v/>
      </c>
    </row>
    <row r="188" spans="7:7" x14ac:dyDescent="0.25">
      <c r="G188" s="41" t="str">
        <f t="shared" si="2"/>
        <v/>
      </c>
    </row>
    <row r="189" spans="7:7" x14ac:dyDescent="0.25">
      <c r="G189" s="41" t="str">
        <f t="shared" si="2"/>
        <v/>
      </c>
    </row>
    <row r="190" spans="7:7" x14ac:dyDescent="0.25">
      <c r="G190" s="41" t="str">
        <f t="shared" si="2"/>
        <v/>
      </c>
    </row>
    <row r="191" spans="7:7" x14ac:dyDescent="0.25">
      <c r="G191" s="41" t="str">
        <f t="shared" si="2"/>
        <v/>
      </c>
    </row>
    <row r="192" spans="7:7" x14ac:dyDescent="0.25">
      <c r="G192" s="41" t="str">
        <f t="shared" si="2"/>
        <v/>
      </c>
    </row>
    <row r="193" spans="7:7" x14ac:dyDescent="0.25">
      <c r="G193" s="41" t="str">
        <f t="shared" si="2"/>
        <v/>
      </c>
    </row>
    <row r="194" spans="7:7" x14ac:dyDescent="0.25">
      <c r="G194" s="41" t="str">
        <f t="shared" si="2"/>
        <v/>
      </c>
    </row>
    <row r="195" spans="7:7" x14ac:dyDescent="0.25">
      <c r="G195" s="41" t="str">
        <f t="shared" si="2"/>
        <v/>
      </c>
    </row>
    <row r="196" spans="7:7" x14ac:dyDescent="0.25">
      <c r="G196" s="41" t="str">
        <f t="shared" si="2"/>
        <v/>
      </c>
    </row>
    <row r="197" spans="7:7" x14ac:dyDescent="0.25">
      <c r="G197" s="41" t="str">
        <f t="shared" si="2"/>
        <v/>
      </c>
    </row>
    <row r="198" spans="7:7" x14ac:dyDescent="0.25">
      <c r="G198" s="41" t="str">
        <f t="shared" si="2"/>
        <v/>
      </c>
    </row>
    <row r="199" spans="7:7" x14ac:dyDescent="0.25">
      <c r="G199" s="41" t="str">
        <f t="shared" si="2"/>
        <v/>
      </c>
    </row>
    <row r="200" spans="7:7" x14ac:dyDescent="0.25">
      <c r="G200" s="41" t="str">
        <f t="shared" si="2"/>
        <v/>
      </c>
    </row>
    <row r="201" spans="7:7" x14ac:dyDescent="0.25">
      <c r="G201" s="41" t="str">
        <f t="shared" si="2"/>
        <v/>
      </c>
    </row>
    <row r="202" spans="7:7" x14ac:dyDescent="0.25">
      <c r="G202" s="41" t="str">
        <f t="shared" si="2"/>
        <v/>
      </c>
    </row>
    <row r="203" spans="7:7" x14ac:dyDescent="0.25">
      <c r="G203" s="41" t="str">
        <f t="shared" si="2"/>
        <v/>
      </c>
    </row>
    <row r="204" spans="7:7" x14ac:dyDescent="0.25">
      <c r="G204" s="41" t="str">
        <f t="shared" si="2"/>
        <v/>
      </c>
    </row>
    <row r="205" spans="7:7" x14ac:dyDescent="0.25">
      <c r="G205" s="41" t="str">
        <f t="shared" si="2"/>
        <v/>
      </c>
    </row>
    <row r="206" spans="7:7" x14ac:dyDescent="0.25">
      <c r="G206" s="41" t="str">
        <f t="shared" si="2"/>
        <v/>
      </c>
    </row>
    <row r="207" spans="7:7" x14ac:dyDescent="0.25">
      <c r="G207" s="41" t="str">
        <f t="shared" si="2"/>
        <v/>
      </c>
    </row>
    <row r="208" spans="7:7" x14ac:dyDescent="0.25">
      <c r="G208" s="41" t="str">
        <f t="shared" si="2"/>
        <v/>
      </c>
    </row>
    <row r="209" spans="7:7" x14ac:dyDescent="0.25">
      <c r="G209" s="41" t="str">
        <f t="shared" si="2"/>
        <v/>
      </c>
    </row>
    <row r="210" spans="7:7" x14ac:dyDescent="0.25">
      <c r="G210" s="41" t="str">
        <f t="shared" si="2"/>
        <v/>
      </c>
    </row>
    <row r="211" spans="7:7" x14ac:dyDescent="0.25">
      <c r="G211" s="41" t="str">
        <f t="shared" ref="G211:G274" si="3">IF(A211=0,"","Fiber")</f>
        <v/>
      </c>
    </row>
    <row r="212" spans="7:7" x14ac:dyDescent="0.25">
      <c r="G212" s="41" t="str">
        <f t="shared" si="3"/>
        <v/>
      </c>
    </row>
    <row r="213" spans="7:7" x14ac:dyDescent="0.25">
      <c r="G213" s="41" t="str">
        <f t="shared" si="3"/>
        <v/>
      </c>
    </row>
    <row r="214" spans="7:7" x14ac:dyDescent="0.25">
      <c r="G214" s="41" t="str">
        <f t="shared" si="3"/>
        <v/>
      </c>
    </row>
    <row r="215" spans="7:7" x14ac:dyDescent="0.25">
      <c r="G215" s="41" t="str">
        <f t="shared" si="3"/>
        <v/>
      </c>
    </row>
    <row r="216" spans="7:7" x14ac:dyDescent="0.25">
      <c r="G216" s="41" t="str">
        <f t="shared" si="3"/>
        <v/>
      </c>
    </row>
    <row r="217" spans="7:7" x14ac:dyDescent="0.25">
      <c r="G217" s="41" t="str">
        <f t="shared" si="3"/>
        <v/>
      </c>
    </row>
    <row r="218" spans="7:7" x14ac:dyDescent="0.25">
      <c r="G218" s="41" t="str">
        <f t="shared" si="3"/>
        <v/>
      </c>
    </row>
    <row r="219" spans="7:7" x14ac:dyDescent="0.25">
      <c r="G219" s="41" t="str">
        <f t="shared" si="3"/>
        <v/>
      </c>
    </row>
    <row r="220" spans="7:7" x14ac:dyDescent="0.25">
      <c r="G220" s="41" t="str">
        <f t="shared" si="3"/>
        <v/>
      </c>
    </row>
    <row r="221" spans="7:7" x14ac:dyDescent="0.25">
      <c r="G221" s="41" t="str">
        <f t="shared" si="3"/>
        <v/>
      </c>
    </row>
    <row r="222" spans="7:7" x14ac:dyDescent="0.25">
      <c r="G222" s="41" t="str">
        <f t="shared" si="3"/>
        <v/>
      </c>
    </row>
    <row r="223" spans="7:7" x14ac:dyDescent="0.25">
      <c r="G223" s="41" t="str">
        <f t="shared" si="3"/>
        <v/>
      </c>
    </row>
    <row r="224" spans="7:7" x14ac:dyDescent="0.25">
      <c r="G224" s="41" t="str">
        <f t="shared" si="3"/>
        <v/>
      </c>
    </row>
    <row r="225" spans="7:7" x14ac:dyDescent="0.25">
      <c r="G225" s="41" t="str">
        <f t="shared" si="3"/>
        <v/>
      </c>
    </row>
    <row r="226" spans="7:7" x14ac:dyDescent="0.25">
      <c r="G226" s="41" t="str">
        <f t="shared" si="3"/>
        <v/>
      </c>
    </row>
    <row r="227" spans="7:7" x14ac:dyDescent="0.25">
      <c r="G227" s="41" t="str">
        <f t="shared" si="3"/>
        <v/>
      </c>
    </row>
    <row r="228" spans="7:7" x14ac:dyDescent="0.25">
      <c r="G228" s="41" t="str">
        <f t="shared" si="3"/>
        <v/>
      </c>
    </row>
    <row r="229" spans="7:7" x14ac:dyDescent="0.25">
      <c r="G229" s="41" t="str">
        <f t="shared" si="3"/>
        <v/>
      </c>
    </row>
    <row r="230" spans="7:7" x14ac:dyDescent="0.25">
      <c r="G230" s="41" t="str">
        <f t="shared" si="3"/>
        <v/>
      </c>
    </row>
    <row r="231" spans="7:7" x14ac:dyDescent="0.25">
      <c r="G231" s="41" t="str">
        <f t="shared" si="3"/>
        <v/>
      </c>
    </row>
    <row r="232" spans="7:7" x14ac:dyDescent="0.25">
      <c r="G232" s="41" t="str">
        <f t="shared" si="3"/>
        <v/>
      </c>
    </row>
    <row r="233" spans="7:7" x14ac:dyDescent="0.25">
      <c r="G233" s="41" t="str">
        <f t="shared" si="3"/>
        <v/>
      </c>
    </row>
    <row r="234" spans="7:7" x14ac:dyDescent="0.25">
      <c r="G234" s="41" t="str">
        <f t="shared" si="3"/>
        <v/>
      </c>
    </row>
    <row r="235" spans="7:7" x14ac:dyDescent="0.25">
      <c r="G235" s="41" t="str">
        <f t="shared" si="3"/>
        <v/>
      </c>
    </row>
    <row r="236" spans="7:7" x14ac:dyDescent="0.25">
      <c r="G236" s="41" t="str">
        <f t="shared" si="3"/>
        <v/>
      </c>
    </row>
    <row r="237" spans="7:7" x14ac:dyDescent="0.25">
      <c r="G237" s="41" t="str">
        <f t="shared" si="3"/>
        <v/>
      </c>
    </row>
    <row r="238" spans="7:7" x14ac:dyDescent="0.25">
      <c r="G238" s="41" t="str">
        <f t="shared" si="3"/>
        <v/>
      </c>
    </row>
    <row r="239" spans="7:7" x14ac:dyDescent="0.25">
      <c r="G239" s="41" t="str">
        <f t="shared" si="3"/>
        <v/>
      </c>
    </row>
    <row r="240" spans="7:7" x14ac:dyDescent="0.25">
      <c r="G240" s="41" t="str">
        <f t="shared" si="3"/>
        <v/>
      </c>
    </row>
    <row r="241" spans="7:7" x14ac:dyDescent="0.25">
      <c r="G241" s="41" t="str">
        <f t="shared" si="3"/>
        <v/>
      </c>
    </row>
    <row r="242" spans="7:7" x14ac:dyDescent="0.25">
      <c r="G242" s="41" t="str">
        <f t="shared" si="3"/>
        <v/>
      </c>
    </row>
    <row r="243" spans="7:7" x14ac:dyDescent="0.25">
      <c r="G243" s="41" t="str">
        <f t="shared" si="3"/>
        <v/>
      </c>
    </row>
    <row r="244" spans="7:7" x14ac:dyDescent="0.25">
      <c r="G244" s="41" t="str">
        <f t="shared" si="3"/>
        <v/>
      </c>
    </row>
    <row r="245" spans="7:7" x14ac:dyDescent="0.25">
      <c r="G245" s="41" t="str">
        <f t="shared" si="3"/>
        <v/>
      </c>
    </row>
    <row r="246" spans="7:7" x14ac:dyDescent="0.25">
      <c r="G246" s="41" t="str">
        <f t="shared" si="3"/>
        <v/>
      </c>
    </row>
    <row r="247" spans="7:7" x14ac:dyDescent="0.25">
      <c r="G247" s="41" t="str">
        <f t="shared" si="3"/>
        <v/>
      </c>
    </row>
    <row r="248" spans="7:7" x14ac:dyDescent="0.25">
      <c r="G248" s="41" t="str">
        <f t="shared" si="3"/>
        <v/>
      </c>
    </row>
    <row r="249" spans="7:7" x14ac:dyDescent="0.25">
      <c r="G249" s="41" t="str">
        <f t="shared" si="3"/>
        <v/>
      </c>
    </row>
    <row r="250" spans="7:7" x14ac:dyDescent="0.25">
      <c r="G250" s="41" t="str">
        <f t="shared" si="3"/>
        <v/>
      </c>
    </row>
    <row r="251" spans="7:7" x14ac:dyDescent="0.25">
      <c r="G251" s="41" t="str">
        <f t="shared" si="3"/>
        <v/>
      </c>
    </row>
    <row r="252" spans="7:7" x14ac:dyDescent="0.25">
      <c r="G252" s="41" t="str">
        <f t="shared" si="3"/>
        <v/>
      </c>
    </row>
    <row r="253" spans="7:7" x14ac:dyDescent="0.25">
      <c r="G253" s="41" t="str">
        <f t="shared" si="3"/>
        <v/>
      </c>
    </row>
    <row r="254" spans="7:7" x14ac:dyDescent="0.25">
      <c r="G254" s="41" t="str">
        <f t="shared" si="3"/>
        <v/>
      </c>
    </row>
    <row r="255" spans="7:7" x14ac:dyDescent="0.25">
      <c r="G255" s="41" t="str">
        <f t="shared" si="3"/>
        <v/>
      </c>
    </row>
    <row r="256" spans="7:7" x14ac:dyDescent="0.25">
      <c r="G256" s="41" t="str">
        <f t="shared" si="3"/>
        <v/>
      </c>
    </row>
    <row r="257" spans="7:7" x14ac:dyDescent="0.25">
      <c r="G257" s="41" t="str">
        <f t="shared" si="3"/>
        <v/>
      </c>
    </row>
    <row r="258" spans="7:7" x14ac:dyDescent="0.25">
      <c r="G258" s="41" t="str">
        <f t="shared" si="3"/>
        <v/>
      </c>
    </row>
    <row r="259" spans="7:7" x14ac:dyDescent="0.25">
      <c r="G259" s="41" t="str">
        <f t="shared" si="3"/>
        <v/>
      </c>
    </row>
    <row r="260" spans="7:7" x14ac:dyDescent="0.25">
      <c r="G260" s="41" t="str">
        <f t="shared" si="3"/>
        <v/>
      </c>
    </row>
    <row r="261" spans="7:7" x14ac:dyDescent="0.25">
      <c r="G261" s="41" t="str">
        <f t="shared" si="3"/>
        <v/>
      </c>
    </row>
    <row r="262" spans="7:7" x14ac:dyDescent="0.25">
      <c r="G262" s="41" t="str">
        <f t="shared" si="3"/>
        <v/>
      </c>
    </row>
    <row r="263" spans="7:7" x14ac:dyDescent="0.25">
      <c r="G263" s="41" t="str">
        <f t="shared" si="3"/>
        <v/>
      </c>
    </row>
    <row r="264" spans="7:7" x14ac:dyDescent="0.25">
      <c r="G264" s="41" t="str">
        <f t="shared" si="3"/>
        <v/>
      </c>
    </row>
    <row r="265" spans="7:7" x14ac:dyDescent="0.25">
      <c r="G265" s="41" t="str">
        <f t="shared" si="3"/>
        <v/>
      </c>
    </row>
    <row r="266" spans="7:7" x14ac:dyDescent="0.25">
      <c r="G266" s="41" t="str">
        <f t="shared" si="3"/>
        <v/>
      </c>
    </row>
    <row r="267" spans="7:7" x14ac:dyDescent="0.25">
      <c r="G267" s="41" t="str">
        <f t="shared" si="3"/>
        <v/>
      </c>
    </row>
    <row r="268" spans="7:7" x14ac:dyDescent="0.25">
      <c r="G268" s="41" t="str">
        <f t="shared" si="3"/>
        <v/>
      </c>
    </row>
    <row r="269" spans="7:7" x14ac:dyDescent="0.25">
      <c r="G269" s="41" t="str">
        <f t="shared" si="3"/>
        <v/>
      </c>
    </row>
    <row r="270" spans="7:7" x14ac:dyDescent="0.25">
      <c r="G270" s="41" t="str">
        <f t="shared" si="3"/>
        <v/>
      </c>
    </row>
    <row r="271" spans="7:7" x14ac:dyDescent="0.25">
      <c r="G271" s="41" t="str">
        <f t="shared" si="3"/>
        <v/>
      </c>
    </row>
    <row r="272" spans="7:7" x14ac:dyDescent="0.25">
      <c r="G272" s="41" t="str">
        <f t="shared" si="3"/>
        <v/>
      </c>
    </row>
    <row r="273" spans="7:7" x14ac:dyDescent="0.25">
      <c r="G273" s="41" t="str">
        <f t="shared" si="3"/>
        <v/>
      </c>
    </row>
    <row r="274" spans="7:7" x14ac:dyDescent="0.25">
      <c r="G274" s="41" t="str">
        <f t="shared" si="3"/>
        <v/>
      </c>
    </row>
    <row r="275" spans="7:7" x14ac:dyDescent="0.25">
      <c r="G275" s="41" t="str">
        <f t="shared" ref="G275:G338" si="4">IF(A275=0,"","Fiber")</f>
        <v/>
      </c>
    </row>
    <row r="276" spans="7:7" x14ac:dyDescent="0.25">
      <c r="G276" s="41" t="str">
        <f t="shared" si="4"/>
        <v/>
      </c>
    </row>
    <row r="277" spans="7:7" x14ac:dyDescent="0.25">
      <c r="G277" s="41" t="str">
        <f t="shared" si="4"/>
        <v/>
      </c>
    </row>
    <row r="278" spans="7:7" x14ac:dyDescent="0.25">
      <c r="G278" s="41" t="str">
        <f t="shared" si="4"/>
        <v/>
      </c>
    </row>
    <row r="279" spans="7:7" x14ac:dyDescent="0.25">
      <c r="G279" s="41" t="str">
        <f t="shared" si="4"/>
        <v/>
      </c>
    </row>
    <row r="280" spans="7:7" x14ac:dyDescent="0.25">
      <c r="G280" s="41" t="str">
        <f t="shared" si="4"/>
        <v/>
      </c>
    </row>
    <row r="281" spans="7:7" x14ac:dyDescent="0.25">
      <c r="G281" s="41" t="str">
        <f t="shared" si="4"/>
        <v/>
      </c>
    </row>
    <row r="282" spans="7:7" x14ac:dyDescent="0.25">
      <c r="G282" s="41" t="str">
        <f t="shared" si="4"/>
        <v/>
      </c>
    </row>
    <row r="283" spans="7:7" x14ac:dyDescent="0.25">
      <c r="G283" s="41" t="str">
        <f t="shared" si="4"/>
        <v/>
      </c>
    </row>
    <row r="284" spans="7:7" x14ac:dyDescent="0.25">
      <c r="G284" s="41" t="str">
        <f t="shared" si="4"/>
        <v/>
      </c>
    </row>
    <row r="285" spans="7:7" x14ac:dyDescent="0.25">
      <c r="G285" s="41" t="str">
        <f t="shared" si="4"/>
        <v/>
      </c>
    </row>
    <row r="286" spans="7:7" x14ac:dyDescent="0.25">
      <c r="G286" s="41" t="str">
        <f t="shared" si="4"/>
        <v/>
      </c>
    </row>
    <row r="287" spans="7:7" x14ac:dyDescent="0.25">
      <c r="G287" s="41" t="str">
        <f t="shared" si="4"/>
        <v/>
      </c>
    </row>
    <row r="288" spans="7:7" x14ac:dyDescent="0.25">
      <c r="G288" s="41" t="str">
        <f t="shared" si="4"/>
        <v/>
      </c>
    </row>
    <row r="289" spans="7:7" x14ac:dyDescent="0.25">
      <c r="G289" s="41" t="str">
        <f t="shared" si="4"/>
        <v/>
      </c>
    </row>
    <row r="290" spans="7:7" x14ac:dyDescent="0.25">
      <c r="G290" s="41" t="str">
        <f t="shared" si="4"/>
        <v/>
      </c>
    </row>
    <row r="291" spans="7:7" x14ac:dyDescent="0.25">
      <c r="G291" s="41" t="str">
        <f t="shared" si="4"/>
        <v/>
      </c>
    </row>
    <row r="292" spans="7:7" x14ac:dyDescent="0.25">
      <c r="G292" s="41" t="str">
        <f t="shared" si="4"/>
        <v/>
      </c>
    </row>
    <row r="293" spans="7:7" x14ac:dyDescent="0.25">
      <c r="G293" s="41" t="str">
        <f t="shared" si="4"/>
        <v/>
      </c>
    </row>
    <row r="294" spans="7:7" x14ac:dyDescent="0.25">
      <c r="G294" s="41" t="str">
        <f t="shared" si="4"/>
        <v/>
      </c>
    </row>
    <row r="295" spans="7:7" x14ac:dyDescent="0.25">
      <c r="G295" s="41" t="str">
        <f t="shared" si="4"/>
        <v/>
      </c>
    </row>
    <row r="296" spans="7:7" x14ac:dyDescent="0.25">
      <c r="G296" s="41" t="str">
        <f t="shared" si="4"/>
        <v/>
      </c>
    </row>
    <row r="297" spans="7:7" x14ac:dyDescent="0.25">
      <c r="G297" s="41" t="str">
        <f t="shared" si="4"/>
        <v/>
      </c>
    </row>
    <row r="298" spans="7:7" x14ac:dyDescent="0.25">
      <c r="G298" s="41" t="str">
        <f t="shared" si="4"/>
        <v/>
      </c>
    </row>
    <row r="299" spans="7:7" x14ac:dyDescent="0.25">
      <c r="G299" s="41" t="str">
        <f t="shared" si="4"/>
        <v/>
      </c>
    </row>
    <row r="300" spans="7:7" x14ac:dyDescent="0.25">
      <c r="G300" s="41" t="str">
        <f t="shared" si="4"/>
        <v/>
      </c>
    </row>
    <row r="301" spans="7:7" x14ac:dyDescent="0.25">
      <c r="G301" s="41" t="str">
        <f t="shared" si="4"/>
        <v/>
      </c>
    </row>
    <row r="302" spans="7:7" x14ac:dyDescent="0.25">
      <c r="G302" s="41" t="str">
        <f t="shared" si="4"/>
        <v/>
      </c>
    </row>
    <row r="303" spans="7:7" x14ac:dyDescent="0.25">
      <c r="G303" s="41" t="str">
        <f t="shared" si="4"/>
        <v/>
      </c>
    </row>
    <row r="304" spans="7:7" x14ac:dyDescent="0.25">
      <c r="G304" s="41" t="str">
        <f t="shared" si="4"/>
        <v/>
      </c>
    </row>
    <row r="305" spans="7:7" x14ac:dyDescent="0.25">
      <c r="G305" s="41" t="str">
        <f t="shared" si="4"/>
        <v/>
      </c>
    </row>
    <row r="306" spans="7:7" x14ac:dyDescent="0.25">
      <c r="G306" s="41" t="str">
        <f t="shared" si="4"/>
        <v/>
      </c>
    </row>
    <row r="307" spans="7:7" x14ac:dyDescent="0.25">
      <c r="G307" s="41" t="str">
        <f t="shared" si="4"/>
        <v/>
      </c>
    </row>
    <row r="308" spans="7:7" x14ac:dyDescent="0.25">
      <c r="G308" s="41" t="str">
        <f t="shared" si="4"/>
        <v/>
      </c>
    </row>
    <row r="309" spans="7:7" x14ac:dyDescent="0.25">
      <c r="G309" s="41" t="str">
        <f t="shared" si="4"/>
        <v/>
      </c>
    </row>
    <row r="310" spans="7:7" x14ac:dyDescent="0.25">
      <c r="G310" s="41" t="str">
        <f t="shared" si="4"/>
        <v/>
      </c>
    </row>
    <row r="311" spans="7:7" x14ac:dyDescent="0.25">
      <c r="G311" s="41" t="str">
        <f t="shared" si="4"/>
        <v/>
      </c>
    </row>
    <row r="312" spans="7:7" x14ac:dyDescent="0.25">
      <c r="G312" s="41" t="str">
        <f t="shared" si="4"/>
        <v/>
      </c>
    </row>
    <row r="313" spans="7:7" x14ac:dyDescent="0.25">
      <c r="G313" s="41" t="str">
        <f t="shared" si="4"/>
        <v/>
      </c>
    </row>
    <row r="314" spans="7:7" x14ac:dyDescent="0.25">
      <c r="G314" s="41" t="str">
        <f t="shared" si="4"/>
        <v/>
      </c>
    </row>
    <row r="315" spans="7:7" x14ac:dyDescent="0.25">
      <c r="G315" s="41" t="str">
        <f t="shared" si="4"/>
        <v/>
      </c>
    </row>
    <row r="316" spans="7:7" x14ac:dyDescent="0.25">
      <c r="G316" s="41" t="str">
        <f t="shared" si="4"/>
        <v/>
      </c>
    </row>
    <row r="317" spans="7:7" x14ac:dyDescent="0.25">
      <c r="G317" s="41" t="str">
        <f t="shared" si="4"/>
        <v/>
      </c>
    </row>
    <row r="318" spans="7:7" x14ac:dyDescent="0.25">
      <c r="G318" s="41" t="str">
        <f t="shared" si="4"/>
        <v/>
      </c>
    </row>
    <row r="319" spans="7:7" x14ac:dyDescent="0.25">
      <c r="G319" s="41" t="str">
        <f t="shared" si="4"/>
        <v/>
      </c>
    </row>
    <row r="320" spans="7:7" x14ac:dyDescent="0.25">
      <c r="G320" s="41" t="str">
        <f t="shared" si="4"/>
        <v/>
      </c>
    </row>
    <row r="321" spans="7:7" x14ac:dyDescent="0.25">
      <c r="G321" s="41" t="str">
        <f t="shared" si="4"/>
        <v/>
      </c>
    </row>
    <row r="322" spans="7:7" x14ac:dyDescent="0.25">
      <c r="G322" s="41" t="str">
        <f t="shared" si="4"/>
        <v/>
      </c>
    </row>
    <row r="323" spans="7:7" x14ac:dyDescent="0.25">
      <c r="G323" s="41" t="str">
        <f t="shared" si="4"/>
        <v/>
      </c>
    </row>
    <row r="324" spans="7:7" x14ac:dyDescent="0.25">
      <c r="G324" s="41" t="str">
        <f t="shared" si="4"/>
        <v/>
      </c>
    </row>
    <row r="325" spans="7:7" x14ac:dyDescent="0.25">
      <c r="G325" s="41" t="str">
        <f t="shared" si="4"/>
        <v/>
      </c>
    </row>
    <row r="326" spans="7:7" x14ac:dyDescent="0.25">
      <c r="G326" s="41" t="str">
        <f t="shared" si="4"/>
        <v/>
      </c>
    </row>
    <row r="327" spans="7:7" x14ac:dyDescent="0.25">
      <c r="G327" s="41" t="str">
        <f t="shared" si="4"/>
        <v/>
      </c>
    </row>
    <row r="328" spans="7:7" x14ac:dyDescent="0.25">
      <c r="G328" s="41" t="str">
        <f t="shared" si="4"/>
        <v/>
      </c>
    </row>
    <row r="329" spans="7:7" x14ac:dyDescent="0.25">
      <c r="G329" s="41" t="str">
        <f t="shared" si="4"/>
        <v/>
      </c>
    </row>
    <row r="330" spans="7:7" x14ac:dyDescent="0.25">
      <c r="G330" s="41" t="str">
        <f t="shared" si="4"/>
        <v/>
      </c>
    </row>
    <row r="331" spans="7:7" x14ac:dyDescent="0.25">
      <c r="G331" s="41" t="str">
        <f t="shared" si="4"/>
        <v/>
      </c>
    </row>
    <row r="332" spans="7:7" x14ac:dyDescent="0.25">
      <c r="G332" s="41" t="str">
        <f t="shared" si="4"/>
        <v/>
      </c>
    </row>
    <row r="333" spans="7:7" x14ac:dyDescent="0.25">
      <c r="G333" s="41" t="str">
        <f t="shared" si="4"/>
        <v/>
      </c>
    </row>
    <row r="334" spans="7:7" x14ac:dyDescent="0.25">
      <c r="G334" s="41" t="str">
        <f t="shared" si="4"/>
        <v/>
      </c>
    </row>
    <row r="335" spans="7:7" x14ac:dyDescent="0.25">
      <c r="G335" s="41" t="str">
        <f t="shared" si="4"/>
        <v/>
      </c>
    </row>
    <row r="336" spans="7:7" x14ac:dyDescent="0.25">
      <c r="G336" s="41" t="str">
        <f t="shared" si="4"/>
        <v/>
      </c>
    </row>
    <row r="337" spans="7:7" x14ac:dyDescent="0.25">
      <c r="G337" s="41" t="str">
        <f t="shared" si="4"/>
        <v/>
      </c>
    </row>
    <row r="338" spans="7:7" x14ac:dyDescent="0.25">
      <c r="G338" s="41" t="str">
        <f t="shared" si="4"/>
        <v/>
      </c>
    </row>
    <row r="339" spans="7:7" x14ac:dyDescent="0.25">
      <c r="G339" s="41" t="str">
        <f t="shared" ref="G339:G402" si="5">IF(A339=0,"","Fiber")</f>
        <v/>
      </c>
    </row>
    <row r="340" spans="7:7" x14ac:dyDescent="0.25">
      <c r="G340" s="41" t="str">
        <f t="shared" si="5"/>
        <v/>
      </c>
    </row>
    <row r="341" spans="7:7" x14ac:dyDescent="0.25">
      <c r="G341" s="41" t="str">
        <f t="shared" si="5"/>
        <v/>
      </c>
    </row>
    <row r="342" spans="7:7" x14ac:dyDescent="0.25">
      <c r="G342" s="41" t="str">
        <f t="shared" si="5"/>
        <v/>
      </c>
    </row>
    <row r="343" spans="7:7" x14ac:dyDescent="0.25">
      <c r="G343" s="41" t="str">
        <f t="shared" si="5"/>
        <v/>
      </c>
    </row>
    <row r="344" spans="7:7" x14ac:dyDescent="0.25">
      <c r="G344" s="41" t="str">
        <f t="shared" si="5"/>
        <v/>
      </c>
    </row>
    <row r="345" spans="7:7" x14ac:dyDescent="0.25">
      <c r="G345" s="41" t="str">
        <f t="shared" si="5"/>
        <v/>
      </c>
    </row>
    <row r="346" spans="7:7" x14ac:dyDescent="0.25">
      <c r="G346" s="41" t="str">
        <f t="shared" si="5"/>
        <v/>
      </c>
    </row>
    <row r="347" spans="7:7" x14ac:dyDescent="0.25">
      <c r="G347" s="41" t="str">
        <f t="shared" si="5"/>
        <v/>
      </c>
    </row>
    <row r="348" spans="7:7" x14ac:dyDescent="0.25">
      <c r="G348" s="41" t="str">
        <f t="shared" si="5"/>
        <v/>
      </c>
    </row>
    <row r="349" spans="7:7" x14ac:dyDescent="0.25">
      <c r="G349" s="41" t="str">
        <f t="shared" si="5"/>
        <v/>
      </c>
    </row>
    <row r="350" spans="7:7" x14ac:dyDescent="0.25">
      <c r="G350" s="41" t="str">
        <f t="shared" si="5"/>
        <v/>
      </c>
    </row>
    <row r="351" spans="7:7" x14ac:dyDescent="0.25">
      <c r="G351" s="41" t="str">
        <f t="shared" si="5"/>
        <v/>
      </c>
    </row>
    <row r="352" spans="7:7" x14ac:dyDescent="0.25">
      <c r="G352" s="41" t="str">
        <f t="shared" si="5"/>
        <v/>
      </c>
    </row>
    <row r="353" spans="7:7" x14ac:dyDescent="0.25">
      <c r="G353" s="41" t="str">
        <f t="shared" si="5"/>
        <v/>
      </c>
    </row>
    <row r="354" spans="7:7" x14ac:dyDescent="0.25">
      <c r="G354" s="41" t="str">
        <f t="shared" si="5"/>
        <v/>
      </c>
    </row>
    <row r="355" spans="7:7" x14ac:dyDescent="0.25">
      <c r="G355" s="41" t="str">
        <f t="shared" si="5"/>
        <v/>
      </c>
    </row>
    <row r="356" spans="7:7" x14ac:dyDescent="0.25">
      <c r="G356" s="41" t="str">
        <f t="shared" si="5"/>
        <v/>
      </c>
    </row>
    <row r="357" spans="7:7" x14ac:dyDescent="0.25">
      <c r="G357" s="41" t="str">
        <f t="shared" si="5"/>
        <v/>
      </c>
    </row>
    <row r="358" spans="7:7" x14ac:dyDescent="0.25">
      <c r="G358" s="41" t="str">
        <f t="shared" si="5"/>
        <v/>
      </c>
    </row>
    <row r="359" spans="7:7" x14ac:dyDescent="0.25">
      <c r="G359" s="41" t="str">
        <f t="shared" si="5"/>
        <v/>
      </c>
    </row>
    <row r="360" spans="7:7" x14ac:dyDescent="0.25">
      <c r="G360" s="41" t="str">
        <f t="shared" si="5"/>
        <v/>
      </c>
    </row>
    <row r="361" spans="7:7" x14ac:dyDescent="0.25">
      <c r="G361" s="41" t="str">
        <f t="shared" si="5"/>
        <v/>
      </c>
    </row>
    <row r="362" spans="7:7" x14ac:dyDescent="0.25">
      <c r="G362" s="41" t="str">
        <f t="shared" si="5"/>
        <v/>
      </c>
    </row>
    <row r="363" spans="7:7" x14ac:dyDescent="0.25">
      <c r="G363" s="41" t="str">
        <f t="shared" si="5"/>
        <v/>
      </c>
    </row>
    <row r="364" spans="7:7" x14ac:dyDescent="0.25">
      <c r="G364" s="41" t="str">
        <f t="shared" si="5"/>
        <v/>
      </c>
    </row>
    <row r="365" spans="7:7" x14ac:dyDescent="0.25">
      <c r="G365" s="41" t="str">
        <f t="shared" si="5"/>
        <v/>
      </c>
    </row>
    <row r="366" spans="7:7" x14ac:dyDescent="0.25">
      <c r="G366" s="41" t="str">
        <f t="shared" si="5"/>
        <v/>
      </c>
    </row>
    <row r="367" spans="7:7" x14ac:dyDescent="0.25">
      <c r="G367" s="41" t="str">
        <f t="shared" si="5"/>
        <v/>
      </c>
    </row>
    <row r="368" spans="7:7" x14ac:dyDescent="0.25">
      <c r="G368" s="41" t="str">
        <f t="shared" si="5"/>
        <v/>
      </c>
    </row>
    <row r="369" spans="7:7" x14ac:dyDescent="0.25">
      <c r="G369" s="41" t="str">
        <f t="shared" si="5"/>
        <v/>
      </c>
    </row>
    <row r="370" spans="7:7" x14ac:dyDescent="0.25">
      <c r="G370" s="41" t="str">
        <f t="shared" si="5"/>
        <v/>
      </c>
    </row>
    <row r="371" spans="7:7" x14ac:dyDescent="0.25">
      <c r="G371" s="41" t="str">
        <f t="shared" si="5"/>
        <v/>
      </c>
    </row>
    <row r="372" spans="7:7" x14ac:dyDescent="0.25">
      <c r="G372" s="41" t="str">
        <f t="shared" si="5"/>
        <v/>
      </c>
    </row>
    <row r="373" spans="7:7" x14ac:dyDescent="0.25">
      <c r="G373" s="41" t="str">
        <f t="shared" si="5"/>
        <v/>
      </c>
    </row>
    <row r="374" spans="7:7" x14ac:dyDescent="0.25">
      <c r="G374" s="41" t="str">
        <f t="shared" si="5"/>
        <v/>
      </c>
    </row>
    <row r="375" spans="7:7" x14ac:dyDescent="0.25">
      <c r="G375" s="41" t="str">
        <f t="shared" si="5"/>
        <v/>
      </c>
    </row>
    <row r="376" spans="7:7" x14ac:dyDescent="0.25">
      <c r="G376" s="41" t="str">
        <f t="shared" si="5"/>
        <v/>
      </c>
    </row>
    <row r="377" spans="7:7" x14ac:dyDescent="0.25">
      <c r="G377" s="41" t="str">
        <f t="shared" si="5"/>
        <v/>
      </c>
    </row>
    <row r="378" spans="7:7" x14ac:dyDescent="0.25">
      <c r="G378" s="41" t="str">
        <f t="shared" si="5"/>
        <v/>
      </c>
    </row>
    <row r="379" spans="7:7" x14ac:dyDescent="0.25">
      <c r="G379" s="41" t="str">
        <f t="shared" si="5"/>
        <v/>
      </c>
    </row>
    <row r="380" spans="7:7" x14ac:dyDescent="0.25">
      <c r="G380" s="41" t="str">
        <f t="shared" si="5"/>
        <v/>
      </c>
    </row>
    <row r="381" spans="7:7" x14ac:dyDescent="0.25">
      <c r="G381" s="41" t="str">
        <f t="shared" si="5"/>
        <v/>
      </c>
    </row>
    <row r="382" spans="7:7" x14ac:dyDescent="0.25">
      <c r="G382" s="41" t="str">
        <f t="shared" si="5"/>
        <v/>
      </c>
    </row>
    <row r="383" spans="7:7" x14ac:dyDescent="0.25">
      <c r="G383" s="41" t="str">
        <f t="shared" si="5"/>
        <v/>
      </c>
    </row>
    <row r="384" spans="7:7" x14ac:dyDescent="0.25">
      <c r="G384" s="41" t="str">
        <f t="shared" si="5"/>
        <v/>
      </c>
    </row>
    <row r="385" spans="7:7" x14ac:dyDescent="0.25">
      <c r="G385" s="41" t="str">
        <f t="shared" si="5"/>
        <v/>
      </c>
    </row>
    <row r="386" spans="7:7" x14ac:dyDescent="0.25">
      <c r="G386" s="41" t="str">
        <f t="shared" si="5"/>
        <v/>
      </c>
    </row>
    <row r="387" spans="7:7" x14ac:dyDescent="0.25">
      <c r="G387" s="41" t="str">
        <f t="shared" si="5"/>
        <v/>
      </c>
    </row>
    <row r="388" spans="7:7" x14ac:dyDescent="0.25">
      <c r="G388" s="41" t="str">
        <f t="shared" si="5"/>
        <v/>
      </c>
    </row>
    <row r="389" spans="7:7" x14ac:dyDescent="0.25">
      <c r="G389" s="41" t="str">
        <f t="shared" si="5"/>
        <v/>
      </c>
    </row>
    <row r="390" spans="7:7" x14ac:dyDescent="0.25">
      <c r="G390" s="41" t="str">
        <f t="shared" si="5"/>
        <v/>
      </c>
    </row>
    <row r="391" spans="7:7" x14ac:dyDescent="0.25">
      <c r="G391" s="41" t="str">
        <f t="shared" si="5"/>
        <v/>
      </c>
    </row>
    <row r="392" spans="7:7" x14ac:dyDescent="0.25">
      <c r="G392" s="41" t="str">
        <f t="shared" si="5"/>
        <v/>
      </c>
    </row>
    <row r="393" spans="7:7" x14ac:dyDescent="0.25">
      <c r="G393" s="41" t="str">
        <f t="shared" si="5"/>
        <v/>
      </c>
    </row>
    <row r="394" spans="7:7" x14ac:dyDescent="0.25">
      <c r="G394" s="41" t="str">
        <f t="shared" si="5"/>
        <v/>
      </c>
    </row>
    <row r="395" spans="7:7" x14ac:dyDescent="0.25">
      <c r="G395" s="41" t="str">
        <f t="shared" si="5"/>
        <v/>
      </c>
    </row>
    <row r="396" spans="7:7" x14ac:dyDescent="0.25">
      <c r="G396" s="41" t="str">
        <f t="shared" si="5"/>
        <v/>
      </c>
    </row>
    <row r="397" spans="7:7" x14ac:dyDescent="0.25">
      <c r="G397" s="41" t="str">
        <f t="shared" si="5"/>
        <v/>
      </c>
    </row>
    <row r="398" spans="7:7" x14ac:dyDescent="0.25">
      <c r="G398" s="41" t="str">
        <f t="shared" si="5"/>
        <v/>
      </c>
    </row>
    <row r="399" spans="7:7" x14ac:dyDescent="0.25">
      <c r="G399" s="41" t="str">
        <f t="shared" si="5"/>
        <v/>
      </c>
    </row>
    <row r="400" spans="7:7" x14ac:dyDescent="0.25">
      <c r="G400" s="41" t="str">
        <f t="shared" si="5"/>
        <v/>
      </c>
    </row>
    <row r="401" spans="7:7" x14ac:dyDescent="0.25">
      <c r="G401" s="41" t="str">
        <f t="shared" si="5"/>
        <v/>
      </c>
    </row>
    <row r="402" spans="7:7" x14ac:dyDescent="0.25">
      <c r="G402" s="41" t="str">
        <f t="shared" si="5"/>
        <v/>
      </c>
    </row>
    <row r="403" spans="7:7" x14ac:dyDescent="0.25">
      <c r="G403" s="41" t="str">
        <f t="shared" ref="G403:G466" si="6">IF(A403=0,"","Fiber")</f>
        <v/>
      </c>
    </row>
    <row r="404" spans="7:7" x14ac:dyDescent="0.25">
      <c r="G404" s="41" t="str">
        <f t="shared" si="6"/>
        <v/>
      </c>
    </row>
    <row r="405" spans="7:7" x14ac:dyDescent="0.25">
      <c r="G405" s="41" t="str">
        <f t="shared" si="6"/>
        <v/>
      </c>
    </row>
    <row r="406" spans="7:7" x14ac:dyDescent="0.25">
      <c r="G406" s="41" t="str">
        <f t="shared" si="6"/>
        <v/>
      </c>
    </row>
    <row r="407" spans="7:7" x14ac:dyDescent="0.25">
      <c r="G407" s="41" t="str">
        <f t="shared" si="6"/>
        <v/>
      </c>
    </row>
    <row r="408" spans="7:7" x14ac:dyDescent="0.25">
      <c r="G408" s="41" t="str">
        <f t="shared" si="6"/>
        <v/>
      </c>
    </row>
    <row r="409" spans="7:7" x14ac:dyDescent="0.25">
      <c r="G409" s="41" t="str">
        <f t="shared" si="6"/>
        <v/>
      </c>
    </row>
    <row r="410" spans="7:7" x14ac:dyDescent="0.25">
      <c r="G410" s="41" t="str">
        <f t="shared" si="6"/>
        <v/>
      </c>
    </row>
    <row r="411" spans="7:7" x14ac:dyDescent="0.25">
      <c r="G411" s="41" t="str">
        <f t="shared" si="6"/>
        <v/>
      </c>
    </row>
    <row r="412" spans="7:7" x14ac:dyDescent="0.25">
      <c r="G412" s="41" t="str">
        <f t="shared" si="6"/>
        <v/>
      </c>
    </row>
    <row r="413" spans="7:7" x14ac:dyDescent="0.25">
      <c r="G413" s="41" t="str">
        <f t="shared" si="6"/>
        <v/>
      </c>
    </row>
    <row r="414" spans="7:7" x14ac:dyDescent="0.25">
      <c r="G414" s="41" t="str">
        <f t="shared" si="6"/>
        <v/>
      </c>
    </row>
    <row r="415" spans="7:7" x14ac:dyDescent="0.25">
      <c r="G415" s="41" t="str">
        <f t="shared" si="6"/>
        <v/>
      </c>
    </row>
    <row r="416" spans="7:7" x14ac:dyDescent="0.25">
      <c r="G416" s="41" t="str">
        <f t="shared" si="6"/>
        <v/>
      </c>
    </row>
    <row r="417" spans="7:7" x14ac:dyDescent="0.25">
      <c r="G417" s="41" t="str">
        <f t="shared" si="6"/>
        <v/>
      </c>
    </row>
    <row r="418" spans="7:7" x14ac:dyDescent="0.25">
      <c r="G418" s="41" t="str">
        <f t="shared" si="6"/>
        <v/>
      </c>
    </row>
    <row r="419" spans="7:7" x14ac:dyDescent="0.25">
      <c r="G419" s="41" t="str">
        <f t="shared" si="6"/>
        <v/>
      </c>
    </row>
    <row r="420" spans="7:7" x14ac:dyDescent="0.25">
      <c r="G420" s="41" t="str">
        <f t="shared" si="6"/>
        <v/>
      </c>
    </row>
    <row r="421" spans="7:7" x14ac:dyDescent="0.25">
      <c r="G421" s="41" t="str">
        <f t="shared" si="6"/>
        <v/>
      </c>
    </row>
    <row r="422" spans="7:7" x14ac:dyDescent="0.25">
      <c r="G422" s="41" t="str">
        <f t="shared" si="6"/>
        <v/>
      </c>
    </row>
    <row r="423" spans="7:7" x14ac:dyDescent="0.25">
      <c r="G423" s="41" t="str">
        <f t="shared" si="6"/>
        <v/>
      </c>
    </row>
    <row r="424" spans="7:7" x14ac:dyDescent="0.25">
      <c r="G424" s="41" t="str">
        <f t="shared" si="6"/>
        <v/>
      </c>
    </row>
    <row r="425" spans="7:7" x14ac:dyDescent="0.25">
      <c r="G425" s="41" t="str">
        <f t="shared" si="6"/>
        <v/>
      </c>
    </row>
    <row r="426" spans="7:7" x14ac:dyDescent="0.25">
      <c r="G426" s="41" t="str">
        <f t="shared" si="6"/>
        <v/>
      </c>
    </row>
    <row r="427" spans="7:7" x14ac:dyDescent="0.25">
      <c r="G427" s="41" t="str">
        <f t="shared" si="6"/>
        <v/>
      </c>
    </row>
    <row r="428" spans="7:7" x14ac:dyDescent="0.25">
      <c r="G428" s="41" t="str">
        <f t="shared" si="6"/>
        <v/>
      </c>
    </row>
    <row r="429" spans="7:7" x14ac:dyDescent="0.25">
      <c r="G429" s="41" t="str">
        <f t="shared" si="6"/>
        <v/>
      </c>
    </row>
    <row r="430" spans="7:7" x14ac:dyDescent="0.25">
      <c r="G430" s="41" t="str">
        <f t="shared" si="6"/>
        <v/>
      </c>
    </row>
    <row r="431" spans="7:7" x14ac:dyDescent="0.25">
      <c r="G431" s="41" t="str">
        <f t="shared" si="6"/>
        <v/>
      </c>
    </row>
    <row r="432" spans="7:7" x14ac:dyDescent="0.25">
      <c r="G432" s="41" t="str">
        <f t="shared" si="6"/>
        <v/>
      </c>
    </row>
    <row r="433" spans="7:7" x14ac:dyDescent="0.25">
      <c r="G433" s="41" t="str">
        <f t="shared" si="6"/>
        <v/>
      </c>
    </row>
    <row r="434" spans="7:7" x14ac:dyDescent="0.25">
      <c r="G434" s="41" t="str">
        <f t="shared" si="6"/>
        <v/>
      </c>
    </row>
    <row r="435" spans="7:7" x14ac:dyDescent="0.25">
      <c r="G435" s="41" t="str">
        <f t="shared" si="6"/>
        <v/>
      </c>
    </row>
    <row r="436" spans="7:7" x14ac:dyDescent="0.25">
      <c r="G436" s="41" t="str">
        <f t="shared" si="6"/>
        <v/>
      </c>
    </row>
    <row r="437" spans="7:7" x14ac:dyDescent="0.25">
      <c r="G437" s="41" t="str">
        <f t="shared" si="6"/>
        <v/>
      </c>
    </row>
    <row r="438" spans="7:7" x14ac:dyDescent="0.25">
      <c r="G438" s="41" t="str">
        <f t="shared" si="6"/>
        <v/>
      </c>
    </row>
    <row r="439" spans="7:7" x14ac:dyDescent="0.25">
      <c r="G439" s="41" t="str">
        <f t="shared" si="6"/>
        <v/>
      </c>
    </row>
    <row r="440" spans="7:7" x14ac:dyDescent="0.25">
      <c r="G440" s="41" t="str">
        <f t="shared" si="6"/>
        <v/>
      </c>
    </row>
    <row r="441" spans="7:7" x14ac:dyDescent="0.25">
      <c r="G441" s="41" t="str">
        <f t="shared" si="6"/>
        <v/>
      </c>
    </row>
    <row r="442" spans="7:7" x14ac:dyDescent="0.25">
      <c r="G442" s="41" t="str">
        <f t="shared" si="6"/>
        <v/>
      </c>
    </row>
    <row r="443" spans="7:7" x14ac:dyDescent="0.25">
      <c r="G443" s="41" t="str">
        <f t="shared" si="6"/>
        <v/>
      </c>
    </row>
    <row r="444" spans="7:7" x14ac:dyDescent="0.25">
      <c r="G444" s="41" t="str">
        <f t="shared" si="6"/>
        <v/>
      </c>
    </row>
    <row r="445" spans="7:7" x14ac:dyDescent="0.25">
      <c r="G445" s="41" t="str">
        <f t="shared" si="6"/>
        <v/>
      </c>
    </row>
    <row r="446" spans="7:7" x14ac:dyDescent="0.25">
      <c r="G446" s="41" t="str">
        <f t="shared" si="6"/>
        <v/>
      </c>
    </row>
    <row r="447" spans="7:7" x14ac:dyDescent="0.25">
      <c r="G447" s="41" t="str">
        <f t="shared" si="6"/>
        <v/>
      </c>
    </row>
    <row r="448" spans="7:7" x14ac:dyDescent="0.25">
      <c r="G448" s="41" t="str">
        <f t="shared" si="6"/>
        <v/>
      </c>
    </row>
    <row r="449" spans="7:7" x14ac:dyDescent="0.25">
      <c r="G449" s="41" t="str">
        <f t="shared" si="6"/>
        <v/>
      </c>
    </row>
    <row r="450" spans="7:7" x14ac:dyDescent="0.25">
      <c r="G450" s="41" t="str">
        <f t="shared" si="6"/>
        <v/>
      </c>
    </row>
    <row r="451" spans="7:7" x14ac:dyDescent="0.25">
      <c r="G451" s="41" t="str">
        <f t="shared" si="6"/>
        <v/>
      </c>
    </row>
    <row r="452" spans="7:7" x14ac:dyDescent="0.25">
      <c r="G452" s="41" t="str">
        <f t="shared" si="6"/>
        <v/>
      </c>
    </row>
    <row r="453" spans="7:7" x14ac:dyDescent="0.25">
      <c r="G453" s="41" t="str">
        <f t="shared" si="6"/>
        <v/>
      </c>
    </row>
    <row r="454" spans="7:7" x14ac:dyDescent="0.25">
      <c r="G454" s="41" t="str">
        <f t="shared" si="6"/>
        <v/>
      </c>
    </row>
    <row r="455" spans="7:7" x14ac:dyDescent="0.25">
      <c r="G455" s="41" t="str">
        <f t="shared" si="6"/>
        <v/>
      </c>
    </row>
    <row r="456" spans="7:7" x14ac:dyDescent="0.25">
      <c r="G456" s="41" t="str">
        <f t="shared" si="6"/>
        <v/>
      </c>
    </row>
    <row r="457" spans="7:7" x14ac:dyDescent="0.25">
      <c r="G457" s="41" t="str">
        <f t="shared" si="6"/>
        <v/>
      </c>
    </row>
    <row r="458" spans="7:7" x14ac:dyDescent="0.25">
      <c r="G458" s="41" t="str">
        <f t="shared" si="6"/>
        <v/>
      </c>
    </row>
    <row r="459" spans="7:7" x14ac:dyDescent="0.25">
      <c r="G459" s="41" t="str">
        <f t="shared" si="6"/>
        <v/>
      </c>
    </row>
    <row r="460" spans="7:7" x14ac:dyDescent="0.25">
      <c r="G460" s="41" t="str">
        <f t="shared" si="6"/>
        <v/>
      </c>
    </row>
    <row r="461" spans="7:7" x14ac:dyDescent="0.25">
      <c r="G461" s="41" t="str">
        <f t="shared" si="6"/>
        <v/>
      </c>
    </row>
    <row r="462" spans="7:7" x14ac:dyDescent="0.25">
      <c r="G462" s="41" t="str">
        <f t="shared" si="6"/>
        <v/>
      </c>
    </row>
    <row r="463" spans="7:7" x14ac:dyDescent="0.25">
      <c r="G463" s="41" t="str">
        <f t="shared" si="6"/>
        <v/>
      </c>
    </row>
    <row r="464" spans="7:7" x14ac:dyDescent="0.25">
      <c r="G464" s="41" t="str">
        <f t="shared" si="6"/>
        <v/>
      </c>
    </row>
    <row r="465" spans="7:7" x14ac:dyDescent="0.25">
      <c r="G465" s="41" t="str">
        <f t="shared" si="6"/>
        <v/>
      </c>
    </row>
    <row r="466" spans="7:7" x14ac:dyDescent="0.25">
      <c r="G466" s="41" t="str">
        <f t="shared" si="6"/>
        <v/>
      </c>
    </row>
    <row r="467" spans="7:7" x14ac:dyDescent="0.25">
      <c r="G467" s="41" t="str">
        <f t="shared" ref="G467:G530" si="7">IF(A467=0,"","Fiber")</f>
        <v/>
      </c>
    </row>
    <row r="468" spans="7:7" x14ac:dyDescent="0.25">
      <c r="G468" s="41" t="str">
        <f t="shared" si="7"/>
        <v/>
      </c>
    </row>
    <row r="469" spans="7:7" x14ac:dyDescent="0.25">
      <c r="G469" s="41" t="str">
        <f t="shared" si="7"/>
        <v/>
      </c>
    </row>
    <row r="470" spans="7:7" x14ac:dyDescent="0.25">
      <c r="G470" s="41" t="str">
        <f t="shared" si="7"/>
        <v/>
      </c>
    </row>
    <row r="471" spans="7:7" x14ac:dyDescent="0.25">
      <c r="G471" s="41" t="str">
        <f t="shared" si="7"/>
        <v/>
      </c>
    </row>
    <row r="472" spans="7:7" x14ac:dyDescent="0.25">
      <c r="G472" s="41" t="str">
        <f t="shared" si="7"/>
        <v/>
      </c>
    </row>
    <row r="473" spans="7:7" x14ac:dyDescent="0.25">
      <c r="G473" s="41" t="str">
        <f t="shared" si="7"/>
        <v/>
      </c>
    </row>
    <row r="474" spans="7:7" x14ac:dyDescent="0.25">
      <c r="G474" s="41" t="str">
        <f t="shared" si="7"/>
        <v/>
      </c>
    </row>
    <row r="475" spans="7:7" x14ac:dyDescent="0.25">
      <c r="G475" s="41" t="str">
        <f t="shared" si="7"/>
        <v/>
      </c>
    </row>
    <row r="476" spans="7:7" x14ac:dyDescent="0.25">
      <c r="G476" s="41" t="str">
        <f t="shared" si="7"/>
        <v/>
      </c>
    </row>
    <row r="477" spans="7:7" x14ac:dyDescent="0.25">
      <c r="G477" s="41" t="str">
        <f t="shared" si="7"/>
        <v/>
      </c>
    </row>
    <row r="478" spans="7:7" x14ac:dyDescent="0.25">
      <c r="G478" s="41" t="str">
        <f t="shared" si="7"/>
        <v/>
      </c>
    </row>
    <row r="479" spans="7:7" x14ac:dyDescent="0.25">
      <c r="G479" s="41" t="str">
        <f t="shared" si="7"/>
        <v/>
      </c>
    </row>
    <row r="480" spans="7:7" x14ac:dyDescent="0.25">
      <c r="G480" s="41" t="str">
        <f t="shared" si="7"/>
        <v/>
      </c>
    </row>
    <row r="481" spans="7:7" x14ac:dyDescent="0.25">
      <c r="G481" s="41" t="str">
        <f t="shared" si="7"/>
        <v/>
      </c>
    </row>
    <row r="482" spans="7:7" x14ac:dyDescent="0.25">
      <c r="G482" s="41" t="str">
        <f t="shared" si="7"/>
        <v/>
      </c>
    </row>
    <row r="483" spans="7:7" x14ac:dyDescent="0.25">
      <c r="G483" s="41" t="str">
        <f t="shared" si="7"/>
        <v/>
      </c>
    </row>
    <row r="484" spans="7:7" x14ac:dyDescent="0.25">
      <c r="G484" s="41" t="str">
        <f t="shared" si="7"/>
        <v/>
      </c>
    </row>
    <row r="485" spans="7:7" x14ac:dyDescent="0.25">
      <c r="G485" s="41" t="str">
        <f t="shared" si="7"/>
        <v/>
      </c>
    </row>
    <row r="486" spans="7:7" x14ac:dyDescent="0.25">
      <c r="G486" s="41" t="str">
        <f t="shared" si="7"/>
        <v/>
      </c>
    </row>
    <row r="487" spans="7:7" x14ac:dyDescent="0.25">
      <c r="G487" s="41" t="str">
        <f t="shared" si="7"/>
        <v/>
      </c>
    </row>
    <row r="488" spans="7:7" x14ac:dyDescent="0.25">
      <c r="G488" s="41" t="str">
        <f t="shared" si="7"/>
        <v/>
      </c>
    </row>
    <row r="489" spans="7:7" x14ac:dyDescent="0.25">
      <c r="G489" s="41" t="str">
        <f t="shared" si="7"/>
        <v/>
      </c>
    </row>
    <row r="490" spans="7:7" x14ac:dyDescent="0.25">
      <c r="G490" s="41" t="str">
        <f t="shared" si="7"/>
        <v/>
      </c>
    </row>
    <row r="491" spans="7:7" x14ac:dyDescent="0.25">
      <c r="G491" s="41" t="str">
        <f t="shared" si="7"/>
        <v/>
      </c>
    </row>
    <row r="492" spans="7:7" x14ac:dyDescent="0.25">
      <c r="G492" s="41" t="str">
        <f t="shared" si="7"/>
        <v/>
      </c>
    </row>
    <row r="493" spans="7:7" x14ac:dyDescent="0.25">
      <c r="G493" s="41" t="str">
        <f t="shared" si="7"/>
        <v/>
      </c>
    </row>
    <row r="494" spans="7:7" x14ac:dyDescent="0.25">
      <c r="G494" s="41" t="str">
        <f t="shared" si="7"/>
        <v/>
      </c>
    </row>
    <row r="495" spans="7:7" x14ac:dyDescent="0.25">
      <c r="G495" s="41" t="str">
        <f t="shared" si="7"/>
        <v/>
      </c>
    </row>
    <row r="496" spans="7:7" x14ac:dyDescent="0.25">
      <c r="G496" s="41" t="str">
        <f t="shared" si="7"/>
        <v/>
      </c>
    </row>
    <row r="497" spans="7:7" x14ac:dyDescent="0.25">
      <c r="G497" s="41" t="str">
        <f t="shared" si="7"/>
        <v/>
      </c>
    </row>
    <row r="498" spans="7:7" x14ac:dyDescent="0.25">
      <c r="G498" s="41" t="str">
        <f t="shared" si="7"/>
        <v/>
      </c>
    </row>
    <row r="499" spans="7:7" x14ac:dyDescent="0.25">
      <c r="G499" s="41" t="str">
        <f t="shared" si="7"/>
        <v/>
      </c>
    </row>
    <row r="500" spans="7:7" x14ac:dyDescent="0.25">
      <c r="G500" s="41" t="str">
        <f t="shared" si="7"/>
        <v/>
      </c>
    </row>
    <row r="501" spans="7:7" x14ac:dyDescent="0.25">
      <c r="G501" s="41" t="str">
        <f t="shared" si="7"/>
        <v/>
      </c>
    </row>
    <row r="502" spans="7:7" x14ac:dyDescent="0.25">
      <c r="G502" s="41" t="str">
        <f t="shared" si="7"/>
        <v/>
      </c>
    </row>
    <row r="503" spans="7:7" x14ac:dyDescent="0.25">
      <c r="G503" s="41" t="str">
        <f t="shared" si="7"/>
        <v/>
      </c>
    </row>
    <row r="504" spans="7:7" x14ac:dyDescent="0.25">
      <c r="G504" s="41" t="str">
        <f t="shared" si="7"/>
        <v/>
      </c>
    </row>
    <row r="505" spans="7:7" x14ac:dyDescent="0.25">
      <c r="G505" s="41" t="str">
        <f t="shared" si="7"/>
        <v/>
      </c>
    </row>
    <row r="506" spans="7:7" x14ac:dyDescent="0.25">
      <c r="G506" s="41" t="str">
        <f t="shared" si="7"/>
        <v/>
      </c>
    </row>
    <row r="507" spans="7:7" x14ac:dyDescent="0.25">
      <c r="G507" s="41" t="str">
        <f t="shared" si="7"/>
        <v/>
      </c>
    </row>
    <row r="508" spans="7:7" x14ac:dyDescent="0.25">
      <c r="G508" s="41" t="str">
        <f t="shared" si="7"/>
        <v/>
      </c>
    </row>
    <row r="509" spans="7:7" x14ac:dyDescent="0.25">
      <c r="G509" s="41" t="str">
        <f t="shared" si="7"/>
        <v/>
      </c>
    </row>
    <row r="510" spans="7:7" x14ac:dyDescent="0.25">
      <c r="G510" s="41" t="str">
        <f t="shared" si="7"/>
        <v/>
      </c>
    </row>
    <row r="511" spans="7:7" x14ac:dyDescent="0.25">
      <c r="G511" s="41" t="str">
        <f t="shared" si="7"/>
        <v/>
      </c>
    </row>
    <row r="512" spans="7:7" x14ac:dyDescent="0.25">
      <c r="G512" s="41" t="str">
        <f t="shared" si="7"/>
        <v/>
      </c>
    </row>
    <row r="513" spans="7:7" x14ac:dyDescent="0.25">
      <c r="G513" s="41" t="str">
        <f t="shared" si="7"/>
        <v/>
      </c>
    </row>
    <row r="514" spans="7:7" x14ac:dyDescent="0.25">
      <c r="G514" s="41" t="str">
        <f t="shared" si="7"/>
        <v/>
      </c>
    </row>
    <row r="515" spans="7:7" x14ac:dyDescent="0.25">
      <c r="G515" s="41" t="str">
        <f t="shared" si="7"/>
        <v/>
      </c>
    </row>
    <row r="516" spans="7:7" x14ac:dyDescent="0.25">
      <c r="G516" s="41" t="str">
        <f t="shared" si="7"/>
        <v/>
      </c>
    </row>
    <row r="517" spans="7:7" x14ac:dyDescent="0.25">
      <c r="G517" s="41" t="str">
        <f t="shared" si="7"/>
        <v/>
      </c>
    </row>
    <row r="518" spans="7:7" x14ac:dyDescent="0.25">
      <c r="G518" s="41" t="str">
        <f t="shared" si="7"/>
        <v/>
      </c>
    </row>
    <row r="519" spans="7:7" x14ac:dyDescent="0.25">
      <c r="G519" s="41" t="str">
        <f t="shared" si="7"/>
        <v/>
      </c>
    </row>
    <row r="520" spans="7:7" x14ac:dyDescent="0.25">
      <c r="G520" s="41" t="str">
        <f t="shared" si="7"/>
        <v/>
      </c>
    </row>
    <row r="521" spans="7:7" x14ac:dyDescent="0.25">
      <c r="G521" s="41" t="str">
        <f t="shared" si="7"/>
        <v/>
      </c>
    </row>
    <row r="522" spans="7:7" x14ac:dyDescent="0.25">
      <c r="G522" s="41" t="str">
        <f t="shared" si="7"/>
        <v/>
      </c>
    </row>
    <row r="523" spans="7:7" x14ac:dyDescent="0.25">
      <c r="G523" s="41" t="str">
        <f t="shared" si="7"/>
        <v/>
      </c>
    </row>
    <row r="524" spans="7:7" x14ac:dyDescent="0.25">
      <c r="G524" s="41" t="str">
        <f t="shared" si="7"/>
        <v/>
      </c>
    </row>
    <row r="525" spans="7:7" x14ac:dyDescent="0.25">
      <c r="G525" s="41" t="str">
        <f t="shared" si="7"/>
        <v/>
      </c>
    </row>
    <row r="526" spans="7:7" x14ac:dyDescent="0.25">
      <c r="G526" s="41" t="str">
        <f t="shared" si="7"/>
        <v/>
      </c>
    </row>
    <row r="527" spans="7:7" x14ac:dyDescent="0.25">
      <c r="G527" s="41" t="str">
        <f t="shared" si="7"/>
        <v/>
      </c>
    </row>
    <row r="528" spans="7:7" x14ac:dyDescent="0.25">
      <c r="G528" s="41" t="str">
        <f t="shared" si="7"/>
        <v/>
      </c>
    </row>
    <row r="529" spans="7:7" x14ac:dyDescent="0.25">
      <c r="G529" s="41" t="str">
        <f t="shared" si="7"/>
        <v/>
      </c>
    </row>
    <row r="530" spans="7:7" x14ac:dyDescent="0.25">
      <c r="G530" s="41" t="str">
        <f t="shared" si="7"/>
        <v/>
      </c>
    </row>
    <row r="531" spans="7:7" x14ac:dyDescent="0.25">
      <c r="G531" s="41" t="str">
        <f t="shared" ref="G531:G594" si="8">IF(A531=0,"","Fiber")</f>
        <v/>
      </c>
    </row>
    <row r="532" spans="7:7" x14ac:dyDescent="0.25">
      <c r="G532" s="41" t="str">
        <f t="shared" si="8"/>
        <v/>
      </c>
    </row>
    <row r="533" spans="7:7" x14ac:dyDescent="0.25">
      <c r="G533" s="41" t="str">
        <f t="shared" si="8"/>
        <v/>
      </c>
    </row>
    <row r="534" spans="7:7" x14ac:dyDescent="0.25">
      <c r="G534" s="41" t="str">
        <f t="shared" si="8"/>
        <v/>
      </c>
    </row>
    <row r="535" spans="7:7" x14ac:dyDescent="0.25">
      <c r="G535" s="41" t="str">
        <f t="shared" si="8"/>
        <v/>
      </c>
    </row>
    <row r="536" spans="7:7" x14ac:dyDescent="0.25">
      <c r="G536" s="41" t="str">
        <f t="shared" si="8"/>
        <v/>
      </c>
    </row>
    <row r="537" spans="7:7" x14ac:dyDescent="0.25">
      <c r="G537" s="41" t="str">
        <f t="shared" si="8"/>
        <v/>
      </c>
    </row>
    <row r="538" spans="7:7" x14ac:dyDescent="0.25">
      <c r="G538" s="41" t="str">
        <f t="shared" si="8"/>
        <v/>
      </c>
    </row>
    <row r="539" spans="7:7" x14ac:dyDescent="0.25">
      <c r="G539" s="41" t="str">
        <f t="shared" si="8"/>
        <v/>
      </c>
    </row>
    <row r="540" spans="7:7" x14ac:dyDescent="0.25">
      <c r="G540" s="41" t="str">
        <f t="shared" si="8"/>
        <v/>
      </c>
    </row>
    <row r="541" spans="7:7" x14ac:dyDescent="0.25">
      <c r="G541" s="41" t="str">
        <f t="shared" si="8"/>
        <v/>
      </c>
    </row>
    <row r="542" spans="7:7" x14ac:dyDescent="0.25">
      <c r="G542" s="41" t="str">
        <f t="shared" si="8"/>
        <v/>
      </c>
    </row>
    <row r="543" spans="7:7" x14ac:dyDescent="0.25">
      <c r="G543" s="41" t="str">
        <f t="shared" si="8"/>
        <v/>
      </c>
    </row>
    <row r="544" spans="7:7" x14ac:dyDescent="0.25">
      <c r="G544" s="41" t="str">
        <f t="shared" si="8"/>
        <v/>
      </c>
    </row>
    <row r="545" spans="7:7" x14ac:dyDescent="0.25">
      <c r="G545" s="41" t="str">
        <f t="shared" si="8"/>
        <v/>
      </c>
    </row>
    <row r="546" spans="7:7" x14ac:dyDescent="0.25">
      <c r="G546" s="41" t="str">
        <f t="shared" si="8"/>
        <v/>
      </c>
    </row>
    <row r="547" spans="7:7" x14ac:dyDescent="0.25">
      <c r="G547" s="41" t="str">
        <f t="shared" si="8"/>
        <v/>
      </c>
    </row>
    <row r="548" spans="7:7" x14ac:dyDescent="0.25">
      <c r="G548" s="41" t="str">
        <f t="shared" si="8"/>
        <v/>
      </c>
    </row>
    <row r="549" spans="7:7" x14ac:dyDescent="0.25">
      <c r="G549" s="41" t="str">
        <f t="shared" si="8"/>
        <v/>
      </c>
    </row>
    <row r="550" spans="7:7" x14ac:dyDescent="0.25">
      <c r="G550" s="41" t="str">
        <f t="shared" si="8"/>
        <v/>
      </c>
    </row>
    <row r="551" spans="7:7" x14ac:dyDescent="0.25">
      <c r="G551" s="41" t="str">
        <f t="shared" si="8"/>
        <v/>
      </c>
    </row>
    <row r="552" spans="7:7" x14ac:dyDescent="0.25">
      <c r="G552" s="41" t="str">
        <f t="shared" si="8"/>
        <v/>
      </c>
    </row>
    <row r="553" spans="7:7" x14ac:dyDescent="0.25">
      <c r="G553" s="41" t="str">
        <f t="shared" si="8"/>
        <v/>
      </c>
    </row>
    <row r="554" spans="7:7" x14ac:dyDescent="0.25">
      <c r="G554" s="41" t="str">
        <f t="shared" si="8"/>
        <v/>
      </c>
    </row>
    <row r="555" spans="7:7" x14ac:dyDescent="0.25">
      <c r="G555" s="41" t="str">
        <f t="shared" si="8"/>
        <v/>
      </c>
    </row>
    <row r="556" spans="7:7" x14ac:dyDescent="0.25">
      <c r="G556" s="41" t="str">
        <f t="shared" si="8"/>
        <v/>
      </c>
    </row>
    <row r="557" spans="7:7" x14ac:dyDescent="0.25">
      <c r="G557" s="41" t="str">
        <f t="shared" si="8"/>
        <v/>
      </c>
    </row>
    <row r="558" spans="7:7" x14ac:dyDescent="0.25">
      <c r="G558" s="41" t="str">
        <f t="shared" si="8"/>
        <v/>
      </c>
    </row>
    <row r="559" spans="7:7" x14ac:dyDescent="0.25">
      <c r="G559" s="41" t="str">
        <f t="shared" si="8"/>
        <v/>
      </c>
    </row>
    <row r="560" spans="7:7" x14ac:dyDescent="0.25">
      <c r="G560" s="41" t="str">
        <f t="shared" si="8"/>
        <v/>
      </c>
    </row>
    <row r="561" spans="7:7" x14ac:dyDescent="0.25">
      <c r="G561" s="41" t="str">
        <f t="shared" si="8"/>
        <v/>
      </c>
    </row>
    <row r="562" spans="7:7" x14ac:dyDescent="0.25">
      <c r="G562" s="41" t="str">
        <f t="shared" si="8"/>
        <v/>
      </c>
    </row>
    <row r="563" spans="7:7" x14ac:dyDescent="0.25">
      <c r="G563" s="41" t="str">
        <f t="shared" si="8"/>
        <v/>
      </c>
    </row>
    <row r="564" spans="7:7" x14ac:dyDescent="0.25">
      <c r="G564" s="41" t="str">
        <f t="shared" si="8"/>
        <v/>
      </c>
    </row>
    <row r="565" spans="7:7" x14ac:dyDescent="0.25">
      <c r="G565" s="41" t="str">
        <f t="shared" si="8"/>
        <v/>
      </c>
    </row>
    <row r="566" spans="7:7" x14ac:dyDescent="0.25">
      <c r="G566" s="41" t="str">
        <f t="shared" si="8"/>
        <v/>
      </c>
    </row>
    <row r="567" spans="7:7" x14ac:dyDescent="0.25">
      <c r="G567" s="41" t="str">
        <f t="shared" si="8"/>
        <v/>
      </c>
    </row>
    <row r="568" spans="7:7" x14ac:dyDescent="0.25">
      <c r="G568" s="41" t="str">
        <f t="shared" si="8"/>
        <v/>
      </c>
    </row>
    <row r="569" spans="7:7" x14ac:dyDescent="0.25">
      <c r="G569" s="41" t="str">
        <f t="shared" si="8"/>
        <v/>
      </c>
    </row>
    <row r="570" spans="7:7" x14ac:dyDescent="0.25">
      <c r="G570" s="41" t="str">
        <f t="shared" si="8"/>
        <v/>
      </c>
    </row>
    <row r="571" spans="7:7" x14ac:dyDescent="0.25">
      <c r="G571" s="41" t="str">
        <f t="shared" si="8"/>
        <v/>
      </c>
    </row>
    <row r="572" spans="7:7" x14ac:dyDescent="0.25">
      <c r="G572" s="41" t="str">
        <f t="shared" si="8"/>
        <v/>
      </c>
    </row>
    <row r="573" spans="7:7" x14ac:dyDescent="0.25">
      <c r="G573" s="41" t="str">
        <f t="shared" si="8"/>
        <v/>
      </c>
    </row>
    <row r="574" spans="7:7" x14ac:dyDescent="0.25">
      <c r="G574" s="41" t="str">
        <f t="shared" si="8"/>
        <v/>
      </c>
    </row>
    <row r="575" spans="7:7" x14ac:dyDescent="0.25">
      <c r="G575" s="41" t="str">
        <f t="shared" si="8"/>
        <v/>
      </c>
    </row>
    <row r="576" spans="7:7" x14ac:dyDescent="0.25">
      <c r="G576" s="41" t="str">
        <f t="shared" si="8"/>
        <v/>
      </c>
    </row>
    <row r="577" spans="7:7" x14ac:dyDescent="0.25">
      <c r="G577" s="41" t="str">
        <f t="shared" si="8"/>
        <v/>
      </c>
    </row>
    <row r="578" spans="7:7" x14ac:dyDescent="0.25">
      <c r="G578" s="41" t="str">
        <f t="shared" si="8"/>
        <v/>
      </c>
    </row>
    <row r="579" spans="7:7" x14ac:dyDescent="0.25">
      <c r="G579" s="41" t="str">
        <f t="shared" si="8"/>
        <v/>
      </c>
    </row>
    <row r="580" spans="7:7" x14ac:dyDescent="0.25">
      <c r="G580" s="41" t="str">
        <f t="shared" si="8"/>
        <v/>
      </c>
    </row>
    <row r="581" spans="7:7" x14ac:dyDescent="0.25">
      <c r="G581" s="41" t="str">
        <f t="shared" si="8"/>
        <v/>
      </c>
    </row>
    <row r="582" spans="7:7" x14ac:dyDescent="0.25">
      <c r="G582" s="41" t="str">
        <f t="shared" si="8"/>
        <v/>
      </c>
    </row>
    <row r="583" spans="7:7" x14ac:dyDescent="0.25">
      <c r="G583" s="41" t="str">
        <f t="shared" si="8"/>
        <v/>
      </c>
    </row>
    <row r="584" spans="7:7" x14ac:dyDescent="0.25">
      <c r="G584" s="41" t="str">
        <f t="shared" si="8"/>
        <v/>
      </c>
    </row>
    <row r="585" spans="7:7" x14ac:dyDescent="0.25">
      <c r="G585" s="41" t="str">
        <f t="shared" si="8"/>
        <v/>
      </c>
    </row>
    <row r="586" spans="7:7" x14ac:dyDescent="0.25">
      <c r="G586" s="41" t="str">
        <f t="shared" si="8"/>
        <v/>
      </c>
    </row>
    <row r="587" spans="7:7" x14ac:dyDescent="0.25">
      <c r="G587" s="41" t="str">
        <f t="shared" si="8"/>
        <v/>
      </c>
    </row>
    <row r="588" spans="7:7" x14ac:dyDescent="0.25">
      <c r="G588" s="41" t="str">
        <f t="shared" si="8"/>
        <v/>
      </c>
    </row>
    <row r="589" spans="7:7" x14ac:dyDescent="0.25">
      <c r="G589" s="41" t="str">
        <f t="shared" si="8"/>
        <v/>
      </c>
    </row>
    <row r="590" spans="7:7" x14ac:dyDescent="0.25">
      <c r="G590" s="41" t="str">
        <f t="shared" si="8"/>
        <v/>
      </c>
    </row>
    <row r="591" spans="7:7" x14ac:dyDescent="0.25">
      <c r="G591" s="41" t="str">
        <f t="shared" si="8"/>
        <v/>
      </c>
    </row>
    <row r="592" spans="7:7" x14ac:dyDescent="0.25">
      <c r="G592" s="41" t="str">
        <f t="shared" si="8"/>
        <v/>
      </c>
    </row>
    <row r="593" spans="7:7" x14ac:dyDescent="0.25">
      <c r="G593" s="41" t="str">
        <f t="shared" si="8"/>
        <v/>
      </c>
    </row>
    <row r="594" spans="7:7" x14ac:dyDescent="0.25">
      <c r="G594" s="41" t="str">
        <f t="shared" si="8"/>
        <v/>
      </c>
    </row>
    <row r="595" spans="7:7" x14ac:dyDescent="0.25">
      <c r="G595" s="41" t="str">
        <f t="shared" ref="G595:G658" si="9">IF(A595=0,"","Fiber")</f>
        <v/>
      </c>
    </row>
    <row r="596" spans="7:7" x14ac:dyDescent="0.25">
      <c r="G596" s="41" t="str">
        <f t="shared" si="9"/>
        <v/>
      </c>
    </row>
    <row r="597" spans="7:7" x14ac:dyDescent="0.25">
      <c r="G597" s="41" t="str">
        <f t="shared" si="9"/>
        <v/>
      </c>
    </row>
    <row r="598" spans="7:7" x14ac:dyDescent="0.25">
      <c r="G598" s="41" t="str">
        <f t="shared" si="9"/>
        <v/>
      </c>
    </row>
    <row r="599" spans="7:7" x14ac:dyDescent="0.25">
      <c r="G599" s="41" t="str">
        <f t="shared" si="9"/>
        <v/>
      </c>
    </row>
    <row r="600" spans="7:7" x14ac:dyDescent="0.25">
      <c r="G600" s="41" t="str">
        <f t="shared" si="9"/>
        <v/>
      </c>
    </row>
    <row r="601" spans="7:7" x14ac:dyDescent="0.25">
      <c r="G601" s="41" t="str">
        <f t="shared" si="9"/>
        <v/>
      </c>
    </row>
    <row r="602" spans="7:7" x14ac:dyDescent="0.25">
      <c r="G602" s="41" t="str">
        <f t="shared" si="9"/>
        <v/>
      </c>
    </row>
    <row r="603" spans="7:7" x14ac:dyDescent="0.25">
      <c r="G603" s="41" t="str">
        <f t="shared" si="9"/>
        <v/>
      </c>
    </row>
    <row r="604" spans="7:7" x14ac:dyDescent="0.25">
      <c r="G604" s="41" t="str">
        <f t="shared" si="9"/>
        <v/>
      </c>
    </row>
    <row r="605" spans="7:7" x14ac:dyDescent="0.25">
      <c r="G605" s="41" t="str">
        <f t="shared" si="9"/>
        <v/>
      </c>
    </row>
    <row r="606" spans="7:7" x14ac:dyDescent="0.25">
      <c r="G606" s="41" t="str">
        <f t="shared" si="9"/>
        <v/>
      </c>
    </row>
    <row r="607" spans="7:7" x14ac:dyDescent="0.25">
      <c r="G607" s="41" t="str">
        <f t="shared" si="9"/>
        <v/>
      </c>
    </row>
    <row r="608" spans="7:7" x14ac:dyDescent="0.25">
      <c r="G608" s="41" t="str">
        <f t="shared" si="9"/>
        <v/>
      </c>
    </row>
    <row r="609" spans="7:7" x14ac:dyDescent="0.25">
      <c r="G609" s="41" t="str">
        <f t="shared" si="9"/>
        <v/>
      </c>
    </row>
    <row r="610" spans="7:7" x14ac:dyDescent="0.25">
      <c r="G610" s="41" t="str">
        <f t="shared" si="9"/>
        <v/>
      </c>
    </row>
    <row r="611" spans="7:7" x14ac:dyDescent="0.25">
      <c r="G611" s="41" t="str">
        <f t="shared" si="9"/>
        <v/>
      </c>
    </row>
    <row r="612" spans="7:7" x14ac:dyDescent="0.25">
      <c r="G612" s="41" t="str">
        <f t="shared" si="9"/>
        <v/>
      </c>
    </row>
    <row r="613" spans="7:7" x14ac:dyDescent="0.25">
      <c r="G613" s="41" t="str">
        <f t="shared" si="9"/>
        <v/>
      </c>
    </row>
    <row r="614" spans="7:7" x14ac:dyDescent="0.25">
      <c r="G614" s="41" t="str">
        <f t="shared" si="9"/>
        <v/>
      </c>
    </row>
    <row r="615" spans="7:7" x14ac:dyDescent="0.25">
      <c r="G615" s="41" t="str">
        <f t="shared" si="9"/>
        <v/>
      </c>
    </row>
    <row r="616" spans="7:7" x14ac:dyDescent="0.25">
      <c r="G616" s="41" t="str">
        <f t="shared" si="9"/>
        <v/>
      </c>
    </row>
    <row r="617" spans="7:7" x14ac:dyDescent="0.25">
      <c r="G617" s="41" t="str">
        <f t="shared" si="9"/>
        <v/>
      </c>
    </row>
    <row r="618" spans="7:7" x14ac:dyDescent="0.25">
      <c r="G618" s="41" t="str">
        <f t="shared" si="9"/>
        <v/>
      </c>
    </row>
    <row r="619" spans="7:7" x14ac:dyDescent="0.25">
      <c r="G619" s="41" t="str">
        <f t="shared" si="9"/>
        <v/>
      </c>
    </row>
    <row r="620" spans="7:7" x14ac:dyDescent="0.25">
      <c r="G620" s="41" t="str">
        <f t="shared" si="9"/>
        <v/>
      </c>
    </row>
    <row r="621" spans="7:7" x14ac:dyDescent="0.25">
      <c r="G621" s="41" t="str">
        <f t="shared" si="9"/>
        <v/>
      </c>
    </row>
    <row r="622" spans="7:7" x14ac:dyDescent="0.25">
      <c r="G622" s="41" t="str">
        <f t="shared" si="9"/>
        <v/>
      </c>
    </row>
    <row r="623" spans="7:7" x14ac:dyDescent="0.25">
      <c r="G623" s="41" t="str">
        <f t="shared" si="9"/>
        <v/>
      </c>
    </row>
    <row r="624" spans="7:7" x14ac:dyDescent="0.25">
      <c r="G624" s="41" t="str">
        <f t="shared" si="9"/>
        <v/>
      </c>
    </row>
    <row r="625" spans="7:7" x14ac:dyDescent="0.25">
      <c r="G625" s="41" t="str">
        <f t="shared" si="9"/>
        <v/>
      </c>
    </row>
    <row r="626" spans="7:7" x14ac:dyDescent="0.25">
      <c r="G626" s="41" t="str">
        <f t="shared" si="9"/>
        <v/>
      </c>
    </row>
    <row r="627" spans="7:7" x14ac:dyDescent="0.25">
      <c r="G627" s="41" t="str">
        <f t="shared" si="9"/>
        <v/>
      </c>
    </row>
    <row r="628" spans="7:7" x14ac:dyDescent="0.25">
      <c r="G628" s="41" t="str">
        <f t="shared" si="9"/>
        <v/>
      </c>
    </row>
    <row r="629" spans="7:7" x14ac:dyDescent="0.25">
      <c r="G629" s="41" t="str">
        <f t="shared" si="9"/>
        <v/>
      </c>
    </row>
    <row r="630" spans="7:7" x14ac:dyDescent="0.25">
      <c r="G630" s="41" t="str">
        <f t="shared" si="9"/>
        <v/>
      </c>
    </row>
    <row r="631" spans="7:7" x14ac:dyDescent="0.25">
      <c r="G631" s="41" t="str">
        <f t="shared" si="9"/>
        <v/>
      </c>
    </row>
    <row r="632" spans="7:7" x14ac:dyDescent="0.25">
      <c r="G632" s="41" t="str">
        <f t="shared" si="9"/>
        <v/>
      </c>
    </row>
    <row r="633" spans="7:7" x14ac:dyDescent="0.25">
      <c r="G633" s="41" t="str">
        <f t="shared" si="9"/>
        <v/>
      </c>
    </row>
    <row r="634" spans="7:7" x14ac:dyDescent="0.25">
      <c r="G634" s="41" t="str">
        <f t="shared" si="9"/>
        <v/>
      </c>
    </row>
    <row r="635" spans="7:7" x14ac:dyDescent="0.25">
      <c r="G635" s="41" t="str">
        <f t="shared" si="9"/>
        <v/>
      </c>
    </row>
    <row r="636" spans="7:7" x14ac:dyDescent="0.25">
      <c r="G636" s="41" t="str">
        <f t="shared" si="9"/>
        <v/>
      </c>
    </row>
    <row r="637" spans="7:7" x14ac:dyDescent="0.25">
      <c r="G637" s="41" t="str">
        <f t="shared" si="9"/>
        <v/>
      </c>
    </row>
    <row r="638" spans="7:7" x14ac:dyDescent="0.25">
      <c r="G638" s="41" t="str">
        <f t="shared" si="9"/>
        <v/>
      </c>
    </row>
    <row r="639" spans="7:7" x14ac:dyDescent="0.25">
      <c r="G639" s="41" t="str">
        <f t="shared" si="9"/>
        <v/>
      </c>
    </row>
    <row r="640" spans="7:7" x14ac:dyDescent="0.25">
      <c r="G640" s="41" t="str">
        <f t="shared" si="9"/>
        <v/>
      </c>
    </row>
    <row r="641" spans="7:7" x14ac:dyDescent="0.25">
      <c r="G641" s="41" t="str">
        <f t="shared" si="9"/>
        <v/>
      </c>
    </row>
    <row r="642" spans="7:7" x14ac:dyDescent="0.25">
      <c r="G642" s="41" t="str">
        <f t="shared" si="9"/>
        <v/>
      </c>
    </row>
    <row r="643" spans="7:7" x14ac:dyDescent="0.25">
      <c r="G643" s="41" t="str">
        <f t="shared" si="9"/>
        <v/>
      </c>
    </row>
    <row r="644" spans="7:7" x14ac:dyDescent="0.25">
      <c r="G644" s="41" t="str">
        <f t="shared" si="9"/>
        <v/>
      </c>
    </row>
    <row r="645" spans="7:7" x14ac:dyDescent="0.25">
      <c r="G645" s="41" t="str">
        <f t="shared" si="9"/>
        <v/>
      </c>
    </row>
    <row r="646" spans="7:7" x14ac:dyDescent="0.25">
      <c r="G646" s="41" t="str">
        <f t="shared" si="9"/>
        <v/>
      </c>
    </row>
    <row r="647" spans="7:7" x14ac:dyDescent="0.25">
      <c r="G647" s="41" t="str">
        <f t="shared" si="9"/>
        <v/>
      </c>
    </row>
    <row r="648" spans="7:7" x14ac:dyDescent="0.25">
      <c r="G648" s="41" t="str">
        <f t="shared" si="9"/>
        <v/>
      </c>
    </row>
    <row r="649" spans="7:7" x14ac:dyDescent="0.25">
      <c r="G649" s="41" t="str">
        <f t="shared" si="9"/>
        <v/>
      </c>
    </row>
    <row r="650" spans="7:7" x14ac:dyDescent="0.25">
      <c r="G650" s="41" t="str">
        <f t="shared" si="9"/>
        <v/>
      </c>
    </row>
    <row r="651" spans="7:7" x14ac:dyDescent="0.25">
      <c r="G651" s="41" t="str">
        <f t="shared" si="9"/>
        <v/>
      </c>
    </row>
    <row r="652" spans="7:7" x14ac:dyDescent="0.25">
      <c r="G652" s="41" t="str">
        <f t="shared" si="9"/>
        <v/>
      </c>
    </row>
    <row r="653" spans="7:7" x14ac:dyDescent="0.25">
      <c r="G653" s="41" t="str">
        <f t="shared" si="9"/>
        <v/>
      </c>
    </row>
    <row r="654" spans="7:7" x14ac:dyDescent="0.25">
      <c r="G654" s="41" t="str">
        <f t="shared" si="9"/>
        <v/>
      </c>
    </row>
    <row r="655" spans="7:7" x14ac:dyDescent="0.25">
      <c r="G655" s="41" t="str">
        <f t="shared" si="9"/>
        <v/>
      </c>
    </row>
    <row r="656" spans="7:7" x14ac:dyDescent="0.25">
      <c r="G656" s="41" t="str">
        <f t="shared" si="9"/>
        <v/>
      </c>
    </row>
    <row r="657" spans="7:7" x14ac:dyDescent="0.25">
      <c r="G657" s="41" t="str">
        <f t="shared" si="9"/>
        <v/>
      </c>
    </row>
    <row r="658" spans="7:7" x14ac:dyDescent="0.25">
      <c r="G658" s="41" t="str">
        <f t="shared" si="9"/>
        <v/>
      </c>
    </row>
    <row r="659" spans="7:7" x14ac:dyDescent="0.25">
      <c r="G659" s="41" t="str">
        <f t="shared" ref="G659:G722" si="10">IF(A659=0,"","Fiber")</f>
        <v/>
      </c>
    </row>
    <row r="660" spans="7:7" x14ac:dyDescent="0.25">
      <c r="G660" s="41" t="str">
        <f t="shared" si="10"/>
        <v/>
      </c>
    </row>
    <row r="661" spans="7:7" x14ac:dyDescent="0.25">
      <c r="G661" s="41" t="str">
        <f t="shared" si="10"/>
        <v/>
      </c>
    </row>
    <row r="662" spans="7:7" x14ac:dyDescent="0.25">
      <c r="G662" s="41" t="str">
        <f t="shared" si="10"/>
        <v/>
      </c>
    </row>
    <row r="663" spans="7:7" x14ac:dyDescent="0.25">
      <c r="G663" s="41" t="str">
        <f t="shared" si="10"/>
        <v/>
      </c>
    </row>
    <row r="664" spans="7:7" x14ac:dyDescent="0.25">
      <c r="G664" s="41" t="str">
        <f t="shared" si="10"/>
        <v/>
      </c>
    </row>
    <row r="665" spans="7:7" x14ac:dyDescent="0.25">
      <c r="G665" s="41" t="str">
        <f t="shared" si="10"/>
        <v/>
      </c>
    </row>
    <row r="666" spans="7:7" x14ac:dyDescent="0.25">
      <c r="G666" s="41" t="str">
        <f t="shared" si="10"/>
        <v/>
      </c>
    </row>
    <row r="667" spans="7:7" x14ac:dyDescent="0.25">
      <c r="G667" s="41" t="str">
        <f t="shared" si="10"/>
        <v/>
      </c>
    </row>
    <row r="668" spans="7:7" x14ac:dyDescent="0.25">
      <c r="G668" s="41" t="str">
        <f t="shared" si="10"/>
        <v/>
      </c>
    </row>
    <row r="669" spans="7:7" x14ac:dyDescent="0.25">
      <c r="G669" s="41" t="str">
        <f t="shared" si="10"/>
        <v/>
      </c>
    </row>
    <row r="670" spans="7:7" x14ac:dyDescent="0.25">
      <c r="G670" s="41" t="str">
        <f t="shared" si="10"/>
        <v/>
      </c>
    </row>
    <row r="671" spans="7:7" x14ac:dyDescent="0.25">
      <c r="G671" s="41" t="str">
        <f t="shared" si="10"/>
        <v/>
      </c>
    </row>
    <row r="672" spans="7:7" x14ac:dyDescent="0.25">
      <c r="G672" s="41" t="str">
        <f t="shared" si="10"/>
        <v/>
      </c>
    </row>
    <row r="673" spans="7:7" x14ac:dyDescent="0.25">
      <c r="G673" s="41" t="str">
        <f t="shared" si="10"/>
        <v/>
      </c>
    </row>
    <row r="674" spans="7:7" x14ac:dyDescent="0.25">
      <c r="G674" s="41" t="str">
        <f t="shared" si="10"/>
        <v/>
      </c>
    </row>
    <row r="675" spans="7:7" x14ac:dyDescent="0.25">
      <c r="G675" s="41" t="str">
        <f t="shared" si="10"/>
        <v/>
      </c>
    </row>
    <row r="676" spans="7:7" x14ac:dyDescent="0.25">
      <c r="G676" s="41" t="str">
        <f t="shared" si="10"/>
        <v/>
      </c>
    </row>
    <row r="677" spans="7:7" x14ac:dyDescent="0.25">
      <c r="G677" s="41" t="str">
        <f t="shared" si="10"/>
        <v/>
      </c>
    </row>
    <row r="678" spans="7:7" x14ac:dyDescent="0.25">
      <c r="G678" s="41" t="str">
        <f t="shared" si="10"/>
        <v/>
      </c>
    </row>
    <row r="679" spans="7:7" x14ac:dyDescent="0.25">
      <c r="G679" s="41" t="str">
        <f t="shared" si="10"/>
        <v/>
      </c>
    </row>
    <row r="680" spans="7:7" x14ac:dyDescent="0.25">
      <c r="G680" s="41" t="str">
        <f t="shared" si="10"/>
        <v/>
      </c>
    </row>
    <row r="681" spans="7:7" x14ac:dyDescent="0.25">
      <c r="G681" s="41" t="str">
        <f t="shared" si="10"/>
        <v/>
      </c>
    </row>
    <row r="682" spans="7:7" x14ac:dyDescent="0.25">
      <c r="G682" s="41" t="str">
        <f t="shared" si="10"/>
        <v/>
      </c>
    </row>
    <row r="683" spans="7:7" x14ac:dyDescent="0.25">
      <c r="G683" s="41" t="str">
        <f t="shared" si="10"/>
        <v/>
      </c>
    </row>
    <row r="684" spans="7:7" x14ac:dyDescent="0.25">
      <c r="G684" s="41" t="str">
        <f t="shared" si="10"/>
        <v/>
      </c>
    </row>
    <row r="685" spans="7:7" x14ac:dyDescent="0.25">
      <c r="G685" s="41" t="str">
        <f t="shared" si="10"/>
        <v/>
      </c>
    </row>
    <row r="686" spans="7:7" x14ac:dyDescent="0.25">
      <c r="G686" s="41" t="str">
        <f t="shared" si="10"/>
        <v/>
      </c>
    </row>
    <row r="687" spans="7:7" x14ac:dyDescent="0.25">
      <c r="G687" s="41" t="str">
        <f t="shared" si="10"/>
        <v/>
      </c>
    </row>
    <row r="688" spans="7:7" x14ac:dyDescent="0.25">
      <c r="G688" s="41" t="str">
        <f t="shared" si="10"/>
        <v/>
      </c>
    </row>
    <row r="689" spans="7:7" x14ac:dyDescent="0.25">
      <c r="G689" s="41" t="str">
        <f t="shared" si="10"/>
        <v/>
      </c>
    </row>
    <row r="690" spans="7:7" x14ac:dyDescent="0.25">
      <c r="G690" s="41" t="str">
        <f t="shared" si="10"/>
        <v/>
      </c>
    </row>
    <row r="691" spans="7:7" x14ac:dyDescent="0.25">
      <c r="G691" s="41" t="str">
        <f t="shared" si="10"/>
        <v/>
      </c>
    </row>
    <row r="692" spans="7:7" x14ac:dyDescent="0.25">
      <c r="G692" s="41" t="str">
        <f t="shared" si="10"/>
        <v/>
      </c>
    </row>
    <row r="693" spans="7:7" x14ac:dyDescent="0.25">
      <c r="G693" s="41" t="str">
        <f t="shared" si="10"/>
        <v/>
      </c>
    </row>
    <row r="694" spans="7:7" x14ac:dyDescent="0.25">
      <c r="G694" s="41" t="str">
        <f t="shared" si="10"/>
        <v/>
      </c>
    </row>
    <row r="695" spans="7:7" x14ac:dyDescent="0.25">
      <c r="G695" s="41" t="str">
        <f t="shared" si="10"/>
        <v/>
      </c>
    </row>
    <row r="696" spans="7:7" x14ac:dyDescent="0.25">
      <c r="G696" s="41" t="str">
        <f t="shared" si="10"/>
        <v/>
      </c>
    </row>
    <row r="697" spans="7:7" x14ac:dyDescent="0.25">
      <c r="G697" s="41" t="str">
        <f t="shared" si="10"/>
        <v/>
      </c>
    </row>
    <row r="698" spans="7:7" x14ac:dyDescent="0.25">
      <c r="G698" s="41" t="str">
        <f t="shared" si="10"/>
        <v/>
      </c>
    </row>
    <row r="699" spans="7:7" x14ac:dyDescent="0.25">
      <c r="G699" s="41" t="str">
        <f t="shared" si="10"/>
        <v/>
      </c>
    </row>
    <row r="700" spans="7:7" x14ac:dyDescent="0.25">
      <c r="G700" s="41" t="str">
        <f t="shared" si="10"/>
        <v/>
      </c>
    </row>
    <row r="701" spans="7:7" x14ac:dyDescent="0.25">
      <c r="G701" s="41" t="str">
        <f t="shared" si="10"/>
        <v/>
      </c>
    </row>
    <row r="702" spans="7:7" x14ac:dyDescent="0.25">
      <c r="G702" s="41" t="str">
        <f t="shared" si="10"/>
        <v/>
      </c>
    </row>
    <row r="703" spans="7:7" x14ac:dyDescent="0.25">
      <c r="G703" s="41" t="str">
        <f t="shared" si="10"/>
        <v/>
      </c>
    </row>
    <row r="704" spans="7:7" x14ac:dyDescent="0.25">
      <c r="G704" s="41" t="str">
        <f t="shared" si="10"/>
        <v/>
      </c>
    </row>
    <row r="705" spans="7:7" x14ac:dyDescent="0.25">
      <c r="G705" s="41" t="str">
        <f t="shared" si="10"/>
        <v/>
      </c>
    </row>
    <row r="706" spans="7:7" x14ac:dyDescent="0.25">
      <c r="G706" s="41" t="str">
        <f t="shared" si="10"/>
        <v/>
      </c>
    </row>
    <row r="707" spans="7:7" x14ac:dyDescent="0.25">
      <c r="G707" s="41" t="str">
        <f t="shared" si="10"/>
        <v/>
      </c>
    </row>
    <row r="708" spans="7:7" x14ac:dyDescent="0.25">
      <c r="G708" s="41" t="str">
        <f t="shared" si="10"/>
        <v/>
      </c>
    </row>
    <row r="709" spans="7:7" x14ac:dyDescent="0.25">
      <c r="G709" s="41" t="str">
        <f t="shared" si="10"/>
        <v/>
      </c>
    </row>
    <row r="710" spans="7:7" x14ac:dyDescent="0.25">
      <c r="G710" s="41" t="str">
        <f t="shared" si="10"/>
        <v/>
      </c>
    </row>
    <row r="711" spans="7:7" x14ac:dyDescent="0.25">
      <c r="G711" s="41" t="str">
        <f t="shared" si="10"/>
        <v/>
      </c>
    </row>
    <row r="712" spans="7:7" x14ac:dyDescent="0.25">
      <c r="G712" s="41" t="str">
        <f t="shared" si="10"/>
        <v/>
      </c>
    </row>
    <row r="713" spans="7:7" x14ac:dyDescent="0.25">
      <c r="G713" s="41" t="str">
        <f t="shared" si="10"/>
        <v/>
      </c>
    </row>
    <row r="714" spans="7:7" x14ac:dyDescent="0.25">
      <c r="G714" s="41" t="str">
        <f t="shared" si="10"/>
        <v/>
      </c>
    </row>
    <row r="715" spans="7:7" x14ac:dyDescent="0.25">
      <c r="G715" s="41" t="str">
        <f t="shared" si="10"/>
        <v/>
      </c>
    </row>
    <row r="716" spans="7:7" x14ac:dyDescent="0.25">
      <c r="G716" s="41" t="str">
        <f t="shared" si="10"/>
        <v/>
      </c>
    </row>
    <row r="717" spans="7:7" x14ac:dyDescent="0.25">
      <c r="G717" s="41" t="str">
        <f t="shared" si="10"/>
        <v/>
      </c>
    </row>
    <row r="718" spans="7:7" x14ac:dyDescent="0.25">
      <c r="G718" s="41" t="str">
        <f t="shared" si="10"/>
        <v/>
      </c>
    </row>
    <row r="719" spans="7:7" x14ac:dyDescent="0.25">
      <c r="G719" s="41" t="str">
        <f t="shared" si="10"/>
        <v/>
      </c>
    </row>
    <row r="720" spans="7:7" x14ac:dyDescent="0.25">
      <c r="G720" s="41" t="str">
        <f t="shared" si="10"/>
        <v/>
      </c>
    </row>
    <row r="721" spans="7:7" x14ac:dyDescent="0.25">
      <c r="G721" s="41" t="str">
        <f t="shared" si="10"/>
        <v/>
      </c>
    </row>
    <row r="722" spans="7:7" x14ac:dyDescent="0.25">
      <c r="G722" s="41" t="str">
        <f t="shared" si="10"/>
        <v/>
      </c>
    </row>
    <row r="723" spans="7:7" x14ac:dyDescent="0.25">
      <c r="G723" s="41" t="str">
        <f t="shared" ref="G723:G786" si="11">IF(A723=0,"","Fiber")</f>
        <v/>
      </c>
    </row>
    <row r="724" spans="7:7" x14ac:dyDescent="0.25">
      <c r="G724" s="41" t="str">
        <f t="shared" si="11"/>
        <v/>
      </c>
    </row>
    <row r="725" spans="7:7" x14ac:dyDescent="0.25">
      <c r="G725" s="41" t="str">
        <f t="shared" si="11"/>
        <v/>
      </c>
    </row>
    <row r="726" spans="7:7" x14ac:dyDescent="0.25">
      <c r="G726" s="41" t="str">
        <f t="shared" si="11"/>
        <v/>
      </c>
    </row>
    <row r="727" spans="7:7" x14ac:dyDescent="0.25">
      <c r="G727" s="41" t="str">
        <f t="shared" si="11"/>
        <v/>
      </c>
    </row>
    <row r="728" spans="7:7" x14ac:dyDescent="0.25">
      <c r="G728" s="41" t="str">
        <f t="shared" si="11"/>
        <v/>
      </c>
    </row>
    <row r="729" spans="7:7" x14ac:dyDescent="0.25">
      <c r="G729" s="41" t="str">
        <f t="shared" si="11"/>
        <v/>
      </c>
    </row>
    <row r="730" spans="7:7" x14ac:dyDescent="0.25">
      <c r="G730" s="41" t="str">
        <f t="shared" si="11"/>
        <v/>
      </c>
    </row>
    <row r="731" spans="7:7" x14ac:dyDescent="0.25">
      <c r="G731" s="41" t="str">
        <f t="shared" si="11"/>
        <v/>
      </c>
    </row>
    <row r="732" spans="7:7" x14ac:dyDescent="0.25">
      <c r="G732" s="41" t="str">
        <f t="shared" si="11"/>
        <v/>
      </c>
    </row>
    <row r="733" spans="7:7" x14ac:dyDescent="0.25">
      <c r="G733" s="41" t="str">
        <f t="shared" si="11"/>
        <v/>
      </c>
    </row>
    <row r="734" spans="7:7" x14ac:dyDescent="0.25">
      <c r="G734" s="41" t="str">
        <f t="shared" si="11"/>
        <v/>
      </c>
    </row>
    <row r="735" spans="7:7" x14ac:dyDescent="0.25">
      <c r="G735" s="41" t="str">
        <f t="shared" si="11"/>
        <v/>
      </c>
    </row>
    <row r="736" spans="7:7" x14ac:dyDescent="0.25">
      <c r="G736" s="41" t="str">
        <f t="shared" si="11"/>
        <v/>
      </c>
    </row>
    <row r="737" spans="7:7" x14ac:dyDescent="0.25">
      <c r="G737" s="41" t="str">
        <f t="shared" si="11"/>
        <v/>
      </c>
    </row>
    <row r="738" spans="7:7" x14ac:dyDescent="0.25">
      <c r="G738" s="41" t="str">
        <f t="shared" si="11"/>
        <v/>
      </c>
    </row>
    <row r="739" spans="7:7" x14ac:dyDescent="0.25">
      <c r="G739" s="41" t="str">
        <f t="shared" si="11"/>
        <v/>
      </c>
    </row>
    <row r="740" spans="7:7" x14ac:dyDescent="0.25">
      <c r="G740" s="41" t="str">
        <f t="shared" si="11"/>
        <v/>
      </c>
    </row>
    <row r="741" spans="7:7" x14ac:dyDescent="0.25">
      <c r="G741" s="41" t="str">
        <f t="shared" si="11"/>
        <v/>
      </c>
    </row>
    <row r="742" spans="7:7" x14ac:dyDescent="0.25">
      <c r="G742" s="41" t="str">
        <f t="shared" si="11"/>
        <v/>
      </c>
    </row>
    <row r="743" spans="7:7" x14ac:dyDescent="0.25">
      <c r="G743" s="41" t="str">
        <f t="shared" si="11"/>
        <v/>
      </c>
    </row>
    <row r="744" spans="7:7" x14ac:dyDescent="0.25">
      <c r="G744" s="41" t="str">
        <f t="shared" si="11"/>
        <v/>
      </c>
    </row>
    <row r="745" spans="7:7" x14ac:dyDescent="0.25">
      <c r="G745" s="41" t="str">
        <f t="shared" si="11"/>
        <v/>
      </c>
    </row>
    <row r="746" spans="7:7" x14ac:dyDescent="0.25">
      <c r="G746" s="41" t="str">
        <f t="shared" si="11"/>
        <v/>
      </c>
    </row>
    <row r="747" spans="7:7" x14ac:dyDescent="0.25">
      <c r="G747" s="41" t="str">
        <f t="shared" si="11"/>
        <v/>
      </c>
    </row>
    <row r="748" spans="7:7" x14ac:dyDescent="0.25">
      <c r="G748" s="41" t="str">
        <f t="shared" si="11"/>
        <v/>
      </c>
    </row>
    <row r="749" spans="7:7" x14ac:dyDescent="0.25">
      <c r="G749" s="41" t="str">
        <f t="shared" si="11"/>
        <v/>
      </c>
    </row>
    <row r="750" spans="7:7" x14ac:dyDescent="0.25">
      <c r="G750" s="41" t="str">
        <f t="shared" si="11"/>
        <v/>
      </c>
    </row>
    <row r="751" spans="7:7" x14ac:dyDescent="0.25">
      <c r="G751" s="41" t="str">
        <f t="shared" si="11"/>
        <v/>
      </c>
    </row>
    <row r="752" spans="7:7" x14ac:dyDescent="0.25">
      <c r="G752" s="41" t="str">
        <f t="shared" si="11"/>
        <v/>
      </c>
    </row>
    <row r="753" spans="7:7" x14ac:dyDescent="0.25">
      <c r="G753" s="41" t="str">
        <f t="shared" si="11"/>
        <v/>
      </c>
    </row>
    <row r="754" spans="7:7" x14ac:dyDescent="0.25">
      <c r="G754" s="41" t="str">
        <f t="shared" si="11"/>
        <v/>
      </c>
    </row>
    <row r="755" spans="7:7" x14ac:dyDescent="0.25">
      <c r="G755" s="41" t="str">
        <f t="shared" si="11"/>
        <v/>
      </c>
    </row>
    <row r="756" spans="7:7" x14ac:dyDescent="0.25">
      <c r="G756" s="41" t="str">
        <f t="shared" si="11"/>
        <v/>
      </c>
    </row>
    <row r="757" spans="7:7" x14ac:dyDescent="0.25">
      <c r="G757" s="41" t="str">
        <f t="shared" si="11"/>
        <v/>
      </c>
    </row>
    <row r="758" spans="7:7" x14ac:dyDescent="0.25">
      <c r="G758" s="41" t="str">
        <f t="shared" si="11"/>
        <v/>
      </c>
    </row>
    <row r="759" spans="7:7" x14ac:dyDescent="0.25">
      <c r="G759" s="41" t="str">
        <f t="shared" si="11"/>
        <v/>
      </c>
    </row>
    <row r="760" spans="7:7" x14ac:dyDescent="0.25">
      <c r="G760" s="41" t="str">
        <f t="shared" si="11"/>
        <v/>
      </c>
    </row>
    <row r="761" spans="7:7" x14ac:dyDescent="0.25">
      <c r="G761" s="41" t="str">
        <f t="shared" si="11"/>
        <v/>
      </c>
    </row>
    <row r="762" spans="7:7" x14ac:dyDescent="0.25">
      <c r="G762" s="41" t="str">
        <f t="shared" si="11"/>
        <v/>
      </c>
    </row>
    <row r="763" spans="7:7" x14ac:dyDescent="0.25">
      <c r="G763" s="41" t="str">
        <f t="shared" si="11"/>
        <v/>
      </c>
    </row>
    <row r="764" spans="7:7" x14ac:dyDescent="0.25">
      <c r="G764" s="41" t="str">
        <f t="shared" si="11"/>
        <v/>
      </c>
    </row>
    <row r="765" spans="7:7" x14ac:dyDescent="0.25">
      <c r="G765" s="41" t="str">
        <f t="shared" si="11"/>
        <v/>
      </c>
    </row>
    <row r="766" spans="7:7" x14ac:dyDescent="0.25">
      <c r="G766" s="41" t="str">
        <f t="shared" si="11"/>
        <v/>
      </c>
    </row>
    <row r="767" spans="7:7" x14ac:dyDescent="0.25">
      <c r="G767" s="41" t="str">
        <f t="shared" si="11"/>
        <v/>
      </c>
    </row>
    <row r="768" spans="7:7" x14ac:dyDescent="0.25">
      <c r="G768" s="41" t="str">
        <f t="shared" si="11"/>
        <v/>
      </c>
    </row>
    <row r="769" spans="7:7" x14ac:dyDescent="0.25">
      <c r="G769" s="41" t="str">
        <f t="shared" si="11"/>
        <v/>
      </c>
    </row>
    <row r="770" spans="7:7" x14ac:dyDescent="0.25">
      <c r="G770" s="41" t="str">
        <f t="shared" si="11"/>
        <v/>
      </c>
    </row>
    <row r="771" spans="7:7" x14ac:dyDescent="0.25">
      <c r="G771" s="41" t="str">
        <f t="shared" si="11"/>
        <v/>
      </c>
    </row>
    <row r="772" spans="7:7" x14ac:dyDescent="0.25">
      <c r="G772" s="41" t="str">
        <f t="shared" si="11"/>
        <v/>
      </c>
    </row>
    <row r="773" spans="7:7" x14ac:dyDescent="0.25">
      <c r="G773" s="41" t="str">
        <f t="shared" si="11"/>
        <v/>
      </c>
    </row>
    <row r="774" spans="7:7" x14ac:dyDescent="0.25">
      <c r="G774" s="41" t="str">
        <f t="shared" si="11"/>
        <v/>
      </c>
    </row>
    <row r="775" spans="7:7" x14ac:dyDescent="0.25">
      <c r="G775" s="41" t="str">
        <f t="shared" si="11"/>
        <v/>
      </c>
    </row>
    <row r="776" spans="7:7" x14ac:dyDescent="0.25">
      <c r="G776" s="41" t="str">
        <f t="shared" si="11"/>
        <v/>
      </c>
    </row>
    <row r="777" spans="7:7" x14ac:dyDescent="0.25">
      <c r="G777" s="41" t="str">
        <f t="shared" si="11"/>
        <v/>
      </c>
    </row>
    <row r="778" spans="7:7" x14ac:dyDescent="0.25">
      <c r="G778" s="41" t="str">
        <f t="shared" si="11"/>
        <v/>
      </c>
    </row>
    <row r="779" spans="7:7" x14ac:dyDescent="0.25">
      <c r="G779" s="41" t="str">
        <f t="shared" si="11"/>
        <v/>
      </c>
    </row>
    <row r="780" spans="7:7" x14ac:dyDescent="0.25">
      <c r="G780" s="41" t="str">
        <f t="shared" si="11"/>
        <v/>
      </c>
    </row>
    <row r="781" spans="7:7" x14ac:dyDescent="0.25">
      <c r="G781" s="41" t="str">
        <f t="shared" si="11"/>
        <v/>
      </c>
    </row>
    <row r="782" spans="7:7" x14ac:dyDescent="0.25">
      <c r="G782" s="41" t="str">
        <f t="shared" si="11"/>
        <v/>
      </c>
    </row>
    <row r="783" spans="7:7" x14ac:dyDescent="0.25">
      <c r="G783" s="41" t="str">
        <f t="shared" si="11"/>
        <v/>
      </c>
    </row>
    <row r="784" spans="7:7" x14ac:dyDescent="0.25">
      <c r="G784" s="41" t="str">
        <f t="shared" si="11"/>
        <v/>
      </c>
    </row>
    <row r="785" spans="7:7" x14ac:dyDescent="0.25">
      <c r="G785" s="41" t="str">
        <f t="shared" si="11"/>
        <v/>
      </c>
    </row>
    <row r="786" spans="7:7" x14ac:dyDescent="0.25">
      <c r="G786" s="41" t="str">
        <f t="shared" si="11"/>
        <v/>
      </c>
    </row>
    <row r="787" spans="7:7" x14ac:dyDescent="0.25">
      <c r="G787" s="41" t="str">
        <f t="shared" ref="G787:G850" si="12">IF(A787=0,"","Fiber")</f>
        <v/>
      </c>
    </row>
    <row r="788" spans="7:7" x14ac:dyDescent="0.25">
      <c r="G788" s="41" t="str">
        <f t="shared" si="12"/>
        <v/>
      </c>
    </row>
    <row r="789" spans="7:7" x14ac:dyDescent="0.25">
      <c r="G789" s="41" t="str">
        <f t="shared" si="12"/>
        <v/>
      </c>
    </row>
    <row r="790" spans="7:7" x14ac:dyDescent="0.25">
      <c r="G790" s="41" t="str">
        <f t="shared" si="12"/>
        <v/>
      </c>
    </row>
    <row r="791" spans="7:7" x14ac:dyDescent="0.25">
      <c r="G791" s="41" t="str">
        <f t="shared" si="12"/>
        <v/>
      </c>
    </row>
    <row r="792" spans="7:7" x14ac:dyDescent="0.25">
      <c r="G792" s="41" t="str">
        <f t="shared" si="12"/>
        <v/>
      </c>
    </row>
    <row r="793" spans="7:7" x14ac:dyDescent="0.25">
      <c r="G793" s="41" t="str">
        <f t="shared" si="12"/>
        <v/>
      </c>
    </row>
    <row r="794" spans="7:7" x14ac:dyDescent="0.25">
      <c r="G794" s="41" t="str">
        <f t="shared" si="12"/>
        <v/>
      </c>
    </row>
    <row r="795" spans="7:7" x14ac:dyDescent="0.25">
      <c r="G795" s="41" t="str">
        <f t="shared" si="12"/>
        <v/>
      </c>
    </row>
    <row r="796" spans="7:7" x14ac:dyDescent="0.25">
      <c r="G796" s="41" t="str">
        <f t="shared" si="12"/>
        <v/>
      </c>
    </row>
    <row r="797" spans="7:7" x14ac:dyDescent="0.25">
      <c r="G797" s="41" t="str">
        <f t="shared" si="12"/>
        <v/>
      </c>
    </row>
    <row r="798" spans="7:7" x14ac:dyDescent="0.25">
      <c r="G798" s="41" t="str">
        <f t="shared" si="12"/>
        <v/>
      </c>
    </row>
    <row r="799" spans="7:7" x14ac:dyDescent="0.25">
      <c r="G799" s="41" t="str">
        <f t="shared" si="12"/>
        <v/>
      </c>
    </row>
    <row r="800" spans="7:7" x14ac:dyDescent="0.25">
      <c r="G800" s="41" t="str">
        <f t="shared" si="12"/>
        <v/>
      </c>
    </row>
    <row r="801" spans="7:7" x14ac:dyDescent="0.25">
      <c r="G801" s="41" t="str">
        <f t="shared" si="12"/>
        <v/>
      </c>
    </row>
    <row r="802" spans="7:7" x14ac:dyDescent="0.25">
      <c r="G802" s="41" t="str">
        <f t="shared" si="12"/>
        <v/>
      </c>
    </row>
    <row r="803" spans="7:7" x14ac:dyDescent="0.25">
      <c r="G803" s="41" t="str">
        <f t="shared" si="12"/>
        <v/>
      </c>
    </row>
    <row r="804" spans="7:7" x14ac:dyDescent="0.25">
      <c r="G804" s="41" t="str">
        <f t="shared" si="12"/>
        <v/>
      </c>
    </row>
    <row r="805" spans="7:7" x14ac:dyDescent="0.25">
      <c r="G805" s="41" t="str">
        <f t="shared" si="12"/>
        <v/>
      </c>
    </row>
    <row r="806" spans="7:7" x14ac:dyDescent="0.25">
      <c r="G806" s="41" t="str">
        <f t="shared" si="12"/>
        <v/>
      </c>
    </row>
    <row r="807" spans="7:7" x14ac:dyDescent="0.25">
      <c r="G807" s="41" t="str">
        <f t="shared" si="12"/>
        <v/>
      </c>
    </row>
    <row r="808" spans="7:7" x14ac:dyDescent="0.25">
      <c r="G808" s="41" t="str">
        <f t="shared" si="12"/>
        <v/>
      </c>
    </row>
    <row r="809" spans="7:7" x14ac:dyDescent="0.25">
      <c r="G809" s="41" t="str">
        <f t="shared" si="12"/>
        <v/>
      </c>
    </row>
    <row r="810" spans="7:7" x14ac:dyDescent="0.25">
      <c r="G810" s="41" t="str">
        <f t="shared" si="12"/>
        <v/>
      </c>
    </row>
    <row r="811" spans="7:7" x14ac:dyDescent="0.25">
      <c r="G811" s="41" t="str">
        <f t="shared" si="12"/>
        <v/>
      </c>
    </row>
    <row r="812" spans="7:7" x14ac:dyDescent="0.25">
      <c r="G812" s="41" t="str">
        <f t="shared" si="12"/>
        <v/>
      </c>
    </row>
    <row r="813" spans="7:7" x14ac:dyDescent="0.25">
      <c r="G813" s="41" t="str">
        <f t="shared" si="12"/>
        <v/>
      </c>
    </row>
    <row r="814" spans="7:7" x14ac:dyDescent="0.25">
      <c r="G814" s="41" t="str">
        <f t="shared" si="12"/>
        <v/>
      </c>
    </row>
    <row r="815" spans="7:7" x14ac:dyDescent="0.25">
      <c r="G815" s="41" t="str">
        <f t="shared" si="12"/>
        <v/>
      </c>
    </row>
    <row r="816" spans="7:7" x14ac:dyDescent="0.25">
      <c r="G816" s="41" t="str">
        <f t="shared" si="12"/>
        <v/>
      </c>
    </row>
    <row r="817" spans="7:7" x14ac:dyDescent="0.25">
      <c r="G817" s="41" t="str">
        <f t="shared" si="12"/>
        <v/>
      </c>
    </row>
    <row r="818" spans="7:7" x14ac:dyDescent="0.25">
      <c r="G818" s="41" t="str">
        <f t="shared" si="12"/>
        <v/>
      </c>
    </row>
    <row r="819" spans="7:7" x14ac:dyDescent="0.25">
      <c r="G819" s="41" t="str">
        <f t="shared" si="12"/>
        <v/>
      </c>
    </row>
    <row r="820" spans="7:7" x14ac:dyDescent="0.25">
      <c r="G820" s="41" t="str">
        <f t="shared" si="12"/>
        <v/>
      </c>
    </row>
    <row r="821" spans="7:7" x14ac:dyDescent="0.25">
      <c r="G821" s="41" t="str">
        <f t="shared" si="12"/>
        <v/>
      </c>
    </row>
    <row r="822" spans="7:7" x14ac:dyDescent="0.25">
      <c r="G822" s="41" t="str">
        <f t="shared" si="12"/>
        <v/>
      </c>
    </row>
    <row r="823" spans="7:7" x14ac:dyDescent="0.25">
      <c r="G823" s="41" t="str">
        <f t="shared" si="12"/>
        <v/>
      </c>
    </row>
    <row r="824" spans="7:7" x14ac:dyDescent="0.25">
      <c r="G824" s="41" t="str">
        <f t="shared" si="12"/>
        <v/>
      </c>
    </row>
    <row r="825" spans="7:7" x14ac:dyDescent="0.25">
      <c r="G825" s="41" t="str">
        <f t="shared" si="12"/>
        <v/>
      </c>
    </row>
    <row r="826" spans="7:7" x14ac:dyDescent="0.25">
      <c r="G826" s="41" t="str">
        <f t="shared" si="12"/>
        <v/>
      </c>
    </row>
    <row r="827" spans="7:7" x14ac:dyDescent="0.25">
      <c r="G827" s="41" t="str">
        <f t="shared" si="12"/>
        <v/>
      </c>
    </row>
    <row r="828" spans="7:7" x14ac:dyDescent="0.25">
      <c r="G828" s="41" t="str">
        <f t="shared" si="12"/>
        <v/>
      </c>
    </row>
    <row r="829" spans="7:7" x14ac:dyDescent="0.25">
      <c r="G829" s="41" t="str">
        <f t="shared" si="12"/>
        <v/>
      </c>
    </row>
    <row r="830" spans="7:7" x14ac:dyDescent="0.25">
      <c r="G830" s="41" t="str">
        <f t="shared" si="12"/>
        <v/>
      </c>
    </row>
    <row r="831" spans="7:7" x14ac:dyDescent="0.25">
      <c r="G831" s="41" t="str">
        <f t="shared" si="12"/>
        <v/>
      </c>
    </row>
    <row r="832" spans="7:7" x14ac:dyDescent="0.25">
      <c r="G832" s="41" t="str">
        <f t="shared" si="12"/>
        <v/>
      </c>
    </row>
    <row r="833" spans="7:7" x14ac:dyDescent="0.25">
      <c r="G833" s="41" t="str">
        <f t="shared" si="12"/>
        <v/>
      </c>
    </row>
    <row r="834" spans="7:7" x14ac:dyDescent="0.25">
      <c r="G834" s="41" t="str">
        <f t="shared" si="12"/>
        <v/>
      </c>
    </row>
    <row r="835" spans="7:7" x14ac:dyDescent="0.25">
      <c r="G835" s="41" t="str">
        <f t="shared" si="12"/>
        <v/>
      </c>
    </row>
    <row r="836" spans="7:7" x14ac:dyDescent="0.25">
      <c r="G836" s="41" t="str">
        <f t="shared" si="12"/>
        <v/>
      </c>
    </row>
    <row r="837" spans="7:7" x14ac:dyDescent="0.25">
      <c r="G837" s="41" t="str">
        <f t="shared" si="12"/>
        <v/>
      </c>
    </row>
    <row r="838" spans="7:7" x14ac:dyDescent="0.25">
      <c r="G838" s="41" t="str">
        <f t="shared" si="12"/>
        <v/>
      </c>
    </row>
    <row r="839" spans="7:7" x14ac:dyDescent="0.25">
      <c r="G839" s="41" t="str">
        <f t="shared" si="12"/>
        <v/>
      </c>
    </row>
    <row r="840" spans="7:7" x14ac:dyDescent="0.25">
      <c r="G840" s="41" t="str">
        <f t="shared" si="12"/>
        <v/>
      </c>
    </row>
    <row r="841" spans="7:7" x14ac:dyDescent="0.25">
      <c r="G841" s="41" t="str">
        <f t="shared" si="12"/>
        <v/>
      </c>
    </row>
    <row r="842" spans="7:7" x14ac:dyDescent="0.25">
      <c r="G842" s="41" t="str">
        <f t="shared" si="12"/>
        <v/>
      </c>
    </row>
    <row r="843" spans="7:7" x14ac:dyDescent="0.25">
      <c r="G843" s="41" t="str">
        <f t="shared" si="12"/>
        <v/>
      </c>
    </row>
    <row r="844" spans="7:7" x14ac:dyDescent="0.25">
      <c r="G844" s="41" t="str">
        <f t="shared" si="12"/>
        <v/>
      </c>
    </row>
    <row r="845" spans="7:7" x14ac:dyDescent="0.25">
      <c r="G845" s="41" t="str">
        <f t="shared" si="12"/>
        <v/>
      </c>
    </row>
    <row r="846" spans="7:7" x14ac:dyDescent="0.25">
      <c r="G846" s="41" t="str">
        <f t="shared" si="12"/>
        <v/>
      </c>
    </row>
    <row r="847" spans="7:7" x14ac:dyDescent="0.25">
      <c r="G847" s="41" t="str">
        <f t="shared" si="12"/>
        <v/>
      </c>
    </row>
    <row r="848" spans="7:7" x14ac:dyDescent="0.25">
      <c r="G848" s="41" t="str">
        <f t="shared" si="12"/>
        <v/>
      </c>
    </row>
    <row r="849" spans="7:7" x14ac:dyDescent="0.25">
      <c r="G849" s="41" t="str">
        <f t="shared" si="12"/>
        <v/>
      </c>
    </row>
    <row r="850" spans="7:7" x14ac:dyDescent="0.25">
      <c r="G850" s="41" t="str">
        <f t="shared" si="12"/>
        <v/>
      </c>
    </row>
    <row r="851" spans="7:7" x14ac:dyDescent="0.25">
      <c r="G851" s="41" t="str">
        <f t="shared" ref="G851:G914" si="13">IF(A851=0,"","Fiber")</f>
        <v/>
      </c>
    </row>
    <row r="852" spans="7:7" x14ac:dyDescent="0.25">
      <c r="G852" s="41" t="str">
        <f t="shared" si="13"/>
        <v/>
      </c>
    </row>
    <row r="853" spans="7:7" x14ac:dyDescent="0.25">
      <c r="G853" s="41" t="str">
        <f t="shared" si="13"/>
        <v/>
      </c>
    </row>
    <row r="854" spans="7:7" x14ac:dyDescent="0.25">
      <c r="G854" s="41" t="str">
        <f t="shared" si="13"/>
        <v/>
      </c>
    </row>
    <row r="855" spans="7:7" x14ac:dyDescent="0.25">
      <c r="G855" s="41" t="str">
        <f t="shared" si="13"/>
        <v/>
      </c>
    </row>
    <row r="856" spans="7:7" x14ac:dyDescent="0.25">
      <c r="G856" s="41" t="str">
        <f t="shared" si="13"/>
        <v/>
      </c>
    </row>
    <row r="857" spans="7:7" x14ac:dyDescent="0.25">
      <c r="G857" s="41" t="str">
        <f t="shared" si="13"/>
        <v/>
      </c>
    </row>
    <row r="858" spans="7:7" x14ac:dyDescent="0.25">
      <c r="G858" s="41" t="str">
        <f t="shared" si="13"/>
        <v/>
      </c>
    </row>
    <row r="859" spans="7:7" x14ac:dyDescent="0.25">
      <c r="G859" s="41" t="str">
        <f t="shared" si="13"/>
        <v/>
      </c>
    </row>
    <row r="860" spans="7:7" x14ac:dyDescent="0.25">
      <c r="G860" s="41" t="str">
        <f t="shared" si="13"/>
        <v/>
      </c>
    </row>
    <row r="861" spans="7:7" x14ac:dyDescent="0.25">
      <c r="G861" s="41" t="str">
        <f t="shared" si="13"/>
        <v/>
      </c>
    </row>
    <row r="862" spans="7:7" x14ac:dyDescent="0.25">
      <c r="G862" s="41" t="str">
        <f t="shared" si="13"/>
        <v/>
      </c>
    </row>
    <row r="863" spans="7:7" x14ac:dyDescent="0.25">
      <c r="G863" s="41" t="str">
        <f t="shared" si="13"/>
        <v/>
      </c>
    </row>
    <row r="864" spans="7:7" x14ac:dyDescent="0.25">
      <c r="G864" s="41" t="str">
        <f t="shared" si="13"/>
        <v/>
      </c>
    </row>
    <row r="865" spans="7:7" x14ac:dyDescent="0.25">
      <c r="G865" s="41" t="str">
        <f t="shared" si="13"/>
        <v/>
      </c>
    </row>
    <row r="866" spans="7:7" x14ac:dyDescent="0.25">
      <c r="G866" s="41" t="str">
        <f t="shared" si="13"/>
        <v/>
      </c>
    </row>
    <row r="867" spans="7:7" x14ac:dyDescent="0.25">
      <c r="G867" s="41" t="str">
        <f t="shared" si="13"/>
        <v/>
      </c>
    </row>
    <row r="868" spans="7:7" x14ac:dyDescent="0.25">
      <c r="G868" s="41" t="str">
        <f t="shared" si="13"/>
        <v/>
      </c>
    </row>
    <row r="869" spans="7:7" x14ac:dyDescent="0.25">
      <c r="G869" s="41" t="str">
        <f t="shared" si="13"/>
        <v/>
      </c>
    </row>
    <row r="870" spans="7:7" x14ac:dyDescent="0.25">
      <c r="G870" s="41" t="str">
        <f t="shared" si="13"/>
        <v/>
      </c>
    </row>
    <row r="871" spans="7:7" x14ac:dyDescent="0.25">
      <c r="G871" s="41" t="str">
        <f t="shared" si="13"/>
        <v/>
      </c>
    </row>
    <row r="872" spans="7:7" x14ac:dyDescent="0.25">
      <c r="G872" s="41" t="str">
        <f t="shared" si="13"/>
        <v/>
      </c>
    </row>
    <row r="873" spans="7:7" x14ac:dyDescent="0.25">
      <c r="G873" s="41" t="str">
        <f t="shared" si="13"/>
        <v/>
      </c>
    </row>
    <row r="874" spans="7:7" x14ac:dyDescent="0.25">
      <c r="G874" s="41" t="str">
        <f t="shared" si="13"/>
        <v/>
      </c>
    </row>
    <row r="875" spans="7:7" x14ac:dyDescent="0.25">
      <c r="G875" s="41" t="str">
        <f t="shared" si="13"/>
        <v/>
      </c>
    </row>
    <row r="876" spans="7:7" x14ac:dyDescent="0.25">
      <c r="G876" s="41" t="str">
        <f t="shared" si="13"/>
        <v/>
      </c>
    </row>
    <row r="877" spans="7:7" x14ac:dyDescent="0.25">
      <c r="G877" s="41" t="str">
        <f t="shared" si="13"/>
        <v/>
      </c>
    </row>
    <row r="878" spans="7:7" x14ac:dyDescent="0.25">
      <c r="G878" s="41" t="str">
        <f t="shared" si="13"/>
        <v/>
      </c>
    </row>
    <row r="879" spans="7:7" x14ac:dyDescent="0.25">
      <c r="G879" s="41" t="str">
        <f t="shared" si="13"/>
        <v/>
      </c>
    </row>
    <row r="880" spans="7:7" x14ac:dyDescent="0.25">
      <c r="G880" s="41" t="str">
        <f t="shared" si="13"/>
        <v/>
      </c>
    </row>
    <row r="881" spans="7:7" x14ac:dyDescent="0.25">
      <c r="G881" s="41" t="str">
        <f t="shared" si="13"/>
        <v/>
      </c>
    </row>
    <row r="882" spans="7:7" x14ac:dyDescent="0.25">
      <c r="G882" s="41" t="str">
        <f t="shared" si="13"/>
        <v/>
      </c>
    </row>
    <row r="883" spans="7:7" x14ac:dyDescent="0.25">
      <c r="G883" s="41" t="str">
        <f t="shared" si="13"/>
        <v/>
      </c>
    </row>
    <row r="884" spans="7:7" x14ac:dyDescent="0.25">
      <c r="G884" s="41" t="str">
        <f t="shared" si="13"/>
        <v/>
      </c>
    </row>
    <row r="885" spans="7:7" x14ac:dyDescent="0.25">
      <c r="G885" s="41" t="str">
        <f t="shared" si="13"/>
        <v/>
      </c>
    </row>
    <row r="886" spans="7:7" x14ac:dyDescent="0.25">
      <c r="G886" s="41" t="str">
        <f t="shared" si="13"/>
        <v/>
      </c>
    </row>
    <row r="887" spans="7:7" x14ac:dyDescent="0.25">
      <c r="G887" s="41" t="str">
        <f t="shared" si="13"/>
        <v/>
      </c>
    </row>
    <row r="888" spans="7:7" x14ac:dyDescent="0.25">
      <c r="G888" s="41" t="str">
        <f t="shared" si="13"/>
        <v/>
      </c>
    </row>
    <row r="889" spans="7:7" x14ac:dyDescent="0.25">
      <c r="G889" s="41" t="str">
        <f t="shared" si="13"/>
        <v/>
      </c>
    </row>
    <row r="890" spans="7:7" x14ac:dyDescent="0.25">
      <c r="G890" s="41" t="str">
        <f t="shared" si="13"/>
        <v/>
      </c>
    </row>
    <row r="891" spans="7:7" x14ac:dyDescent="0.25">
      <c r="G891" s="41" t="str">
        <f t="shared" si="13"/>
        <v/>
      </c>
    </row>
    <row r="892" spans="7:7" x14ac:dyDescent="0.25">
      <c r="G892" s="41" t="str">
        <f t="shared" si="13"/>
        <v/>
      </c>
    </row>
    <row r="893" spans="7:7" x14ac:dyDescent="0.25">
      <c r="G893" s="41" t="str">
        <f t="shared" si="13"/>
        <v/>
      </c>
    </row>
    <row r="894" spans="7:7" x14ac:dyDescent="0.25">
      <c r="G894" s="41" t="str">
        <f t="shared" si="13"/>
        <v/>
      </c>
    </row>
    <row r="895" spans="7:7" x14ac:dyDescent="0.25">
      <c r="G895" s="41" t="str">
        <f t="shared" si="13"/>
        <v/>
      </c>
    </row>
    <row r="896" spans="7:7" x14ac:dyDescent="0.25">
      <c r="G896" s="41" t="str">
        <f t="shared" si="13"/>
        <v/>
      </c>
    </row>
    <row r="897" spans="7:7" x14ac:dyDescent="0.25">
      <c r="G897" s="41" t="str">
        <f t="shared" si="13"/>
        <v/>
      </c>
    </row>
    <row r="898" spans="7:7" x14ac:dyDescent="0.25">
      <c r="G898" s="41" t="str">
        <f t="shared" si="13"/>
        <v/>
      </c>
    </row>
    <row r="899" spans="7:7" x14ac:dyDescent="0.25">
      <c r="G899" s="41" t="str">
        <f t="shared" si="13"/>
        <v/>
      </c>
    </row>
    <row r="900" spans="7:7" x14ac:dyDescent="0.25">
      <c r="G900" s="41" t="str">
        <f t="shared" si="13"/>
        <v/>
      </c>
    </row>
    <row r="901" spans="7:7" x14ac:dyDescent="0.25">
      <c r="G901" s="41" t="str">
        <f t="shared" si="13"/>
        <v/>
      </c>
    </row>
    <row r="902" spans="7:7" x14ac:dyDescent="0.25">
      <c r="G902" s="41" t="str">
        <f t="shared" si="13"/>
        <v/>
      </c>
    </row>
    <row r="903" spans="7:7" x14ac:dyDescent="0.25">
      <c r="G903" s="41" t="str">
        <f t="shared" si="13"/>
        <v/>
      </c>
    </row>
    <row r="904" spans="7:7" x14ac:dyDescent="0.25">
      <c r="G904" s="41" t="str">
        <f t="shared" si="13"/>
        <v/>
      </c>
    </row>
    <row r="905" spans="7:7" x14ac:dyDescent="0.25">
      <c r="G905" s="41" t="str">
        <f t="shared" si="13"/>
        <v/>
      </c>
    </row>
    <row r="906" spans="7:7" x14ac:dyDescent="0.25">
      <c r="G906" s="41" t="str">
        <f t="shared" si="13"/>
        <v/>
      </c>
    </row>
    <row r="907" spans="7:7" x14ac:dyDescent="0.25">
      <c r="G907" s="41" t="str">
        <f t="shared" si="13"/>
        <v/>
      </c>
    </row>
    <row r="908" spans="7:7" x14ac:dyDescent="0.25">
      <c r="G908" s="41" t="str">
        <f t="shared" si="13"/>
        <v/>
      </c>
    </row>
    <row r="909" spans="7:7" x14ac:dyDescent="0.25">
      <c r="G909" s="41" t="str">
        <f t="shared" si="13"/>
        <v/>
      </c>
    </row>
    <row r="910" spans="7:7" x14ac:dyDescent="0.25">
      <c r="G910" s="41" t="str">
        <f t="shared" si="13"/>
        <v/>
      </c>
    </row>
    <row r="911" spans="7:7" x14ac:dyDescent="0.25">
      <c r="G911" s="41" t="str">
        <f t="shared" si="13"/>
        <v/>
      </c>
    </row>
    <row r="912" spans="7:7" x14ac:dyDescent="0.25">
      <c r="G912" s="41" t="str">
        <f t="shared" si="13"/>
        <v/>
      </c>
    </row>
    <row r="913" spans="7:7" x14ac:dyDescent="0.25">
      <c r="G913" s="41" t="str">
        <f t="shared" si="13"/>
        <v/>
      </c>
    </row>
    <row r="914" spans="7:7" x14ac:dyDescent="0.25">
      <c r="G914" s="41" t="str">
        <f t="shared" si="13"/>
        <v/>
      </c>
    </row>
    <row r="915" spans="7:7" x14ac:dyDescent="0.25">
      <c r="G915" s="41" t="str">
        <f t="shared" ref="G915:G978" si="14">IF(A915=0,"","Fiber")</f>
        <v/>
      </c>
    </row>
    <row r="916" spans="7:7" x14ac:dyDescent="0.25">
      <c r="G916" s="41" t="str">
        <f t="shared" si="14"/>
        <v/>
      </c>
    </row>
    <row r="917" spans="7:7" x14ac:dyDescent="0.25">
      <c r="G917" s="41" t="str">
        <f t="shared" si="14"/>
        <v/>
      </c>
    </row>
    <row r="918" spans="7:7" x14ac:dyDescent="0.25">
      <c r="G918" s="41" t="str">
        <f t="shared" si="14"/>
        <v/>
      </c>
    </row>
    <row r="919" spans="7:7" x14ac:dyDescent="0.25">
      <c r="G919" s="41" t="str">
        <f t="shared" si="14"/>
        <v/>
      </c>
    </row>
    <row r="920" spans="7:7" x14ac:dyDescent="0.25">
      <c r="G920" s="41" t="str">
        <f t="shared" si="14"/>
        <v/>
      </c>
    </row>
    <row r="921" spans="7:7" x14ac:dyDescent="0.25">
      <c r="G921" s="41" t="str">
        <f t="shared" si="14"/>
        <v/>
      </c>
    </row>
    <row r="922" spans="7:7" x14ac:dyDescent="0.25">
      <c r="G922" s="41" t="str">
        <f t="shared" si="14"/>
        <v/>
      </c>
    </row>
    <row r="923" spans="7:7" x14ac:dyDescent="0.25">
      <c r="G923" s="41" t="str">
        <f t="shared" si="14"/>
        <v/>
      </c>
    </row>
    <row r="924" spans="7:7" x14ac:dyDescent="0.25">
      <c r="G924" s="41" t="str">
        <f t="shared" si="14"/>
        <v/>
      </c>
    </row>
    <row r="925" spans="7:7" x14ac:dyDescent="0.25">
      <c r="G925" s="41" t="str">
        <f t="shared" si="14"/>
        <v/>
      </c>
    </row>
    <row r="926" spans="7:7" x14ac:dyDescent="0.25">
      <c r="G926" s="41" t="str">
        <f t="shared" si="14"/>
        <v/>
      </c>
    </row>
    <row r="927" spans="7:7" x14ac:dyDescent="0.25">
      <c r="G927" s="41" t="str">
        <f t="shared" si="14"/>
        <v/>
      </c>
    </row>
    <row r="928" spans="7:7" x14ac:dyDescent="0.25">
      <c r="G928" s="41" t="str">
        <f t="shared" si="14"/>
        <v/>
      </c>
    </row>
    <row r="929" spans="7:7" x14ac:dyDescent="0.25">
      <c r="G929" s="41" t="str">
        <f t="shared" si="14"/>
        <v/>
      </c>
    </row>
    <row r="930" spans="7:7" x14ac:dyDescent="0.25">
      <c r="G930" s="41" t="str">
        <f t="shared" si="14"/>
        <v/>
      </c>
    </row>
    <row r="931" spans="7:7" x14ac:dyDescent="0.25">
      <c r="G931" s="41" t="str">
        <f t="shared" si="14"/>
        <v/>
      </c>
    </row>
    <row r="932" spans="7:7" x14ac:dyDescent="0.25">
      <c r="G932" s="41" t="str">
        <f t="shared" si="14"/>
        <v/>
      </c>
    </row>
    <row r="933" spans="7:7" x14ac:dyDescent="0.25">
      <c r="G933" s="41" t="str">
        <f t="shared" si="14"/>
        <v/>
      </c>
    </row>
    <row r="934" spans="7:7" x14ac:dyDescent="0.25">
      <c r="G934" s="41" t="str">
        <f t="shared" si="14"/>
        <v/>
      </c>
    </row>
    <row r="935" spans="7:7" x14ac:dyDescent="0.25">
      <c r="G935" s="41" t="str">
        <f t="shared" si="14"/>
        <v/>
      </c>
    </row>
    <row r="936" spans="7:7" x14ac:dyDescent="0.25">
      <c r="G936" s="41" t="str">
        <f t="shared" si="14"/>
        <v/>
      </c>
    </row>
    <row r="937" spans="7:7" x14ac:dyDescent="0.25">
      <c r="G937" s="41" t="str">
        <f t="shared" si="14"/>
        <v/>
      </c>
    </row>
    <row r="938" spans="7:7" x14ac:dyDescent="0.25">
      <c r="G938" s="41" t="str">
        <f t="shared" si="14"/>
        <v/>
      </c>
    </row>
    <row r="939" spans="7:7" x14ac:dyDescent="0.25">
      <c r="G939" s="41" t="str">
        <f t="shared" si="14"/>
        <v/>
      </c>
    </row>
    <row r="940" spans="7:7" x14ac:dyDescent="0.25">
      <c r="G940" s="41" t="str">
        <f t="shared" si="14"/>
        <v/>
      </c>
    </row>
    <row r="941" spans="7:7" x14ac:dyDescent="0.25">
      <c r="G941" s="41" t="str">
        <f t="shared" si="14"/>
        <v/>
      </c>
    </row>
    <row r="942" spans="7:7" x14ac:dyDescent="0.25">
      <c r="G942" s="41" t="str">
        <f t="shared" si="14"/>
        <v/>
      </c>
    </row>
    <row r="943" spans="7:7" x14ac:dyDescent="0.25">
      <c r="G943" s="41" t="str">
        <f t="shared" si="14"/>
        <v/>
      </c>
    </row>
    <row r="944" spans="7:7" x14ac:dyDescent="0.25">
      <c r="G944" s="41" t="str">
        <f t="shared" si="14"/>
        <v/>
      </c>
    </row>
    <row r="945" spans="7:7" x14ac:dyDescent="0.25">
      <c r="G945" s="41" t="str">
        <f t="shared" si="14"/>
        <v/>
      </c>
    </row>
    <row r="946" spans="7:7" x14ac:dyDescent="0.25">
      <c r="G946" s="41" t="str">
        <f t="shared" si="14"/>
        <v/>
      </c>
    </row>
    <row r="947" spans="7:7" x14ac:dyDescent="0.25">
      <c r="G947" s="41" t="str">
        <f t="shared" si="14"/>
        <v/>
      </c>
    </row>
    <row r="948" spans="7:7" x14ac:dyDescent="0.25">
      <c r="G948" s="41" t="str">
        <f t="shared" si="14"/>
        <v/>
      </c>
    </row>
    <row r="949" spans="7:7" x14ac:dyDescent="0.25">
      <c r="G949" s="41" t="str">
        <f t="shared" si="14"/>
        <v/>
      </c>
    </row>
    <row r="950" spans="7:7" x14ac:dyDescent="0.25">
      <c r="G950" s="41" t="str">
        <f t="shared" si="14"/>
        <v/>
      </c>
    </row>
    <row r="951" spans="7:7" x14ac:dyDescent="0.25">
      <c r="G951" s="41" t="str">
        <f t="shared" si="14"/>
        <v/>
      </c>
    </row>
    <row r="952" spans="7:7" x14ac:dyDescent="0.25">
      <c r="G952" s="41" t="str">
        <f t="shared" si="14"/>
        <v/>
      </c>
    </row>
    <row r="953" spans="7:7" x14ac:dyDescent="0.25">
      <c r="G953" s="41" t="str">
        <f t="shared" si="14"/>
        <v/>
      </c>
    </row>
    <row r="954" spans="7:7" x14ac:dyDescent="0.25">
      <c r="G954" s="41" t="str">
        <f t="shared" si="14"/>
        <v/>
      </c>
    </row>
    <row r="955" spans="7:7" x14ac:dyDescent="0.25">
      <c r="G955" s="41" t="str">
        <f t="shared" si="14"/>
        <v/>
      </c>
    </row>
    <row r="956" spans="7:7" x14ac:dyDescent="0.25">
      <c r="G956" s="41" t="str">
        <f t="shared" si="14"/>
        <v/>
      </c>
    </row>
    <row r="957" spans="7:7" x14ac:dyDescent="0.25">
      <c r="G957" s="41" t="str">
        <f t="shared" si="14"/>
        <v/>
      </c>
    </row>
    <row r="958" spans="7:7" x14ac:dyDescent="0.25">
      <c r="G958" s="41" t="str">
        <f t="shared" si="14"/>
        <v/>
      </c>
    </row>
    <row r="959" spans="7:7" x14ac:dyDescent="0.25">
      <c r="G959" s="41" t="str">
        <f t="shared" si="14"/>
        <v/>
      </c>
    </row>
    <row r="960" spans="7:7" x14ac:dyDescent="0.25">
      <c r="G960" s="41" t="str">
        <f t="shared" si="14"/>
        <v/>
      </c>
    </row>
    <row r="961" spans="7:7" x14ac:dyDescent="0.25">
      <c r="G961" s="41" t="str">
        <f t="shared" si="14"/>
        <v/>
      </c>
    </row>
    <row r="962" spans="7:7" x14ac:dyDescent="0.25">
      <c r="G962" s="41" t="str">
        <f t="shared" si="14"/>
        <v/>
      </c>
    </row>
    <row r="963" spans="7:7" x14ac:dyDescent="0.25">
      <c r="G963" s="41" t="str">
        <f t="shared" si="14"/>
        <v/>
      </c>
    </row>
    <row r="964" spans="7:7" x14ac:dyDescent="0.25">
      <c r="G964" s="41" t="str">
        <f t="shared" si="14"/>
        <v/>
      </c>
    </row>
    <row r="965" spans="7:7" x14ac:dyDescent="0.25">
      <c r="G965" s="41" t="str">
        <f t="shared" si="14"/>
        <v/>
      </c>
    </row>
    <row r="966" spans="7:7" x14ac:dyDescent="0.25">
      <c r="G966" s="41" t="str">
        <f t="shared" si="14"/>
        <v/>
      </c>
    </row>
    <row r="967" spans="7:7" x14ac:dyDescent="0.25">
      <c r="G967" s="41" t="str">
        <f t="shared" si="14"/>
        <v/>
      </c>
    </row>
    <row r="968" spans="7:7" x14ac:dyDescent="0.25">
      <c r="G968" s="41" t="str">
        <f t="shared" si="14"/>
        <v/>
      </c>
    </row>
    <row r="969" spans="7:7" x14ac:dyDescent="0.25">
      <c r="G969" s="41" t="str">
        <f t="shared" si="14"/>
        <v/>
      </c>
    </row>
    <row r="970" spans="7:7" x14ac:dyDescent="0.25">
      <c r="G970" s="41" t="str">
        <f t="shared" si="14"/>
        <v/>
      </c>
    </row>
    <row r="971" spans="7:7" x14ac:dyDescent="0.25">
      <c r="G971" s="41" t="str">
        <f t="shared" si="14"/>
        <v/>
      </c>
    </row>
    <row r="972" spans="7:7" x14ac:dyDescent="0.25">
      <c r="G972" s="41" t="str">
        <f t="shared" si="14"/>
        <v/>
      </c>
    </row>
    <row r="973" spans="7:7" x14ac:dyDescent="0.25">
      <c r="G973" s="41" t="str">
        <f t="shared" si="14"/>
        <v/>
      </c>
    </row>
    <row r="974" spans="7:7" x14ac:dyDescent="0.25">
      <c r="G974" s="41" t="str">
        <f t="shared" si="14"/>
        <v/>
      </c>
    </row>
    <row r="975" spans="7:7" x14ac:dyDescent="0.25">
      <c r="G975" s="41" t="str">
        <f t="shared" si="14"/>
        <v/>
      </c>
    </row>
    <row r="976" spans="7:7" x14ac:dyDescent="0.25">
      <c r="G976" s="41" t="str">
        <f t="shared" si="14"/>
        <v/>
      </c>
    </row>
    <row r="977" spans="7:7" x14ac:dyDescent="0.25">
      <c r="G977" s="41" t="str">
        <f t="shared" si="14"/>
        <v/>
      </c>
    </row>
    <row r="978" spans="7:7" x14ac:dyDescent="0.25">
      <c r="G978" s="41" t="str">
        <f t="shared" si="14"/>
        <v/>
      </c>
    </row>
    <row r="979" spans="7:7" x14ac:dyDescent="0.25">
      <c r="G979" s="41" t="str">
        <f t="shared" ref="G979:G1018" si="15">IF(A979=0,"","Fiber")</f>
        <v/>
      </c>
    </row>
    <row r="980" spans="7:7" x14ac:dyDescent="0.25">
      <c r="G980" s="41" t="str">
        <f t="shared" si="15"/>
        <v/>
      </c>
    </row>
    <row r="981" spans="7:7" x14ac:dyDescent="0.25">
      <c r="G981" s="41" t="str">
        <f t="shared" si="15"/>
        <v/>
      </c>
    </row>
    <row r="982" spans="7:7" x14ac:dyDescent="0.25">
      <c r="G982" s="41" t="str">
        <f t="shared" si="15"/>
        <v/>
      </c>
    </row>
    <row r="983" spans="7:7" x14ac:dyDescent="0.25">
      <c r="G983" s="41" t="str">
        <f t="shared" si="15"/>
        <v/>
      </c>
    </row>
    <row r="984" spans="7:7" x14ac:dyDescent="0.25">
      <c r="G984" s="41" t="str">
        <f t="shared" si="15"/>
        <v/>
      </c>
    </row>
    <row r="985" spans="7:7" x14ac:dyDescent="0.25">
      <c r="G985" s="41" t="str">
        <f t="shared" si="15"/>
        <v/>
      </c>
    </row>
    <row r="986" spans="7:7" x14ac:dyDescent="0.25">
      <c r="G986" s="41" t="str">
        <f t="shared" si="15"/>
        <v/>
      </c>
    </row>
    <row r="987" spans="7:7" x14ac:dyDescent="0.25">
      <c r="G987" s="41" t="str">
        <f t="shared" si="15"/>
        <v/>
      </c>
    </row>
    <row r="988" spans="7:7" x14ac:dyDescent="0.25">
      <c r="G988" s="41" t="str">
        <f t="shared" si="15"/>
        <v/>
      </c>
    </row>
    <row r="989" spans="7:7" x14ac:dyDescent="0.25">
      <c r="G989" s="41" t="str">
        <f t="shared" si="15"/>
        <v/>
      </c>
    </row>
    <row r="990" spans="7:7" x14ac:dyDescent="0.25">
      <c r="G990" s="41" t="str">
        <f t="shared" si="15"/>
        <v/>
      </c>
    </row>
    <row r="991" spans="7:7" x14ac:dyDescent="0.25">
      <c r="G991" s="41" t="str">
        <f t="shared" si="15"/>
        <v/>
      </c>
    </row>
    <row r="992" spans="7:7" x14ac:dyDescent="0.25">
      <c r="G992" s="41" t="str">
        <f t="shared" si="15"/>
        <v/>
      </c>
    </row>
    <row r="993" spans="7:7" x14ac:dyDescent="0.25">
      <c r="G993" s="41" t="str">
        <f t="shared" si="15"/>
        <v/>
      </c>
    </row>
    <row r="994" spans="7:7" x14ac:dyDescent="0.25">
      <c r="G994" s="41" t="str">
        <f t="shared" si="15"/>
        <v/>
      </c>
    </row>
    <row r="995" spans="7:7" x14ac:dyDescent="0.25">
      <c r="G995" s="41" t="str">
        <f t="shared" si="15"/>
        <v/>
      </c>
    </row>
    <row r="996" spans="7:7" x14ac:dyDescent="0.25">
      <c r="G996" s="41" t="str">
        <f t="shared" si="15"/>
        <v/>
      </c>
    </row>
    <row r="997" spans="7:7" x14ac:dyDescent="0.25">
      <c r="G997" s="41" t="str">
        <f t="shared" si="15"/>
        <v/>
      </c>
    </row>
    <row r="998" spans="7:7" x14ac:dyDescent="0.25">
      <c r="G998" s="41" t="str">
        <f t="shared" si="15"/>
        <v/>
      </c>
    </row>
    <row r="999" spans="7:7" x14ac:dyDescent="0.25">
      <c r="G999" s="41" t="str">
        <f t="shared" si="15"/>
        <v/>
      </c>
    </row>
    <row r="1000" spans="7:7" x14ac:dyDescent="0.25">
      <c r="G1000" s="41" t="str">
        <f t="shared" si="15"/>
        <v/>
      </c>
    </row>
    <row r="1001" spans="7:7" x14ac:dyDescent="0.25">
      <c r="G1001" s="41" t="str">
        <f t="shared" si="15"/>
        <v/>
      </c>
    </row>
    <row r="1002" spans="7:7" x14ac:dyDescent="0.25">
      <c r="G1002" s="41" t="str">
        <f t="shared" si="15"/>
        <v/>
      </c>
    </row>
    <row r="1003" spans="7:7" x14ac:dyDescent="0.25">
      <c r="G1003" s="41" t="str">
        <f t="shared" si="15"/>
        <v/>
      </c>
    </row>
    <row r="1004" spans="7:7" x14ac:dyDescent="0.25">
      <c r="G1004" s="41" t="str">
        <f t="shared" si="15"/>
        <v/>
      </c>
    </row>
    <row r="1005" spans="7:7" x14ac:dyDescent="0.25">
      <c r="G1005" s="41" t="str">
        <f t="shared" si="15"/>
        <v/>
      </c>
    </row>
    <row r="1006" spans="7:7" x14ac:dyDescent="0.25">
      <c r="G1006" s="41" t="str">
        <f t="shared" si="15"/>
        <v/>
      </c>
    </row>
    <row r="1007" spans="7:7" x14ac:dyDescent="0.25">
      <c r="G1007" s="41" t="str">
        <f t="shared" si="15"/>
        <v/>
      </c>
    </row>
    <row r="1008" spans="7:7" x14ac:dyDescent="0.25">
      <c r="G1008" s="41" t="str">
        <f t="shared" si="15"/>
        <v/>
      </c>
    </row>
    <row r="1009" spans="7:7" x14ac:dyDescent="0.25">
      <c r="G1009" s="41" t="str">
        <f t="shared" si="15"/>
        <v/>
      </c>
    </row>
    <row r="1010" spans="7:7" x14ac:dyDescent="0.25">
      <c r="G1010" s="41" t="str">
        <f t="shared" si="15"/>
        <v/>
      </c>
    </row>
    <row r="1011" spans="7:7" x14ac:dyDescent="0.25">
      <c r="G1011" s="41" t="str">
        <f t="shared" si="15"/>
        <v/>
      </c>
    </row>
    <row r="1012" spans="7:7" x14ac:dyDescent="0.25">
      <c r="G1012" s="41" t="str">
        <f t="shared" si="15"/>
        <v/>
      </c>
    </row>
    <row r="1013" spans="7:7" x14ac:dyDescent="0.25">
      <c r="G1013" s="41" t="str">
        <f t="shared" si="15"/>
        <v/>
      </c>
    </row>
    <row r="1014" spans="7:7" x14ac:dyDescent="0.25">
      <c r="G1014" s="41" t="str">
        <f t="shared" si="15"/>
        <v/>
      </c>
    </row>
    <row r="1015" spans="7:7" x14ac:dyDescent="0.25">
      <c r="G1015" s="41" t="str">
        <f t="shared" si="15"/>
        <v/>
      </c>
    </row>
    <row r="1016" spans="7:7" x14ac:dyDescent="0.25">
      <c r="G1016" s="41" t="str">
        <f t="shared" si="15"/>
        <v/>
      </c>
    </row>
    <row r="1017" spans="7:7" x14ac:dyDescent="0.25">
      <c r="G1017" s="41" t="str">
        <f t="shared" si="15"/>
        <v/>
      </c>
    </row>
    <row r="1018" spans="7:7" x14ac:dyDescent="0.25">
      <c r="G1018" s="41" t="str">
        <f t="shared" si="15"/>
        <v/>
      </c>
    </row>
  </sheetData>
  <dataValidations count="6">
    <dataValidation type="list" showInputMessage="1" showErrorMessage="1" errorTitle="Invalid Input" error="Choose from the list" sqref="B19:B1048576" xr:uid="{3F23B433-E6B0-423F-A390-3AE890D455A0}">
      <formula1>Base_Sec</formula1>
    </dataValidation>
    <dataValidation type="textLength" allowBlank="1" showInputMessage="1" showErrorMessage="1" errorTitle="Invalid Input" error="Please enter maximum 32 characters only." sqref="A19:A1048576" xr:uid="{35F0A417-0AAE-442E-ADB5-397B4B3062B9}">
      <formula1>1</formula1>
      <formula2>32</formula2>
    </dataValidation>
    <dataValidation type="list" showInputMessage="1" showErrorMessage="1" errorTitle="Invalid Input" error="Choose from the list" sqref="C19:C1048576" xr:uid="{1A24298F-811A-467B-B4B7-8CADABBEA890}">
      <formula1>Int_Type_Dist</formula1>
    </dataValidation>
    <dataValidation type="list" showInputMessage="1" showErrorMessage="1" errorTitle="Invalid Input" error="Choose from the list" sqref="D19:F1048576" xr:uid="{60D51DB4-00C7-4BA3-BEC6-0396076C386E}">
      <formula1>NL_Mat_Name</formula1>
    </dataValidation>
    <dataValidation type="decimal" allowBlank="1" showInputMessage="1" showErrorMessage="1" errorTitle="Invalid Input" error="Please enter a float value only." sqref="H19:H1048576 L19:O1048576" xr:uid="{22D892CF-00E0-4386-A561-F8E7B2F43520}">
      <formula1>0</formula1>
      <formula2>1000000000000</formula2>
    </dataValidation>
    <dataValidation type="whole" allowBlank="1" showInputMessage="1" showErrorMessage="1" errorTitle="Invalid Input" error="Please enter an integer value only." sqref="I19:K1048576" xr:uid="{3770231B-84DF-41AE-B196-092CB449837F}">
      <formula1>0</formula1>
      <formula2>1000000000000</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F8022-726A-4BCA-9C04-6BA22B95ED95}">
  <sheetPr codeName="Sheet12"/>
  <dimension ref="A1:E1008"/>
  <sheetViews>
    <sheetView zoomScale="130" zoomScaleNormal="130" workbookViewId="0">
      <selection activeCell="C13" sqref="C13"/>
    </sheetView>
  </sheetViews>
  <sheetFormatPr defaultColWidth="10.85546875" defaultRowHeight="15.75" x14ac:dyDescent="0.25"/>
  <cols>
    <col min="1" max="2" width="20.7109375" style="45" customWidth="1"/>
    <col min="3" max="4" width="20.7109375" style="41" customWidth="1"/>
    <col min="5" max="5" width="20.7109375" style="45" customWidth="1"/>
    <col min="6" max="16384" width="10.85546875" style="3"/>
  </cols>
  <sheetData>
    <row r="1" spans="1:5" x14ac:dyDescent="0.25">
      <c r="A1" s="33" t="s">
        <v>192</v>
      </c>
      <c r="B1" s="39"/>
      <c r="C1" s="39"/>
      <c r="D1" s="39"/>
      <c r="E1" s="162"/>
    </row>
    <row r="2" spans="1:5" x14ac:dyDescent="0.25">
      <c r="A2" s="48" t="s">
        <v>299</v>
      </c>
      <c r="B2" s="41"/>
      <c r="E2" s="163"/>
    </row>
    <row r="3" spans="1:5" x14ac:dyDescent="0.25">
      <c r="A3" s="48" t="s">
        <v>300</v>
      </c>
      <c r="B3" s="41"/>
      <c r="E3" s="163"/>
    </row>
    <row r="4" spans="1:5" x14ac:dyDescent="0.25">
      <c r="A4" s="48" t="s">
        <v>302</v>
      </c>
      <c r="B4" s="41"/>
      <c r="E4" s="163"/>
    </row>
    <row r="5" spans="1:5" x14ac:dyDescent="0.25">
      <c r="A5" s="48" t="s">
        <v>281</v>
      </c>
      <c r="B5" s="41"/>
      <c r="E5" s="163"/>
    </row>
    <row r="6" spans="1:5" x14ac:dyDescent="0.25">
      <c r="A6" s="53" t="s">
        <v>301</v>
      </c>
      <c r="B6" s="43"/>
      <c r="C6" s="43"/>
      <c r="D6" s="43"/>
      <c r="E6" s="164"/>
    </row>
    <row r="7" spans="1:5" x14ac:dyDescent="0.25">
      <c r="A7" s="34"/>
      <c r="B7" s="1"/>
      <c r="C7" s="1"/>
      <c r="D7" s="1"/>
      <c r="E7" s="1"/>
    </row>
    <row r="8" spans="1:5" s="2" customFormat="1" x14ac:dyDescent="0.25">
      <c r="A8" s="31" t="s">
        <v>70</v>
      </c>
      <c r="B8" s="31" t="s">
        <v>101</v>
      </c>
      <c r="C8" s="31" t="s">
        <v>18</v>
      </c>
      <c r="D8" s="31" t="s">
        <v>77</v>
      </c>
      <c r="E8" s="31" t="s">
        <v>102</v>
      </c>
    </row>
    <row r="9" spans="1:5" x14ac:dyDescent="0.25">
      <c r="A9" s="45" t="s">
        <v>103</v>
      </c>
      <c r="B9" s="165" t="s">
        <v>100</v>
      </c>
      <c r="C9" s="41" t="str">
        <f>IF(A9=0,"",IF(IF(COUNTIF(Sec_Fiber!$A$19:$A$1018,B9)&gt;0,TRUE,FALSE)=FALSE,VLOOKUP(B9,SecDB,4,FALSE),VLOOKUP(VLOOKUP(B9,SecFiberDB,2,FALSE),SecDB,4,FALSE)))</f>
        <v>RC30</v>
      </c>
      <c r="D9" s="41" t="str">
        <f t="shared" ref="D9:D72" si="0">IF(A9=0,"","Aggregator")</f>
        <v>Aggregator</v>
      </c>
      <c r="E9" s="45" t="s">
        <v>104</v>
      </c>
    </row>
    <row r="10" spans="1:5" x14ac:dyDescent="0.25">
      <c r="C10" s="41" t="str">
        <f>IF(A10=0,"",IF(IF(COUNTIF(Sec_Fiber!$A$19:$A$1018,B10)&gt;0,TRUE,FALSE)=FALSE,VLOOKUP(B10,SecDB,4,FALSE),VLOOKUP(VLOOKUP(B10,SecFiberDB,2,FALSE),SecDB,4,FALSE)))</f>
        <v/>
      </c>
      <c r="D10" s="41" t="str">
        <f t="shared" si="0"/>
        <v/>
      </c>
    </row>
    <row r="11" spans="1:5" x14ac:dyDescent="0.25">
      <c r="C11" s="41" t="str">
        <f>IF(A11=0,"",IF(IF(COUNTIF(Sec_Fiber!$A$19:$A$1018,B11)&gt;0,TRUE,FALSE)=FALSE,VLOOKUP(B11,SecDB,4,FALSE),VLOOKUP(VLOOKUP(B11,SecFiberDB,2,FALSE),SecDB,4,FALSE)))</f>
        <v/>
      </c>
      <c r="D11" s="41" t="str">
        <f t="shared" si="0"/>
        <v/>
      </c>
    </row>
    <row r="12" spans="1:5" x14ac:dyDescent="0.25">
      <c r="C12" s="41" t="str">
        <f>IF(A12=0,"",IF(IF(COUNTIF(Sec_Fiber!$A$19:$A$1018,B12)&gt;0,TRUE,FALSE)=FALSE,VLOOKUP(B12,SecDB,4,FALSE),VLOOKUP(VLOOKUP(B12,SecFiberDB,2,FALSE),SecDB,4,FALSE)))</f>
        <v/>
      </c>
      <c r="D12" s="41" t="str">
        <f t="shared" si="0"/>
        <v/>
      </c>
    </row>
    <row r="13" spans="1:5" x14ac:dyDescent="0.25">
      <c r="C13" s="41" t="str">
        <f>IF(A13=0,"",IF(IF(COUNTIF(Sec_Fiber!$A$19:$A$1018,B13)&gt;0,TRUE,FALSE)=FALSE,VLOOKUP(B13,SecDB,4,FALSE),VLOOKUP(VLOOKUP(B13,SecFiberDB,2,FALSE),SecDB,4,FALSE)))</f>
        <v/>
      </c>
      <c r="D13" s="41" t="str">
        <f t="shared" si="0"/>
        <v/>
      </c>
    </row>
    <row r="14" spans="1:5" x14ac:dyDescent="0.25">
      <c r="C14" s="41" t="str">
        <f>IF(A14=0,"",IF(IF(COUNTIF(Sec_Fiber!$A$19:$A$1018,B14)&gt;0,TRUE,FALSE)=FALSE,VLOOKUP(B14,SecDB,4,FALSE),VLOOKUP(VLOOKUP(B14,SecFiberDB,2,FALSE),SecDB,4,FALSE)))</f>
        <v/>
      </c>
      <c r="D14" s="41" t="str">
        <f t="shared" si="0"/>
        <v/>
      </c>
    </row>
    <row r="15" spans="1:5" x14ac:dyDescent="0.25">
      <c r="C15" s="41" t="str">
        <f>IF(A15=0,"",IF(IF(COUNTIF(Sec_Fiber!$A$19:$A$1018,B15)&gt;0,TRUE,FALSE)=FALSE,VLOOKUP(B15,SecDB,4,FALSE),VLOOKUP(VLOOKUP(B15,SecFiberDB,2,FALSE),SecDB,4,FALSE)))</f>
        <v/>
      </c>
      <c r="D15" s="41" t="str">
        <f t="shared" si="0"/>
        <v/>
      </c>
    </row>
    <row r="16" spans="1:5" x14ac:dyDescent="0.25">
      <c r="C16" s="41" t="str">
        <f>IF(A16=0,"",IF(IF(COUNTIF(Sec_Fiber!$A$19:$A$1018,B16)&gt;0,TRUE,FALSE)=FALSE,VLOOKUP(B16,SecDB,4,FALSE),VLOOKUP(VLOOKUP(B16,SecFiberDB,2,FALSE),SecDB,4,FALSE)))</f>
        <v/>
      </c>
      <c r="D16" s="41" t="str">
        <f t="shared" si="0"/>
        <v/>
      </c>
    </row>
    <row r="17" spans="3:4" x14ac:dyDescent="0.25">
      <c r="C17" s="41" t="str">
        <f>IF(A17=0,"",IF(IF(COUNTIF(Sec_Fiber!$A$19:$A$1018,B17)&gt;0,TRUE,FALSE)=FALSE,VLOOKUP(B17,SecDB,4,FALSE),VLOOKUP(VLOOKUP(B17,SecFiberDB,2,FALSE),SecDB,4,FALSE)))</f>
        <v/>
      </c>
      <c r="D17" s="41" t="str">
        <f t="shared" si="0"/>
        <v/>
      </c>
    </row>
    <row r="18" spans="3:4" x14ac:dyDescent="0.25">
      <c r="C18" s="41" t="str">
        <f>IF(A18=0,"",IF(IF(COUNTIF(Sec_Fiber!$A$19:$A$1018,B18)&gt;0,TRUE,FALSE)=FALSE,VLOOKUP(B18,SecDB,4,FALSE),VLOOKUP(VLOOKUP(B18,SecFiberDB,2,FALSE),SecDB,4,FALSE)))</f>
        <v/>
      </c>
      <c r="D18" s="41" t="str">
        <f t="shared" si="0"/>
        <v/>
      </c>
    </row>
    <row r="19" spans="3:4" x14ac:dyDescent="0.25">
      <c r="C19" s="41" t="str">
        <f>IF(A19=0,"",IF(IF(COUNTIF(Sec_Fiber!$A$19:$A$1018,B19)&gt;0,TRUE,FALSE)=FALSE,VLOOKUP(B19,SecDB,4,FALSE),VLOOKUP(VLOOKUP(B19,SecFiberDB,2,FALSE),SecDB,4,FALSE)))</f>
        <v/>
      </c>
      <c r="D19" s="41" t="str">
        <f t="shared" si="0"/>
        <v/>
      </c>
    </row>
    <row r="20" spans="3:4" x14ac:dyDescent="0.25">
      <c r="C20" s="41" t="str">
        <f>IF(A20=0,"",IF(IF(COUNTIF(Sec_Fiber!$A$19:$A$1018,B20)&gt;0,TRUE,FALSE)=FALSE,VLOOKUP(B20,SecDB,4,FALSE),VLOOKUP(VLOOKUP(B20,SecFiberDB,2,FALSE),SecDB,4,FALSE)))</f>
        <v/>
      </c>
      <c r="D20" s="41" t="str">
        <f t="shared" si="0"/>
        <v/>
      </c>
    </row>
    <row r="21" spans="3:4" x14ac:dyDescent="0.25">
      <c r="C21" s="41" t="str">
        <f>IF(A21=0,"",IF(IF(COUNTIF(Sec_Fiber!$A$19:$A$1018,B21)&gt;0,TRUE,FALSE)=FALSE,VLOOKUP(B21,SecDB,4,FALSE),VLOOKUP(VLOOKUP(B21,SecFiberDB,2,FALSE),SecDB,4,FALSE)))</f>
        <v/>
      </c>
      <c r="D21" s="41" t="str">
        <f t="shared" si="0"/>
        <v/>
      </c>
    </row>
    <row r="22" spans="3:4" x14ac:dyDescent="0.25">
      <c r="C22" s="41" t="str">
        <f>IF(A22=0,"",IF(IF(COUNTIF(Sec_Fiber!$A$19:$A$1018,B22)&gt;0,TRUE,FALSE)=FALSE,VLOOKUP(B22,SecDB,4,FALSE),VLOOKUP(VLOOKUP(B22,SecFiberDB,2,FALSE),SecDB,4,FALSE)))</f>
        <v/>
      </c>
      <c r="D22" s="41" t="str">
        <f t="shared" si="0"/>
        <v/>
      </c>
    </row>
    <row r="23" spans="3:4" x14ac:dyDescent="0.25">
      <c r="C23" s="41" t="str">
        <f>IF(A23=0,"",IF(IF(COUNTIF(Sec_Fiber!$A$19:$A$1018,B23)&gt;0,TRUE,FALSE)=FALSE,VLOOKUP(B23,SecDB,4,FALSE),VLOOKUP(VLOOKUP(B23,SecFiberDB,2,FALSE),SecDB,4,FALSE)))</f>
        <v/>
      </c>
      <c r="D23" s="41" t="str">
        <f t="shared" si="0"/>
        <v/>
      </c>
    </row>
    <row r="24" spans="3:4" x14ac:dyDescent="0.25">
      <c r="C24" s="41" t="str">
        <f>IF(A24=0,"",IF(IF(COUNTIF(Sec_Fiber!$A$19:$A$1018,B24)&gt;0,TRUE,FALSE)=FALSE,VLOOKUP(B24,SecDB,4,FALSE),VLOOKUP(VLOOKUP(B24,SecFiberDB,2,FALSE),SecDB,4,FALSE)))</f>
        <v/>
      </c>
      <c r="D24" s="41" t="str">
        <f t="shared" si="0"/>
        <v/>
      </c>
    </row>
    <row r="25" spans="3:4" x14ac:dyDescent="0.25">
      <c r="C25" s="41" t="str">
        <f>IF(A25=0,"",IF(IF(COUNTIF(Sec_Fiber!$A$19:$A$1018,B25)&gt;0,TRUE,FALSE)=FALSE,VLOOKUP(B25,SecDB,4,FALSE),VLOOKUP(VLOOKUP(B25,SecFiberDB,2,FALSE),SecDB,4,FALSE)))</f>
        <v/>
      </c>
      <c r="D25" s="41" t="str">
        <f t="shared" si="0"/>
        <v/>
      </c>
    </row>
    <row r="26" spans="3:4" x14ac:dyDescent="0.25">
      <c r="C26" s="41" t="str">
        <f>IF(A26=0,"",IF(IF(COUNTIF(Sec_Fiber!$A$19:$A$1018,B26)&gt;0,TRUE,FALSE)=FALSE,VLOOKUP(B26,SecDB,4,FALSE),VLOOKUP(VLOOKUP(B26,SecFiberDB,2,FALSE),SecDB,4,FALSE)))</f>
        <v/>
      </c>
      <c r="D26" s="41" t="str">
        <f t="shared" si="0"/>
        <v/>
      </c>
    </row>
    <row r="27" spans="3:4" x14ac:dyDescent="0.25">
      <c r="C27" s="41" t="str">
        <f>IF(A27=0,"",IF(IF(COUNTIF(Sec_Fiber!$A$19:$A$1018,B27)&gt;0,TRUE,FALSE)=FALSE,VLOOKUP(B27,SecDB,4,FALSE),VLOOKUP(VLOOKUP(B27,SecFiberDB,2,FALSE),SecDB,4,FALSE)))</f>
        <v/>
      </c>
      <c r="D27" s="41" t="str">
        <f t="shared" si="0"/>
        <v/>
      </c>
    </row>
    <row r="28" spans="3:4" x14ac:dyDescent="0.25">
      <c r="C28" s="41" t="str">
        <f>IF(A28=0,"",IF(IF(COUNTIF(Sec_Fiber!$A$19:$A$1018,B28)&gt;0,TRUE,FALSE)=FALSE,VLOOKUP(B28,SecDB,4,FALSE),VLOOKUP(VLOOKUP(B28,SecFiberDB,2,FALSE),SecDB,4,FALSE)))</f>
        <v/>
      </c>
      <c r="D28" s="41" t="str">
        <f t="shared" si="0"/>
        <v/>
      </c>
    </row>
    <row r="29" spans="3:4" x14ac:dyDescent="0.25">
      <c r="C29" s="41" t="str">
        <f>IF(A29=0,"",IF(IF(COUNTIF(Sec_Fiber!$A$19:$A$1018,B29)&gt;0,TRUE,FALSE)=FALSE,VLOOKUP(B29,SecDB,4,FALSE),VLOOKUP(VLOOKUP(B29,SecFiberDB,2,FALSE),SecDB,4,FALSE)))</f>
        <v/>
      </c>
      <c r="D29" s="41" t="str">
        <f t="shared" si="0"/>
        <v/>
      </c>
    </row>
    <row r="30" spans="3:4" x14ac:dyDescent="0.25">
      <c r="C30" s="41" t="str">
        <f>IF(A30=0,"",IF(IF(COUNTIF(Sec_Fiber!$A$19:$A$1018,B30)&gt;0,TRUE,FALSE)=FALSE,VLOOKUP(B30,SecDB,4,FALSE),VLOOKUP(VLOOKUP(B30,SecFiberDB,2,FALSE),SecDB,4,FALSE)))</f>
        <v/>
      </c>
      <c r="D30" s="41" t="str">
        <f t="shared" si="0"/>
        <v/>
      </c>
    </row>
    <row r="31" spans="3:4" x14ac:dyDescent="0.25">
      <c r="C31" s="41" t="str">
        <f>IF(A31=0,"",IF(IF(COUNTIF(Sec_Fiber!$A$19:$A$1018,B31)&gt;0,TRUE,FALSE)=FALSE,VLOOKUP(B31,SecDB,4,FALSE),VLOOKUP(VLOOKUP(B31,SecFiberDB,2,FALSE),SecDB,4,FALSE)))</f>
        <v/>
      </c>
      <c r="D31" s="41" t="str">
        <f t="shared" si="0"/>
        <v/>
      </c>
    </row>
    <row r="32" spans="3:4" x14ac:dyDescent="0.25">
      <c r="C32" s="41" t="str">
        <f>IF(A32=0,"",IF(IF(COUNTIF(Sec_Fiber!$A$19:$A$1018,B32)&gt;0,TRUE,FALSE)=FALSE,VLOOKUP(B32,SecDB,4,FALSE),VLOOKUP(VLOOKUP(B32,SecFiberDB,2,FALSE),SecDB,4,FALSE)))</f>
        <v/>
      </c>
      <c r="D32" s="41" t="str">
        <f t="shared" si="0"/>
        <v/>
      </c>
    </row>
    <row r="33" spans="3:4" x14ac:dyDescent="0.25">
      <c r="C33" s="41" t="str">
        <f>IF(A33=0,"",IF(IF(COUNTIF(Sec_Fiber!$A$19:$A$1018,B33)&gt;0,TRUE,FALSE)=FALSE,VLOOKUP(B33,SecDB,4,FALSE),VLOOKUP(VLOOKUP(B33,SecFiberDB,2,FALSE),SecDB,4,FALSE)))</f>
        <v/>
      </c>
      <c r="D33" s="41" t="str">
        <f t="shared" si="0"/>
        <v/>
      </c>
    </row>
    <row r="34" spans="3:4" x14ac:dyDescent="0.25">
      <c r="C34" s="41" t="str">
        <f>IF(A34=0,"",IF(IF(COUNTIF(Sec_Fiber!$A$19:$A$1018,B34)&gt;0,TRUE,FALSE)=FALSE,VLOOKUP(B34,SecDB,4,FALSE),VLOOKUP(VLOOKUP(B34,SecFiberDB,2,FALSE),SecDB,4,FALSE)))</f>
        <v/>
      </c>
      <c r="D34" s="41" t="str">
        <f t="shared" si="0"/>
        <v/>
      </c>
    </row>
    <row r="35" spans="3:4" x14ac:dyDescent="0.25">
      <c r="C35" s="41" t="str">
        <f>IF(A35=0,"",IF(IF(COUNTIF(Sec_Fiber!$A$19:$A$1018,B35)&gt;0,TRUE,FALSE)=FALSE,VLOOKUP(B35,SecDB,4,FALSE),VLOOKUP(VLOOKUP(B35,SecFiberDB,2,FALSE),SecDB,4,FALSE)))</f>
        <v/>
      </c>
      <c r="D35" s="41" t="str">
        <f t="shared" si="0"/>
        <v/>
      </c>
    </row>
    <row r="36" spans="3:4" x14ac:dyDescent="0.25">
      <c r="C36" s="41" t="str">
        <f>IF(A36=0,"",IF(IF(COUNTIF(Sec_Fiber!$A$19:$A$1018,B36)&gt;0,TRUE,FALSE)=FALSE,VLOOKUP(B36,SecDB,4,FALSE),VLOOKUP(VLOOKUP(B36,SecFiberDB,2,FALSE),SecDB,4,FALSE)))</f>
        <v/>
      </c>
      <c r="D36" s="41" t="str">
        <f t="shared" si="0"/>
        <v/>
      </c>
    </row>
    <row r="37" spans="3:4" x14ac:dyDescent="0.25">
      <c r="C37" s="41" t="str">
        <f>IF(A37=0,"",IF(IF(COUNTIF(Sec_Fiber!$A$19:$A$1018,B37)&gt;0,TRUE,FALSE)=FALSE,VLOOKUP(B37,SecDB,4,FALSE),VLOOKUP(VLOOKUP(B37,SecFiberDB,2,FALSE),SecDB,4,FALSE)))</f>
        <v/>
      </c>
      <c r="D37" s="41" t="str">
        <f t="shared" si="0"/>
        <v/>
      </c>
    </row>
    <row r="38" spans="3:4" x14ac:dyDescent="0.25">
      <c r="C38" s="41" t="str">
        <f>IF(A38=0,"",IF(IF(COUNTIF(Sec_Fiber!$A$19:$A$1018,B38)&gt;0,TRUE,FALSE)=FALSE,VLOOKUP(B38,SecDB,4,FALSE),VLOOKUP(VLOOKUP(B38,SecFiberDB,2,FALSE),SecDB,4,FALSE)))</f>
        <v/>
      </c>
      <c r="D38" s="41" t="str">
        <f t="shared" si="0"/>
        <v/>
      </c>
    </row>
    <row r="39" spans="3:4" x14ac:dyDescent="0.25">
      <c r="C39" s="41" t="str">
        <f>IF(A39=0,"",IF(IF(COUNTIF(Sec_Fiber!$A$19:$A$1018,B39)&gt;0,TRUE,FALSE)=FALSE,VLOOKUP(B39,SecDB,4,FALSE),VLOOKUP(VLOOKUP(B39,SecFiberDB,2,FALSE),SecDB,4,FALSE)))</f>
        <v/>
      </c>
      <c r="D39" s="41" t="str">
        <f t="shared" si="0"/>
        <v/>
      </c>
    </row>
    <row r="40" spans="3:4" x14ac:dyDescent="0.25">
      <c r="C40" s="41" t="str">
        <f>IF(A40=0,"",IF(IF(COUNTIF(Sec_Fiber!$A$19:$A$1018,B40)&gt;0,TRUE,FALSE)=FALSE,VLOOKUP(B40,SecDB,4,FALSE),VLOOKUP(VLOOKUP(B40,SecFiberDB,2,FALSE),SecDB,4,FALSE)))</f>
        <v/>
      </c>
      <c r="D40" s="41" t="str">
        <f t="shared" si="0"/>
        <v/>
      </c>
    </row>
    <row r="41" spans="3:4" x14ac:dyDescent="0.25">
      <c r="C41" s="41" t="str">
        <f>IF(A41=0,"",IF(IF(COUNTIF(Sec_Fiber!$A$19:$A$1018,B41)&gt;0,TRUE,FALSE)=FALSE,VLOOKUP(B41,SecDB,4,FALSE),VLOOKUP(VLOOKUP(B41,SecFiberDB,2,FALSE),SecDB,4,FALSE)))</f>
        <v/>
      </c>
      <c r="D41" s="41" t="str">
        <f t="shared" si="0"/>
        <v/>
      </c>
    </row>
    <row r="42" spans="3:4" x14ac:dyDescent="0.25">
      <c r="C42" s="41" t="str">
        <f>IF(A42=0,"",IF(IF(COUNTIF(Sec_Fiber!$A$19:$A$1018,B42)&gt;0,TRUE,FALSE)=FALSE,VLOOKUP(B42,SecDB,4,FALSE),VLOOKUP(VLOOKUP(B42,SecFiberDB,2,FALSE),SecDB,4,FALSE)))</f>
        <v/>
      </c>
      <c r="D42" s="41" t="str">
        <f t="shared" si="0"/>
        <v/>
      </c>
    </row>
    <row r="43" spans="3:4" x14ac:dyDescent="0.25">
      <c r="C43" s="41" t="str">
        <f>IF(A43=0,"",IF(IF(COUNTIF(Sec_Fiber!$A$19:$A$1018,B43)&gt;0,TRUE,FALSE)=FALSE,VLOOKUP(B43,SecDB,4,FALSE),VLOOKUP(VLOOKUP(B43,SecFiberDB,2,FALSE),SecDB,4,FALSE)))</f>
        <v/>
      </c>
      <c r="D43" s="41" t="str">
        <f t="shared" si="0"/>
        <v/>
      </c>
    </row>
    <row r="44" spans="3:4" x14ac:dyDescent="0.25">
      <c r="C44" s="41" t="str">
        <f>IF(A44=0,"",IF(IF(COUNTIF(Sec_Fiber!$A$19:$A$1018,B44)&gt;0,TRUE,FALSE)=FALSE,VLOOKUP(B44,SecDB,4,FALSE),VLOOKUP(VLOOKUP(B44,SecFiberDB,2,FALSE),SecDB,4,FALSE)))</f>
        <v/>
      </c>
      <c r="D44" s="41" t="str">
        <f t="shared" si="0"/>
        <v/>
      </c>
    </row>
    <row r="45" spans="3:4" x14ac:dyDescent="0.25">
      <c r="C45" s="41" t="str">
        <f>IF(A45=0,"",IF(IF(COUNTIF(Sec_Fiber!$A$19:$A$1018,B45)&gt;0,TRUE,FALSE)=FALSE,VLOOKUP(B45,SecDB,4,FALSE),VLOOKUP(VLOOKUP(B45,SecFiberDB,2,FALSE),SecDB,4,FALSE)))</f>
        <v/>
      </c>
      <c r="D45" s="41" t="str">
        <f t="shared" si="0"/>
        <v/>
      </c>
    </row>
    <row r="46" spans="3:4" x14ac:dyDescent="0.25">
      <c r="C46" s="41" t="str">
        <f>IF(A46=0,"",IF(IF(COUNTIF(Sec_Fiber!$A$19:$A$1018,B46)&gt;0,TRUE,FALSE)=FALSE,VLOOKUP(B46,SecDB,4,FALSE),VLOOKUP(VLOOKUP(B46,SecFiberDB,2,FALSE),SecDB,4,FALSE)))</f>
        <v/>
      </c>
      <c r="D46" s="41" t="str">
        <f t="shared" si="0"/>
        <v/>
      </c>
    </row>
    <row r="47" spans="3:4" x14ac:dyDescent="0.25">
      <c r="C47" s="41" t="str">
        <f>IF(A47=0,"",IF(IF(COUNTIF(Sec_Fiber!$A$19:$A$1018,B47)&gt;0,TRUE,FALSE)=FALSE,VLOOKUP(B47,SecDB,4,FALSE),VLOOKUP(VLOOKUP(B47,SecFiberDB,2,FALSE),SecDB,4,FALSE)))</f>
        <v/>
      </c>
      <c r="D47" s="41" t="str">
        <f t="shared" si="0"/>
        <v/>
      </c>
    </row>
    <row r="48" spans="3:4" x14ac:dyDescent="0.25">
      <c r="C48" s="41" t="str">
        <f>IF(A48=0,"",IF(IF(COUNTIF(Sec_Fiber!$A$19:$A$1018,B48)&gt;0,TRUE,FALSE)=FALSE,VLOOKUP(B48,SecDB,4,FALSE),VLOOKUP(VLOOKUP(B48,SecFiberDB,2,FALSE),SecDB,4,FALSE)))</f>
        <v/>
      </c>
      <c r="D48" s="41" t="str">
        <f t="shared" si="0"/>
        <v/>
      </c>
    </row>
    <row r="49" spans="3:4" x14ac:dyDescent="0.25">
      <c r="C49" s="41" t="str">
        <f>IF(A49=0,"",IF(IF(COUNTIF(Sec_Fiber!$A$19:$A$1018,B49)&gt;0,TRUE,FALSE)=FALSE,VLOOKUP(B49,SecDB,4,FALSE),VLOOKUP(VLOOKUP(B49,SecFiberDB,2,FALSE),SecDB,4,FALSE)))</f>
        <v/>
      </c>
      <c r="D49" s="41" t="str">
        <f t="shared" si="0"/>
        <v/>
      </c>
    </row>
    <row r="50" spans="3:4" x14ac:dyDescent="0.25">
      <c r="C50" s="41" t="str">
        <f>IF(A50=0,"",IF(IF(COUNTIF(Sec_Fiber!$A$19:$A$1018,B50)&gt;0,TRUE,FALSE)=FALSE,VLOOKUP(B50,SecDB,4,FALSE),VLOOKUP(VLOOKUP(B50,SecFiberDB,2,FALSE),SecDB,4,FALSE)))</f>
        <v/>
      </c>
      <c r="D50" s="41" t="str">
        <f t="shared" si="0"/>
        <v/>
      </c>
    </row>
    <row r="51" spans="3:4" x14ac:dyDescent="0.25">
      <c r="C51" s="41" t="str">
        <f>IF(A51=0,"",IF(IF(COUNTIF(Sec_Fiber!$A$19:$A$1018,B51)&gt;0,TRUE,FALSE)=FALSE,VLOOKUP(B51,SecDB,4,FALSE),VLOOKUP(VLOOKUP(B51,SecFiberDB,2,FALSE),SecDB,4,FALSE)))</f>
        <v/>
      </c>
      <c r="D51" s="41" t="str">
        <f t="shared" si="0"/>
        <v/>
      </c>
    </row>
    <row r="52" spans="3:4" x14ac:dyDescent="0.25">
      <c r="C52" s="41" t="str">
        <f>IF(A52=0,"",IF(IF(COUNTIF(Sec_Fiber!$A$19:$A$1018,B52)&gt;0,TRUE,FALSE)=FALSE,VLOOKUP(B52,SecDB,4,FALSE),VLOOKUP(VLOOKUP(B52,SecFiberDB,2,FALSE),SecDB,4,FALSE)))</f>
        <v/>
      </c>
      <c r="D52" s="41" t="str">
        <f t="shared" si="0"/>
        <v/>
      </c>
    </row>
    <row r="53" spans="3:4" x14ac:dyDescent="0.25">
      <c r="C53" s="41" t="str">
        <f>IF(A53=0,"",IF(IF(COUNTIF(Sec_Fiber!$A$19:$A$1018,B53)&gt;0,TRUE,FALSE)=FALSE,VLOOKUP(B53,SecDB,4,FALSE),VLOOKUP(VLOOKUP(B53,SecFiberDB,2,FALSE),SecDB,4,FALSE)))</f>
        <v/>
      </c>
      <c r="D53" s="41" t="str">
        <f t="shared" si="0"/>
        <v/>
      </c>
    </row>
    <row r="54" spans="3:4" x14ac:dyDescent="0.25">
      <c r="C54" s="41" t="str">
        <f>IF(A54=0,"",IF(IF(COUNTIF(Sec_Fiber!$A$19:$A$1018,B54)&gt;0,TRUE,FALSE)=FALSE,VLOOKUP(B54,SecDB,4,FALSE),VLOOKUP(VLOOKUP(B54,SecFiberDB,2,FALSE),SecDB,4,FALSE)))</f>
        <v/>
      </c>
      <c r="D54" s="41" t="str">
        <f t="shared" si="0"/>
        <v/>
      </c>
    </row>
    <row r="55" spans="3:4" x14ac:dyDescent="0.25">
      <c r="C55" s="41" t="str">
        <f>IF(A55=0,"",IF(IF(COUNTIF(Sec_Fiber!$A$19:$A$1018,B55)&gt;0,TRUE,FALSE)=FALSE,VLOOKUP(B55,SecDB,4,FALSE),VLOOKUP(VLOOKUP(B55,SecFiberDB,2,FALSE),SecDB,4,FALSE)))</f>
        <v/>
      </c>
      <c r="D55" s="41" t="str">
        <f t="shared" si="0"/>
        <v/>
      </c>
    </row>
    <row r="56" spans="3:4" x14ac:dyDescent="0.25">
      <c r="C56" s="41" t="str">
        <f>IF(A56=0,"",IF(IF(COUNTIF(Sec_Fiber!$A$19:$A$1018,B56)&gt;0,TRUE,FALSE)=FALSE,VLOOKUP(B56,SecDB,4,FALSE),VLOOKUP(VLOOKUP(B56,SecFiberDB,2,FALSE),SecDB,4,FALSE)))</f>
        <v/>
      </c>
      <c r="D56" s="41" t="str">
        <f t="shared" si="0"/>
        <v/>
      </c>
    </row>
    <row r="57" spans="3:4" x14ac:dyDescent="0.25">
      <c r="C57" s="41" t="str">
        <f>IF(A57=0,"",IF(IF(COUNTIF(Sec_Fiber!$A$19:$A$1018,B57)&gt;0,TRUE,FALSE)=FALSE,VLOOKUP(B57,SecDB,4,FALSE),VLOOKUP(VLOOKUP(B57,SecFiberDB,2,FALSE),SecDB,4,FALSE)))</f>
        <v/>
      </c>
      <c r="D57" s="41" t="str">
        <f t="shared" si="0"/>
        <v/>
      </c>
    </row>
    <row r="58" spans="3:4" x14ac:dyDescent="0.25">
      <c r="C58" s="41" t="str">
        <f>IF(A58=0,"",IF(IF(COUNTIF(Sec_Fiber!$A$19:$A$1018,B58)&gt;0,TRUE,FALSE)=FALSE,VLOOKUP(B58,SecDB,4,FALSE),VLOOKUP(VLOOKUP(B58,SecFiberDB,2,FALSE),SecDB,4,FALSE)))</f>
        <v/>
      </c>
      <c r="D58" s="41" t="str">
        <f t="shared" si="0"/>
        <v/>
      </c>
    </row>
    <row r="59" spans="3:4" x14ac:dyDescent="0.25">
      <c r="C59" s="41" t="str">
        <f>IF(A59=0,"",IF(IF(COUNTIF(Sec_Fiber!$A$19:$A$1018,B59)&gt;0,TRUE,FALSE)=FALSE,VLOOKUP(B59,SecDB,4,FALSE),VLOOKUP(VLOOKUP(B59,SecFiberDB,2,FALSE),SecDB,4,FALSE)))</f>
        <v/>
      </c>
      <c r="D59" s="41" t="str">
        <f t="shared" si="0"/>
        <v/>
      </c>
    </row>
    <row r="60" spans="3:4" x14ac:dyDescent="0.25">
      <c r="C60" s="41" t="str">
        <f>IF(A60=0,"",IF(IF(COUNTIF(Sec_Fiber!$A$19:$A$1018,B60)&gt;0,TRUE,FALSE)=FALSE,VLOOKUP(B60,SecDB,4,FALSE),VLOOKUP(VLOOKUP(B60,SecFiberDB,2,FALSE),SecDB,4,FALSE)))</f>
        <v/>
      </c>
      <c r="D60" s="41" t="str">
        <f t="shared" si="0"/>
        <v/>
      </c>
    </row>
    <row r="61" spans="3:4" x14ac:dyDescent="0.25">
      <c r="C61" s="41" t="str">
        <f>IF(A61=0,"",IF(IF(COUNTIF(Sec_Fiber!$A$19:$A$1018,B61)&gt;0,TRUE,FALSE)=FALSE,VLOOKUP(B61,SecDB,4,FALSE),VLOOKUP(VLOOKUP(B61,SecFiberDB,2,FALSE),SecDB,4,FALSE)))</f>
        <v/>
      </c>
      <c r="D61" s="41" t="str">
        <f t="shared" si="0"/>
        <v/>
      </c>
    </row>
    <row r="62" spans="3:4" x14ac:dyDescent="0.25">
      <c r="C62" s="41" t="str">
        <f>IF(A62=0,"",IF(IF(COUNTIF(Sec_Fiber!$A$19:$A$1018,B62)&gt;0,TRUE,FALSE)=FALSE,VLOOKUP(B62,SecDB,4,FALSE),VLOOKUP(VLOOKUP(B62,SecFiberDB,2,FALSE),SecDB,4,FALSE)))</f>
        <v/>
      </c>
      <c r="D62" s="41" t="str">
        <f t="shared" si="0"/>
        <v/>
      </c>
    </row>
    <row r="63" spans="3:4" x14ac:dyDescent="0.25">
      <c r="C63" s="41" t="str">
        <f>IF(A63=0,"",IF(IF(COUNTIF(Sec_Fiber!$A$19:$A$1018,B63)&gt;0,TRUE,FALSE)=FALSE,VLOOKUP(B63,SecDB,4,FALSE),VLOOKUP(VLOOKUP(B63,SecFiberDB,2,FALSE),SecDB,4,FALSE)))</f>
        <v/>
      </c>
      <c r="D63" s="41" t="str">
        <f t="shared" si="0"/>
        <v/>
      </c>
    </row>
    <row r="64" spans="3:4" x14ac:dyDescent="0.25">
      <c r="C64" s="41" t="str">
        <f>IF(A64=0,"",IF(IF(COUNTIF(Sec_Fiber!$A$19:$A$1018,B64)&gt;0,TRUE,FALSE)=FALSE,VLOOKUP(B64,SecDB,4,FALSE),VLOOKUP(VLOOKUP(B64,SecFiberDB,2,FALSE),SecDB,4,FALSE)))</f>
        <v/>
      </c>
      <c r="D64" s="41" t="str">
        <f t="shared" si="0"/>
        <v/>
      </c>
    </row>
    <row r="65" spans="3:4" x14ac:dyDescent="0.25">
      <c r="C65" s="41" t="str">
        <f>IF(A65=0,"",IF(IF(COUNTIF(Sec_Fiber!$A$19:$A$1018,B65)&gt;0,TRUE,FALSE)=FALSE,VLOOKUP(B65,SecDB,4,FALSE),VLOOKUP(VLOOKUP(B65,SecFiberDB,2,FALSE),SecDB,4,FALSE)))</f>
        <v/>
      </c>
      <c r="D65" s="41" t="str">
        <f t="shared" si="0"/>
        <v/>
      </c>
    </row>
    <row r="66" spans="3:4" x14ac:dyDescent="0.25">
      <c r="C66" s="41" t="str">
        <f>IF(A66=0,"",IF(IF(COUNTIF(Sec_Fiber!$A$19:$A$1018,B66)&gt;0,TRUE,FALSE)=FALSE,VLOOKUP(B66,SecDB,4,FALSE),VLOOKUP(VLOOKUP(B66,SecFiberDB,2,FALSE),SecDB,4,FALSE)))</f>
        <v/>
      </c>
      <c r="D66" s="41" t="str">
        <f t="shared" si="0"/>
        <v/>
      </c>
    </row>
    <row r="67" spans="3:4" x14ac:dyDescent="0.25">
      <c r="C67" s="41" t="str">
        <f>IF(A67=0,"",IF(IF(COUNTIF(Sec_Fiber!$A$19:$A$1018,B67)&gt;0,TRUE,FALSE)=FALSE,VLOOKUP(B67,SecDB,4,FALSE),VLOOKUP(VLOOKUP(B67,SecFiberDB,2,FALSE),SecDB,4,FALSE)))</f>
        <v/>
      </c>
      <c r="D67" s="41" t="str">
        <f t="shared" si="0"/>
        <v/>
      </c>
    </row>
    <row r="68" spans="3:4" x14ac:dyDescent="0.25">
      <c r="C68" s="41" t="str">
        <f>IF(A68=0,"",IF(IF(COUNTIF(Sec_Fiber!$A$19:$A$1018,B68)&gt;0,TRUE,FALSE)=FALSE,VLOOKUP(B68,SecDB,4,FALSE),VLOOKUP(VLOOKUP(B68,SecFiberDB,2,FALSE),SecDB,4,FALSE)))</f>
        <v/>
      </c>
      <c r="D68" s="41" t="str">
        <f t="shared" si="0"/>
        <v/>
      </c>
    </row>
    <row r="69" spans="3:4" x14ac:dyDescent="0.25">
      <c r="C69" s="41" t="str">
        <f>IF(A69=0,"",IF(IF(COUNTIF(Sec_Fiber!$A$19:$A$1018,B69)&gt;0,TRUE,FALSE)=FALSE,VLOOKUP(B69,SecDB,4,FALSE),VLOOKUP(VLOOKUP(B69,SecFiberDB,2,FALSE),SecDB,4,FALSE)))</f>
        <v/>
      </c>
      <c r="D69" s="41" t="str">
        <f t="shared" si="0"/>
        <v/>
      </c>
    </row>
    <row r="70" spans="3:4" x14ac:dyDescent="0.25">
      <c r="C70" s="41" t="str">
        <f>IF(A70=0,"",IF(IF(COUNTIF(Sec_Fiber!$A$19:$A$1018,B70)&gt;0,TRUE,FALSE)=FALSE,VLOOKUP(B70,SecDB,4,FALSE),VLOOKUP(VLOOKUP(B70,SecFiberDB,2,FALSE),SecDB,4,FALSE)))</f>
        <v/>
      </c>
      <c r="D70" s="41" t="str">
        <f t="shared" si="0"/>
        <v/>
      </c>
    </row>
    <row r="71" spans="3:4" x14ac:dyDescent="0.25">
      <c r="C71" s="41" t="str">
        <f>IF(A71=0,"",IF(IF(COUNTIF(Sec_Fiber!$A$19:$A$1018,B71)&gt;0,TRUE,FALSE)=FALSE,VLOOKUP(B71,SecDB,4,FALSE),VLOOKUP(VLOOKUP(B71,SecFiberDB,2,FALSE),SecDB,4,FALSE)))</f>
        <v/>
      </c>
      <c r="D71" s="41" t="str">
        <f t="shared" si="0"/>
        <v/>
      </c>
    </row>
    <row r="72" spans="3:4" x14ac:dyDescent="0.25">
      <c r="C72" s="41" t="str">
        <f>IF(A72=0,"",IF(IF(COUNTIF(Sec_Fiber!$A$19:$A$1018,B72)&gt;0,TRUE,FALSE)=FALSE,VLOOKUP(B72,SecDB,4,FALSE),VLOOKUP(VLOOKUP(B72,SecFiberDB,2,FALSE),SecDB,4,FALSE)))</f>
        <v/>
      </c>
      <c r="D72" s="41" t="str">
        <f t="shared" si="0"/>
        <v/>
      </c>
    </row>
    <row r="73" spans="3:4" x14ac:dyDescent="0.25">
      <c r="C73" s="41" t="str">
        <f>IF(A73=0,"",IF(IF(COUNTIF(Sec_Fiber!$A$19:$A$1018,B73)&gt;0,TRUE,FALSE)=FALSE,VLOOKUP(B73,SecDB,4,FALSE),VLOOKUP(VLOOKUP(B73,SecFiberDB,2,FALSE),SecDB,4,FALSE)))</f>
        <v/>
      </c>
      <c r="D73" s="41" t="str">
        <f t="shared" ref="D73:D136" si="1">IF(A73=0,"","Aggregator")</f>
        <v/>
      </c>
    </row>
    <row r="74" spans="3:4" x14ac:dyDescent="0.25">
      <c r="C74" s="41" t="str">
        <f>IF(A74=0,"",IF(IF(COUNTIF(Sec_Fiber!$A$19:$A$1018,B74)&gt;0,TRUE,FALSE)=FALSE,VLOOKUP(B74,SecDB,4,FALSE),VLOOKUP(VLOOKUP(B74,SecFiberDB,2,FALSE),SecDB,4,FALSE)))</f>
        <v/>
      </c>
      <c r="D74" s="41" t="str">
        <f t="shared" si="1"/>
        <v/>
      </c>
    </row>
    <row r="75" spans="3:4" x14ac:dyDescent="0.25">
      <c r="C75" s="41" t="str">
        <f>IF(A75=0,"",IF(IF(COUNTIF(Sec_Fiber!$A$19:$A$1018,B75)&gt;0,TRUE,FALSE)=FALSE,VLOOKUP(B75,SecDB,4,FALSE),VLOOKUP(VLOOKUP(B75,SecFiberDB,2,FALSE),SecDB,4,FALSE)))</f>
        <v/>
      </c>
      <c r="D75" s="41" t="str">
        <f t="shared" si="1"/>
        <v/>
      </c>
    </row>
    <row r="76" spans="3:4" x14ac:dyDescent="0.25">
      <c r="C76" s="41" t="str">
        <f>IF(A76=0,"",IF(IF(COUNTIF(Sec_Fiber!$A$19:$A$1018,B76)&gt;0,TRUE,FALSE)=FALSE,VLOOKUP(B76,SecDB,4,FALSE),VLOOKUP(VLOOKUP(B76,SecFiberDB,2,FALSE),SecDB,4,FALSE)))</f>
        <v/>
      </c>
      <c r="D76" s="41" t="str">
        <f t="shared" si="1"/>
        <v/>
      </c>
    </row>
    <row r="77" spans="3:4" x14ac:dyDescent="0.25">
      <c r="C77" s="41" t="str">
        <f>IF(A77=0,"",IF(IF(COUNTIF(Sec_Fiber!$A$19:$A$1018,B77)&gt;0,TRUE,FALSE)=FALSE,VLOOKUP(B77,SecDB,4,FALSE),VLOOKUP(VLOOKUP(B77,SecFiberDB,2,FALSE),SecDB,4,FALSE)))</f>
        <v/>
      </c>
      <c r="D77" s="41" t="str">
        <f t="shared" si="1"/>
        <v/>
      </c>
    </row>
    <row r="78" spans="3:4" x14ac:dyDescent="0.25">
      <c r="C78" s="41" t="str">
        <f>IF(A78=0,"",IF(IF(COUNTIF(Sec_Fiber!$A$19:$A$1018,B78)&gt;0,TRUE,FALSE)=FALSE,VLOOKUP(B78,SecDB,4,FALSE),VLOOKUP(VLOOKUP(B78,SecFiberDB,2,FALSE),SecDB,4,FALSE)))</f>
        <v/>
      </c>
      <c r="D78" s="41" t="str">
        <f t="shared" si="1"/>
        <v/>
      </c>
    </row>
    <row r="79" spans="3:4" x14ac:dyDescent="0.25">
      <c r="C79" s="41" t="str">
        <f>IF(A79=0,"",IF(IF(COUNTIF(Sec_Fiber!$A$19:$A$1018,B79)&gt;0,TRUE,FALSE)=FALSE,VLOOKUP(B79,SecDB,4,FALSE),VLOOKUP(VLOOKUP(B79,SecFiberDB,2,FALSE),SecDB,4,FALSE)))</f>
        <v/>
      </c>
      <c r="D79" s="41" t="str">
        <f t="shared" si="1"/>
        <v/>
      </c>
    </row>
    <row r="80" spans="3:4" x14ac:dyDescent="0.25">
      <c r="C80" s="41" t="str">
        <f>IF(A80=0,"",IF(IF(COUNTIF(Sec_Fiber!$A$19:$A$1018,B80)&gt;0,TRUE,FALSE)=FALSE,VLOOKUP(B80,SecDB,4,FALSE),VLOOKUP(VLOOKUP(B80,SecFiberDB,2,FALSE),SecDB,4,FALSE)))</f>
        <v/>
      </c>
      <c r="D80" s="41" t="str">
        <f t="shared" si="1"/>
        <v/>
      </c>
    </row>
    <row r="81" spans="3:4" x14ac:dyDescent="0.25">
      <c r="C81" s="41" t="str">
        <f>IF(A81=0,"",IF(IF(COUNTIF(Sec_Fiber!$A$19:$A$1018,B81)&gt;0,TRUE,FALSE)=FALSE,VLOOKUP(B81,SecDB,4,FALSE),VLOOKUP(VLOOKUP(B81,SecFiberDB,2,FALSE),SecDB,4,FALSE)))</f>
        <v/>
      </c>
      <c r="D81" s="41" t="str">
        <f t="shared" si="1"/>
        <v/>
      </c>
    </row>
    <row r="82" spans="3:4" x14ac:dyDescent="0.25">
      <c r="C82" s="41" t="str">
        <f>IF(A82=0,"",IF(IF(COUNTIF(Sec_Fiber!$A$19:$A$1018,B82)&gt;0,TRUE,FALSE)=FALSE,VLOOKUP(B82,SecDB,4,FALSE),VLOOKUP(VLOOKUP(B82,SecFiberDB,2,FALSE),SecDB,4,FALSE)))</f>
        <v/>
      </c>
      <c r="D82" s="41" t="str">
        <f t="shared" si="1"/>
        <v/>
      </c>
    </row>
    <row r="83" spans="3:4" x14ac:dyDescent="0.25">
      <c r="C83" s="41" t="str">
        <f>IF(A83=0,"",IF(IF(COUNTIF(Sec_Fiber!$A$19:$A$1018,B83)&gt;0,TRUE,FALSE)=FALSE,VLOOKUP(B83,SecDB,4,FALSE),VLOOKUP(VLOOKUP(B83,SecFiberDB,2,FALSE),SecDB,4,FALSE)))</f>
        <v/>
      </c>
      <c r="D83" s="41" t="str">
        <f t="shared" si="1"/>
        <v/>
      </c>
    </row>
    <row r="84" spans="3:4" x14ac:dyDescent="0.25">
      <c r="C84" s="41" t="str">
        <f>IF(A84=0,"",IF(IF(COUNTIF(Sec_Fiber!$A$19:$A$1018,B84)&gt;0,TRUE,FALSE)=FALSE,VLOOKUP(B84,SecDB,4,FALSE),VLOOKUP(VLOOKUP(B84,SecFiberDB,2,FALSE),SecDB,4,FALSE)))</f>
        <v/>
      </c>
      <c r="D84" s="41" t="str">
        <f t="shared" si="1"/>
        <v/>
      </c>
    </row>
    <row r="85" spans="3:4" x14ac:dyDescent="0.25">
      <c r="C85" s="41" t="str">
        <f>IF(A85=0,"",IF(IF(COUNTIF(Sec_Fiber!$A$19:$A$1018,B85)&gt;0,TRUE,FALSE)=FALSE,VLOOKUP(B85,SecDB,4,FALSE),VLOOKUP(VLOOKUP(B85,SecFiberDB,2,FALSE),SecDB,4,FALSE)))</f>
        <v/>
      </c>
      <c r="D85" s="41" t="str">
        <f t="shared" si="1"/>
        <v/>
      </c>
    </row>
    <row r="86" spans="3:4" x14ac:dyDescent="0.25">
      <c r="C86" s="41" t="str">
        <f>IF(A86=0,"",IF(IF(COUNTIF(Sec_Fiber!$A$19:$A$1018,B86)&gt;0,TRUE,FALSE)=FALSE,VLOOKUP(B86,SecDB,4,FALSE),VLOOKUP(VLOOKUP(B86,SecFiberDB,2,FALSE),SecDB,4,FALSE)))</f>
        <v/>
      </c>
      <c r="D86" s="41" t="str">
        <f t="shared" si="1"/>
        <v/>
      </c>
    </row>
    <row r="87" spans="3:4" x14ac:dyDescent="0.25">
      <c r="C87" s="41" t="str">
        <f>IF(A87=0,"",IF(IF(COUNTIF(Sec_Fiber!$A$19:$A$1018,B87)&gt;0,TRUE,FALSE)=FALSE,VLOOKUP(B87,SecDB,4,FALSE),VLOOKUP(VLOOKUP(B87,SecFiberDB,2,FALSE),SecDB,4,FALSE)))</f>
        <v/>
      </c>
      <c r="D87" s="41" t="str">
        <f t="shared" si="1"/>
        <v/>
      </c>
    </row>
    <row r="88" spans="3:4" x14ac:dyDescent="0.25">
      <c r="C88" s="41" t="str">
        <f>IF(A88=0,"",IF(IF(COUNTIF(Sec_Fiber!$A$19:$A$1018,B88)&gt;0,TRUE,FALSE)=FALSE,VLOOKUP(B88,SecDB,4,FALSE),VLOOKUP(VLOOKUP(B88,SecFiberDB,2,FALSE),SecDB,4,FALSE)))</f>
        <v/>
      </c>
      <c r="D88" s="41" t="str">
        <f t="shared" si="1"/>
        <v/>
      </c>
    </row>
    <row r="89" spans="3:4" x14ac:dyDescent="0.25">
      <c r="C89" s="41" t="str">
        <f>IF(A89=0,"",IF(IF(COUNTIF(Sec_Fiber!$A$19:$A$1018,B89)&gt;0,TRUE,FALSE)=FALSE,VLOOKUP(B89,SecDB,4,FALSE),VLOOKUP(VLOOKUP(B89,SecFiberDB,2,FALSE),SecDB,4,FALSE)))</f>
        <v/>
      </c>
      <c r="D89" s="41" t="str">
        <f t="shared" si="1"/>
        <v/>
      </c>
    </row>
    <row r="90" spans="3:4" x14ac:dyDescent="0.25">
      <c r="C90" s="41" t="str">
        <f>IF(A90=0,"",IF(IF(COUNTIF(Sec_Fiber!$A$19:$A$1018,B90)&gt;0,TRUE,FALSE)=FALSE,VLOOKUP(B90,SecDB,4,FALSE),VLOOKUP(VLOOKUP(B90,SecFiberDB,2,FALSE),SecDB,4,FALSE)))</f>
        <v/>
      </c>
      <c r="D90" s="41" t="str">
        <f t="shared" si="1"/>
        <v/>
      </c>
    </row>
    <row r="91" spans="3:4" x14ac:dyDescent="0.25">
      <c r="C91" s="41" t="str">
        <f>IF(A91=0,"",IF(IF(COUNTIF(Sec_Fiber!$A$19:$A$1018,B91)&gt;0,TRUE,FALSE)=FALSE,VLOOKUP(B91,SecDB,4,FALSE),VLOOKUP(VLOOKUP(B91,SecFiberDB,2,FALSE),SecDB,4,FALSE)))</f>
        <v/>
      </c>
      <c r="D91" s="41" t="str">
        <f t="shared" si="1"/>
        <v/>
      </c>
    </row>
    <row r="92" spans="3:4" x14ac:dyDescent="0.25">
      <c r="C92" s="41" t="str">
        <f>IF(A92=0,"",IF(IF(COUNTIF(Sec_Fiber!$A$19:$A$1018,B92)&gt;0,TRUE,FALSE)=FALSE,VLOOKUP(B92,SecDB,4,FALSE),VLOOKUP(VLOOKUP(B92,SecFiberDB,2,FALSE),SecDB,4,FALSE)))</f>
        <v/>
      </c>
      <c r="D92" s="41" t="str">
        <f t="shared" si="1"/>
        <v/>
      </c>
    </row>
    <row r="93" spans="3:4" x14ac:dyDescent="0.25">
      <c r="C93" s="41" t="str">
        <f>IF(A93=0,"",IF(IF(COUNTIF(Sec_Fiber!$A$19:$A$1018,B93)&gt;0,TRUE,FALSE)=FALSE,VLOOKUP(B93,SecDB,4,FALSE),VLOOKUP(VLOOKUP(B93,SecFiberDB,2,FALSE),SecDB,4,FALSE)))</f>
        <v/>
      </c>
      <c r="D93" s="41" t="str">
        <f t="shared" si="1"/>
        <v/>
      </c>
    </row>
    <row r="94" spans="3:4" x14ac:dyDescent="0.25">
      <c r="C94" s="41" t="str">
        <f>IF(A94=0,"",IF(IF(COUNTIF(Sec_Fiber!$A$19:$A$1018,B94)&gt;0,TRUE,FALSE)=FALSE,VLOOKUP(B94,SecDB,4,FALSE),VLOOKUP(VLOOKUP(B94,SecFiberDB,2,FALSE),SecDB,4,FALSE)))</f>
        <v/>
      </c>
      <c r="D94" s="41" t="str">
        <f t="shared" si="1"/>
        <v/>
      </c>
    </row>
    <row r="95" spans="3:4" x14ac:dyDescent="0.25">
      <c r="C95" s="41" t="str">
        <f>IF(A95=0,"",IF(IF(COUNTIF(Sec_Fiber!$A$19:$A$1018,B95)&gt;0,TRUE,FALSE)=FALSE,VLOOKUP(B95,SecDB,4,FALSE),VLOOKUP(VLOOKUP(B95,SecFiberDB,2,FALSE),SecDB,4,FALSE)))</f>
        <v/>
      </c>
      <c r="D95" s="41" t="str">
        <f t="shared" si="1"/>
        <v/>
      </c>
    </row>
    <row r="96" spans="3:4" x14ac:dyDescent="0.25">
      <c r="C96" s="41" t="str">
        <f>IF(A96=0,"",IF(IF(COUNTIF(Sec_Fiber!$A$19:$A$1018,B96)&gt;0,TRUE,FALSE)=FALSE,VLOOKUP(B96,SecDB,4,FALSE),VLOOKUP(VLOOKUP(B96,SecFiberDB,2,FALSE),SecDB,4,FALSE)))</f>
        <v/>
      </c>
      <c r="D96" s="41" t="str">
        <f t="shared" si="1"/>
        <v/>
      </c>
    </row>
    <row r="97" spans="3:4" x14ac:dyDescent="0.25">
      <c r="C97" s="41" t="str">
        <f>IF(A97=0,"",IF(IF(COUNTIF(Sec_Fiber!$A$19:$A$1018,B97)&gt;0,TRUE,FALSE)=FALSE,VLOOKUP(B97,SecDB,4,FALSE),VLOOKUP(VLOOKUP(B97,SecFiberDB,2,FALSE),SecDB,4,FALSE)))</f>
        <v/>
      </c>
      <c r="D97" s="41" t="str">
        <f t="shared" si="1"/>
        <v/>
      </c>
    </row>
    <row r="98" spans="3:4" x14ac:dyDescent="0.25">
      <c r="C98" s="41" t="str">
        <f>IF(A98=0,"",IF(IF(COUNTIF(Sec_Fiber!$A$19:$A$1018,B98)&gt;0,TRUE,FALSE)=FALSE,VLOOKUP(B98,SecDB,4,FALSE),VLOOKUP(VLOOKUP(B98,SecFiberDB,2,FALSE),SecDB,4,FALSE)))</f>
        <v/>
      </c>
      <c r="D98" s="41" t="str">
        <f t="shared" si="1"/>
        <v/>
      </c>
    </row>
    <row r="99" spans="3:4" x14ac:dyDescent="0.25">
      <c r="C99" s="41" t="str">
        <f>IF(A99=0,"",IF(IF(COUNTIF(Sec_Fiber!$A$19:$A$1018,B99)&gt;0,TRUE,FALSE)=FALSE,VLOOKUP(B99,SecDB,4,FALSE),VLOOKUP(VLOOKUP(B99,SecFiberDB,2,FALSE),SecDB,4,FALSE)))</f>
        <v/>
      </c>
      <c r="D99" s="41" t="str">
        <f t="shared" si="1"/>
        <v/>
      </c>
    </row>
    <row r="100" spans="3:4" x14ac:dyDescent="0.25">
      <c r="C100" s="41" t="str">
        <f>IF(A100=0,"",IF(IF(COUNTIF(Sec_Fiber!$A$19:$A$1018,B100)&gt;0,TRUE,FALSE)=FALSE,VLOOKUP(B100,SecDB,4,FALSE),VLOOKUP(VLOOKUP(B100,SecFiberDB,2,FALSE),SecDB,4,FALSE)))</f>
        <v/>
      </c>
      <c r="D100" s="41" t="str">
        <f t="shared" si="1"/>
        <v/>
      </c>
    </row>
    <row r="101" spans="3:4" x14ac:dyDescent="0.25">
      <c r="C101" s="41" t="str">
        <f>IF(A101=0,"",IF(IF(COUNTIF(Sec_Fiber!$A$19:$A$1018,B101)&gt;0,TRUE,FALSE)=FALSE,VLOOKUP(B101,SecDB,4,FALSE),VLOOKUP(VLOOKUP(B101,SecFiberDB,2,FALSE),SecDB,4,FALSE)))</f>
        <v/>
      </c>
      <c r="D101" s="41" t="str">
        <f t="shared" si="1"/>
        <v/>
      </c>
    </row>
    <row r="102" spans="3:4" x14ac:dyDescent="0.25">
      <c r="C102" s="41" t="str">
        <f>IF(A102=0,"",IF(IF(COUNTIF(Sec_Fiber!$A$19:$A$1018,B102)&gt;0,TRUE,FALSE)=FALSE,VLOOKUP(B102,SecDB,4,FALSE),VLOOKUP(VLOOKUP(B102,SecFiberDB,2,FALSE),SecDB,4,FALSE)))</f>
        <v/>
      </c>
      <c r="D102" s="41" t="str">
        <f t="shared" si="1"/>
        <v/>
      </c>
    </row>
    <row r="103" spans="3:4" x14ac:dyDescent="0.25">
      <c r="C103" s="41" t="str">
        <f>IF(A103=0,"",IF(IF(COUNTIF(Sec_Fiber!$A$19:$A$1018,B103)&gt;0,TRUE,FALSE)=FALSE,VLOOKUP(B103,SecDB,4,FALSE),VLOOKUP(VLOOKUP(B103,SecFiberDB,2,FALSE),SecDB,4,FALSE)))</f>
        <v/>
      </c>
      <c r="D103" s="41" t="str">
        <f t="shared" si="1"/>
        <v/>
      </c>
    </row>
    <row r="104" spans="3:4" x14ac:dyDescent="0.25">
      <c r="C104" s="41" t="str">
        <f>IF(A104=0,"",IF(IF(COUNTIF(Sec_Fiber!$A$19:$A$1018,B104)&gt;0,TRUE,FALSE)=FALSE,VLOOKUP(B104,SecDB,4,FALSE),VLOOKUP(VLOOKUP(B104,SecFiberDB,2,FALSE),SecDB,4,FALSE)))</f>
        <v/>
      </c>
      <c r="D104" s="41" t="str">
        <f t="shared" si="1"/>
        <v/>
      </c>
    </row>
    <row r="105" spans="3:4" x14ac:dyDescent="0.25">
      <c r="C105" s="41" t="str">
        <f>IF(A105=0,"",IF(IF(COUNTIF(Sec_Fiber!$A$19:$A$1018,B105)&gt;0,TRUE,FALSE)=FALSE,VLOOKUP(B105,SecDB,4,FALSE),VLOOKUP(VLOOKUP(B105,SecFiberDB,2,FALSE),SecDB,4,FALSE)))</f>
        <v/>
      </c>
      <c r="D105" s="41" t="str">
        <f t="shared" si="1"/>
        <v/>
      </c>
    </row>
    <row r="106" spans="3:4" x14ac:dyDescent="0.25">
      <c r="C106" s="41" t="str">
        <f>IF(A106=0,"",IF(IF(COUNTIF(Sec_Fiber!$A$19:$A$1018,B106)&gt;0,TRUE,FALSE)=FALSE,VLOOKUP(B106,SecDB,4,FALSE),VLOOKUP(VLOOKUP(B106,SecFiberDB,2,FALSE),SecDB,4,FALSE)))</f>
        <v/>
      </c>
      <c r="D106" s="41" t="str">
        <f t="shared" si="1"/>
        <v/>
      </c>
    </row>
    <row r="107" spans="3:4" x14ac:dyDescent="0.25">
      <c r="C107" s="41" t="str">
        <f>IF(A107=0,"",IF(IF(COUNTIF(Sec_Fiber!$A$19:$A$1018,B107)&gt;0,TRUE,FALSE)=FALSE,VLOOKUP(B107,SecDB,4,FALSE),VLOOKUP(VLOOKUP(B107,SecFiberDB,2,FALSE),SecDB,4,FALSE)))</f>
        <v/>
      </c>
      <c r="D107" s="41" t="str">
        <f t="shared" si="1"/>
        <v/>
      </c>
    </row>
    <row r="108" spans="3:4" x14ac:dyDescent="0.25">
      <c r="C108" s="41" t="str">
        <f>IF(A108=0,"",IF(IF(COUNTIF(Sec_Fiber!$A$19:$A$1018,B108)&gt;0,TRUE,FALSE)=FALSE,VLOOKUP(B108,SecDB,4,FALSE),VLOOKUP(VLOOKUP(B108,SecFiberDB,2,FALSE),SecDB,4,FALSE)))</f>
        <v/>
      </c>
      <c r="D108" s="41" t="str">
        <f t="shared" si="1"/>
        <v/>
      </c>
    </row>
    <row r="109" spans="3:4" x14ac:dyDescent="0.25">
      <c r="C109" s="41" t="str">
        <f>IF(A109=0,"",IF(IF(COUNTIF(Sec_Fiber!$A$19:$A$1018,B109)&gt;0,TRUE,FALSE)=FALSE,VLOOKUP(B109,SecDB,4,FALSE),VLOOKUP(VLOOKUP(B109,SecFiberDB,2,FALSE),SecDB,4,FALSE)))</f>
        <v/>
      </c>
      <c r="D109" s="41" t="str">
        <f t="shared" si="1"/>
        <v/>
      </c>
    </row>
    <row r="110" spans="3:4" x14ac:dyDescent="0.25">
      <c r="C110" s="41" t="str">
        <f>IF(A110=0,"",IF(IF(COUNTIF(Sec_Fiber!$A$19:$A$1018,B110)&gt;0,TRUE,FALSE)=FALSE,VLOOKUP(B110,SecDB,4,FALSE),VLOOKUP(VLOOKUP(B110,SecFiberDB,2,FALSE),SecDB,4,FALSE)))</f>
        <v/>
      </c>
      <c r="D110" s="41" t="str">
        <f t="shared" si="1"/>
        <v/>
      </c>
    </row>
    <row r="111" spans="3:4" x14ac:dyDescent="0.25">
      <c r="C111" s="41" t="str">
        <f>IF(A111=0,"",IF(IF(COUNTIF(Sec_Fiber!$A$19:$A$1018,B111)&gt;0,TRUE,FALSE)=FALSE,VLOOKUP(B111,SecDB,4,FALSE),VLOOKUP(VLOOKUP(B111,SecFiberDB,2,FALSE),SecDB,4,FALSE)))</f>
        <v/>
      </c>
      <c r="D111" s="41" t="str">
        <f t="shared" si="1"/>
        <v/>
      </c>
    </row>
    <row r="112" spans="3:4" x14ac:dyDescent="0.25">
      <c r="C112" s="41" t="str">
        <f>IF(A112=0,"",IF(IF(COUNTIF(Sec_Fiber!$A$19:$A$1018,B112)&gt;0,TRUE,FALSE)=FALSE,VLOOKUP(B112,SecDB,4,FALSE),VLOOKUP(VLOOKUP(B112,SecFiberDB,2,FALSE),SecDB,4,FALSE)))</f>
        <v/>
      </c>
      <c r="D112" s="41" t="str">
        <f t="shared" si="1"/>
        <v/>
      </c>
    </row>
    <row r="113" spans="3:4" x14ac:dyDescent="0.25">
      <c r="C113" s="41" t="str">
        <f>IF(A113=0,"",IF(IF(COUNTIF(Sec_Fiber!$A$19:$A$1018,B113)&gt;0,TRUE,FALSE)=FALSE,VLOOKUP(B113,SecDB,4,FALSE),VLOOKUP(VLOOKUP(B113,SecFiberDB,2,FALSE),SecDB,4,FALSE)))</f>
        <v/>
      </c>
      <c r="D113" s="41" t="str">
        <f t="shared" si="1"/>
        <v/>
      </c>
    </row>
    <row r="114" spans="3:4" x14ac:dyDescent="0.25">
      <c r="C114" s="41" t="str">
        <f>IF(A114=0,"",IF(IF(COUNTIF(Sec_Fiber!$A$19:$A$1018,B114)&gt;0,TRUE,FALSE)=FALSE,VLOOKUP(B114,SecDB,4,FALSE),VLOOKUP(VLOOKUP(B114,SecFiberDB,2,FALSE),SecDB,4,FALSE)))</f>
        <v/>
      </c>
      <c r="D114" s="41" t="str">
        <f t="shared" si="1"/>
        <v/>
      </c>
    </row>
    <row r="115" spans="3:4" x14ac:dyDescent="0.25">
      <c r="C115" s="41" t="str">
        <f>IF(A115=0,"",IF(IF(COUNTIF(Sec_Fiber!$A$19:$A$1018,B115)&gt;0,TRUE,FALSE)=FALSE,VLOOKUP(B115,SecDB,4,FALSE),VLOOKUP(VLOOKUP(B115,SecFiberDB,2,FALSE),SecDB,4,FALSE)))</f>
        <v/>
      </c>
      <c r="D115" s="41" t="str">
        <f t="shared" si="1"/>
        <v/>
      </c>
    </row>
    <row r="116" spans="3:4" x14ac:dyDescent="0.25">
      <c r="C116" s="41" t="str">
        <f>IF(A116=0,"",IF(IF(COUNTIF(Sec_Fiber!$A$19:$A$1018,B116)&gt;0,TRUE,FALSE)=FALSE,VLOOKUP(B116,SecDB,4,FALSE),VLOOKUP(VLOOKUP(B116,SecFiberDB,2,FALSE),SecDB,4,FALSE)))</f>
        <v/>
      </c>
      <c r="D116" s="41" t="str">
        <f t="shared" si="1"/>
        <v/>
      </c>
    </row>
    <row r="117" spans="3:4" x14ac:dyDescent="0.25">
      <c r="C117" s="41" t="str">
        <f>IF(A117=0,"",IF(IF(COUNTIF(Sec_Fiber!$A$19:$A$1018,B117)&gt;0,TRUE,FALSE)=FALSE,VLOOKUP(B117,SecDB,4,FALSE),VLOOKUP(VLOOKUP(B117,SecFiberDB,2,FALSE),SecDB,4,FALSE)))</f>
        <v/>
      </c>
      <c r="D117" s="41" t="str">
        <f t="shared" si="1"/>
        <v/>
      </c>
    </row>
    <row r="118" spans="3:4" x14ac:dyDescent="0.25">
      <c r="C118" s="41" t="str">
        <f>IF(A118=0,"",IF(IF(COUNTIF(Sec_Fiber!$A$19:$A$1018,B118)&gt;0,TRUE,FALSE)=FALSE,VLOOKUP(B118,SecDB,4,FALSE),VLOOKUP(VLOOKUP(B118,SecFiberDB,2,FALSE),SecDB,4,FALSE)))</f>
        <v/>
      </c>
      <c r="D118" s="41" t="str">
        <f t="shared" si="1"/>
        <v/>
      </c>
    </row>
    <row r="119" spans="3:4" x14ac:dyDescent="0.25">
      <c r="C119" s="41" t="str">
        <f>IF(A119=0,"",IF(IF(COUNTIF(Sec_Fiber!$A$19:$A$1018,B119)&gt;0,TRUE,FALSE)=FALSE,VLOOKUP(B119,SecDB,4,FALSE),VLOOKUP(VLOOKUP(B119,SecFiberDB,2,FALSE),SecDB,4,FALSE)))</f>
        <v/>
      </c>
      <c r="D119" s="41" t="str">
        <f t="shared" si="1"/>
        <v/>
      </c>
    </row>
    <row r="120" spans="3:4" x14ac:dyDescent="0.25">
      <c r="C120" s="41" t="str">
        <f>IF(A120=0,"",IF(IF(COUNTIF(Sec_Fiber!$A$19:$A$1018,B120)&gt;0,TRUE,FALSE)=FALSE,VLOOKUP(B120,SecDB,4,FALSE),VLOOKUP(VLOOKUP(B120,SecFiberDB,2,FALSE),SecDB,4,FALSE)))</f>
        <v/>
      </c>
      <c r="D120" s="41" t="str">
        <f t="shared" si="1"/>
        <v/>
      </c>
    </row>
    <row r="121" spans="3:4" x14ac:dyDescent="0.25">
      <c r="C121" s="41" t="str">
        <f>IF(A121=0,"",IF(IF(COUNTIF(Sec_Fiber!$A$19:$A$1018,B121)&gt;0,TRUE,FALSE)=FALSE,VLOOKUP(B121,SecDB,4,FALSE),VLOOKUP(VLOOKUP(B121,SecFiberDB,2,FALSE),SecDB,4,FALSE)))</f>
        <v/>
      </c>
      <c r="D121" s="41" t="str">
        <f t="shared" si="1"/>
        <v/>
      </c>
    </row>
    <row r="122" spans="3:4" x14ac:dyDescent="0.25">
      <c r="C122" s="41" t="str">
        <f>IF(A122=0,"",IF(IF(COUNTIF(Sec_Fiber!$A$19:$A$1018,B122)&gt;0,TRUE,FALSE)=FALSE,VLOOKUP(B122,SecDB,4,FALSE),VLOOKUP(VLOOKUP(B122,SecFiberDB,2,FALSE),SecDB,4,FALSE)))</f>
        <v/>
      </c>
      <c r="D122" s="41" t="str">
        <f t="shared" si="1"/>
        <v/>
      </c>
    </row>
    <row r="123" spans="3:4" x14ac:dyDescent="0.25">
      <c r="C123" s="41" t="str">
        <f>IF(A123=0,"",IF(IF(COUNTIF(Sec_Fiber!$A$19:$A$1018,B123)&gt;0,TRUE,FALSE)=FALSE,VLOOKUP(B123,SecDB,4,FALSE),VLOOKUP(VLOOKUP(B123,SecFiberDB,2,FALSE),SecDB,4,FALSE)))</f>
        <v/>
      </c>
      <c r="D123" s="41" t="str">
        <f t="shared" si="1"/>
        <v/>
      </c>
    </row>
    <row r="124" spans="3:4" x14ac:dyDescent="0.25">
      <c r="C124" s="41" t="str">
        <f>IF(A124=0,"",IF(IF(COUNTIF(Sec_Fiber!$A$19:$A$1018,B124)&gt;0,TRUE,FALSE)=FALSE,VLOOKUP(B124,SecDB,4,FALSE),VLOOKUP(VLOOKUP(B124,SecFiberDB,2,FALSE),SecDB,4,FALSE)))</f>
        <v/>
      </c>
      <c r="D124" s="41" t="str">
        <f t="shared" si="1"/>
        <v/>
      </c>
    </row>
    <row r="125" spans="3:4" x14ac:dyDescent="0.25">
      <c r="C125" s="41" t="str">
        <f>IF(A125=0,"",IF(IF(COUNTIF(Sec_Fiber!$A$19:$A$1018,B125)&gt;0,TRUE,FALSE)=FALSE,VLOOKUP(B125,SecDB,4,FALSE),VLOOKUP(VLOOKUP(B125,SecFiberDB,2,FALSE),SecDB,4,FALSE)))</f>
        <v/>
      </c>
      <c r="D125" s="41" t="str">
        <f t="shared" si="1"/>
        <v/>
      </c>
    </row>
    <row r="126" spans="3:4" x14ac:dyDescent="0.25">
      <c r="C126" s="41" t="str">
        <f>IF(A126=0,"",IF(IF(COUNTIF(Sec_Fiber!$A$19:$A$1018,B126)&gt;0,TRUE,FALSE)=FALSE,VLOOKUP(B126,SecDB,4,FALSE),VLOOKUP(VLOOKUP(B126,SecFiberDB,2,FALSE),SecDB,4,FALSE)))</f>
        <v/>
      </c>
      <c r="D126" s="41" t="str">
        <f t="shared" si="1"/>
        <v/>
      </c>
    </row>
    <row r="127" spans="3:4" x14ac:dyDescent="0.25">
      <c r="C127" s="41" t="str">
        <f>IF(A127=0,"",IF(IF(COUNTIF(Sec_Fiber!$A$19:$A$1018,B127)&gt;0,TRUE,FALSE)=FALSE,VLOOKUP(B127,SecDB,4,FALSE),VLOOKUP(VLOOKUP(B127,SecFiberDB,2,FALSE),SecDB,4,FALSE)))</f>
        <v/>
      </c>
      <c r="D127" s="41" t="str">
        <f t="shared" si="1"/>
        <v/>
      </c>
    </row>
    <row r="128" spans="3:4" x14ac:dyDescent="0.25">
      <c r="C128" s="41" t="str">
        <f>IF(A128=0,"",IF(IF(COUNTIF(Sec_Fiber!$A$19:$A$1018,B128)&gt;0,TRUE,FALSE)=FALSE,VLOOKUP(B128,SecDB,4,FALSE),VLOOKUP(VLOOKUP(B128,SecFiberDB,2,FALSE),SecDB,4,FALSE)))</f>
        <v/>
      </c>
      <c r="D128" s="41" t="str">
        <f t="shared" si="1"/>
        <v/>
      </c>
    </row>
    <row r="129" spans="3:4" x14ac:dyDescent="0.25">
      <c r="C129" s="41" t="str">
        <f>IF(A129=0,"",IF(IF(COUNTIF(Sec_Fiber!$A$19:$A$1018,B129)&gt;0,TRUE,FALSE)=FALSE,VLOOKUP(B129,SecDB,4,FALSE),VLOOKUP(VLOOKUP(B129,SecFiberDB,2,FALSE),SecDB,4,FALSE)))</f>
        <v/>
      </c>
      <c r="D129" s="41" t="str">
        <f t="shared" si="1"/>
        <v/>
      </c>
    </row>
    <row r="130" spans="3:4" x14ac:dyDescent="0.25">
      <c r="C130" s="41" t="str">
        <f>IF(A130=0,"",IF(IF(COUNTIF(Sec_Fiber!$A$19:$A$1018,B130)&gt;0,TRUE,FALSE)=FALSE,VLOOKUP(B130,SecDB,4,FALSE),VLOOKUP(VLOOKUP(B130,SecFiberDB,2,FALSE),SecDB,4,FALSE)))</f>
        <v/>
      </c>
      <c r="D130" s="41" t="str">
        <f t="shared" si="1"/>
        <v/>
      </c>
    </row>
    <row r="131" spans="3:4" x14ac:dyDescent="0.25">
      <c r="C131" s="41" t="str">
        <f>IF(A131=0,"",IF(IF(COUNTIF(Sec_Fiber!$A$19:$A$1018,B131)&gt;0,TRUE,FALSE)=FALSE,VLOOKUP(B131,SecDB,4,FALSE),VLOOKUP(VLOOKUP(B131,SecFiberDB,2,FALSE),SecDB,4,FALSE)))</f>
        <v/>
      </c>
      <c r="D131" s="41" t="str">
        <f t="shared" si="1"/>
        <v/>
      </c>
    </row>
    <row r="132" spans="3:4" x14ac:dyDescent="0.25">
      <c r="C132" s="41" t="str">
        <f>IF(A132=0,"",IF(IF(COUNTIF(Sec_Fiber!$A$19:$A$1018,B132)&gt;0,TRUE,FALSE)=FALSE,VLOOKUP(B132,SecDB,4,FALSE),VLOOKUP(VLOOKUP(B132,SecFiberDB,2,FALSE),SecDB,4,FALSE)))</f>
        <v/>
      </c>
      <c r="D132" s="41" t="str">
        <f t="shared" si="1"/>
        <v/>
      </c>
    </row>
    <row r="133" spans="3:4" x14ac:dyDescent="0.25">
      <c r="C133" s="41" t="str">
        <f>IF(A133=0,"",IF(IF(COUNTIF(Sec_Fiber!$A$19:$A$1018,B133)&gt;0,TRUE,FALSE)=FALSE,VLOOKUP(B133,SecDB,4,FALSE),VLOOKUP(VLOOKUP(B133,SecFiberDB,2,FALSE),SecDB,4,FALSE)))</f>
        <v/>
      </c>
      <c r="D133" s="41" t="str">
        <f t="shared" si="1"/>
        <v/>
      </c>
    </row>
    <row r="134" spans="3:4" x14ac:dyDescent="0.25">
      <c r="C134" s="41" t="str">
        <f>IF(A134=0,"",IF(IF(COUNTIF(Sec_Fiber!$A$19:$A$1018,B134)&gt;0,TRUE,FALSE)=FALSE,VLOOKUP(B134,SecDB,4,FALSE),VLOOKUP(VLOOKUP(B134,SecFiberDB,2,FALSE),SecDB,4,FALSE)))</f>
        <v/>
      </c>
      <c r="D134" s="41" t="str">
        <f t="shared" si="1"/>
        <v/>
      </c>
    </row>
    <row r="135" spans="3:4" x14ac:dyDescent="0.25">
      <c r="C135" s="41" t="str">
        <f>IF(A135=0,"",IF(IF(COUNTIF(Sec_Fiber!$A$19:$A$1018,B135)&gt;0,TRUE,FALSE)=FALSE,VLOOKUP(B135,SecDB,4,FALSE),VLOOKUP(VLOOKUP(B135,SecFiberDB,2,FALSE),SecDB,4,FALSE)))</f>
        <v/>
      </c>
      <c r="D135" s="41" t="str">
        <f t="shared" si="1"/>
        <v/>
      </c>
    </row>
    <row r="136" spans="3:4" x14ac:dyDescent="0.25">
      <c r="C136" s="41" t="str">
        <f>IF(A136=0,"",IF(IF(COUNTIF(Sec_Fiber!$A$19:$A$1018,B136)&gt;0,TRUE,FALSE)=FALSE,VLOOKUP(B136,SecDB,4,FALSE),VLOOKUP(VLOOKUP(B136,SecFiberDB,2,FALSE),SecDB,4,FALSE)))</f>
        <v/>
      </c>
      <c r="D136" s="41" t="str">
        <f t="shared" si="1"/>
        <v/>
      </c>
    </row>
    <row r="137" spans="3:4" x14ac:dyDescent="0.25">
      <c r="C137" s="41" t="str">
        <f>IF(A137=0,"",IF(IF(COUNTIF(Sec_Fiber!$A$19:$A$1018,B137)&gt;0,TRUE,FALSE)=FALSE,VLOOKUP(B137,SecDB,4,FALSE),VLOOKUP(VLOOKUP(B137,SecFiberDB,2,FALSE),SecDB,4,FALSE)))</f>
        <v/>
      </c>
      <c r="D137" s="41" t="str">
        <f t="shared" ref="D137:D200" si="2">IF(A137=0,"","Aggregator")</f>
        <v/>
      </c>
    </row>
    <row r="138" spans="3:4" x14ac:dyDescent="0.25">
      <c r="C138" s="41" t="str">
        <f>IF(A138=0,"",IF(IF(COUNTIF(Sec_Fiber!$A$19:$A$1018,B138)&gt;0,TRUE,FALSE)=FALSE,VLOOKUP(B138,SecDB,4,FALSE),VLOOKUP(VLOOKUP(B138,SecFiberDB,2,FALSE),SecDB,4,FALSE)))</f>
        <v/>
      </c>
      <c r="D138" s="41" t="str">
        <f t="shared" si="2"/>
        <v/>
      </c>
    </row>
    <row r="139" spans="3:4" x14ac:dyDescent="0.25">
      <c r="C139" s="41" t="str">
        <f>IF(A139=0,"",IF(IF(COUNTIF(Sec_Fiber!$A$19:$A$1018,B139)&gt;0,TRUE,FALSE)=FALSE,VLOOKUP(B139,SecDB,4,FALSE),VLOOKUP(VLOOKUP(B139,SecFiberDB,2,FALSE),SecDB,4,FALSE)))</f>
        <v/>
      </c>
      <c r="D139" s="41" t="str">
        <f t="shared" si="2"/>
        <v/>
      </c>
    </row>
    <row r="140" spans="3:4" x14ac:dyDescent="0.25">
      <c r="C140" s="41" t="str">
        <f>IF(A140=0,"",IF(IF(COUNTIF(Sec_Fiber!$A$19:$A$1018,B140)&gt;0,TRUE,FALSE)=FALSE,VLOOKUP(B140,SecDB,4,FALSE),VLOOKUP(VLOOKUP(B140,SecFiberDB,2,FALSE),SecDB,4,FALSE)))</f>
        <v/>
      </c>
      <c r="D140" s="41" t="str">
        <f t="shared" si="2"/>
        <v/>
      </c>
    </row>
    <row r="141" spans="3:4" x14ac:dyDescent="0.25">
      <c r="C141" s="41" t="str">
        <f>IF(A141=0,"",IF(IF(COUNTIF(Sec_Fiber!$A$19:$A$1018,B141)&gt;0,TRUE,FALSE)=FALSE,VLOOKUP(B141,SecDB,4,FALSE),VLOOKUP(VLOOKUP(B141,SecFiberDB,2,FALSE),SecDB,4,FALSE)))</f>
        <v/>
      </c>
      <c r="D141" s="41" t="str">
        <f t="shared" si="2"/>
        <v/>
      </c>
    </row>
    <row r="142" spans="3:4" x14ac:dyDescent="0.25">
      <c r="C142" s="41" t="str">
        <f>IF(A142=0,"",IF(IF(COUNTIF(Sec_Fiber!$A$19:$A$1018,B142)&gt;0,TRUE,FALSE)=FALSE,VLOOKUP(B142,SecDB,4,FALSE),VLOOKUP(VLOOKUP(B142,SecFiberDB,2,FALSE),SecDB,4,FALSE)))</f>
        <v/>
      </c>
      <c r="D142" s="41" t="str">
        <f t="shared" si="2"/>
        <v/>
      </c>
    </row>
    <row r="143" spans="3:4" x14ac:dyDescent="0.25">
      <c r="C143" s="41" t="str">
        <f>IF(A143=0,"",IF(IF(COUNTIF(Sec_Fiber!$A$19:$A$1018,B143)&gt;0,TRUE,FALSE)=FALSE,VLOOKUP(B143,SecDB,4,FALSE),VLOOKUP(VLOOKUP(B143,SecFiberDB,2,FALSE),SecDB,4,FALSE)))</f>
        <v/>
      </c>
      <c r="D143" s="41" t="str">
        <f t="shared" si="2"/>
        <v/>
      </c>
    </row>
    <row r="144" spans="3:4" x14ac:dyDescent="0.25">
      <c r="C144" s="41" t="str">
        <f>IF(A144=0,"",IF(IF(COUNTIF(Sec_Fiber!$A$19:$A$1018,B144)&gt;0,TRUE,FALSE)=FALSE,VLOOKUP(B144,SecDB,4,FALSE),VLOOKUP(VLOOKUP(B144,SecFiberDB,2,FALSE),SecDB,4,FALSE)))</f>
        <v/>
      </c>
      <c r="D144" s="41" t="str">
        <f t="shared" si="2"/>
        <v/>
      </c>
    </row>
    <row r="145" spans="3:4" x14ac:dyDescent="0.25">
      <c r="C145" s="41" t="str">
        <f>IF(A145=0,"",IF(IF(COUNTIF(Sec_Fiber!$A$19:$A$1018,B145)&gt;0,TRUE,FALSE)=FALSE,VLOOKUP(B145,SecDB,4,FALSE),VLOOKUP(VLOOKUP(B145,SecFiberDB,2,FALSE),SecDB,4,FALSE)))</f>
        <v/>
      </c>
      <c r="D145" s="41" t="str">
        <f t="shared" si="2"/>
        <v/>
      </c>
    </row>
    <row r="146" spans="3:4" x14ac:dyDescent="0.25">
      <c r="C146" s="41" t="str">
        <f>IF(A146=0,"",IF(IF(COUNTIF(Sec_Fiber!$A$19:$A$1018,B146)&gt;0,TRUE,FALSE)=FALSE,VLOOKUP(B146,SecDB,4,FALSE),VLOOKUP(VLOOKUP(B146,SecFiberDB,2,FALSE),SecDB,4,FALSE)))</f>
        <v/>
      </c>
      <c r="D146" s="41" t="str">
        <f t="shared" si="2"/>
        <v/>
      </c>
    </row>
    <row r="147" spans="3:4" x14ac:dyDescent="0.25">
      <c r="C147" s="41" t="str">
        <f>IF(A147=0,"",IF(IF(COUNTIF(Sec_Fiber!$A$19:$A$1018,B147)&gt;0,TRUE,FALSE)=FALSE,VLOOKUP(B147,SecDB,4,FALSE),VLOOKUP(VLOOKUP(B147,SecFiberDB,2,FALSE),SecDB,4,FALSE)))</f>
        <v/>
      </c>
      <c r="D147" s="41" t="str">
        <f t="shared" si="2"/>
        <v/>
      </c>
    </row>
    <row r="148" spans="3:4" x14ac:dyDescent="0.25">
      <c r="C148" s="41" t="str">
        <f>IF(A148=0,"",IF(IF(COUNTIF(Sec_Fiber!$A$19:$A$1018,B148)&gt;0,TRUE,FALSE)=FALSE,VLOOKUP(B148,SecDB,4,FALSE),VLOOKUP(VLOOKUP(B148,SecFiberDB,2,FALSE),SecDB,4,FALSE)))</f>
        <v/>
      </c>
      <c r="D148" s="41" t="str">
        <f t="shared" si="2"/>
        <v/>
      </c>
    </row>
    <row r="149" spans="3:4" x14ac:dyDescent="0.25">
      <c r="C149" s="41" t="str">
        <f>IF(A149=0,"",IF(IF(COUNTIF(Sec_Fiber!$A$19:$A$1018,B149)&gt;0,TRUE,FALSE)=FALSE,VLOOKUP(B149,SecDB,4,FALSE),VLOOKUP(VLOOKUP(B149,SecFiberDB,2,FALSE),SecDB,4,FALSE)))</f>
        <v/>
      </c>
      <c r="D149" s="41" t="str">
        <f t="shared" si="2"/>
        <v/>
      </c>
    </row>
    <row r="150" spans="3:4" x14ac:dyDescent="0.25">
      <c r="C150" s="41" t="str">
        <f>IF(A150=0,"",IF(IF(COUNTIF(Sec_Fiber!$A$19:$A$1018,B150)&gt;0,TRUE,FALSE)=FALSE,VLOOKUP(B150,SecDB,4,FALSE),VLOOKUP(VLOOKUP(B150,SecFiberDB,2,FALSE),SecDB,4,FALSE)))</f>
        <v/>
      </c>
      <c r="D150" s="41" t="str">
        <f t="shared" si="2"/>
        <v/>
      </c>
    </row>
    <row r="151" spans="3:4" x14ac:dyDescent="0.25">
      <c r="C151" s="41" t="str">
        <f>IF(A151=0,"",IF(IF(COUNTIF(Sec_Fiber!$A$19:$A$1018,B151)&gt;0,TRUE,FALSE)=FALSE,VLOOKUP(B151,SecDB,4,FALSE),VLOOKUP(VLOOKUP(B151,SecFiberDB,2,FALSE),SecDB,4,FALSE)))</f>
        <v/>
      </c>
      <c r="D151" s="41" t="str">
        <f t="shared" si="2"/>
        <v/>
      </c>
    </row>
    <row r="152" spans="3:4" x14ac:dyDescent="0.25">
      <c r="C152" s="41" t="str">
        <f>IF(A152=0,"",IF(IF(COUNTIF(Sec_Fiber!$A$19:$A$1018,B152)&gt;0,TRUE,FALSE)=FALSE,VLOOKUP(B152,SecDB,4,FALSE),VLOOKUP(VLOOKUP(B152,SecFiberDB,2,FALSE),SecDB,4,FALSE)))</f>
        <v/>
      </c>
      <c r="D152" s="41" t="str">
        <f t="shared" si="2"/>
        <v/>
      </c>
    </row>
    <row r="153" spans="3:4" x14ac:dyDescent="0.25">
      <c r="C153" s="41" t="str">
        <f>IF(A153=0,"",IF(IF(COUNTIF(Sec_Fiber!$A$19:$A$1018,B153)&gt;0,TRUE,FALSE)=FALSE,VLOOKUP(B153,SecDB,4,FALSE),VLOOKUP(VLOOKUP(B153,SecFiberDB,2,FALSE),SecDB,4,FALSE)))</f>
        <v/>
      </c>
      <c r="D153" s="41" t="str">
        <f t="shared" si="2"/>
        <v/>
      </c>
    </row>
    <row r="154" spans="3:4" x14ac:dyDescent="0.25">
      <c r="C154" s="41" t="str">
        <f>IF(A154=0,"",IF(IF(COUNTIF(Sec_Fiber!$A$19:$A$1018,B154)&gt;0,TRUE,FALSE)=FALSE,VLOOKUP(B154,SecDB,4,FALSE),VLOOKUP(VLOOKUP(B154,SecFiberDB,2,FALSE),SecDB,4,FALSE)))</f>
        <v/>
      </c>
      <c r="D154" s="41" t="str">
        <f t="shared" si="2"/>
        <v/>
      </c>
    </row>
    <row r="155" spans="3:4" x14ac:dyDescent="0.25">
      <c r="C155" s="41" t="str">
        <f>IF(A155=0,"",IF(IF(COUNTIF(Sec_Fiber!$A$19:$A$1018,B155)&gt;0,TRUE,FALSE)=FALSE,VLOOKUP(B155,SecDB,4,FALSE),VLOOKUP(VLOOKUP(B155,SecFiberDB,2,FALSE),SecDB,4,FALSE)))</f>
        <v/>
      </c>
      <c r="D155" s="41" t="str">
        <f t="shared" si="2"/>
        <v/>
      </c>
    </row>
    <row r="156" spans="3:4" x14ac:dyDescent="0.25">
      <c r="C156" s="41" t="str">
        <f>IF(A156=0,"",IF(IF(COUNTIF(Sec_Fiber!$A$19:$A$1018,B156)&gt;0,TRUE,FALSE)=FALSE,VLOOKUP(B156,SecDB,4,FALSE),VLOOKUP(VLOOKUP(B156,SecFiberDB,2,FALSE),SecDB,4,FALSE)))</f>
        <v/>
      </c>
      <c r="D156" s="41" t="str">
        <f t="shared" si="2"/>
        <v/>
      </c>
    </row>
    <row r="157" spans="3:4" x14ac:dyDescent="0.25">
      <c r="C157" s="41" t="str">
        <f>IF(A157=0,"",IF(IF(COUNTIF(Sec_Fiber!$A$19:$A$1018,B157)&gt;0,TRUE,FALSE)=FALSE,VLOOKUP(B157,SecDB,4,FALSE),VLOOKUP(VLOOKUP(B157,SecFiberDB,2,FALSE),SecDB,4,FALSE)))</f>
        <v/>
      </c>
      <c r="D157" s="41" t="str">
        <f t="shared" si="2"/>
        <v/>
      </c>
    </row>
    <row r="158" spans="3:4" x14ac:dyDescent="0.25">
      <c r="C158" s="41" t="str">
        <f>IF(A158=0,"",IF(IF(COUNTIF(Sec_Fiber!$A$19:$A$1018,B158)&gt;0,TRUE,FALSE)=FALSE,VLOOKUP(B158,SecDB,4,FALSE),VLOOKUP(VLOOKUP(B158,SecFiberDB,2,FALSE),SecDB,4,FALSE)))</f>
        <v/>
      </c>
      <c r="D158" s="41" t="str">
        <f t="shared" si="2"/>
        <v/>
      </c>
    </row>
    <row r="159" spans="3:4" x14ac:dyDescent="0.25">
      <c r="C159" s="41" t="str">
        <f>IF(A159=0,"",IF(IF(COUNTIF(Sec_Fiber!$A$19:$A$1018,B159)&gt;0,TRUE,FALSE)=FALSE,VLOOKUP(B159,SecDB,4,FALSE),VLOOKUP(VLOOKUP(B159,SecFiberDB,2,FALSE),SecDB,4,FALSE)))</f>
        <v/>
      </c>
      <c r="D159" s="41" t="str">
        <f t="shared" si="2"/>
        <v/>
      </c>
    </row>
    <row r="160" spans="3:4" x14ac:dyDescent="0.25">
      <c r="C160" s="41" t="str">
        <f>IF(A160=0,"",IF(IF(COUNTIF(Sec_Fiber!$A$19:$A$1018,B160)&gt;0,TRUE,FALSE)=FALSE,VLOOKUP(B160,SecDB,4,FALSE),VLOOKUP(VLOOKUP(B160,SecFiberDB,2,FALSE),SecDB,4,FALSE)))</f>
        <v/>
      </c>
      <c r="D160" s="41" t="str">
        <f t="shared" si="2"/>
        <v/>
      </c>
    </row>
    <row r="161" spans="3:4" x14ac:dyDescent="0.25">
      <c r="C161" s="41" t="str">
        <f>IF(A161=0,"",IF(IF(COUNTIF(Sec_Fiber!$A$19:$A$1018,B161)&gt;0,TRUE,FALSE)=FALSE,VLOOKUP(B161,SecDB,4,FALSE),VLOOKUP(VLOOKUP(B161,SecFiberDB,2,FALSE),SecDB,4,FALSE)))</f>
        <v/>
      </c>
      <c r="D161" s="41" t="str">
        <f t="shared" si="2"/>
        <v/>
      </c>
    </row>
    <row r="162" spans="3:4" x14ac:dyDescent="0.25">
      <c r="C162" s="41" t="str">
        <f>IF(A162=0,"",IF(IF(COUNTIF(Sec_Fiber!$A$19:$A$1018,B162)&gt;0,TRUE,FALSE)=FALSE,VLOOKUP(B162,SecDB,4,FALSE),VLOOKUP(VLOOKUP(B162,SecFiberDB,2,FALSE),SecDB,4,FALSE)))</f>
        <v/>
      </c>
      <c r="D162" s="41" t="str">
        <f t="shared" si="2"/>
        <v/>
      </c>
    </row>
    <row r="163" spans="3:4" x14ac:dyDescent="0.25">
      <c r="C163" s="41" t="str">
        <f>IF(A163=0,"",IF(IF(COUNTIF(Sec_Fiber!$A$19:$A$1018,B163)&gt;0,TRUE,FALSE)=FALSE,VLOOKUP(B163,SecDB,4,FALSE),VLOOKUP(VLOOKUP(B163,SecFiberDB,2,FALSE),SecDB,4,FALSE)))</f>
        <v/>
      </c>
      <c r="D163" s="41" t="str">
        <f t="shared" si="2"/>
        <v/>
      </c>
    </row>
    <row r="164" spans="3:4" x14ac:dyDescent="0.25">
      <c r="C164" s="41" t="str">
        <f>IF(A164=0,"",IF(IF(COUNTIF(Sec_Fiber!$A$19:$A$1018,B164)&gt;0,TRUE,FALSE)=FALSE,VLOOKUP(B164,SecDB,4,FALSE),VLOOKUP(VLOOKUP(B164,SecFiberDB,2,FALSE),SecDB,4,FALSE)))</f>
        <v/>
      </c>
      <c r="D164" s="41" t="str">
        <f t="shared" si="2"/>
        <v/>
      </c>
    </row>
    <row r="165" spans="3:4" x14ac:dyDescent="0.25">
      <c r="C165" s="41" t="str">
        <f>IF(A165=0,"",IF(IF(COUNTIF(Sec_Fiber!$A$19:$A$1018,B165)&gt;0,TRUE,FALSE)=FALSE,VLOOKUP(B165,SecDB,4,FALSE),VLOOKUP(VLOOKUP(B165,SecFiberDB,2,FALSE),SecDB,4,FALSE)))</f>
        <v/>
      </c>
      <c r="D165" s="41" t="str">
        <f t="shared" si="2"/>
        <v/>
      </c>
    </row>
    <row r="166" spans="3:4" x14ac:dyDescent="0.25">
      <c r="C166" s="41" t="str">
        <f>IF(A166=0,"",IF(IF(COUNTIF(Sec_Fiber!$A$19:$A$1018,B166)&gt;0,TRUE,FALSE)=FALSE,VLOOKUP(B166,SecDB,4,FALSE),VLOOKUP(VLOOKUP(B166,SecFiberDB,2,FALSE),SecDB,4,FALSE)))</f>
        <v/>
      </c>
      <c r="D166" s="41" t="str">
        <f t="shared" si="2"/>
        <v/>
      </c>
    </row>
    <row r="167" spans="3:4" x14ac:dyDescent="0.25">
      <c r="C167" s="41" t="str">
        <f>IF(A167=0,"",IF(IF(COUNTIF(Sec_Fiber!$A$19:$A$1018,B167)&gt;0,TRUE,FALSE)=FALSE,VLOOKUP(B167,SecDB,4,FALSE),VLOOKUP(VLOOKUP(B167,SecFiberDB,2,FALSE),SecDB,4,FALSE)))</f>
        <v/>
      </c>
      <c r="D167" s="41" t="str">
        <f t="shared" si="2"/>
        <v/>
      </c>
    </row>
    <row r="168" spans="3:4" x14ac:dyDescent="0.25">
      <c r="C168" s="41" t="str">
        <f>IF(A168=0,"",IF(IF(COUNTIF(Sec_Fiber!$A$19:$A$1018,B168)&gt;0,TRUE,FALSE)=FALSE,VLOOKUP(B168,SecDB,4,FALSE),VLOOKUP(VLOOKUP(B168,SecFiberDB,2,FALSE),SecDB,4,FALSE)))</f>
        <v/>
      </c>
      <c r="D168" s="41" t="str">
        <f t="shared" si="2"/>
        <v/>
      </c>
    </row>
    <row r="169" spans="3:4" x14ac:dyDescent="0.25">
      <c r="C169" s="41" t="str">
        <f>IF(A169=0,"",IF(IF(COUNTIF(Sec_Fiber!$A$19:$A$1018,B169)&gt;0,TRUE,FALSE)=FALSE,VLOOKUP(B169,SecDB,4,FALSE),VLOOKUP(VLOOKUP(B169,SecFiberDB,2,FALSE),SecDB,4,FALSE)))</f>
        <v/>
      </c>
      <c r="D169" s="41" t="str">
        <f t="shared" si="2"/>
        <v/>
      </c>
    </row>
    <row r="170" spans="3:4" x14ac:dyDescent="0.25">
      <c r="C170" s="41" t="str">
        <f>IF(A170=0,"",IF(IF(COUNTIF(Sec_Fiber!$A$19:$A$1018,B170)&gt;0,TRUE,FALSE)=FALSE,VLOOKUP(B170,SecDB,4,FALSE),VLOOKUP(VLOOKUP(B170,SecFiberDB,2,FALSE),SecDB,4,FALSE)))</f>
        <v/>
      </c>
      <c r="D170" s="41" t="str">
        <f t="shared" si="2"/>
        <v/>
      </c>
    </row>
    <row r="171" spans="3:4" x14ac:dyDescent="0.25">
      <c r="C171" s="41" t="str">
        <f>IF(A171=0,"",IF(IF(COUNTIF(Sec_Fiber!$A$19:$A$1018,B171)&gt;0,TRUE,FALSE)=FALSE,VLOOKUP(B171,SecDB,4,FALSE),VLOOKUP(VLOOKUP(B171,SecFiberDB,2,FALSE),SecDB,4,FALSE)))</f>
        <v/>
      </c>
      <c r="D171" s="41" t="str">
        <f t="shared" si="2"/>
        <v/>
      </c>
    </row>
    <row r="172" spans="3:4" x14ac:dyDescent="0.25">
      <c r="C172" s="41" t="str">
        <f>IF(A172=0,"",IF(IF(COUNTIF(Sec_Fiber!$A$19:$A$1018,B172)&gt;0,TRUE,FALSE)=FALSE,VLOOKUP(B172,SecDB,4,FALSE),VLOOKUP(VLOOKUP(B172,SecFiberDB,2,FALSE),SecDB,4,FALSE)))</f>
        <v/>
      </c>
      <c r="D172" s="41" t="str">
        <f t="shared" si="2"/>
        <v/>
      </c>
    </row>
    <row r="173" spans="3:4" x14ac:dyDescent="0.25">
      <c r="C173" s="41" t="str">
        <f>IF(A173=0,"",IF(IF(COUNTIF(Sec_Fiber!$A$19:$A$1018,B173)&gt;0,TRUE,FALSE)=FALSE,VLOOKUP(B173,SecDB,4,FALSE),VLOOKUP(VLOOKUP(B173,SecFiberDB,2,FALSE),SecDB,4,FALSE)))</f>
        <v/>
      </c>
      <c r="D173" s="41" t="str">
        <f t="shared" si="2"/>
        <v/>
      </c>
    </row>
    <row r="174" spans="3:4" x14ac:dyDescent="0.25">
      <c r="C174" s="41" t="str">
        <f>IF(A174=0,"",IF(IF(COUNTIF(Sec_Fiber!$A$19:$A$1018,B174)&gt;0,TRUE,FALSE)=FALSE,VLOOKUP(B174,SecDB,4,FALSE),VLOOKUP(VLOOKUP(B174,SecFiberDB,2,FALSE),SecDB,4,FALSE)))</f>
        <v/>
      </c>
      <c r="D174" s="41" t="str">
        <f t="shared" si="2"/>
        <v/>
      </c>
    </row>
    <row r="175" spans="3:4" x14ac:dyDescent="0.25">
      <c r="C175" s="41" t="str">
        <f>IF(A175=0,"",IF(IF(COUNTIF(Sec_Fiber!$A$19:$A$1018,B175)&gt;0,TRUE,FALSE)=FALSE,VLOOKUP(B175,SecDB,4,FALSE),VLOOKUP(VLOOKUP(B175,SecFiberDB,2,FALSE),SecDB,4,FALSE)))</f>
        <v/>
      </c>
      <c r="D175" s="41" t="str">
        <f t="shared" si="2"/>
        <v/>
      </c>
    </row>
    <row r="176" spans="3:4" x14ac:dyDescent="0.25">
      <c r="C176" s="41" t="str">
        <f>IF(A176=0,"",IF(IF(COUNTIF(Sec_Fiber!$A$19:$A$1018,B176)&gt;0,TRUE,FALSE)=FALSE,VLOOKUP(B176,SecDB,4,FALSE),VLOOKUP(VLOOKUP(B176,SecFiberDB,2,FALSE),SecDB,4,FALSE)))</f>
        <v/>
      </c>
      <c r="D176" s="41" t="str">
        <f t="shared" si="2"/>
        <v/>
      </c>
    </row>
    <row r="177" spans="3:4" x14ac:dyDescent="0.25">
      <c r="C177" s="41" t="str">
        <f>IF(A177=0,"",IF(IF(COUNTIF(Sec_Fiber!$A$19:$A$1018,B177)&gt;0,TRUE,FALSE)=FALSE,VLOOKUP(B177,SecDB,4,FALSE),VLOOKUP(VLOOKUP(B177,SecFiberDB,2,FALSE),SecDB,4,FALSE)))</f>
        <v/>
      </c>
      <c r="D177" s="41" t="str">
        <f t="shared" si="2"/>
        <v/>
      </c>
    </row>
    <row r="178" spans="3:4" x14ac:dyDescent="0.25">
      <c r="C178" s="41" t="str">
        <f>IF(A178=0,"",IF(IF(COUNTIF(Sec_Fiber!$A$19:$A$1018,B178)&gt;0,TRUE,FALSE)=FALSE,VLOOKUP(B178,SecDB,4,FALSE),VLOOKUP(VLOOKUP(B178,SecFiberDB,2,FALSE),SecDB,4,FALSE)))</f>
        <v/>
      </c>
      <c r="D178" s="41" t="str">
        <f t="shared" si="2"/>
        <v/>
      </c>
    </row>
    <row r="179" spans="3:4" x14ac:dyDescent="0.25">
      <c r="C179" s="41" t="str">
        <f>IF(A179=0,"",IF(IF(COUNTIF(Sec_Fiber!$A$19:$A$1018,B179)&gt;0,TRUE,FALSE)=FALSE,VLOOKUP(B179,SecDB,4,FALSE),VLOOKUP(VLOOKUP(B179,SecFiberDB,2,FALSE),SecDB,4,FALSE)))</f>
        <v/>
      </c>
      <c r="D179" s="41" t="str">
        <f t="shared" si="2"/>
        <v/>
      </c>
    </row>
    <row r="180" spans="3:4" x14ac:dyDescent="0.25">
      <c r="C180" s="41" t="str">
        <f>IF(A180=0,"",IF(IF(COUNTIF(Sec_Fiber!$A$19:$A$1018,B180)&gt;0,TRUE,FALSE)=FALSE,VLOOKUP(B180,SecDB,4,FALSE),VLOOKUP(VLOOKUP(B180,SecFiberDB,2,FALSE),SecDB,4,FALSE)))</f>
        <v/>
      </c>
      <c r="D180" s="41" t="str">
        <f t="shared" si="2"/>
        <v/>
      </c>
    </row>
    <row r="181" spans="3:4" x14ac:dyDescent="0.25">
      <c r="C181" s="41" t="str">
        <f>IF(A181=0,"",IF(IF(COUNTIF(Sec_Fiber!$A$19:$A$1018,B181)&gt;0,TRUE,FALSE)=FALSE,VLOOKUP(B181,SecDB,4,FALSE),VLOOKUP(VLOOKUP(B181,SecFiberDB,2,FALSE),SecDB,4,FALSE)))</f>
        <v/>
      </c>
      <c r="D181" s="41" t="str">
        <f t="shared" si="2"/>
        <v/>
      </c>
    </row>
    <row r="182" spans="3:4" x14ac:dyDescent="0.25">
      <c r="C182" s="41" t="str">
        <f>IF(A182=0,"",IF(IF(COUNTIF(Sec_Fiber!$A$19:$A$1018,B182)&gt;0,TRUE,FALSE)=FALSE,VLOOKUP(B182,SecDB,4,FALSE),VLOOKUP(VLOOKUP(B182,SecFiberDB,2,FALSE),SecDB,4,FALSE)))</f>
        <v/>
      </c>
      <c r="D182" s="41" t="str">
        <f t="shared" si="2"/>
        <v/>
      </c>
    </row>
    <row r="183" spans="3:4" x14ac:dyDescent="0.25">
      <c r="C183" s="41" t="str">
        <f>IF(A183=0,"",IF(IF(COUNTIF(Sec_Fiber!$A$19:$A$1018,B183)&gt;0,TRUE,FALSE)=FALSE,VLOOKUP(B183,SecDB,4,FALSE),VLOOKUP(VLOOKUP(B183,SecFiberDB,2,FALSE),SecDB,4,FALSE)))</f>
        <v/>
      </c>
      <c r="D183" s="41" t="str">
        <f t="shared" si="2"/>
        <v/>
      </c>
    </row>
    <row r="184" spans="3:4" x14ac:dyDescent="0.25">
      <c r="C184" s="41" t="str">
        <f>IF(A184=0,"",IF(IF(COUNTIF(Sec_Fiber!$A$19:$A$1018,B184)&gt;0,TRUE,FALSE)=FALSE,VLOOKUP(B184,SecDB,4,FALSE),VLOOKUP(VLOOKUP(B184,SecFiberDB,2,FALSE),SecDB,4,FALSE)))</f>
        <v/>
      </c>
      <c r="D184" s="41" t="str">
        <f t="shared" si="2"/>
        <v/>
      </c>
    </row>
    <row r="185" spans="3:4" x14ac:dyDescent="0.25">
      <c r="C185" s="41" t="str">
        <f>IF(A185=0,"",IF(IF(COUNTIF(Sec_Fiber!$A$19:$A$1018,B185)&gt;0,TRUE,FALSE)=FALSE,VLOOKUP(B185,SecDB,4,FALSE),VLOOKUP(VLOOKUP(B185,SecFiberDB,2,FALSE),SecDB,4,FALSE)))</f>
        <v/>
      </c>
      <c r="D185" s="41" t="str">
        <f t="shared" si="2"/>
        <v/>
      </c>
    </row>
    <row r="186" spans="3:4" x14ac:dyDescent="0.25">
      <c r="C186" s="41" t="str">
        <f>IF(A186=0,"",IF(IF(COUNTIF(Sec_Fiber!$A$19:$A$1018,B186)&gt;0,TRUE,FALSE)=FALSE,VLOOKUP(B186,SecDB,4,FALSE),VLOOKUP(VLOOKUP(B186,SecFiberDB,2,FALSE),SecDB,4,FALSE)))</f>
        <v/>
      </c>
      <c r="D186" s="41" t="str">
        <f t="shared" si="2"/>
        <v/>
      </c>
    </row>
    <row r="187" spans="3:4" x14ac:dyDescent="0.25">
      <c r="C187" s="41" t="str">
        <f>IF(A187=0,"",IF(IF(COUNTIF(Sec_Fiber!$A$19:$A$1018,B187)&gt;0,TRUE,FALSE)=FALSE,VLOOKUP(B187,SecDB,4,FALSE),VLOOKUP(VLOOKUP(B187,SecFiberDB,2,FALSE),SecDB,4,FALSE)))</f>
        <v/>
      </c>
      <c r="D187" s="41" t="str">
        <f t="shared" si="2"/>
        <v/>
      </c>
    </row>
    <row r="188" spans="3:4" x14ac:dyDescent="0.25">
      <c r="C188" s="41" t="str">
        <f>IF(A188=0,"",IF(IF(COUNTIF(Sec_Fiber!$A$19:$A$1018,B188)&gt;0,TRUE,FALSE)=FALSE,VLOOKUP(B188,SecDB,4,FALSE),VLOOKUP(VLOOKUP(B188,SecFiberDB,2,FALSE),SecDB,4,FALSE)))</f>
        <v/>
      </c>
      <c r="D188" s="41" t="str">
        <f t="shared" si="2"/>
        <v/>
      </c>
    </row>
    <row r="189" spans="3:4" x14ac:dyDescent="0.25">
      <c r="C189" s="41" t="str">
        <f>IF(A189=0,"",IF(IF(COUNTIF(Sec_Fiber!$A$19:$A$1018,B189)&gt;0,TRUE,FALSE)=FALSE,VLOOKUP(B189,SecDB,4,FALSE),VLOOKUP(VLOOKUP(B189,SecFiberDB,2,FALSE),SecDB,4,FALSE)))</f>
        <v/>
      </c>
      <c r="D189" s="41" t="str">
        <f t="shared" si="2"/>
        <v/>
      </c>
    </row>
    <row r="190" spans="3:4" x14ac:dyDescent="0.25">
      <c r="C190" s="41" t="str">
        <f>IF(A190=0,"",IF(IF(COUNTIF(Sec_Fiber!$A$19:$A$1018,B190)&gt;0,TRUE,FALSE)=FALSE,VLOOKUP(B190,SecDB,4,FALSE),VLOOKUP(VLOOKUP(B190,SecFiberDB,2,FALSE),SecDB,4,FALSE)))</f>
        <v/>
      </c>
      <c r="D190" s="41" t="str">
        <f t="shared" si="2"/>
        <v/>
      </c>
    </row>
    <row r="191" spans="3:4" x14ac:dyDescent="0.25">
      <c r="C191" s="41" t="str">
        <f>IF(A191=0,"",IF(IF(COUNTIF(Sec_Fiber!$A$19:$A$1018,B191)&gt;0,TRUE,FALSE)=FALSE,VLOOKUP(B191,SecDB,4,FALSE),VLOOKUP(VLOOKUP(B191,SecFiberDB,2,FALSE),SecDB,4,FALSE)))</f>
        <v/>
      </c>
      <c r="D191" s="41" t="str">
        <f t="shared" si="2"/>
        <v/>
      </c>
    </row>
    <row r="192" spans="3:4" x14ac:dyDescent="0.25">
      <c r="C192" s="41" t="str">
        <f>IF(A192=0,"",IF(IF(COUNTIF(Sec_Fiber!$A$19:$A$1018,B192)&gt;0,TRUE,FALSE)=FALSE,VLOOKUP(B192,SecDB,4,FALSE),VLOOKUP(VLOOKUP(B192,SecFiberDB,2,FALSE),SecDB,4,FALSE)))</f>
        <v/>
      </c>
      <c r="D192" s="41" t="str">
        <f t="shared" si="2"/>
        <v/>
      </c>
    </row>
    <row r="193" spans="3:4" x14ac:dyDescent="0.25">
      <c r="C193" s="41" t="str">
        <f>IF(A193=0,"",IF(IF(COUNTIF(Sec_Fiber!$A$19:$A$1018,B193)&gt;0,TRUE,FALSE)=FALSE,VLOOKUP(B193,SecDB,4,FALSE),VLOOKUP(VLOOKUP(B193,SecFiberDB,2,FALSE),SecDB,4,FALSE)))</f>
        <v/>
      </c>
      <c r="D193" s="41" t="str">
        <f t="shared" si="2"/>
        <v/>
      </c>
    </row>
    <row r="194" spans="3:4" x14ac:dyDescent="0.25">
      <c r="C194" s="41" t="str">
        <f>IF(A194=0,"",IF(IF(COUNTIF(Sec_Fiber!$A$19:$A$1018,B194)&gt;0,TRUE,FALSE)=FALSE,VLOOKUP(B194,SecDB,4,FALSE),VLOOKUP(VLOOKUP(B194,SecFiberDB,2,FALSE),SecDB,4,FALSE)))</f>
        <v/>
      </c>
      <c r="D194" s="41" t="str">
        <f t="shared" si="2"/>
        <v/>
      </c>
    </row>
    <row r="195" spans="3:4" x14ac:dyDescent="0.25">
      <c r="C195" s="41" t="str">
        <f>IF(A195=0,"",IF(IF(COUNTIF(Sec_Fiber!$A$19:$A$1018,B195)&gt;0,TRUE,FALSE)=FALSE,VLOOKUP(B195,SecDB,4,FALSE),VLOOKUP(VLOOKUP(B195,SecFiberDB,2,FALSE),SecDB,4,FALSE)))</f>
        <v/>
      </c>
      <c r="D195" s="41" t="str">
        <f t="shared" si="2"/>
        <v/>
      </c>
    </row>
    <row r="196" spans="3:4" x14ac:dyDescent="0.25">
      <c r="C196" s="41" t="str">
        <f>IF(A196=0,"",IF(IF(COUNTIF(Sec_Fiber!$A$19:$A$1018,B196)&gt;0,TRUE,FALSE)=FALSE,VLOOKUP(B196,SecDB,4,FALSE),VLOOKUP(VLOOKUP(B196,SecFiberDB,2,FALSE),SecDB,4,FALSE)))</f>
        <v/>
      </c>
      <c r="D196" s="41" t="str">
        <f t="shared" si="2"/>
        <v/>
      </c>
    </row>
    <row r="197" spans="3:4" x14ac:dyDescent="0.25">
      <c r="C197" s="41" t="str">
        <f>IF(A197=0,"",IF(IF(COUNTIF(Sec_Fiber!$A$19:$A$1018,B197)&gt;0,TRUE,FALSE)=FALSE,VLOOKUP(B197,SecDB,4,FALSE),VLOOKUP(VLOOKUP(B197,SecFiberDB,2,FALSE),SecDB,4,FALSE)))</f>
        <v/>
      </c>
      <c r="D197" s="41" t="str">
        <f t="shared" si="2"/>
        <v/>
      </c>
    </row>
    <row r="198" spans="3:4" x14ac:dyDescent="0.25">
      <c r="C198" s="41" t="str">
        <f>IF(A198=0,"",IF(IF(COUNTIF(Sec_Fiber!$A$19:$A$1018,B198)&gt;0,TRUE,FALSE)=FALSE,VLOOKUP(B198,SecDB,4,FALSE),VLOOKUP(VLOOKUP(B198,SecFiberDB,2,FALSE),SecDB,4,FALSE)))</f>
        <v/>
      </c>
      <c r="D198" s="41" t="str">
        <f t="shared" si="2"/>
        <v/>
      </c>
    </row>
    <row r="199" spans="3:4" x14ac:dyDescent="0.25">
      <c r="C199" s="41" t="str">
        <f>IF(A199=0,"",IF(IF(COUNTIF(Sec_Fiber!$A$19:$A$1018,B199)&gt;0,TRUE,FALSE)=FALSE,VLOOKUP(B199,SecDB,4,FALSE),VLOOKUP(VLOOKUP(B199,SecFiberDB,2,FALSE),SecDB,4,FALSE)))</f>
        <v/>
      </c>
      <c r="D199" s="41" t="str">
        <f t="shared" si="2"/>
        <v/>
      </c>
    </row>
    <row r="200" spans="3:4" x14ac:dyDescent="0.25">
      <c r="C200" s="41" t="str">
        <f>IF(A200=0,"",IF(IF(COUNTIF(Sec_Fiber!$A$19:$A$1018,B200)&gt;0,TRUE,FALSE)=FALSE,VLOOKUP(B200,SecDB,4,FALSE),VLOOKUP(VLOOKUP(B200,SecFiberDB,2,FALSE),SecDB,4,FALSE)))</f>
        <v/>
      </c>
      <c r="D200" s="41" t="str">
        <f t="shared" si="2"/>
        <v/>
      </c>
    </row>
    <row r="201" spans="3:4" x14ac:dyDescent="0.25">
      <c r="C201" s="41" t="str">
        <f>IF(A201=0,"",IF(IF(COUNTIF(Sec_Fiber!$A$19:$A$1018,B201)&gt;0,TRUE,FALSE)=FALSE,VLOOKUP(B201,SecDB,4,FALSE),VLOOKUP(VLOOKUP(B201,SecFiberDB,2,FALSE),SecDB,4,FALSE)))</f>
        <v/>
      </c>
      <c r="D201" s="41" t="str">
        <f t="shared" ref="D201:D264" si="3">IF(A201=0,"","Aggregator")</f>
        <v/>
      </c>
    </row>
    <row r="202" spans="3:4" x14ac:dyDescent="0.25">
      <c r="C202" s="41" t="str">
        <f>IF(A202=0,"",IF(IF(COUNTIF(Sec_Fiber!$A$19:$A$1018,B202)&gt;0,TRUE,FALSE)=FALSE,VLOOKUP(B202,SecDB,4,FALSE),VLOOKUP(VLOOKUP(B202,SecFiberDB,2,FALSE),SecDB,4,FALSE)))</f>
        <v/>
      </c>
      <c r="D202" s="41" t="str">
        <f t="shared" si="3"/>
        <v/>
      </c>
    </row>
    <row r="203" spans="3:4" x14ac:dyDescent="0.25">
      <c r="C203" s="41" t="str">
        <f>IF(A203=0,"",IF(IF(COUNTIF(Sec_Fiber!$A$19:$A$1018,B203)&gt;0,TRUE,FALSE)=FALSE,VLOOKUP(B203,SecDB,4,FALSE),VLOOKUP(VLOOKUP(B203,SecFiberDB,2,FALSE),SecDB,4,FALSE)))</f>
        <v/>
      </c>
      <c r="D203" s="41" t="str">
        <f t="shared" si="3"/>
        <v/>
      </c>
    </row>
    <row r="204" spans="3:4" x14ac:dyDescent="0.25">
      <c r="C204" s="41" t="str">
        <f>IF(A204=0,"",IF(IF(COUNTIF(Sec_Fiber!$A$19:$A$1018,B204)&gt;0,TRUE,FALSE)=FALSE,VLOOKUP(B204,SecDB,4,FALSE),VLOOKUP(VLOOKUP(B204,SecFiberDB,2,FALSE),SecDB,4,FALSE)))</f>
        <v/>
      </c>
      <c r="D204" s="41" t="str">
        <f t="shared" si="3"/>
        <v/>
      </c>
    </row>
    <row r="205" spans="3:4" x14ac:dyDescent="0.25">
      <c r="C205" s="41" t="str">
        <f>IF(A205=0,"",IF(IF(COUNTIF(Sec_Fiber!$A$19:$A$1018,B205)&gt;0,TRUE,FALSE)=FALSE,VLOOKUP(B205,SecDB,4,FALSE),VLOOKUP(VLOOKUP(B205,SecFiberDB,2,FALSE),SecDB,4,FALSE)))</f>
        <v/>
      </c>
      <c r="D205" s="41" t="str">
        <f t="shared" si="3"/>
        <v/>
      </c>
    </row>
    <row r="206" spans="3:4" x14ac:dyDescent="0.25">
      <c r="C206" s="41" t="str">
        <f>IF(A206=0,"",IF(IF(COUNTIF(Sec_Fiber!$A$19:$A$1018,B206)&gt;0,TRUE,FALSE)=FALSE,VLOOKUP(B206,SecDB,4,FALSE),VLOOKUP(VLOOKUP(B206,SecFiberDB,2,FALSE),SecDB,4,FALSE)))</f>
        <v/>
      </c>
      <c r="D206" s="41" t="str">
        <f t="shared" si="3"/>
        <v/>
      </c>
    </row>
    <row r="207" spans="3:4" x14ac:dyDescent="0.25">
      <c r="C207" s="41" t="str">
        <f>IF(A207=0,"",IF(IF(COUNTIF(Sec_Fiber!$A$19:$A$1018,B207)&gt;0,TRUE,FALSE)=FALSE,VLOOKUP(B207,SecDB,4,FALSE),VLOOKUP(VLOOKUP(B207,SecFiberDB,2,FALSE),SecDB,4,FALSE)))</f>
        <v/>
      </c>
      <c r="D207" s="41" t="str">
        <f t="shared" si="3"/>
        <v/>
      </c>
    </row>
    <row r="208" spans="3:4" x14ac:dyDescent="0.25">
      <c r="C208" s="41" t="str">
        <f>IF(A208=0,"",IF(IF(COUNTIF(Sec_Fiber!$A$19:$A$1018,B208)&gt;0,TRUE,FALSE)=FALSE,VLOOKUP(B208,SecDB,4,FALSE),VLOOKUP(VLOOKUP(B208,SecFiberDB,2,FALSE),SecDB,4,FALSE)))</f>
        <v/>
      </c>
      <c r="D208" s="41" t="str">
        <f t="shared" si="3"/>
        <v/>
      </c>
    </row>
    <row r="209" spans="3:4" x14ac:dyDescent="0.25">
      <c r="C209" s="41" t="str">
        <f>IF(A209=0,"",IF(IF(COUNTIF(Sec_Fiber!$A$19:$A$1018,B209)&gt;0,TRUE,FALSE)=FALSE,VLOOKUP(B209,SecDB,4,FALSE),VLOOKUP(VLOOKUP(B209,SecFiberDB,2,FALSE),SecDB,4,FALSE)))</f>
        <v/>
      </c>
      <c r="D209" s="41" t="str">
        <f t="shared" si="3"/>
        <v/>
      </c>
    </row>
    <row r="210" spans="3:4" x14ac:dyDescent="0.25">
      <c r="C210" s="41" t="str">
        <f>IF(A210=0,"",IF(IF(COUNTIF(Sec_Fiber!$A$19:$A$1018,B210)&gt;0,TRUE,FALSE)=FALSE,VLOOKUP(B210,SecDB,4,FALSE),VLOOKUP(VLOOKUP(B210,SecFiberDB,2,FALSE),SecDB,4,FALSE)))</f>
        <v/>
      </c>
      <c r="D210" s="41" t="str">
        <f t="shared" si="3"/>
        <v/>
      </c>
    </row>
    <row r="211" spans="3:4" x14ac:dyDescent="0.25">
      <c r="C211" s="41" t="str">
        <f>IF(A211=0,"",IF(IF(COUNTIF(Sec_Fiber!$A$19:$A$1018,B211)&gt;0,TRUE,FALSE)=FALSE,VLOOKUP(B211,SecDB,4,FALSE),VLOOKUP(VLOOKUP(B211,SecFiberDB,2,FALSE),SecDB,4,FALSE)))</f>
        <v/>
      </c>
      <c r="D211" s="41" t="str">
        <f t="shared" si="3"/>
        <v/>
      </c>
    </row>
    <row r="212" spans="3:4" x14ac:dyDescent="0.25">
      <c r="C212" s="41" t="str">
        <f>IF(A212=0,"",IF(IF(COUNTIF(Sec_Fiber!$A$19:$A$1018,B212)&gt;0,TRUE,FALSE)=FALSE,VLOOKUP(B212,SecDB,4,FALSE),VLOOKUP(VLOOKUP(B212,SecFiberDB,2,FALSE),SecDB,4,FALSE)))</f>
        <v/>
      </c>
      <c r="D212" s="41" t="str">
        <f t="shared" si="3"/>
        <v/>
      </c>
    </row>
    <row r="213" spans="3:4" x14ac:dyDescent="0.25">
      <c r="C213" s="41" t="str">
        <f>IF(A213=0,"",IF(IF(COUNTIF(Sec_Fiber!$A$19:$A$1018,B213)&gt;0,TRUE,FALSE)=FALSE,VLOOKUP(B213,SecDB,4,FALSE),VLOOKUP(VLOOKUP(B213,SecFiberDB,2,FALSE),SecDB,4,FALSE)))</f>
        <v/>
      </c>
      <c r="D213" s="41" t="str">
        <f t="shared" si="3"/>
        <v/>
      </c>
    </row>
    <row r="214" spans="3:4" x14ac:dyDescent="0.25">
      <c r="C214" s="41" t="str">
        <f>IF(A214=0,"",IF(IF(COUNTIF(Sec_Fiber!$A$19:$A$1018,B214)&gt;0,TRUE,FALSE)=FALSE,VLOOKUP(B214,SecDB,4,FALSE),VLOOKUP(VLOOKUP(B214,SecFiberDB,2,FALSE),SecDB,4,FALSE)))</f>
        <v/>
      </c>
      <c r="D214" s="41" t="str">
        <f t="shared" si="3"/>
        <v/>
      </c>
    </row>
    <row r="215" spans="3:4" x14ac:dyDescent="0.25">
      <c r="C215" s="41" t="str">
        <f>IF(A215=0,"",IF(IF(COUNTIF(Sec_Fiber!$A$19:$A$1018,B215)&gt;0,TRUE,FALSE)=FALSE,VLOOKUP(B215,SecDB,4,FALSE),VLOOKUP(VLOOKUP(B215,SecFiberDB,2,FALSE),SecDB,4,FALSE)))</f>
        <v/>
      </c>
      <c r="D215" s="41" t="str">
        <f t="shared" si="3"/>
        <v/>
      </c>
    </row>
    <row r="216" spans="3:4" x14ac:dyDescent="0.25">
      <c r="C216" s="41" t="str">
        <f>IF(A216=0,"",IF(IF(COUNTIF(Sec_Fiber!$A$19:$A$1018,B216)&gt;0,TRUE,FALSE)=FALSE,VLOOKUP(B216,SecDB,4,FALSE),VLOOKUP(VLOOKUP(B216,SecFiberDB,2,FALSE),SecDB,4,FALSE)))</f>
        <v/>
      </c>
      <c r="D216" s="41" t="str">
        <f t="shared" si="3"/>
        <v/>
      </c>
    </row>
    <row r="217" spans="3:4" x14ac:dyDescent="0.25">
      <c r="C217" s="41" t="str">
        <f>IF(A217=0,"",IF(IF(COUNTIF(Sec_Fiber!$A$19:$A$1018,B217)&gt;0,TRUE,FALSE)=FALSE,VLOOKUP(B217,SecDB,4,FALSE),VLOOKUP(VLOOKUP(B217,SecFiberDB,2,FALSE),SecDB,4,FALSE)))</f>
        <v/>
      </c>
      <c r="D217" s="41" t="str">
        <f t="shared" si="3"/>
        <v/>
      </c>
    </row>
    <row r="218" spans="3:4" x14ac:dyDescent="0.25">
      <c r="C218" s="41" t="str">
        <f>IF(A218=0,"",IF(IF(COUNTIF(Sec_Fiber!$A$19:$A$1018,B218)&gt;0,TRUE,FALSE)=FALSE,VLOOKUP(B218,SecDB,4,FALSE),VLOOKUP(VLOOKUP(B218,SecFiberDB,2,FALSE),SecDB,4,FALSE)))</f>
        <v/>
      </c>
      <c r="D218" s="41" t="str">
        <f t="shared" si="3"/>
        <v/>
      </c>
    </row>
    <row r="219" spans="3:4" x14ac:dyDescent="0.25">
      <c r="C219" s="41" t="str">
        <f>IF(A219=0,"",IF(IF(COUNTIF(Sec_Fiber!$A$19:$A$1018,B219)&gt;0,TRUE,FALSE)=FALSE,VLOOKUP(B219,SecDB,4,FALSE),VLOOKUP(VLOOKUP(B219,SecFiberDB,2,FALSE),SecDB,4,FALSE)))</f>
        <v/>
      </c>
      <c r="D219" s="41" t="str">
        <f t="shared" si="3"/>
        <v/>
      </c>
    </row>
    <row r="220" spans="3:4" x14ac:dyDescent="0.25">
      <c r="C220" s="41" t="str">
        <f>IF(A220=0,"",IF(IF(COUNTIF(Sec_Fiber!$A$19:$A$1018,B220)&gt;0,TRUE,FALSE)=FALSE,VLOOKUP(B220,SecDB,4,FALSE),VLOOKUP(VLOOKUP(B220,SecFiberDB,2,FALSE),SecDB,4,FALSE)))</f>
        <v/>
      </c>
      <c r="D220" s="41" t="str">
        <f t="shared" si="3"/>
        <v/>
      </c>
    </row>
    <row r="221" spans="3:4" x14ac:dyDescent="0.25">
      <c r="C221" s="41" t="str">
        <f>IF(A221=0,"",IF(IF(COUNTIF(Sec_Fiber!$A$19:$A$1018,B221)&gt;0,TRUE,FALSE)=FALSE,VLOOKUP(B221,SecDB,4,FALSE),VLOOKUP(VLOOKUP(B221,SecFiberDB,2,FALSE),SecDB,4,FALSE)))</f>
        <v/>
      </c>
      <c r="D221" s="41" t="str">
        <f t="shared" si="3"/>
        <v/>
      </c>
    </row>
    <row r="222" spans="3:4" x14ac:dyDescent="0.25">
      <c r="C222" s="41" t="str">
        <f>IF(A222=0,"",IF(IF(COUNTIF(Sec_Fiber!$A$19:$A$1018,B222)&gt;0,TRUE,FALSE)=FALSE,VLOOKUP(B222,SecDB,4,FALSE),VLOOKUP(VLOOKUP(B222,SecFiberDB,2,FALSE),SecDB,4,FALSE)))</f>
        <v/>
      </c>
      <c r="D222" s="41" t="str">
        <f t="shared" si="3"/>
        <v/>
      </c>
    </row>
    <row r="223" spans="3:4" x14ac:dyDescent="0.25">
      <c r="C223" s="41" t="str">
        <f>IF(A223=0,"",IF(IF(COUNTIF(Sec_Fiber!$A$19:$A$1018,B223)&gt;0,TRUE,FALSE)=FALSE,VLOOKUP(B223,SecDB,4,FALSE),VLOOKUP(VLOOKUP(B223,SecFiberDB,2,FALSE),SecDB,4,FALSE)))</f>
        <v/>
      </c>
      <c r="D223" s="41" t="str">
        <f t="shared" si="3"/>
        <v/>
      </c>
    </row>
    <row r="224" spans="3:4" x14ac:dyDescent="0.25">
      <c r="C224" s="41" t="str">
        <f>IF(A224=0,"",IF(IF(COUNTIF(Sec_Fiber!$A$19:$A$1018,B224)&gt;0,TRUE,FALSE)=FALSE,VLOOKUP(B224,SecDB,4,FALSE),VLOOKUP(VLOOKUP(B224,SecFiberDB,2,FALSE),SecDB,4,FALSE)))</f>
        <v/>
      </c>
      <c r="D224" s="41" t="str">
        <f t="shared" si="3"/>
        <v/>
      </c>
    </row>
    <row r="225" spans="3:4" x14ac:dyDescent="0.25">
      <c r="C225" s="41" t="str">
        <f>IF(A225=0,"",IF(IF(COUNTIF(Sec_Fiber!$A$19:$A$1018,B225)&gt;0,TRUE,FALSE)=FALSE,VLOOKUP(B225,SecDB,4,FALSE),VLOOKUP(VLOOKUP(B225,SecFiberDB,2,FALSE),SecDB,4,FALSE)))</f>
        <v/>
      </c>
      <c r="D225" s="41" t="str">
        <f t="shared" si="3"/>
        <v/>
      </c>
    </row>
    <row r="226" spans="3:4" x14ac:dyDescent="0.25">
      <c r="C226" s="41" t="str">
        <f>IF(A226=0,"",IF(IF(COUNTIF(Sec_Fiber!$A$19:$A$1018,B226)&gt;0,TRUE,FALSE)=FALSE,VLOOKUP(B226,SecDB,4,FALSE),VLOOKUP(VLOOKUP(B226,SecFiberDB,2,FALSE),SecDB,4,FALSE)))</f>
        <v/>
      </c>
      <c r="D226" s="41" t="str">
        <f t="shared" si="3"/>
        <v/>
      </c>
    </row>
    <row r="227" spans="3:4" x14ac:dyDescent="0.25">
      <c r="C227" s="41" t="str">
        <f>IF(A227=0,"",IF(IF(COUNTIF(Sec_Fiber!$A$19:$A$1018,B227)&gt;0,TRUE,FALSE)=FALSE,VLOOKUP(B227,SecDB,4,FALSE),VLOOKUP(VLOOKUP(B227,SecFiberDB,2,FALSE),SecDB,4,FALSE)))</f>
        <v/>
      </c>
      <c r="D227" s="41" t="str">
        <f t="shared" si="3"/>
        <v/>
      </c>
    </row>
    <row r="228" spans="3:4" x14ac:dyDescent="0.25">
      <c r="C228" s="41" t="str">
        <f>IF(A228=0,"",IF(IF(COUNTIF(Sec_Fiber!$A$19:$A$1018,B228)&gt;0,TRUE,FALSE)=FALSE,VLOOKUP(B228,SecDB,4,FALSE),VLOOKUP(VLOOKUP(B228,SecFiberDB,2,FALSE),SecDB,4,FALSE)))</f>
        <v/>
      </c>
      <c r="D228" s="41" t="str">
        <f t="shared" si="3"/>
        <v/>
      </c>
    </row>
    <row r="229" spans="3:4" x14ac:dyDescent="0.25">
      <c r="C229" s="41" t="str">
        <f>IF(A229=0,"",IF(IF(COUNTIF(Sec_Fiber!$A$19:$A$1018,B229)&gt;0,TRUE,FALSE)=FALSE,VLOOKUP(B229,SecDB,4,FALSE),VLOOKUP(VLOOKUP(B229,SecFiberDB,2,FALSE),SecDB,4,FALSE)))</f>
        <v/>
      </c>
      <c r="D229" s="41" t="str">
        <f t="shared" si="3"/>
        <v/>
      </c>
    </row>
    <row r="230" spans="3:4" x14ac:dyDescent="0.25">
      <c r="C230" s="41" t="str">
        <f>IF(A230=0,"",IF(IF(COUNTIF(Sec_Fiber!$A$19:$A$1018,B230)&gt;0,TRUE,FALSE)=FALSE,VLOOKUP(B230,SecDB,4,FALSE),VLOOKUP(VLOOKUP(B230,SecFiberDB,2,FALSE),SecDB,4,FALSE)))</f>
        <v/>
      </c>
      <c r="D230" s="41" t="str">
        <f t="shared" si="3"/>
        <v/>
      </c>
    </row>
    <row r="231" spans="3:4" x14ac:dyDescent="0.25">
      <c r="C231" s="41" t="str">
        <f>IF(A231=0,"",IF(IF(COUNTIF(Sec_Fiber!$A$19:$A$1018,B231)&gt;0,TRUE,FALSE)=FALSE,VLOOKUP(B231,SecDB,4,FALSE),VLOOKUP(VLOOKUP(B231,SecFiberDB,2,FALSE),SecDB,4,FALSE)))</f>
        <v/>
      </c>
      <c r="D231" s="41" t="str">
        <f t="shared" si="3"/>
        <v/>
      </c>
    </row>
    <row r="232" spans="3:4" x14ac:dyDescent="0.25">
      <c r="C232" s="41" t="str">
        <f>IF(A232=0,"",IF(IF(COUNTIF(Sec_Fiber!$A$19:$A$1018,B232)&gt;0,TRUE,FALSE)=FALSE,VLOOKUP(B232,SecDB,4,FALSE),VLOOKUP(VLOOKUP(B232,SecFiberDB,2,FALSE),SecDB,4,FALSE)))</f>
        <v/>
      </c>
      <c r="D232" s="41" t="str">
        <f t="shared" si="3"/>
        <v/>
      </c>
    </row>
    <row r="233" spans="3:4" x14ac:dyDescent="0.25">
      <c r="C233" s="41" t="str">
        <f>IF(A233=0,"",IF(IF(COUNTIF(Sec_Fiber!$A$19:$A$1018,B233)&gt;0,TRUE,FALSE)=FALSE,VLOOKUP(B233,SecDB,4,FALSE),VLOOKUP(VLOOKUP(B233,SecFiberDB,2,FALSE),SecDB,4,FALSE)))</f>
        <v/>
      </c>
      <c r="D233" s="41" t="str">
        <f t="shared" si="3"/>
        <v/>
      </c>
    </row>
    <row r="234" spans="3:4" x14ac:dyDescent="0.25">
      <c r="C234" s="41" t="str">
        <f>IF(A234=0,"",IF(IF(COUNTIF(Sec_Fiber!$A$19:$A$1018,B234)&gt;0,TRUE,FALSE)=FALSE,VLOOKUP(B234,SecDB,4,FALSE),VLOOKUP(VLOOKUP(B234,SecFiberDB,2,FALSE),SecDB,4,FALSE)))</f>
        <v/>
      </c>
      <c r="D234" s="41" t="str">
        <f t="shared" si="3"/>
        <v/>
      </c>
    </row>
    <row r="235" spans="3:4" x14ac:dyDescent="0.25">
      <c r="C235" s="41" t="str">
        <f>IF(A235=0,"",IF(IF(COUNTIF(Sec_Fiber!$A$19:$A$1018,B235)&gt;0,TRUE,FALSE)=FALSE,VLOOKUP(B235,SecDB,4,FALSE),VLOOKUP(VLOOKUP(B235,SecFiberDB,2,FALSE),SecDB,4,FALSE)))</f>
        <v/>
      </c>
      <c r="D235" s="41" t="str">
        <f t="shared" si="3"/>
        <v/>
      </c>
    </row>
    <row r="236" spans="3:4" x14ac:dyDescent="0.25">
      <c r="C236" s="41" t="str">
        <f>IF(A236=0,"",IF(IF(COUNTIF(Sec_Fiber!$A$19:$A$1018,B236)&gt;0,TRUE,FALSE)=FALSE,VLOOKUP(B236,SecDB,4,FALSE),VLOOKUP(VLOOKUP(B236,SecFiberDB,2,FALSE),SecDB,4,FALSE)))</f>
        <v/>
      </c>
      <c r="D236" s="41" t="str">
        <f t="shared" si="3"/>
        <v/>
      </c>
    </row>
    <row r="237" spans="3:4" x14ac:dyDescent="0.25">
      <c r="C237" s="41" t="str">
        <f>IF(A237=0,"",IF(IF(COUNTIF(Sec_Fiber!$A$19:$A$1018,B237)&gt;0,TRUE,FALSE)=FALSE,VLOOKUP(B237,SecDB,4,FALSE),VLOOKUP(VLOOKUP(B237,SecFiberDB,2,FALSE),SecDB,4,FALSE)))</f>
        <v/>
      </c>
      <c r="D237" s="41" t="str">
        <f t="shared" si="3"/>
        <v/>
      </c>
    </row>
    <row r="238" spans="3:4" x14ac:dyDescent="0.25">
      <c r="C238" s="41" t="str">
        <f>IF(A238=0,"",IF(IF(COUNTIF(Sec_Fiber!$A$19:$A$1018,B238)&gt;0,TRUE,FALSE)=FALSE,VLOOKUP(B238,SecDB,4,FALSE),VLOOKUP(VLOOKUP(B238,SecFiberDB,2,FALSE),SecDB,4,FALSE)))</f>
        <v/>
      </c>
      <c r="D238" s="41" t="str">
        <f t="shared" si="3"/>
        <v/>
      </c>
    </row>
    <row r="239" spans="3:4" x14ac:dyDescent="0.25">
      <c r="C239" s="41" t="str">
        <f>IF(A239=0,"",IF(IF(COUNTIF(Sec_Fiber!$A$19:$A$1018,B239)&gt;0,TRUE,FALSE)=FALSE,VLOOKUP(B239,SecDB,4,FALSE),VLOOKUP(VLOOKUP(B239,SecFiberDB,2,FALSE),SecDB,4,FALSE)))</f>
        <v/>
      </c>
      <c r="D239" s="41" t="str">
        <f t="shared" si="3"/>
        <v/>
      </c>
    </row>
    <row r="240" spans="3:4" x14ac:dyDescent="0.25">
      <c r="C240" s="41" t="str">
        <f>IF(A240=0,"",IF(IF(COUNTIF(Sec_Fiber!$A$19:$A$1018,B240)&gt;0,TRUE,FALSE)=FALSE,VLOOKUP(B240,SecDB,4,FALSE),VLOOKUP(VLOOKUP(B240,SecFiberDB,2,FALSE),SecDB,4,FALSE)))</f>
        <v/>
      </c>
      <c r="D240" s="41" t="str">
        <f t="shared" si="3"/>
        <v/>
      </c>
    </row>
    <row r="241" spans="3:4" x14ac:dyDescent="0.25">
      <c r="C241" s="41" t="str">
        <f>IF(A241=0,"",IF(IF(COUNTIF(Sec_Fiber!$A$19:$A$1018,B241)&gt;0,TRUE,FALSE)=FALSE,VLOOKUP(B241,SecDB,4,FALSE),VLOOKUP(VLOOKUP(B241,SecFiberDB,2,FALSE),SecDB,4,FALSE)))</f>
        <v/>
      </c>
      <c r="D241" s="41" t="str">
        <f t="shared" si="3"/>
        <v/>
      </c>
    </row>
    <row r="242" spans="3:4" x14ac:dyDescent="0.25">
      <c r="C242" s="41" t="str">
        <f>IF(A242=0,"",IF(IF(COUNTIF(Sec_Fiber!$A$19:$A$1018,B242)&gt;0,TRUE,FALSE)=FALSE,VLOOKUP(B242,SecDB,4,FALSE),VLOOKUP(VLOOKUP(B242,SecFiberDB,2,FALSE),SecDB,4,FALSE)))</f>
        <v/>
      </c>
      <c r="D242" s="41" t="str">
        <f t="shared" si="3"/>
        <v/>
      </c>
    </row>
    <row r="243" spans="3:4" x14ac:dyDescent="0.25">
      <c r="C243" s="41" t="str">
        <f>IF(A243=0,"",IF(IF(COUNTIF(Sec_Fiber!$A$19:$A$1018,B243)&gt;0,TRUE,FALSE)=FALSE,VLOOKUP(B243,SecDB,4,FALSE),VLOOKUP(VLOOKUP(B243,SecFiberDB,2,FALSE),SecDB,4,FALSE)))</f>
        <v/>
      </c>
      <c r="D243" s="41" t="str">
        <f t="shared" si="3"/>
        <v/>
      </c>
    </row>
    <row r="244" spans="3:4" x14ac:dyDescent="0.25">
      <c r="C244" s="41" t="str">
        <f>IF(A244=0,"",IF(IF(COUNTIF(Sec_Fiber!$A$19:$A$1018,B244)&gt;0,TRUE,FALSE)=FALSE,VLOOKUP(B244,SecDB,4,FALSE),VLOOKUP(VLOOKUP(B244,SecFiberDB,2,FALSE),SecDB,4,FALSE)))</f>
        <v/>
      </c>
      <c r="D244" s="41" t="str">
        <f t="shared" si="3"/>
        <v/>
      </c>
    </row>
    <row r="245" spans="3:4" x14ac:dyDescent="0.25">
      <c r="C245" s="41" t="str">
        <f>IF(A245=0,"",IF(IF(COUNTIF(Sec_Fiber!$A$19:$A$1018,B245)&gt;0,TRUE,FALSE)=FALSE,VLOOKUP(B245,SecDB,4,FALSE),VLOOKUP(VLOOKUP(B245,SecFiberDB,2,FALSE),SecDB,4,FALSE)))</f>
        <v/>
      </c>
      <c r="D245" s="41" t="str">
        <f t="shared" si="3"/>
        <v/>
      </c>
    </row>
    <row r="246" spans="3:4" x14ac:dyDescent="0.25">
      <c r="C246" s="41" t="str">
        <f>IF(A246=0,"",IF(IF(COUNTIF(Sec_Fiber!$A$19:$A$1018,B246)&gt;0,TRUE,FALSE)=FALSE,VLOOKUP(B246,SecDB,4,FALSE),VLOOKUP(VLOOKUP(B246,SecFiberDB,2,FALSE),SecDB,4,FALSE)))</f>
        <v/>
      </c>
      <c r="D246" s="41" t="str">
        <f t="shared" si="3"/>
        <v/>
      </c>
    </row>
    <row r="247" spans="3:4" x14ac:dyDescent="0.25">
      <c r="C247" s="41" t="str">
        <f>IF(A247=0,"",IF(IF(COUNTIF(Sec_Fiber!$A$19:$A$1018,B247)&gt;0,TRUE,FALSE)=FALSE,VLOOKUP(B247,SecDB,4,FALSE),VLOOKUP(VLOOKUP(B247,SecFiberDB,2,FALSE),SecDB,4,FALSE)))</f>
        <v/>
      </c>
      <c r="D247" s="41" t="str">
        <f t="shared" si="3"/>
        <v/>
      </c>
    </row>
    <row r="248" spans="3:4" x14ac:dyDescent="0.25">
      <c r="C248" s="41" t="str">
        <f>IF(A248=0,"",IF(IF(COUNTIF(Sec_Fiber!$A$19:$A$1018,B248)&gt;0,TRUE,FALSE)=FALSE,VLOOKUP(B248,SecDB,4,FALSE),VLOOKUP(VLOOKUP(B248,SecFiberDB,2,FALSE),SecDB,4,FALSE)))</f>
        <v/>
      </c>
      <c r="D248" s="41" t="str">
        <f t="shared" si="3"/>
        <v/>
      </c>
    </row>
    <row r="249" spans="3:4" x14ac:dyDescent="0.25">
      <c r="C249" s="41" t="str">
        <f>IF(A249=0,"",IF(IF(COUNTIF(Sec_Fiber!$A$19:$A$1018,B249)&gt;0,TRUE,FALSE)=FALSE,VLOOKUP(B249,SecDB,4,FALSE),VLOOKUP(VLOOKUP(B249,SecFiberDB,2,FALSE),SecDB,4,FALSE)))</f>
        <v/>
      </c>
      <c r="D249" s="41" t="str">
        <f t="shared" si="3"/>
        <v/>
      </c>
    </row>
    <row r="250" spans="3:4" x14ac:dyDescent="0.25">
      <c r="C250" s="41" t="str">
        <f>IF(A250=0,"",IF(IF(COUNTIF(Sec_Fiber!$A$19:$A$1018,B250)&gt;0,TRUE,FALSE)=FALSE,VLOOKUP(B250,SecDB,4,FALSE),VLOOKUP(VLOOKUP(B250,SecFiberDB,2,FALSE),SecDB,4,FALSE)))</f>
        <v/>
      </c>
      <c r="D250" s="41" t="str">
        <f t="shared" si="3"/>
        <v/>
      </c>
    </row>
    <row r="251" spans="3:4" x14ac:dyDescent="0.25">
      <c r="C251" s="41" t="str">
        <f>IF(A251=0,"",IF(IF(COUNTIF(Sec_Fiber!$A$19:$A$1018,B251)&gt;0,TRUE,FALSE)=FALSE,VLOOKUP(B251,SecDB,4,FALSE),VLOOKUP(VLOOKUP(B251,SecFiberDB,2,FALSE),SecDB,4,FALSE)))</f>
        <v/>
      </c>
      <c r="D251" s="41" t="str">
        <f t="shared" si="3"/>
        <v/>
      </c>
    </row>
    <row r="252" spans="3:4" x14ac:dyDescent="0.25">
      <c r="C252" s="41" t="str">
        <f>IF(A252=0,"",IF(IF(COUNTIF(Sec_Fiber!$A$19:$A$1018,B252)&gt;0,TRUE,FALSE)=FALSE,VLOOKUP(B252,SecDB,4,FALSE),VLOOKUP(VLOOKUP(B252,SecFiberDB,2,FALSE),SecDB,4,FALSE)))</f>
        <v/>
      </c>
      <c r="D252" s="41" t="str">
        <f t="shared" si="3"/>
        <v/>
      </c>
    </row>
    <row r="253" spans="3:4" x14ac:dyDescent="0.25">
      <c r="C253" s="41" t="str">
        <f>IF(A253=0,"",IF(IF(COUNTIF(Sec_Fiber!$A$19:$A$1018,B253)&gt;0,TRUE,FALSE)=FALSE,VLOOKUP(B253,SecDB,4,FALSE),VLOOKUP(VLOOKUP(B253,SecFiberDB,2,FALSE),SecDB,4,FALSE)))</f>
        <v/>
      </c>
      <c r="D253" s="41" t="str">
        <f t="shared" si="3"/>
        <v/>
      </c>
    </row>
    <row r="254" spans="3:4" x14ac:dyDescent="0.25">
      <c r="C254" s="41" t="str">
        <f>IF(A254=0,"",IF(IF(COUNTIF(Sec_Fiber!$A$19:$A$1018,B254)&gt;0,TRUE,FALSE)=FALSE,VLOOKUP(B254,SecDB,4,FALSE),VLOOKUP(VLOOKUP(B254,SecFiberDB,2,FALSE),SecDB,4,FALSE)))</f>
        <v/>
      </c>
      <c r="D254" s="41" t="str">
        <f t="shared" si="3"/>
        <v/>
      </c>
    </row>
    <row r="255" spans="3:4" x14ac:dyDescent="0.25">
      <c r="C255" s="41" t="str">
        <f>IF(A255=0,"",IF(IF(COUNTIF(Sec_Fiber!$A$19:$A$1018,B255)&gt;0,TRUE,FALSE)=FALSE,VLOOKUP(B255,SecDB,4,FALSE),VLOOKUP(VLOOKUP(B255,SecFiberDB,2,FALSE),SecDB,4,FALSE)))</f>
        <v/>
      </c>
      <c r="D255" s="41" t="str">
        <f t="shared" si="3"/>
        <v/>
      </c>
    </row>
    <row r="256" spans="3:4" x14ac:dyDescent="0.25">
      <c r="C256" s="41" t="str">
        <f>IF(A256=0,"",IF(IF(COUNTIF(Sec_Fiber!$A$19:$A$1018,B256)&gt;0,TRUE,FALSE)=FALSE,VLOOKUP(B256,SecDB,4,FALSE),VLOOKUP(VLOOKUP(B256,SecFiberDB,2,FALSE),SecDB,4,FALSE)))</f>
        <v/>
      </c>
      <c r="D256" s="41" t="str">
        <f t="shared" si="3"/>
        <v/>
      </c>
    </row>
    <row r="257" spans="3:4" x14ac:dyDescent="0.25">
      <c r="C257" s="41" t="str">
        <f>IF(A257=0,"",IF(IF(COUNTIF(Sec_Fiber!$A$19:$A$1018,B257)&gt;0,TRUE,FALSE)=FALSE,VLOOKUP(B257,SecDB,4,FALSE),VLOOKUP(VLOOKUP(B257,SecFiberDB,2,FALSE),SecDB,4,FALSE)))</f>
        <v/>
      </c>
      <c r="D257" s="41" t="str">
        <f t="shared" si="3"/>
        <v/>
      </c>
    </row>
    <row r="258" spans="3:4" x14ac:dyDescent="0.25">
      <c r="C258" s="41" t="str">
        <f>IF(A258=0,"",IF(IF(COUNTIF(Sec_Fiber!$A$19:$A$1018,B258)&gt;0,TRUE,FALSE)=FALSE,VLOOKUP(B258,SecDB,4,FALSE),VLOOKUP(VLOOKUP(B258,SecFiberDB,2,FALSE),SecDB,4,FALSE)))</f>
        <v/>
      </c>
      <c r="D258" s="41" t="str">
        <f t="shared" si="3"/>
        <v/>
      </c>
    </row>
    <row r="259" spans="3:4" x14ac:dyDescent="0.25">
      <c r="C259" s="41" t="str">
        <f>IF(A259=0,"",IF(IF(COUNTIF(Sec_Fiber!$A$19:$A$1018,B259)&gt;0,TRUE,FALSE)=FALSE,VLOOKUP(B259,SecDB,4,FALSE),VLOOKUP(VLOOKUP(B259,SecFiberDB,2,FALSE),SecDB,4,FALSE)))</f>
        <v/>
      </c>
      <c r="D259" s="41" t="str">
        <f t="shared" si="3"/>
        <v/>
      </c>
    </row>
    <row r="260" spans="3:4" x14ac:dyDescent="0.25">
      <c r="C260" s="41" t="str">
        <f>IF(A260=0,"",IF(IF(COUNTIF(Sec_Fiber!$A$19:$A$1018,B260)&gt;0,TRUE,FALSE)=FALSE,VLOOKUP(B260,SecDB,4,FALSE),VLOOKUP(VLOOKUP(B260,SecFiberDB,2,FALSE),SecDB,4,FALSE)))</f>
        <v/>
      </c>
      <c r="D260" s="41" t="str">
        <f t="shared" si="3"/>
        <v/>
      </c>
    </row>
    <row r="261" spans="3:4" x14ac:dyDescent="0.25">
      <c r="C261" s="41" t="str">
        <f>IF(A261=0,"",IF(IF(COUNTIF(Sec_Fiber!$A$19:$A$1018,B261)&gt;0,TRUE,FALSE)=FALSE,VLOOKUP(B261,SecDB,4,FALSE),VLOOKUP(VLOOKUP(B261,SecFiberDB,2,FALSE),SecDB,4,FALSE)))</f>
        <v/>
      </c>
      <c r="D261" s="41" t="str">
        <f t="shared" si="3"/>
        <v/>
      </c>
    </row>
    <row r="262" spans="3:4" x14ac:dyDescent="0.25">
      <c r="C262" s="41" t="str">
        <f>IF(A262=0,"",IF(IF(COUNTIF(Sec_Fiber!$A$19:$A$1018,B262)&gt;0,TRUE,FALSE)=FALSE,VLOOKUP(B262,SecDB,4,FALSE),VLOOKUP(VLOOKUP(B262,SecFiberDB,2,FALSE),SecDB,4,FALSE)))</f>
        <v/>
      </c>
      <c r="D262" s="41" t="str">
        <f t="shared" si="3"/>
        <v/>
      </c>
    </row>
    <row r="263" spans="3:4" x14ac:dyDescent="0.25">
      <c r="C263" s="41" t="str">
        <f>IF(A263=0,"",IF(IF(COUNTIF(Sec_Fiber!$A$19:$A$1018,B263)&gt;0,TRUE,FALSE)=FALSE,VLOOKUP(B263,SecDB,4,FALSE),VLOOKUP(VLOOKUP(B263,SecFiberDB,2,FALSE),SecDB,4,FALSE)))</f>
        <v/>
      </c>
      <c r="D263" s="41" t="str">
        <f t="shared" si="3"/>
        <v/>
      </c>
    </row>
    <row r="264" spans="3:4" x14ac:dyDescent="0.25">
      <c r="C264" s="41" t="str">
        <f>IF(A264=0,"",IF(IF(COUNTIF(Sec_Fiber!$A$19:$A$1018,B264)&gt;0,TRUE,FALSE)=FALSE,VLOOKUP(B264,SecDB,4,FALSE),VLOOKUP(VLOOKUP(B264,SecFiberDB,2,FALSE),SecDB,4,FALSE)))</f>
        <v/>
      </c>
      <c r="D264" s="41" t="str">
        <f t="shared" si="3"/>
        <v/>
      </c>
    </row>
    <row r="265" spans="3:4" x14ac:dyDescent="0.25">
      <c r="C265" s="41" t="str">
        <f>IF(A265=0,"",IF(IF(COUNTIF(Sec_Fiber!$A$19:$A$1018,B265)&gt;0,TRUE,FALSE)=FALSE,VLOOKUP(B265,SecDB,4,FALSE),VLOOKUP(VLOOKUP(B265,SecFiberDB,2,FALSE),SecDB,4,FALSE)))</f>
        <v/>
      </c>
      <c r="D265" s="41" t="str">
        <f t="shared" ref="D265:D328" si="4">IF(A265=0,"","Aggregator")</f>
        <v/>
      </c>
    </row>
    <row r="266" spans="3:4" x14ac:dyDescent="0.25">
      <c r="C266" s="41" t="str">
        <f>IF(A266=0,"",IF(IF(COUNTIF(Sec_Fiber!$A$19:$A$1018,B266)&gt;0,TRUE,FALSE)=FALSE,VLOOKUP(B266,SecDB,4,FALSE),VLOOKUP(VLOOKUP(B266,SecFiberDB,2,FALSE),SecDB,4,FALSE)))</f>
        <v/>
      </c>
      <c r="D266" s="41" t="str">
        <f t="shared" si="4"/>
        <v/>
      </c>
    </row>
    <row r="267" spans="3:4" x14ac:dyDescent="0.25">
      <c r="C267" s="41" t="str">
        <f>IF(A267=0,"",IF(IF(COUNTIF(Sec_Fiber!$A$19:$A$1018,B267)&gt;0,TRUE,FALSE)=FALSE,VLOOKUP(B267,SecDB,4,FALSE),VLOOKUP(VLOOKUP(B267,SecFiberDB,2,FALSE),SecDB,4,FALSE)))</f>
        <v/>
      </c>
      <c r="D267" s="41" t="str">
        <f t="shared" si="4"/>
        <v/>
      </c>
    </row>
    <row r="268" spans="3:4" x14ac:dyDescent="0.25">
      <c r="C268" s="41" t="str">
        <f>IF(A268=0,"",IF(IF(COUNTIF(Sec_Fiber!$A$19:$A$1018,B268)&gt;0,TRUE,FALSE)=FALSE,VLOOKUP(B268,SecDB,4,FALSE),VLOOKUP(VLOOKUP(B268,SecFiberDB,2,FALSE),SecDB,4,FALSE)))</f>
        <v/>
      </c>
      <c r="D268" s="41" t="str">
        <f t="shared" si="4"/>
        <v/>
      </c>
    </row>
    <row r="269" spans="3:4" x14ac:dyDescent="0.25">
      <c r="C269" s="41" t="str">
        <f>IF(A269=0,"",IF(IF(COUNTIF(Sec_Fiber!$A$19:$A$1018,B269)&gt;0,TRUE,FALSE)=FALSE,VLOOKUP(B269,SecDB,4,FALSE),VLOOKUP(VLOOKUP(B269,SecFiberDB,2,FALSE),SecDB,4,FALSE)))</f>
        <v/>
      </c>
      <c r="D269" s="41" t="str">
        <f t="shared" si="4"/>
        <v/>
      </c>
    </row>
    <row r="270" spans="3:4" x14ac:dyDescent="0.25">
      <c r="C270" s="41" t="str">
        <f>IF(A270=0,"",IF(IF(COUNTIF(Sec_Fiber!$A$19:$A$1018,B270)&gt;0,TRUE,FALSE)=FALSE,VLOOKUP(B270,SecDB,4,FALSE),VLOOKUP(VLOOKUP(B270,SecFiberDB,2,FALSE),SecDB,4,FALSE)))</f>
        <v/>
      </c>
      <c r="D270" s="41" t="str">
        <f t="shared" si="4"/>
        <v/>
      </c>
    </row>
    <row r="271" spans="3:4" x14ac:dyDescent="0.25">
      <c r="C271" s="41" t="str">
        <f>IF(A271=0,"",IF(IF(COUNTIF(Sec_Fiber!$A$19:$A$1018,B271)&gt;0,TRUE,FALSE)=FALSE,VLOOKUP(B271,SecDB,4,FALSE),VLOOKUP(VLOOKUP(B271,SecFiberDB,2,FALSE),SecDB,4,FALSE)))</f>
        <v/>
      </c>
      <c r="D271" s="41" t="str">
        <f t="shared" si="4"/>
        <v/>
      </c>
    </row>
    <row r="272" spans="3:4" x14ac:dyDescent="0.25">
      <c r="C272" s="41" t="str">
        <f>IF(A272=0,"",IF(IF(COUNTIF(Sec_Fiber!$A$19:$A$1018,B272)&gt;0,TRUE,FALSE)=FALSE,VLOOKUP(B272,SecDB,4,FALSE),VLOOKUP(VLOOKUP(B272,SecFiberDB,2,FALSE),SecDB,4,FALSE)))</f>
        <v/>
      </c>
      <c r="D272" s="41" t="str">
        <f t="shared" si="4"/>
        <v/>
      </c>
    </row>
    <row r="273" spans="3:4" x14ac:dyDescent="0.25">
      <c r="C273" s="41" t="str">
        <f>IF(A273=0,"",IF(IF(COUNTIF(Sec_Fiber!$A$19:$A$1018,B273)&gt;0,TRUE,FALSE)=FALSE,VLOOKUP(B273,SecDB,4,FALSE),VLOOKUP(VLOOKUP(B273,SecFiberDB,2,FALSE),SecDB,4,FALSE)))</f>
        <v/>
      </c>
      <c r="D273" s="41" t="str">
        <f t="shared" si="4"/>
        <v/>
      </c>
    </row>
    <row r="274" spans="3:4" x14ac:dyDescent="0.25">
      <c r="C274" s="41" t="str">
        <f>IF(A274=0,"",IF(IF(COUNTIF(Sec_Fiber!$A$19:$A$1018,B274)&gt;0,TRUE,FALSE)=FALSE,VLOOKUP(B274,SecDB,4,FALSE),VLOOKUP(VLOOKUP(B274,SecFiberDB,2,FALSE),SecDB,4,FALSE)))</f>
        <v/>
      </c>
      <c r="D274" s="41" t="str">
        <f t="shared" si="4"/>
        <v/>
      </c>
    </row>
    <row r="275" spans="3:4" x14ac:dyDescent="0.25">
      <c r="C275" s="41" t="str">
        <f>IF(A275=0,"",IF(IF(COUNTIF(Sec_Fiber!$A$19:$A$1018,B275)&gt;0,TRUE,FALSE)=FALSE,VLOOKUP(B275,SecDB,4,FALSE),VLOOKUP(VLOOKUP(B275,SecFiberDB,2,FALSE),SecDB,4,FALSE)))</f>
        <v/>
      </c>
      <c r="D275" s="41" t="str">
        <f t="shared" si="4"/>
        <v/>
      </c>
    </row>
    <row r="276" spans="3:4" x14ac:dyDescent="0.25">
      <c r="C276" s="41" t="str">
        <f>IF(A276=0,"",IF(IF(COUNTIF(Sec_Fiber!$A$19:$A$1018,B276)&gt;0,TRUE,FALSE)=FALSE,VLOOKUP(B276,SecDB,4,FALSE),VLOOKUP(VLOOKUP(B276,SecFiberDB,2,FALSE),SecDB,4,FALSE)))</f>
        <v/>
      </c>
      <c r="D276" s="41" t="str">
        <f t="shared" si="4"/>
        <v/>
      </c>
    </row>
    <row r="277" spans="3:4" x14ac:dyDescent="0.25">
      <c r="C277" s="41" t="str">
        <f>IF(A277=0,"",IF(IF(COUNTIF(Sec_Fiber!$A$19:$A$1018,B277)&gt;0,TRUE,FALSE)=FALSE,VLOOKUP(B277,SecDB,4,FALSE),VLOOKUP(VLOOKUP(B277,SecFiberDB,2,FALSE),SecDB,4,FALSE)))</f>
        <v/>
      </c>
      <c r="D277" s="41" t="str">
        <f t="shared" si="4"/>
        <v/>
      </c>
    </row>
    <row r="278" spans="3:4" x14ac:dyDescent="0.25">
      <c r="C278" s="41" t="str">
        <f>IF(A278=0,"",IF(IF(COUNTIF(Sec_Fiber!$A$19:$A$1018,B278)&gt;0,TRUE,FALSE)=FALSE,VLOOKUP(B278,SecDB,4,FALSE),VLOOKUP(VLOOKUP(B278,SecFiberDB,2,FALSE),SecDB,4,FALSE)))</f>
        <v/>
      </c>
      <c r="D278" s="41" t="str">
        <f t="shared" si="4"/>
        <v/>
      </c>
    </row>
    <row r="279" spans="3:4" x14ac:dyDescent="0.25">
      <c r="C279" s="41" t="str">
        <f>IF(A279=0,"",IF(IF(COUNTIF(Sec_Fiber!$A$19:$A$1018,B279)&gt;0,TRUE,FALSE)=FALSE,VLOOKUP(B279,SecDB,4,FALSE),VLOOKUP(VLOOKUP(B279,SecFiberDB,2,FALSE),SecDB,4,FALSE)))</f>
        <v/>
      </c>
      <c r="D279" s="41" t="str">
        <f t="shared" si="4"/>
        <v/>
      </c>
    </row>
    <row r="280" spans="3:4" x14ac:dyDescent="0.25">
      <c r="C280" s="41" t="str">
        <f>IF(A280=0,"",IF(IF(COUNTIF(Sec_Fiber!$A$19:$A$1018,B280)&gt;0,TRUE,FALSE)=FALSE,VLOOKUP(B280,SecDB,4,FALSE),VLOOKUP(VLOOKUP(B280,SecFiberDB,2,FALSE),SecDB,4,FALSE)))</f>
        <v/>
      </c>
      <c r="D280" s="41" t="str">
        <f t="shared" si="4"/>
        <v/>
      </c>
    </row>
    <row r="281" spans="3:4" x14ac:dyDescent="0.25">
      <c r="C281" s="41" t="str">
        <f>IF(A281=0,"",IF(IF(COUNTIF(Sec_Fiber!$A$19:$A$1018,B281)&gt;0,TRUE,FALSE)=FALSE,VLOOKUP(B281,SecDB,4,FALSE),VLOOKUP(VLOOKUP(B281,SecFiberDB,2,FALSE),SecDB,4,FALSE)))</f>
        <v/>
      </c>
      <c r="D281" s="41" t="str">
        <f t="shared" si="4"/>
        <v/>
      </c>
    </row>
    <row r="282" spans="3:4" x14ac:dyDescent="0.25">
      <c r="C282" s="41" t="str">
        <f>IF(A282=0,"",IF(IF(COUNTIF(Sec_Fiber!$A$19:$A$1018,B282)&gt;0,TRUE,FALSE)=FALSE,VLOOKUP(B282,SecDB,4,FALSE),VLOOKUP(VLOOKUP(B282,SecFiberDB,2,FALSE),SecDB,4,FALSE)))</f>
        <v/>
      </c>
      <c r="D282" s="41" t="str">
        <f t="shared" si="4"/>
        <v/>
      </c>
    </row>
    <row r="283" spans="3:4" x14ac:dyDescent="0.25">
      <c r="C283" s="41" t="str">
        <f>IF(A283=0,"",IF(IF(COUNTIF(Sec_Fiber!$A$19:$A$1018,B283)&gt;0,TRUE,FALSE)=FALSE,VLOOKUP(B283,SecDB,4,FALSE),VLOOKUP(VLOOKUP(B283,SecFiberDB,2,FALSE),SecDB,4,FALSE)))</f>
        <v/>
      </c>
      <c r="D283" s="41" t="str">
        <f t="shared" si="4"/>
        <v/>
      </c>
    </row>
    <row r="284" spans="3:4" x14ac:dyDescent="0.25">
      <c r="C284" s="41" t="str">
        <f>IF(A284=0,"",IF(IF(COUNTIF(Sec_Fiber!$A$19:$A$1018,B284)&gt;0,TRUE,FALSE)=FALSE,VLOOKUP(B284,SecDB,4,FALSE),VLOOKUP(VLOOKUP(B284,SecFiberDB,2,FALSE),SecDB,4,FALSE)))</f>
        <v/>
      </c>
      <c r="D284" s="41" t="str">
        <f t="shared" si="4"/>
        <v/>
      </c>
    </row>
    <row r="285" spans="3:4" x14ac:dyDescent="0.25">
      <c r="C285" s="41" t="str">
        <f>IF(A285=0,"",IF(IF(COUNTIF(Sec_Fiber!$A$19:$A$1018,B285)&gt;0,TRUE,FALSE)=FALSE,VLOOKUP(B285,SecDB,4,FALSE),VLOOKUP(VLOOKUP(B285,SecFiberDB,2,FALSE),SecDB,4,FALSE)))</f>
        <v/>
      </c>
      <c r="D285" s="41" t="str">
        <f t="shared" si="4"/>
        <v/>
      </c>
    </row>
    <row r="286" spans="3:4" x14ac:dyDescent="0.25">
      <c r="C286" s="41" t="str">
        <f>IF(A286=0,"",IF(IF(COUNTIF(Sec_Fiber!$A$19:$A$1018,B286)&gt;0,TRUE,FALSE)=FALSE,VLOOKUP(B286,SecDB,4,FALSE),VLOOKUP(VLOOKUP(B286,SecFiberDB,2,FALSE),SecDB,4,FALSE)))</f>
        <v/>
      </c>
      <c r="D286" s="41" t="str">
        <f t="shared" si="4"/>
        <v/>
      </c>
    </row>
    <row r="287" spans="3:4" x14ac:dyDescent="0.25">
      <c r="C287" s="41" t="str">
        <f>IF(A287=0,"",IF(IF(COUNTIF(Sec_Fiber!$A$19:$A$1018,B287)&gt;0,TRUE,FALSE)=FALSE,VLOOKUP(B287,SecDB,4,FALSE),VLOOKUP(VLOOKUP(B287,SecFiberDB,2,FALSE),SecDB,4,FALSE)))</f>
        <v/>
      </c>
      <c r="D287" s="41" t="str">
        <f t="shared" si="4"/>
        <v/>
      </c>
    </row>
    <row r="288" spans="3:4" x14ac:dyDescent="0.25">
      <c r="C288" s="41" t="str">
        <f>IF(A288=0,"",IF(IF(COUNTIF(Sec_Fiber!$A$19:$A$1018,B288)&gt;0,TRUE,FALSE)=FALSE,VLOOKUP(B288,SecDB,4,FALSE),VLOOKUP(VLOOKUP(B288,SecFiberDB,2,FALSE),SecDB,4,FALSE)))</f>
        <v/>
      </c>
      <c r="D288" s="41" t="str">
        <f t="shared" si="4"/>
        <v/>
      </c>
    </row>
    <row r="289" spans="3:4" x14ac:dyDescent="0.25">
      <c r="C289" s="41" t="str">
        <f>IF(A289=0,"",IF(IF(COUNTIF(Sec_Fiber!$A$19:$A$1018,B289)&gt;0,TRUE,FALSE)=FALSE,VLOOKUP(B289,SecDB,4,FALSE),VLOOKUP(VLOOKUP(B289,SecFiberDB,2,FALSE),SecDB,4,FALSE)))</f>
        <v/>
      </c>
      <c r="D289" s="41" t="str">
        <f t="shared" si="4"/>
        <v/>
      </c>
    </row>
    <row r="290" spans="3:4" x14ac:dyDescent="0.25">
      <c r="C290" s="41" t="str">
        <f>IF(A290=0,"",IF(IF(COUNTIF(Sec_Fiber!$A$19:$A$1018,B290)&gt;0,TRUE,FALSE)=FALSE,VLOOKUP(B290,SecDB,4,FALSE),VLOOKUP(VLOOKUP(B290,SecFiberDB,2,FALSE),SecDB,4,FALSE)))</f>
        <v/>
      </c>
      <c r="D290" s="41" t="str">
        <f t="shared" si="4"/>
        <v/>
      </c>
    </row>
    <row r="291" spans="3:4" x14ac:dyDescent="0.25">
      <c r="C291" s="41" t="str">
        <f>IF(A291=0,"",IF(IF(COUNTIF(Sec_Fiber!$A$19:$A$1018,B291)&gt;0,TRUE,FALSE)=FALSE,VLOOKUP(B291,SecDB,4,FALSE),VLOOKUP(VLOOKUP(B291,SecFiberDB,2,FALSE),SecDB,4,FALSE)))</f>
        <v/>
      </c>
      <c r="D291" s="41" t="str">
        <f t="shared" si="4"/>
        <v/>
      </c>
    </row>
    <row r="292" spans="3:4" x14ac:dyDescent="0.25">
      <c r="C292" s="41" t="str">
        <f>IF(A292=0,"",IF(IF(COUNTIF(Sec_Fiber!$A$19:$A$1018,B292)&gt;0,TRUE,FALSE)=FALSE,VLOOKUP(B292,SecDB,4,FALSE),VLOOKUP(VLOOKUP(B292,SecFiberDB,2,FALSE),SecDB,4,FALSE)))</f>
        <v/>
      </c>
      <c r="D292" s="41" t="str">
        <f t="shared" si="4"/>
        <v/>
      </c>
    </row>
    <row r="293" spans="3:4" x14ac:dyDescent="0.25">
      <c r="C293" s="41" t="str">
        <f>IF(A293=0,"",IF(IF(COUNTIF(Sec_Fiber!$A$19:$A$1018,B293)&gt;0,TRUE,FALSE)=FALSE,VLOOKUP(B293,SecDB,4,FALSE),VLOOKUP(VLOOKUP(B293,SecFiberDB,2,FALSE),SecDB,4,FALSE)))</f>
        <v/>
      </c>
      <c r="D293" s="41" t="str">
        <f t="shared" si="4"/>
        <v/>
      </c>
    </row>
    <row r="294" spans="3:4" x14ac:dyDescent="0.25">
      <c r="C294" s="41" t="str">
        <f>IF(A294=0,"",IF(IF(COUNTIF(Sec_Fiber!$A$19:$A$1018,B294)&gt;0,TRUE,FALSE)=FALSE,VLOOKUP(B294,SecDB,4,FALSE),VLOOKUP(VLOOKUP(B294,SecFiberDB,2,FALSE),SecDB,4,FALSE)))</f>
        <v/>
      </c>
      <c r="D294" s="41" t="str">
        <f t="shared" si="4"/>
        <v/>
      </c>
    </row>
    <row r="295" spans="3:4" x14ac:dyDescent="0.25">
      <c r="C295" s="41" t="str">
        <f>IF(A295=0,"",IF(IF(COUNTIF(Sec_Fiber!$A$19:$A$1018,B295)&gt;0,TRUE,FALSE)=FALSE,VLOOKUP(B295,SecDB,4,FALSE),VLOOKUP(VLOOKUP(B295,SecFiberDB,2,FALSE),SecDB,4,FALSE)))</f>
        <v/>
      </c>
      <c r="D295" s="41" t="str">
        <f t="shared" si="4"/>
        <v/>
      </c>
    </row>
    <row r="296" spans="3:4" x14ac:dyDescent="0.25">
      <c r="C296" s="41" t="str">
        <f>IF(A296=0,"",IF(IF(COUNTIF(Sec_Fiber!$A$19:$A$1018,B296)&gt;0,TRUE,FALSE)=FALSE,VLOOKUP(B296,SecDB,4,FALSE),VLOOKUP(VLOOKUP(B296,SecFiberDB,2,FALSE),SecDB,4,FALSE)))</f>
        <v/>
      </c>
      <c r="D296" s="41" t="str">
        <f t="shared" si="4"/>
        <v/>
      </c>
    </row>
    <row r="297" spans="3:4" x14ac:dyDescent="0.25">
      <c r="C297" s="41" t="str">
        <f>IF(A297=0,"",IF(IF(COUNTIF(Sec_Fiber!$A$19:$A$1018,B297)&gt;0,TRUE,FALSE)=FALSE,VLOOKUP(B297,SecDB,4,FALSE),VLOOKUP(VLOOKUP(B297,SecFiberDB,2,FALSE),SecDB,4,FALSE)))</f>
        <v/>
      </c>
      <c r="D297" s="41" t="str">
        <f t="shared" si="4"/>
        <v/>
      </c>
    </row>
    <row r="298" spans="3:4" x14ac:dyDescent="0.25">
      <c r="C298" s="41" t="str">
        <f>IF(A298=0,"",IF(IF(COUNTIF(Sec_Fiber!$A$19:$A$1018,B298)&gt;0,TRUE,FALSE)=FALSE,VLOOKUP(B298,SecDB,4,FALSE),VLOOKUP(VLOOKUP(B298,SecFiberDB,2,FALSE),SecDB,4,FALSE)))</f>
        <v/>
      </c>
      <c r="D298" s="41" t="str">
        <f t="shared" si="4"/>
        <v/>
      </c>
    </row>
    <row r="299" spans="3:4" x14ac:dyDescent="0.25">
      <c r="C299" s="41" t="str">
        <f>IF(A299=0,"",IF(IF(COUNTIF(Sec_Fiber!$A$19:$A$1018,B299)&gt;0,TRUE,FALSE)=FALSE,VLOOKUP(B299,SecDB,4,FALSE),VLOOKUP(VLOOKUP(B299,SecFiberDB,2,FALSE),SecDB,4,FALSE)))</f>
        <v/>
      </c>
      <c r="D299" s="41" t="str">
        <f t="shared" si="4"/>
        <v/>
      </c>
    </row>
    <row r="300" spans="3:4" x14ac:dyDescent="0.25">
      <c r="C300" s="41" t="str">
        <f>IF(A300=0,"",IF(IF(COUNTIF(Sec_Fiber!$A$19:$A$1018,B300)&gt;0,TRUE,FALSE)=FALSE,VLOOKUP(B300,SecDB,4,FALSE),VLOOKUP(VLOOKUP(B300,SecFiberDB,2,FALSE),SecDB,4,FALSE)))</f>
        <v/>
      </c>
      <c r="D300" s="41" t="str">
        <f t="shared" si="4"/>
        <v/>
      </c>
    </row>
    <row r="301" spans="3:4" x14ac:dyDescent="0.25">
      <c r="C301" s="41" t="str">
        <f>IF(A301=0,"",IF(IF(COUNTIF(Sec_Fiber!$A$19:$A$1018,B301)&gt;0,TRUE,FALSE)=FALSE,VLOOKUP(B301,SecDB,4,FALSE),VLOOKUP(VLOOKUP(B301,SecFiberDB,2,FALSE),SecDB,4,FALSE)))</f>
        <v/>
      </c>
      <c r="D301" s="41" t="str">
        <f t="shared" si="4"/>
        <v/>
      </c>
    </row>
    <row r="302" spans="3:4" x14ac:dyDescent="0.25">
      <c r="C302" s="41" t="str">
        <f>IF(A302=0,"",IF(IF(COUNTIF(Sec_Fiber!$A$19:$A$1018,B302)&gt;0,TRUE,FALSE)=FALSE,VLOOKUP(B302,SecDB,4,FALSE),VLOOKUP(VLOOKUP(B302,SecFiberDB,2,FALSE),SecDB,4,FALSE)))</f>
        <v/>
      </c>
      <c r="D302" s="41" t="str">
        <f t="shared" si="4"/>
        <v/>
      </c>
    </row>
    <row r="303" spans="3:4" x14ac:dyDescent="0.25">
      <c r="C303" s="41" t="str">
        <f>IF(A303=0,"",IF(IF(COUNTIF(Sec_Fiber!$A$19:$A$1018,B303)&gt;0,TRUE,FALSE)=FALSE,VLOOKUP(B303,SecDB,4,FALSE),VLOOKUP(VLOOKUP(B303,SecFiberDB,2,FALSE),SecDB,4,FALSE)))</f>
        <v/>
      </c>
      <c r="D303" s="41" t="str">
        <f t="shared" si="4"/>
        <v/>
      </c>
    </row>
    <row r="304" spans="3:4" x14ac:dyDescent="0.25">
      <c r="C304" s="41" t="str">
        <f>IF(A304=0,"",IF(IF(COUNTIF(Sec_Fiber!$A$19:$A$1018,B304)&gt;0,TRUE,FALSE)=FALSE,VLOOKUP(B304,SecDB,4,FALSE),VLOOKUP(VLOOKUP(B304,SecFiberDB,2,FALSE),SecDB,4,FALSE)))</f>
        <v/>
      </c>
      <c r="D304" s="41" t="str">
        <f t="shared" si="4"/>
        <v/>
      </c>
    </row>
    <row r="305" spans="3:4" x14ac:dyDescent="0.25">
      <c r="C305" s="41" t="str">
        <f>IF(A305=0,"",IF(IF(COUNTIF(Sec_Fiber!$A$19:$A$1018,B305)&gt;0,TRUE,FALSE)=FALSE,VLOOKUP(B305,SecDB,4,FALSE),VLOOKUP(VLOOKUP(B305,SecFiberDB,2,FALSE),SecDB,4,FALSE)))</f>
        <v/>
      </c>
      <c r="D305" s="41" t="str">
        <f t="shared" si="4"/>
        <v/>
      </c>
    </row>
    <row r="306" spans="3:4" x14ac:dyDescent="0.25">
      <c r="C306" s="41" t="str">
        <f>IF(A306=0,"",IF(IF(COUNTIF(Sec_Fiber!$A$19:$A$1018,B306)&gt;0,TRUE,FALSE)=FALSE,VLOOKUP(B306,SecDB,4,FALSE),VLOOKUP(VLOOKUP(B306,SecFiberDB,2,FALSE),SecDB,4,FALSE)))</f>
        <v/>
      </c>
      <c r="D306" s="41" t="str">
        <f t="shared" si="4"/>
        <v/>
      </c>
    </row>
    <row r="307" spans="3:4" x14ac:dyDescent="0.25">
      <c r="C307" s="41" t="str">
        <f>IF(A307=0,"",IF(IF(COUNTIF(Sec_Fiber!$A$19:$A$1018,B307)&gt;0,TRUE,FALSE)=FALSE,VLOOKUP(B307,SecDB,4,FALSE),VLOOKUP(VLOOKUP(B307,SecFiberDB,2,FALSE),SecDB,4,FALSE)))</f>
        <v/>
      </c>
      <c r="D307" s="41" t="str">
        <f t="shared" si="4"/>
        <v/>
      </c>
    </row>
    <row r="308" spans="3:4" x14ac:dyDescent="0.25">
      <c r="C308" s="41" t="str">
        <f>IF(A308=0,"",IF(IF(COUNTIF(Sec_Fiber!$A$19:$A$1018,B308)&gt;0,TRUE,FALSE)=FALSE,VLOOKUP(B308,SecDB,4,FALSE),VLOOKUP(VLOOKUP(B308,SecFiberDB,2,FALSE),SecDB,4,FALSE)))</f>
        <v/>
      </c>
      <c r="D308" s="41" t="str">
        <f t="shared" si="4"/>
        <v/>
      </c>
    </row>
    <row r="309" spans="3:4" x14ac:dyDescent="0.25">
      <c r="C309" s="41" t="str">
        <f>IF(A309=0,"",IF(IF(COUNTIF(Sec_Fiber!$A$19:$A$1018,B309)&gt;0,TRUE,FALSE)=FALSE,VLOOKUP(B309,SecDB,4,FALSE),VLOOKUP(VLOOKUP(B309,SecFiberDB,2,FALSE),SecDB,4,FALSE)))</f>
        <v/>
      </c>
      <c r="D309" s="41" t="str">
        <f t="shared" si="4"/>
        <v/>
      </c>
    </row>
    <row r="310" spans="3:4" x14ac:dyDescent="0.25">
      <c r="C310" s="41" t="str">
        <f>IF(A310=0,"",IF(IF(COUNTIF(Sec_Fiber!$A$19:$A$1018,B310)&gt;0,TRUE,FALSE)=FALSE,VLOOKUP(B310,SecDB,4,FALSE),VLOOKUP(VLOOKUP(B310,SecFiberDB,2,FALSE),SecDB,4,FALSE)))</f>
        <v/>
      </c>
      <c r="D310" s="41" t="str">
        <f t="shared" si="4"/>
        <v/>
      </c>
    </row>
    <row r="311" spans="3:4" x14ac:dyDescent="0.25">
      <c r="C311" s="41" t="str">
        <f>IF(A311=0,"",IF(IF(COUNTIF(Sec_Fiber!$A$19:$A$1018,B311)&gt;0,TRUE,FALSE)=FALSE,VLOOKUP(B311,SecDB,4,FALSE),VLOOKUP(VLOOKUP(B311,SecFiberDB,2,FALSE),SecDB,4,FALSE)))</f>
        <v/>
      </c>
      <c r="D311" s="41" t="str">
        <f t="shared" si="4"/>
        <v/>
      </c>
    </row>
    <row r="312" spans="3:4" x14ac:dyDescent="0.25">
      <c r="C312" s="41" t="str">
        <f>IF(A312=0,"",IF(IF(COUNTIF(Sec_Fiber!$A$19:$A$1018,B312)&gt;0,TRUE,FALSE)=FALSE,VLOOKUP(B312,SecDB,4,FALSE),VLOOKUP(VLOOKUP(B312,SecFiberDB,2,FALSE),SecDB,4,FALSE)))</f>
        <v/>
      </c>
      <c r="D312" s="41" t="str">
        <f t="shared" si="4"/>
        <v/>
      </c>
    </row>
    <row r="313" spans="3:4" x14ac:dyDescent="0.25">
      <c r="C313" s="41" t="str">
        <f>IF(A313=0,"",IF(IF(COUNTIF(Sec_Fiber!$A$19:$A$1018,B313)&gt;0,TRUE,FALSE)=FALSE,VLOOKUP(B313,SecDB,4,FALSE),VLOOKUP(VLOOKUP(B313,SecFiberDB,2,FALSE),SecDB,4,FALSE)))</f>
        <v/>
      </c>
      <c r="D313" s="41" t="str">
        <f t="shared" si="4"/>
        <v/>
      </c>
    </row>
    <row r="314" spans="3:4" x14ac:dyDescent="0.25">
      <c r="C314" s="41" t="str">
        <f>IF(A314=0,"",IF(IF(COUNTIF(Sec_Fiber!$A$19:$A$1018,B314)&gt;0,TRUE,FALSE)=FALSE,VLOOKUP(B314,SecDB,4,FALSE),VLOOKUP(VLOOKUP(B314,SecFiberDB,2,FALSE),SecDB,4,FALSE)))</f>
        <v/>
      </c>
      <c r="D314" s="41" t="str">
        <f t="shared" si="4"/>
        <v/>
      </c>
    </row>
    <row r="315" spans="3:4" x14ac:dyDescent="0.25">
      <c r="C315" s="41" t="str">
        <f>IF(A315=0,"",IF(IF(COUNTIF(Sec_Fiber!$A$19:$A$1018,B315)&gt;0,TRUE,FALSE)=FALSE,VLOOKUP(B315,SecDB,4,FALSE),VLOOKUP(VLOOKUP(B315,SecFiberDB,2,FALSE),SecDB,4,FALSE)))</f>
        <v/>
      </c>
      <c r="D315" s="41" t="str">
        <f t="shared" si="4"/>
        <v/>
      </c>
    </row>
    <row r="316" spans="3:4" x14ac:dyDescent="0.25">
      <c r="C316" s="41" t="str">
        <f>IF(A316=0,"",IF(IF(COUNTIF(Sec_Fiber!$A$19:$A$1018,B316)&gt;0,TRUE,FALSE)=FALSE,VLOOKUP(B316,SecDB,4,FALSE),VLOOKUP(VLOOKUP(B316,SecFiberDB,2,FALSE),SecDB,4,FALSE)))</f>
        <v/>
      </c>
      <c r="D316" s="41" t="str">
        <f t="shared" si="4"/>
        <v/>
      </c>
    </row>
    <row r="317" spans="3:4" x14ac:dyDescent="0.25">
      <c r="C317" s="41" t="str">
        <f>IF(A317=0,"",IF(IF(COUNTIF(Sec_Fiber!$A$19:$A$1018,B317)&gt;0,TRUE,FALSE)=FALSE,VLOOKUP(B317,SecDB,4,FALSE),VLOOKUP(VLOOKUP(B317,SecFiberDB,2,FALSE),SecDB,4,FALSE)))</f>
        <v/>
      </c>
      <c r="D317" s="41" t="str">
        <f t="shared" si="4"/>
        <v/>
      </c>
    </row>
    <row r="318" spans="3:4" x14ac:dyDescent="0.25">
      <c r="C318" s="41" t="str">
        <f>IF(A318=0,"",IF(IF(COUNTIF(Sec_Fiber!$A$19:$A$1018,B318)&gt;0,TRUE,FALSE)=FALSE,VLOOKUP(B318,SecDB,4,FALSE),VLOOKUP(VLOOKUP(B318,SecFiberDB,2,FALSE),SecDB,4,FALSE)))</f>
        <v/>
      </c>
      <c r="D318" s="41" t="str">
        <f t="shared" si="4"/>
        <v/>
      </c>
    </row>
    <row r="319" spans="3:4" x14ac:dyDescent="0.25">
      <c r="C319" s="41" t="str">
        <f>IF(A319=0,"",IF(IF(COUNTIF(Sec_Fiber!$A$19:$A$1018,B319)&gt;0,TRUE,FALSE)=FALSE,VLOOKUP(B319,SecDB,4,FALSE),VLOOKUP(VLOOKUP(B319,SecFiberDB,2,FALSE),SecDB,4,FALSE)))</f>
        <v/>
      </c>
      <c r="D319" s="41" t="str">
        <f t="shared" si="4"/>
        <v/>
      </c>
    </row>
    <row r="320" spans="3:4" x14ac:dyDescent="0.25">
      <c r="C320" s="41" t="str">
        <f>IF(A320=0,"",IF(IF(COUNTIF(Sec_Fiber!$A$19:$A$1018,B320)&gt;0,TRUE,FALSE)=FALSE,VLOOKUP(B320,SecDB,4,FALSE),VLOOKUP(VLOOKUP(B320,SecFiberDB,2,FALSE),SecDB,4,FALSE)))</f>
        <v/>
      </c>
      <c r="D320" s="41" t="str">
        <f t="shared" si="4"/>
        <v/>
      </c>
    </row>
    <row r="321" spans="3:4" x14ac:dyDescent="0.25">
      <c r="C321" s="41" t="str">
        <f>IF(A321=0,"",IF(IF(COUNTIF(Sec_Fiber!$A$19:$A$1018,B321)&gt;0,TRUE,FALSE)=FALSE,VLOOKUP(B321,SecDB,4,FALSE),VLOOKUP(VLOOKUP(B321,SecFiberDB,2,FALSE),SecDB,4,FALSE)))</f>
        <v/>
      </c>
      <c r="D321" s="41" t="str">
        <f t="shared" si="4"/>
        <v/>
      </c>
    </row>
    <row r="322" spans="3:4" x14ac:dyDescent="0.25">
      <c r="C322" s="41" t="str">
        <f>IF(A322=0,"",IF(IF(COUNTIF(Sec_Fiber!$A$19:$A$1018,B322)&gt;0,TRUE,FALSE)=FALSE,VLOOKUP(B322,SecDB,4,FALSE),VLOOKUP(VLOOKUP(B322,SecFiberDB,2,FALSE),SecDB,4,FALSE)))</f>
        <v/>
      </c>
      <c r="D322" s="41" t="str">
        <f t="shared" si="4"/>
        <v/>
      </c>
    </row>
    <row r="323" spans="3:4" x14ac:dyDescent="0.25">
      <c r="C323" s="41" t="str">
        <f>IF(A323=0,"",IF(IF(COUNTIF(Sec_Fiber!$A$19:$A$1018,B323)&gt;0,TRUE,FALSE)=FALSE,VLOOKUP(B323,SecDB,4,FALSE),VLOOKUP(VLOOKUP(B323,SecFiberDB,2,FALSE),SecDB,4,FALSE)))</f>
        <v/>
      </c>
      <c r="D323" s="41" t="str">
        <f t="shared" si="4"/>
        <v/>
      </c>
    </row>
    <row r="324" spans="3:4" x14ac:dyDescent="0.25">
      <c r="C324" s="41" t="str">
        <f>IF(A324=0,"",IF(IF(COUNTIF(Sec_Fiber!$A$19:$A$1018,B324)&gt;0,TRUE,FALSE)=FALSE,VLOOKUP(B324,SecDB,4,FALSE),VLOOKUP(VLOOKUP(B324,SecFiberDB,2,FALSE),SecDB,4,FALSE)))</f>
        <v/>
      </c>
      <c r="D324" s="41" t="str">
        <f t="shared" si="4"/>
        <v/>
      </c>
    </row>
    <row r="325" spans="3:4" x14ac:dyDescent="0.25">
      <c r="C325" s="41" t="str">
        <f>IF(A325=0,"",IF(IF(COUNTIF(Sec_Fiber!$A$19:$A$1018,B325)&gt;0,TRUE,FALSE)=FALSE,VLOOKUP(B325,SecDB,4,FALSE),VLOOKUP(VLOOKUP(B325,SecFiberDB,2,FALSE),SecDB,4,FALSE)))</f>
        <v/>
      </c>
      <c r="D325" s="41" t="str">
        <f t="shared" si="4"/>
        <v/>
      </c>
    </row>
    <row r="326" spans="3:4" x14ac:dyDescent="0.25">
      <c r="C326" s="41" t="str">
        <f>IF(A326=0,"",IF(IF(COUNTIF(Sec_Fiber!$A$19:$A$1018,B326)&gt;0,TRUE,FALSE)=FALSE,VLOOKUP(B326,SecDB,4,FALSE),VLOOKUP(VLOOKUP(B326,SecFiberDB,2,FALSE),SecDB,4,FALSE)))</f>
        <v/>
      </c>
      <c r="D326" s="41" t="str">
        <f t="shared" si="4"/>
        <v/>
      </c>
    </row>
    <row r="327" spans="3:4" x14ac:dyDescent="0.25">
      <c r="C327" s="41" t="str">
        <f>IF(A327=0,"",IF(IF(COUNTIF(Sec_Fiber!$A$19:$A$1018,B327)&gt;0,TRUE,FALSE)=FALSE,VLOOKUP(B327,SecDB,4,FALSE),VLOOKUP(VLOOKUP(B327,SecFiberDB,2,FALSE),SecDB,4,FALSE)))</f>
        <v/>
      </c>
      <c r="D327" s="41" t="str">
        <f t="shared" si="4"/>
        <v/>
      </c>
    </row>
    <row r="328" spans="3:4" x14ac:dyDescent="0.25">
      <c r="C328" s="41" t="str">
        <f>IF(A328=0,"",IF(IF(COUNTIF(Sec_Fiber!$A$19:$A$1018,B328)&gt;0,TRUE,FALSE)=FALSE,VLOOKUP(B328,SecDB,4,FALSE),VLOOKUP(VLOOKUP(B328,SecFiberDB,2,FALSE),SecDB,4,FALSE)))</f>
        <v/>
      </c>
      <c r="D328" s="41" t="str">
        <f t="shared" si="4"/>
        <v/>
      </c>
    </row>
    <row r="329" spans="3:4" x14ac:dyDescent="0.25">
      <c r="C329" s="41" t="str">
        <f>IF(A329=0,"",IF(IF(COUNTIF(Sec_Fiber!$A$19:$A$1018,B329)&gt;0,TRUE,FALSE)=FALSE,VLOOKUP(B329,SecDB,4,FALSE),VLOOKUP(VLOOKUP(B329,SecFiberDB,2,FALSE),SecDB,4,FALSE)))</f>
        <v/>
      </c>
      <c r="D329" s="41" t="str">
        <f t="shared" ref="D329:D392" si="5">IF(A329=0,"","Aggregator")</f>
        <v/>
      </c>
    </row>
    <row r="330" spans="3:4" x14ac:dyDescent="0.25">
      <c r="C330" s="41" t="str">
        <f>IF(A330=0,"",IF(IF(COUNTIF(Sec_Fiber!$A$19:$A$1018,B330)&gt;0,TRUE,FALSE)=FALSE,VLOOKUP(B330,SecDB,4,FALSE),VLOOKUP(VLOOKUP(B330,SecFiberDB,2,FALSE),SecDB,4,FALSE)))</f>
        <v/>
      </c>
      <c r="D330" s="41" t="str">
        <f t="shared" si="5"/>
        <v/>
      </c>
    </row>
    <row r="331" spans="3:4" x14ac:dyDescent="0.25">
      <c r="C331" s="41" t="str">
        <f>IF(A331=0,"",IF(IF(COUNTIF(Sec_Fiber!$A$19:$A$1018,B331)&gt;0,TRUE,FALSE)=FALSE,VLOOKUP(B331,SecDB,4,FALSE),VLOOKUP(VLOOKUP(B331,SecFiberDB,2,FALSE),SecDB,4,FALSE)))</f>
        <v/>
      </c>
      <c r="D331" s="41" t="str">
        <f t="shared" si="5"/>
        <v/>
      </c>
    </row>
    <row r="332" spans="3:4" x14ac:dyDescent="0.25">
      <c r="C332" s="41" t="str">
        <f>IF(A332=0,"",IF(IF(COUNTIF(Sec_Fiber!$A$19:$A$1018,B332)&gt;0,TRUE,FALSE)=FALSE,VLOOKUP(B332,SecDB,4,FALSE),VLOOKUP(VLOOKUP(B332,SecFiberDB,2,FALSE),SecDB,4,FALSE)))</f>
        <v/>
      </c>
      <c r="D332" s="41" t="str">
        <f t="shared" si="5"/>
        <v/>
      </c>
    </row>
    <row r="333" spans="3:4" x14ac:dyDescent="0.25">
      <c r="C333" s="41" t="str">
        <f>IF(A333=0,"",IF(IF(COUNTIF(Sec_Fiber!$A$19:$A$1018,B333)&gt;0,TRUE,FALSE)=FALSE,VLOOKUP(B333,SecDB,4,FALSE),VLOOKUP(VLOOKUP(B333,SecFiberDB,2,FALSE),SecDB,4,FALSE)))</f>
        <v/>
      </c>
      <c r="D333" s="41" t="str">
        <f t="shared" si="5"/>
        <v/>
      </c>
    </row>
    <row r="334" spans="3:4" x14ac:dyDescent="0.25">
      <c r="C334" s="41" t="str">
        <f>IF(A334=0,"",IF(IF(COUNTIF(Sec_Fiber!$A$19:$A$1018,B334)&gt;0,TRUE,FALSE)=FALSE,VLOOKUP(B334,SecDB,4,FALSE),VLOOKUP(VLOOKUP(B334,SecFiberDB,2,FALSE),SecDB,4,FALSE)))</f>
        <v/>
      </c>
      <c r="D334" s="41" t="str">
        <f t="shared" si="5"/>
        <v/>
      </c>
    </row>
    <row r="335" spans="3:4" x14ac:dyDescent="0.25">
      <c r="C335" s="41" t="str">
        <f>IF(A335=0,"",IF(IF(COUNTIF(Sec_Fiber!$A$19:$A$1018,B335)&gt;0,TRUE,FALSE)=FALSE,VLOOKUP(B335,SecDB,4,FALSE),VLOOKUP(VLOOKUP(B335,SecFiberDB,2,FALSE),SecDB,4,FALSE)))</f>
        <v/>
      </c>
      <c r="D335" s="41" t="str">
        <f t="shared" si="5"/>
        <v/>
      </c>
    </row>
    <row r="336" spans="3:4" x14ac:dyDescent="0.25">
      <c r="C336" s="41" t="str">
        <f>IF(A336=0,"",IF(IF(COUNTIF(Sec_Fiber!$A$19:$A$1018,B336)&gt;0,TRUE,FALSE)=FALSE,VLOOKUP(B336,SecDB,4,FALSE),VLOOKUP(VLOOKUP(B336,SecFiberDB,2,FALSE),SecDB,4,FALSE)))</f>
        <v/>
      </c>
      <c r="D336" s="41" t="str">
        <f t="shared" si="5"/>
        <v/>
      </c>
    </row>
    <row r="337" spans="3:4" x14ac:dyDescent="0.25">
      <c r="C337" s="41" t="str">
        <f>IF(A337=0,"",IF(IF(COUNTIF(Sec_Fiber!$A$19:$A$1018,B337)&gt;0,TRUE,FALSE)=FALSE,VLOOKUP(B337,SecDB,4,FALSE),VLOOKUP(VLOOKUP(B337,SecFiberDB,2,FALSE),SecDB,4,FALSE)))</f>
        <v/>
      </c>
      <c r="D337" s="41" t="str">
        <f t="shared" si="5"/>
        <v/>
      </c>
    </row>
    <row r="338" spans="3:4" x14ac:dyDescent="0.25">
      <c r="C338" s="41" t="str">
        <f>IF(A338=0,"",IF(IF(COUNTIF(Sec_Fiber!$A$19:$A$1018,B338)&gt;0,TRUE,FALSE)=FALSE,VLOOKUP(B338,SecDB,4,FALSE),VLOOKUP(VLOOKUP(B338,SecFiberDB,2,FALSE),SecDB,4,FALSE)))</f>
        <v/>
      </c>
      <c r="D338" s="41" t="str">
        <f t="shared" si="5"/>
        <v/>
      </c>
    </row>
    <row r="339" spans="3:4" x14ac:dyDescent="0.25">
      <c r="C339" s="41" t="str">
        <f>IF(A339=0,"",IF(IF(COUNTIF(Sec_Fiber!$A$19:$A$1018,B339)&gt;0,TRUE,FALSE)=FALSE,VLOOKUP(B339,SecDB,4,FALSE),VLOOKUP(VLOOKUP(B339,SecFiberDB,2,FALSE),SecDB,4,FALSE)))</f>
        <v/>
      </c>
      <c r="D339" s="41" t="str">
        <f t="shared" si="5"/>
        <v/>
      </c>
    </row>
    <row r="340" spans="3:4" x14ac:dyDescent="0.25">
      <c r="C340" s="41" t="str">
        <f>IF(A340=0,"",IF(IF(COUNTIF(Sec_Fiber!$A$19:$A$1018,B340)&gt;0,TRUE,FALSE)=FALSE,VLOOKUP(B340,SecDB,4,FALSE),VLOOKUP(VLOOKUP(B340,SecFiberDB,2,FALSE),SecDB,4,FALSE)))</f>
        <v/>
      </c>
      <c r="D340" s="41" t="str">
        <f t="shared" si="5"/>
        <v/>
      </c>
    </row>
    <row r="341" spans="3:4" x14ac:dyDescent="0.25">
      <c r="C341" s="41" t="str">
        <f>IF(A341=0,"",IF(IF(COUNTIF(Sec_Fiber!$A$19:$A$1018,B341)&gt;0,TRUE,FALSE)=FALSE,VLOOKUP(B341,SecDB,4,FALSE),VLOOKUP(VLOOKUP(B341,SecFiberDB,2,FALSE),SecDB,4,FALSE)))</f>
        <v/>
      </c>
      <c r="D341" s="41" t="str">
        <f t="shared" si="5"/>
        <v/>
      </c>
    </row>
    <row r="342" spans="3:4" x14ac:dyDescent="0.25">
      <c r="C342" s="41" t="str">
        <f>IF(A342=0,"",IF(IF(COUNTIF(Sec_Fiber!$A$19:$A$1018,B342)&gt;0,TRUE,FALSE)=FALSE,VLOOKUP(B342,SecDB,4,FALSE),VLOOKUP(VLOOKUP(B342,SecFiberDB,2,FALSE),SecDB,4,FALSE)))</f>
        <v/>
      </c>
      <c r="D342" s="41" t="str">
        <f t="shared" si="5"/>
        <v/>
      </c>
    </row>
    <row r="343" spans="3:4" x14ac:dyDescent="0.25">
      <c r="C343" s="41" t="str">
        <f>IF(A343=0,"",IF(IF(COUNTIF(Sec_Fiber!$A$19:$A$1018,B343)&gt;0,TRUE,FALSE)=FALSE,VLOOKUP(B343,SecDB,4,FALSE),VLOOKUP(VLOOKUP(B343,SecFiberDB,2,FALSE),SecDB,4,FALSE)))</f>
        <v/>
      </c>
      <c r="D343" s="41" t="str">
        <f t="shared" si="5"/>
        <v/>
      </c>
    </row>
    <row r="344" spans="3:4" x14ac:dyDescent="0.25">
      <c r="C344" s="41" t="str">
        <f>IF(A344=0,"",IF(IF(COUNTIF(Sec_Fiber!$A$19:$A$1018,B344)&gt;0,TRUE,FALSE)=FALSE,VLOOKUP(B344,SecDB,4,FALSE),VLOOKUP(VLOOKUP(B344,SecFiberDB,2,FALSE),SecDB,4,FALSE)))</f>
        <v/>
      </c>
      <c r="D344" s="41" t="str">
        <f t="shared" si="5"/>
        <v/>
      </c>
    </row>
    <row r="345" spans="3:4" x14ac:dyDescent="0.25">
      <c r="C345" s="41" t="str">
        <f>IF(A345=0,"",IF(IF(COUNTIF(Sec_Fiber!$A$19:$A$1018,B345)&gt;0,TRUE,FALSE)=FALSE,VLOOKUP(B345,SecDB,4,FALSE),VLOOKUP(VLOOKUP(B345,SecFiberDB,2,FALSE),SecDB,4,FALSE)))</f>
        <v/>
      </c>
      <c r="D345" s="41" t="str">
        <f t="shared" si="5"/>
        <v/>
      </c>
    </row>
    <row r="346" spans="3:4" x14ac:dyDescent="0.25">
      <c r="C346" s="41" t="str">
        <f>IF(A346=0,"",IF(IF(COUNTIF(Sec_Fiber!$A$19:$A$1018,B346)&gt;0,TRUE,FALSE)=FALSE,VLOOKUP(B346,SecDB,4,FALSE),VLOOKUP(VLOOKUP(B346,SecFiberDB,2,FALSE),SecDB,4,FALSE)))</f>
        <v/>
      </c>
      <c r="D346" s="41" t="str">
        <f t="shared" si="5"/>
        <v/>
      </c>
    </row>
    <row r="347" spans="3:4" x14ac:dyDescent="0.25">
      <c r="C347" s="41" t="str">
        <f>IF(A347=0,"",IF(IF(COUNTIF(Sec_Fiber!$A$19:$A$1018,B347)&gt;0,TRUE,FALSE)=FALSE,VLOOKUP(B347,SecDB,4,FALSE),VLOOKUP(VLOOKUP(B347,SecFiberDB,2,FALSE),SecDB,4,FALSE)))</f>
        <v/>
      </c>
      <c r="D347" s="41" t="str">
        <f t="shared" si="5"/>
        <v/>
      </c>
    </row>
    <row r="348" spans="3:4" x14ac:dyDescent="0.25">
      <c r="C348" s="41" t="str">
        <f>IF(A348=0,"",IF(IF(COUNTIF(Sec_Fiber!$A$19:$A$1018,B348)&gt;0,TRUE,FALSE)=FALSE,VLOOKUP(B348,SecDB,4,FALSE),VLOOKUP(VLOOKUP(B348,SecFiberDB,2,FALSE),SecDB,4,FALSE)))</f>
        <v/>
      </c>
      <c r="D348" s="41" t="str">
        <f t="shared" si="5"/>
        <v/>
      </c>
    </row>
    <row r="349" spans="3:4" x14ac:dyDescent="0.25">
      <c r="C349" s="41" t="str">
        <f>IF(A349=0,"",IF(IF(COUNTIF(Sec_Fiber!$A$19:$A$1018,B349)&gt;0,TRUE,FALSE)=FALSE,VLOOKUP(B349,SecDB,4,FALSE),VLOOKUP(VLOOKUP(B349,SecFiberDB,2,FALSE),SecDB,4,FALSE)))</f>
        <v/>
      </c>
      <c r="D349" s="41" t="str">
        <f t="shared" si="5"/>
        <v/>
      </c>
    </row>
    <row r="350" spans="3:4" x14ac:dyDescent="0.25">
      <c r="C350" s="41" t="str">
        <f>IF(A350=0,"",IF(IF(COUNTIF(Sec_Fiber!$A$19:$A$1018,B350)&gt;0,TRUE,FALSE)=FALSE,VLOOKUP(B350,SecDB,4,FALSE),VLOOKUP(VLOOKUP(B350,SecFiberDB,2,FALSE),SecDB,4,FALSE)))</f>
        <v/>
      </c>
      <c r="D350" s="41" t="str">
        <f t="shared" si="5"/>
        <v/>
      </c>
    </row>
    <row r="351" spans="3:4" x14ac:dyDescent="0.25">
      <c r="C351" s="41" t="str">
        <f>IF(A351=0,"",IF(IF(COUNTIF(Sec_Fiber!$A$19:$A$1018,B351)&gt;0,TRUE,FALSE)=FALSE,VLOOKUP(B351,SecDB,4,FALSE),VLOOKUP(VLOOKUP(B351,SecFiberDB,2,FALSE),SecDB,4,FALSE)))</f>
        <v/>
      </c>
      <c r="D351" s="41" t="str">
        <f t="shared" si="5"/>
        <v/>
      </c>
    </row>
    <row r="352" spans="3:4" x14ac:dyDescent="0.25">
      <c r="C352" s="41" t="str">
        <f>IF(A352=0,"",IF(IF(COUNTIF(Sec_Fiber!$A$19:$A$1018,B352)&gt;0,TRUE,FALSE)=FALSE,VLOOKUP(B352,SecDB,4,FALSE),VLOOKUP(VLOOKUP(B352,SecFiberDB,2,FALSE),SecDB,4,FALSE)))</f>
        <v/>
      </c>
      <c r="D352" s="41" t="str">
        <f t="shared" si="5"/>
        <v/>
      </c>
    </row>
    <row r="353" spans="3:4" x14ac:dyDescent="0.25">
      <c r="C353" s="41" t="str">
        <f>IF(A353=0,"",IF(IF(COUNTIF(Sec_Fiber!$A$19:$A$1018,B353)&gt;0,TRUE,FALSE)=FALSE,VLOOKUP(B353,SecDB,4,FALSE),VLOOKUP(VLOOKUP(B353,SecFiberDB,2,FALSE),SecDB,4,FALSE)))</f>
        <v/>
      </c>
      <c r="D353" s="41" t="str">
        <f t="shared" si="5"/>
        <v/>
      </c>
    </row>
    <row r="354" spans="3:4" x14ac:dyDescent="0.25">
      <c r="C354" s="41" t="str">
        <f>IF(A354=0,"",IF(IF(COUNTIF(Sec_Fiber!$A$19:$A$1018,B354)&gt;0,TRUE,FALSE)=FALSE,VLOOKUP(B354,SecDB,4,FALSE),VLOOKUP(VLOOKUP(B354,SecFiberDB,2,FALSE),SecDB,4,FALSE)))</f>
        <v/>
      </c>
      <c r="D354" s="41" t="str">
        <f t="shared" si="5"/>
        <v/>
      </c>
    </row>
    <row r="355" spans="3:4" x14ac:dyDescent="0.25">
      <c r="C355" s="41" t="str">
        <f>IF(A355=0,"",IF(IF(COUNTIF(Sec_Fiber!$A$19:$A$1018,B355)&gt;0,TRUE,FALSE)=FALSE,VLOOKUP(B355,SecDB,4,FALSE),VLOOKUP(VLOOKUP(B355,SecFiberDB,2,FALSE),SecDB,4,FALSE)))</f>
        <v/>
      </c>
      <c r="D355" s="41" t="str">
        <f t="shared" si="5"/>
        <v/>
      </c>
    </row>
    <row r="356" spans="3:4" x14ac:dyDescent="0.25">
      <c r="C356" s="41" t="str">
        <f>IF(A356=0,"",IF(IF(COUNTIF(Sec_Fiber!$A$19:$A$1018,B356)&gt;0,TRUE,FALSE)=FALSE,VLOOKUP(B356,SecDB,4,FALSE),VLOOKUP(VLOOKUP(B356,SecFiberDB,2,FALSE),SecDB,4,FALSE)))</f>
        <v/>
      </c>
      <c r="D356" s="41" t="str">
        <f t="shared" si="5"/>
        <v/>
      </c>
    </row>
    <row r="357" spans="3:4" x14ac:dyDescent="0.25">
      <c r="C357" s="41" t="str">
        <f>IF(A357=0,"",IF(IF(COUNTIF(Sec_Fiber!$A$19:$A$1018,B357)&gt;0,TRUE,FALSE)=FALSE,VLOOKUP(B357,SecDB,4,FALSE),VLOOKUP(VLOOKUP(B357,SecFiberDB,2,FALSE),SecDB,4,FALSE)))</f>
        <v/>
      </c>
      <c r="D357" s="41" t="str">
        <f t="shared" si="5"/>
        <v/>
      </c>
    </row>
    <row r="358" spans="3:4" x14ac:dyDescent="0.25">
      <c r="C358" s="41" t="str">
        <f>IF(A358=0,"",IF(IF(COUNTIF(Sec_Fiber!$A$19:$A$1018,B358)&gt;0,TRUE,FALSE)=FALSE,VLOOKUP(B358,SecDB,4,FALSE),VLOOKUP(VLOOKUP(B358,SecFiberDB,2,FALSE),SecDB,4,FALSE)))</f>
        <v/>
      </c>
      <c r="D358" s="41" t="str">
        <f t="shared" si="5"/>
        <v/>
      </c>
    </row>
    <row r="359" spans="3:4" x14ac:dyDescent="0.25">
      <c r="C359" s="41" t="str">
        <f>IF(A359=0,"",IF(IF(COUNTIF(Sec_Fiber!$A$19:$A$1018,B359)&gt;0,TRUE,FALSE)=FALSE,VLOOKUP(B359,SecDB,4,FALSE),VLOOKUP(VLOOKUP(B359,SecFiberDB,2,FALSE),SecDB,4,FALSE)))</f>
        <v/>
      </c>
      <c r="D359" s="41" t="str">
        <f t="shared" si="5"/>
        <v/>
      </c>
    </row>
    <row r="360" spans="3:4" x14ac:dyDescent="0.25">
      <c r="C360" s="41" t="str">
        <f>IF(A360=0,"",IF(IF(COUNTIF(Sec_Fiber!$A$19:$A$1018,B360)&gt;0,TRUE,FALSE)=FALSE,VLOOKUP(B360,SecDB,4,FALSE),VLOOKUP(VLOOKUP(B360,SecFiberDB,2,FALSE),SecDB,4,FALSE)))</f>
        <v/>
      </c>
      <c r="D360" s="41" t="str">
        <f t="shared" si="5"/>
        <v/>
      </c>
    </row>
    <row r="361" spans="3:4" x14ac:dyDescent="0.25">
      <c r="C361" s="41" t="str">
        <f>IF(A361=0,"",IF(IF(COUNTIF(Sec_Fiber!$A$19:$A$1018,B361)&gt;0,TRUE,FALSE)=FALSE,VLOOKUP(B361,SecDB,4,FALSE),VLOOKUP(VLOOKUP(B361,SecFiberDB,2,FALSE),SecDB,4,FALSE)))</f>
        <v/>
      </c>
      <c r="D361" s="41" t="str">
        <f t="shared" si="5"/>
        <v/>
      </c>
    </row>
    <row r="362" spans="3:4" x14ac:dyDescent="0.25">
      <c r="C362" s="41" t="str">
        <f>IF(A362=0,"",IF(IF(COUNTIF(Sec_Fiber!$A$19:$A$1018,B362)&gt;0,TRUE,FALSE)=FALSE,VLOOKUP(B362,SecDB,4,FALSE),VLOOKUP(VLOOKUP(B362,SecFiberDB,2,FALSE),SecDB,4,FALSE)))</f>
        <v/>
      </c>
      <c r="D362" s="41" t="str">
        <f t="shared" si="5"/>
        <v/>
      </c>
    </row>
    <row r="363" spans="3:4" x14ac:dyDescent="0.25">
      <c r="C363" s="41" t="str">
        <f>IF(A363=0,"",IF(IF(COUNTIF(Sec_Fiber!$A$19:$A$1018,B363)&gt;0,TRUE,FALSE)=FALSE,VLOOKUP(B363,SecDB,4,FALSE),VLOOKUP(VLOOKUP(B363,SecFiberDB,2,FALSE),SecDB,4,FALSE)))</f>
        <v/>
      </c>
      <c r="D363" s="41" t="str">
        <f t="shared" si="5"/>
        <v/>
      </c>
    </row>
    <row r="364" spans="3:4" x14ac:dyDescent="0.25">
      <c r="C364" s="41" t="str">
        <f>IF(A364=0,"",IF(IF(COUNTIF(Sec_Fiber!$A$19:$A$1018,B364)&gt;0,TRUE,FALSE)=FALSE,VLOOKUP(B364,SecDB,4,FALSE),VLOOKUP(VLOOKUP(B364,SecFiberDB,2,FALSE),SecDB,4,FALSE)))</f>
        <v/>
      </c>
      <c r="D364" s="41" t="str">
        <f t="shared" si="5"/>
        <v/>
      </c>
    </row>
    <row r="365" spans="3:4" x14ac:dyDescent="0.25">
      <c r="C365" s="41" t="str">
        <f>IF(A365=0,"",IF(IF(COUNTIF(Sec_Fiber!$A$19:$A$1018,B365)&gt;0,TRUE,FALSE)=FALSE,VLOOKUP(B365,SecDB,4,FALSE),VLOOKUP(VLOOKUP(B365,SecFiberDB,2,FALSE),SecDB,4,FALSE)))</f>
        <v/>
      </c>
      <c r="D365" s="41" t="str">
        <f t="shared" si="5"/>
        <v/>
      </c>
    </row>
    <row r="366" spans="3:4" x14ac:dyDescent="0.25">
      <c r="C366" s="41" t="str">
        <f>IF(A366=0,"",IF(IF(COUNTIF(Sec_Fiber!$A$19:$A$1018,B366)&gt;0,TRUE,FALSE)=FALSE,VLOOKUP(B366,SecDB,4,FALSE),VLOOKUP(VLOOKUP(B366,SecFiberDB,2,FALSE),SecDB,4,FALSE)))</f>
        <v/>
      </c>
      <c r="D366" s="41" t="str">
        <f t="shared" si="5"/>
        <v/>
      </c>
    </row>
    <row r="367" spans="3:4" x14ac:dyDescent="0.25">
      <c r="C367" s="41" t="str">
        <f>IF(A367=0,"",IF(IF(COUNTIF(Sec_Fiber!$A$19:$A$1018,B367)&gt;0,TRUE,FALSE)=FALSE,VLOOKUP(B367,SecDB,4,FALSE),VLOOKUP(VLOOKUP(B367,SecFiberDB,2,FALSE),SecDB,4,FALSE)))</f>
        <v/>
      </c>
      <c r="D367" s="41" t="str">
        <f t="shared" si="5"/>
        <v/>
      </c>
    </row>
    <row r="368" spans="3:4" x14ac:dyDescent="0.25">
      <c r="C368" s="41" t="str">
        <f>IF(A368=0,"",IF(IF(COUNTIF(Sec_Fiber!$A$19:$A$1018,B368)&gt;0,TRUE,FALSE)=FALSE,VLOOKUP(B368,SecDB,4,FALSE),VLOOKUP(VLOOKUP(B368,SecFiberDB,2,FALSE),SecDB,4,FALSE)))</f>
        <v/>
      </c>
      <c r="D368" s="41" t="str">
        <f t="shared" si="5"/>
        <v/>
      </c>
    </row>
    <row r="369" spans="3:4" x14ac:dyDescent="0.25">
      <c r="C369" s="41" t="str">
        <f>IF(A369=0,"",IF(IF(COUNTIF(Sec_Fiber!$A$19:$A$1018,B369)&gt;0,TRUE,FALSE)=FALSE,VLOOKUP(B369,SecDB,4,FALSE),VLOOKUP(VLOOKUP(B369,SecFiberDB,2,FALSE),SecDB,4,FALSE)))</f>
        <v/>
      </c>
      <c r="D369" s="41" t="str">
        <f t="shared" si="5"/>
        <v/>
      </c>
    </row>
    <row r="370" spans="3:4" x14ac:dyDescent="0.25">
      <c r="C370" s="41" t="str">
        <f>IF(A370=0,"",IF(IF(COUNTIF(Sec_Fiber!$A$19:$A$1018,B370)&gt;0,TRUE,FALSE)=FALSE,VLOOKUP(B370,SecDB,4,FALSE),VLOOKUP(VLOOKUP(B370,SecFiberDB,2,FALSE),SecDB,4,FALSE)))</f>
        <v/>
      </c>
      <c r="D370" s="41" t="str">
        <f t="shared" si="5"/>
        <v/>
      </c>
    </row>
    <row r="371" spans="3:4" x14ac:dyDescent="0.25">
      <c r="C371" s="41" t="str">
        <f>IF(A371=0,"",IF(IF(COUNTIF(Sec_Fiber!$A$19:$A$1018,B371)&gt;0,TRUE,FALSE)=FALSE,VLOOKUP(B371,SecDB,4,FALSE),VLOOKUP(VLOOKUP(B371,SecFiberDB,2,FALSE),SecDB,4,FALSE)))</f>
        <v/>
      </c>
      <c r="D371" s="41" t="str">
        <f t="shared" si="5"/>
        <v/>
      </c>
    </row>
    <row r="372" spans="3:4" x14ac:dyDescent="0.25">
      <c r="C372" s="41" t="str">
        <f>IF(A372=0,"",IF(IF(COUNTIF(Sec_Fiber!$A$19:$A$1018,B372)&gt;0,TRUE,FALSE)=FALSE,VLOOKUP(B372,SecDB,4,FALSE),VLOOKUP(VLOOKUP(B372,SecFiberDB,2,FALSE),SecDB,4,FALSE)))</f>
        <v/>
      </c>
      <c r="D372" s="41" t="str">
        <f t="shared" si="5"/>
        <v/>
      </c>
    </row>
    <row r="373" spans="3:4" x14ac:dyDescent="0.25">
      <c r="C373" s="41" t="str">
        <f>IF(A373=0,"",IF(IF(COUNTIF(Sec_Fiber!$A$19:$A$1018,B373)&gt;0,TRUE,FALSE)=FALSE,VLOOKUP(B373,SecDB,4,FALSE),VLOOKUP(VLOOKUP(B373,SecFiberDB,2,FALSE),SecDB,4,FALSE)))</f>
        <v/>
      </c>
      <c r="D373" s="41" t="str">
        <f t="shared" si="5"/>
        <v/>
      </c>
    </row>
    <row r="374" spans="3:4" x14ac:dyDescent="0.25">
      <c r="C374" s="41" t="str">
        <f>IF(A374=0,"",IF(IF(COUNTIF(Sec_Fiber!$A$19:$A$1018,B374)&gt;0,TRUE,FALSE)=FALSE,VLOOKUP(B374,SecDB,4,FALSE),VLOOKUP(VLOOKUP(B374,SecFiberDB,2,FALSE),SecDB,4,FALSE)))</f>
        <v/>
      </c>
      <c r="D374" s="41" t="str">
        <f t="shared" si="5"/>
        <v/>
      </c>
    </row>
    <row r="375" spans="3:4" x14ac:dyDescent="0.25">
      <c r="C375" s="41" t="str">
        <f>IF(A375=0,"",IF(IF(COUNTIF(Sec_Fiber!$A$19:$A$1018,B375)&gt;0,TRUE,FALSE)=FALSE,VLOOKUP(B375,SecDB,4,FALSE),VLOOKUP(VLOOKUP(B375,SecFiberDB,2,FALSE),SecDB,4,FALSE)))</f>
        <v/>
      </c>
      <c r="D375" s="41" t="str">
        <f t="shared" si="5"/>
        <v/>
      </c>
    </row>
    <row r="376" spans="3:4" x14ac:dyDescent="0.25">
      <c r="C376" s="41" t="str">
        <f>IF(A376=0,"",IF(IF(COUNTIF(Sec_Fiber!$A$19:$A$1018,B376)&gt;0,TRUE,FALSE)=FALSE,VLOOKUP(B376,SecDB,4,FALSE),VLOOKUP(VLOOKUP(B376,SecFiberDB,2,FALSE),SecDB,4,FALSE)))</f>
        <v/>
      </c>
      <c r="D376" s="41" t="str">
        <f t="shared" si="5"/>
        <v/>
      </c>
    </row>
    <row r="377" spans="3:4" x14ac:dyDescent="0.25">
      <c r="C377" s="41" t="str">
        <f>IF(A377=0,"",IF(IF(COUNTIF(Sec_Fiber!$A$19:$A$1018,B377)&gt;0,TRUE,FALSE)=FALSE,VLOOKUP(B377,SecDB,4,FALSE),VLOOKUP(VLOOKUP(B377,SecFiberDB,2,FALSE),SecDB,4,FALSE)))</f>
        <v/>
      </c>
      <c r="D377" s="41" t="str">
        <f t="shared" si="5"/>
        <v/>
      </c>
    </row>
    <row r="378" spans="3:4" x14ac:dyDescent="0.25">
      <c r="C378" s="41" t="str">
        <f>IF(A378=0,"",IF(IF(COUNTIF(Sec_Fiber!$A$19:$A$1018,B378)&gt;0,TRUE,FALSE)=FALSE,VLOOKUP(B378,SecDB,4,FALSE),VLOOKUP(VLOOKUP(B378,SecFiberDB,2,FALSE),SecDB,4,FALSE)))</f>
        <v/>
      </c>
      <c r="D378" s="41" t="str">
        <f t="shared" si="5"/>
        <v/>
      </c>
    </row>
    <row r="379" spans="3:4" x14ac:dyDescent="0.25">
      <c r="C379" s="41" t="str">
        <f>IF(A379=0,"",IF(IF(COUNTIF(Sec_Fiber!$A$19:$A$1018,B379)&gt;0,TRUE,FALSE)=FALSE,VLOOKUP(B379,SecDB,4,FALSE),VLOOKUP(VLOOKUP(B379,SecFiberDB,2,FALSE),SecDB,4,FALSE)))</f>
        <v/>
      </c>
      <c r="D379" s="41" t="str">
        <f t="shared" si="5"/>
        <v/>
      </c>
    </row>
    <row r="380" spans="3:4" x14ac:dyDescent="0.25">
      <c r="C380" s="41" t="str">
        <f>IF(A380=0,"",IF(IF(COUNTIF(Sec_Fiber!$A$19:$A$1018,B380)&gt;0,TRUE,FALSE)=FALSE,VLOOKUP(B380,SecDB,4,FALSE),VLOOKUP(VLOOKUP(B380,SecFiberDB,2,FALSE),SecDB,4,FALSE)))</f>
        <v/>
      </c>
      <c r="D380" s="41" t="str">
        <f t="shared" si="5"/>
        <v/>
      </c>
    </row>
    <row r="381" spans="3:4" x14ac:dyDescent="0.25">
      <c r="C381" s="41" t="str">
        <f>IF(A381=0,"",IF(IF(COUNTIF(Sec_Fiber!$A$19:$A$1018,B381)&gt;0,TRUE,FALSE)=FALSE,VLOOKUP(B381,SecDB,4,FALSE),VLOOKUP(VLOOKUP(B381,SecFiberDB,2,FALSE),SecDB,4,FALSE)))</f>
        <v/>
      </c>
      <c r="D381" s="41" t="str">
        <f t="shared" si="5"/>
        <v/>
      </c>
    </row>
    <row r="382" spans="3:4" x14ac:dyDescent="0.25">
      <c r="C382" s="41" t="str">
        <f>IF(A382=0,"",IF(IF(COUNTIF(Sec_Fiber!$A$19:$A$1018,B382)&gt;0,TRUE,FALSE)=FALSE,VLOOKUP(B382,SecDB,4,FALSE),VLOOKUP(VLOOKUP(B382,SecFiberDB,2,FALSE),SecDB,4,FALSE)))</f>
        <v/>
      </c>
      <c r="D382" s="41" t="str">
        <f t="shared" si="5"/>
        <v/>
      </c>
    </row>
    <row r="383" spans="3:4" x14ac:dyDescent="0.25">
      <c r="C383" s="41" t="str">
        <f>IF(A383=0,"",IF(IF(COUNTIF(Sec_Fiber!$A$19:$A$1018,B383)&gt;0,TRUE,FALSE)=FALSE,VLOOKUP(B383,SecDB,4,FALSE),VLOOKUP(VLOOKUP(B383,SecFiberDB,2,FALSE),SecDB,4,FALSE)))</f>
        <v/>
      </c>
      <c r="D383" s="41" t="str">
        <f t="shared" si="5"/>
        <v/>
      </c>
    </row>
    <row r="384" spans="3:4" x14ac:dyDescent="0.25">
      <c r="C384" s="41" t="str">
        <f>IF(A384=0,"",IF(IF(COUNTIF(Sec_Fiber!$A$19:$A$1018,B384)&gt;0,TRUE,FALSE)=FALSE,VLOOKUP(B384,SecDB,4,FALSE),VLOOKUP(VLOOKUP(B384,SecFiberDB,2,FALSE),SecDB,4,FALSE)))</f>
        <v/>
      </c>
      <c r="D384" s="41" t="str">
        <f t="shared" si="5"/>
        <v/>
      </c>
    </row>
    <row r="385" spans="3:4" x14ac:dyDescent="0.25">
      <c r="C385" s="41" t="str">
        <f>IF(A385=0,"",IF(IF(COUNTIF(Sec_Fiber!$A$19:$A$1018,B385)&gt;0,TRUE,FALSE)=FALSE,VLOOKUP(B385,SecDB,4,FALSE),VLOOKUP(VLOOKUP(B385,SecFiberDB,2,FALSE),SecDB,4,FALSE)))</f>
        <v/>
      </c>
      <c r="D385" s="41" t="str">
        <f t="shared" si="5"/>
        <v/>
      </c>
    </row>
    <row r="386" spans="3:4" x14ac:dyDescent="0.25">
      <c r="C386" s="41" t="str">
        <f>IF(A386=0,"",IF(IF(COUNTIF(Sec_Fiber!$A$19:$A$1018,B386)&gt;0,TRUE,FALSE)=FALSE,VLOOKUP(B386,SecDB,4,FALSE),VLOOKUP(VLOOKUP(B386,SecFiberDB,2,FALSE),SecDB,4,FALSE)))</f>
        <v/>
      </c>
      <c r="D386" s="41" t="str">
        <f t="shared" si="5"/>
        <v/>
      </c>
    </row>
    <row r="387" spans="3:4" x14ac:dyDescent="0.25">
      <c r="C387" s="41" t="str">
        <f>IF(A387=0,"",IF(IF(COUNTIF(Sec_Fiber!$A$19:$A$1018,B387)&gt;0,TRUE,FALSE)=FALSE,VLOOKUP(B387,SecDB,4,FALSE),VLOOKUP(VLOOKUP(B387,SecFiberDB,2,FALSE),SecDB,4,FALSE)))</f>
        <v/>
      </c>
      <c r="D387" s="41" t="str">
        <f t="shared" si="5"/>
        <v/>
      </c>
    </row>
    <row r="388" spans="3:4" x14ac:dyDescent="0.25">
      <c r="C388" s="41" t="str">
        <f>IF(A388=0,"",IF(IF(COUNTIF(Sec_Fiber!$A$19:$A$1018,B388)&gt;0,TRUE,FALSE)=FALSE,VLOOKUP(B388,SecDB,4,FALSE),VLOOKUP(VLOOKUP(B388,SecFiberDB,2,FALSE),SecDB,4,FALSE)))</f>
        <v/>
      </c>
      <c r="D388" s="41" t="str">
        <f t="shared" si="5"/>
        <v/>
      </c>
    </row>
    <row r="389" spans="3:4" x14ac:dyDescent="0.25">
      <c r="C389" s="41" t="str">
        <f>IF(A389=0,"",IF(IF(COUNTIF(Sec_Fiber!$A$19:$A$1018,B389)&gt;0,TRUE,FALSE)=FALSE,VLOOKUP(B389,SecDB,4,FALSE),VLOOKUP(VLOOKUP(B389,SecFiberDB,2,FALSE),SecDB,4,FALSE)))</f>
        <v/>
      </c>
      <c r="D389" s="41" t="str">
        <f t="shared" si="5"/>
        <v/>
      </c>
    </row>
    <row r="390" spans="3:4" x14ac:dyDescent="0.25">
      <c r="C390" s="41" t="str">
        <f>IF(A390=0,"",IF(IF(COUNTIF(Sec_Fiber!$A$19:$A$1018,B390)&gt;0,TRUE,FALSE)=FALSE,VLOOKUP(B390,SecDB,4,FALSE),VLOOKUP(VLOOKUP(B390,SecFiberDB,2,FALSE),SecDB,4,FALSE)))</f>
        <v/>
      </c>
      <c r="D390" s="41" t="str">
        <f t="shared" si="5"/>
        <v/>
      </c>
    </row>
    <row r="391" spans="3:4" x14ac:dyDescent="0.25">
      <c r="C391" s="41" t="str">
        <f>IF(A391=0,"",IF(IF(COUNTIF(Sec_Fiber!$A$19:$A$1018,B391)&gt;0,TRUE,FALSE)=FALSE,VLOOKUP(B391,SecDB,4,FALSE),VLOOKUP(VLOOKUP(B391,SecFiberDB,2,FALSE),SecDB,4,FALSE)))</f>
        <v/>
      </c>
      <c r="D391" s="41" t="str">
        <f t="shared" si="5"/>
        <v/>
      </c>
    </row>
    <row r="392" spans="3:4" x14ac:dyDescent="0.25">
      <c r="C392" s="41" t="str">
        <f>IF(A392=0,"",IF(IF(COUNTIF(Sec_Fiber!$A$19:$A$1018,B392)&gt;0,TRUE,FALSE)=FALSE,VLOOKUP(B392,SecDB,4,FALSE),VLOOKUP(VLOOKUP(B392,SecFiberDB,2,FALSE),SecDB,4,FALSE)))</f>
        <v/>
      </c>
      <c r="D392" s="41" t="str">
        <f t="shared" si="5"/>
        <v/>
      </c>
    </row>
    <row r="393" spans="3:4" x14ac:dyDescent="0.25">
      <c r="C393" s="41" t="str">
        <f>IF(A393=0,"",IF(IF(COUNTIF(Sec_Fiber!$A$19:$A$1018,B393)&gt;0,TRUE,FALSE)=FALSE,VLOOKUP(B393,SecDB,4,FALSE),VLOOKUP(VLOOKUP(B393,SecFiberDB,2,FALSE),SecDB,4,FALSE)))</f>
        <v/>
      </c>
      <c r="D393" s="41" t="str">
        <f t="shared" ref="D393:D456" si="6">IF(A393=0,"","Aggregator")</f>
        <v/>
      </c>
    </row>
    <row r="394" spans="3:4" x14ac:dyDescent="0.25">
      <c r="C394" s="41" t="str">
        <f>IF(A394=0,"",IF(IF(COUNTIF(Sec_Fiber!$A$19:$A$1018,B394)&gt;0,TRUE,FALSE)=FALSE,VLOOKUP(B394,SecDB,4,FALSE),VLOOKUP(VLOOKUP(B394,SecFiberDB,2,FALSE),SecDB,4,FALSE)))</f>
        <v/>
      </c>
      <c r="D394" s="41" t="str">
        <f t="shared" si="6"/>
        <v/>
      </c>
    </row>
    <row r="395" spans="3:4" x14ac:dyDescent="0.25">
      <c r="C395" s="41" t="str">
        <f>IF(A395=0,"",IF(IF(COUNTIF(Sec_Fiber!$A$19:$A$1018,B395)&gt;0,TRUE,FALSE)=FALSE,VLOOKUP(B395,SecDB,4,FALSE),VLOOKUP(VLOOKUP(B395,SecFiberDB,2,FALSE),SecDB,4,FALSE)))</f>
        <v/>
      </c>
      <c r="D395" s="41" t="str">
        <f t="shared" si="6"/>
        <v/>
      </c>
    </row>
    <row r="396" spans="3:4" x14ac:dyDescent="0.25">
      <c r="C396" s="41" t="str">
        <f>IF(A396=0,"",IF(IF(COUNTIF(Sec_Fiber!$A$19:$A$1018,B396)&gt;0,TRUE,FALSE)=FALSE,VLOOKUP(B396,SecDB,4,FALSE),VLOOKUP(VLOOKUP(B396,SecFiberDB,2,FALSE),SecDB,4,FALSE)))</f>
        <v/>
      </c>
      <c r="D396" s="41" t="str">
        <f t="shared" si="6"/>
        <v/>
      </c>
    </row>
    <row r="397" spans="3:4" x14ac:dyDescent="0.25">
      <c r="C397" s="41" t="str">
        <f>IF(A397=0,"",IF(IF(COUNTIF(Sec_Fiber!$A$19:$A$1018,B397)&gt;0,TRUE,FALSE)=FALSE,VLOOKUP(B397,SecDB,4,FALSE),VLOOKUP(VLOOKUP(B397,SecFiberDB,2,FALSE),SecDB,4,FALSE)))</f>
        <v/>
      </c>
      <c r="D397" s="41" t="str">
        <f t="shared" si="6"/>
        <v/>
      </c>
    </row>
    <row r="398" spans="3:4" x14ac:dyDescent="0.25">
      <c r="C398" s="41" t="str">
        <f>IF(A398=0,"",IF(IF(COUNTIF(Sec_Fiber!$A$19:$A$1018,B398)&gt;0,TRUE,FALSE)=FALSE,VLOOKUP(B398,SecDB,4,FALSE),VLOOKUP(VLOOKUP(B398,SecFiberDB,2,FALSE),SecDB,4,FALSE)))</f>
        <v/>
      </c>
      <c r="D398" s="41" t="str">
        <f t="shared" si="6"/>
        <v/>
      </c>
    </row>
    <row r="399" spans="3:4" x14ac:dyDescent="0.25">
      <c r="C399" s="41" t="str">
        <f>IF(A399=0,"",IF(IF(COUNTIF(Sec_Fiber!$A$19:$A$1018,B399)&gt;0,TRUE,FALSE)=FALSE,VLOOKUP(B399,SecDB,4,FALSE),VLOOKUP(VLOOKUP(B399,SecFiberDB,2,FALSE),SecDB,4,FALSE)))</f>
        <v/>
      </c>
      <c r="D399" s="41" t="str">
        <f t="shared" si="6"/>
        <v/>
      </c>
    </row>
    <row r="400" spans="3:4" x14ac:dyDescent="0.25">
      <c r="C400" s="41" t="str">
        <f>IF(A400=0,"",IF(IF(COUNTIF(Sec_Fiber!$A$19:$A$1018,B400)&gt;0,TRUE,FALSE)=FALSE,VLOOKUP(B400,SecDB,4,FALSE),VLOOKUP(VLOOKUP(B400,SecFiberDB,2,FALSE),SecDB,4,FALSE)))</f>
        <v/>
      </c>
      <c r="D400" s="41" t="str">
        <f t="shared" si="6"/>
        <v/>
      </c>
    </row>
    <row r="401" spans="3:4" x14ac:dyDescent="0.25">
      <c r="C401" s="41" t="str">
        <f>IF(A401=0,"",IF(IF(COUNTIF(Sec_Fiber!$A$19:$A$1018,B401)&gt;0,TRUE,FALSE)=FALSE,VLOOKUP(B401,SecDB,4,FALSE),VLOOKUP(VLOOKUP(B401,SecFiberDB,2,FALSE),SecDB,4,FALSE)))</f>
        <v/>
      </c>
      <c r="D401" s="41" t="str">
        <f t="shared" si="6"/>
        <v/>
      </c>
    </row>
    <row r="402" spans="3:4" x14ac:dyDescent="0.25">
      <c r="C402" s="41" t="str">
        <f>IF(A402=0,"",IF(IF(COUNTIF(Sec_Fiber!$A$19:$A$1018,B402)&gt;0,TRUE,FALSE)=FALSE,VLOOKUP(B402,SecDB,4,FALSE),VLOOKUP(VLOOKUP(B402,SecFiberDB,2,FALSE),SecDB,4,FALSE)))</f>
        <v/>
      </c>
      <c r="D402" s="41" t="str">
        <f t="shared" si="6"/>
        <v/>
      </c>
    </row>
    <row r="403" spans="3:4" x14ac:dyDescent="0.25">
      <c r="C403" s="41" t="str">
        <f>IF(A403=0,"",IF(IF(COUNTIF(Sec_Fiber!$A$19:$A$1018,B403)&gt;0,TRUE,FALSE)=FALSE,VLOOKUP(B403,SecDB,4,FALSE),VLOOKUP(VLOOKUP(B403,SecFiberDB,2,FALSE),SecDB,4,FALSE)))</f>
        <v/>
      </c>
      <c r="D403" s="41" t="str">
        <f t="shared" si="6"/>
        <v/>
      </c>
    </row>
    <row r="404" spans="3:4" x14ac:dyDescent="0.25">
      <c r="C404" s="41" t="str">
        <f>IF(A404=0,"",IF(IF(COUNTIF(Sec_Fiber!$A$19:$A$1018,B404)&gt;0,TRUE,FALSE)=FALSE,VLOOKUP(B404,SecDB,4,FALSE),VLOOKUP(VLOOKUP(B404,SecFiberDB,2,FALSE),SecDB,4,FALSE)))</f>
        <v/>
      </c>
      <c r="D404" s="41" t="str">
        <f t="shared" si="6"/>
        <v/>
      </c>
    </row>
    <row r="405" spans="3:4" x14ac:dyDescent="0.25">
      <c r="C405" s="41" t="str">
        <f>IF(A405=0,"",IF(IF(COUNTIF(Sec_Fiber!$A$19:$A$1018,B405)&gt;0,TRUE,FALSE)=FALSE,VLOOKUP(B405,SecDB,4,FALSE),VLOOKUP(VLOOKUP(B405,SecFiberDB,2,FALSE),SecDB,4,FALSE)))</f>
        <v/>
      </c>
      <c r="D405" s="41" t="str">
        <f t="shared" si="6"/>
        <v/>
      </c>
    </row>
    <row r="406" spans="3:4" x14ac:dyDescent="0.25">
      <c r="C406" s="41" t="str">
        <f>IF(A406=0,"",IF(IF(COUNTIF(Sec_Fiber!$A$19:$A$1018,B406)&gt;0,TRUE,FALSE)=FALSE,VLOOKUP(B406,SecDB,4,FALSE),VLOOKUP(VLOOKUP(B406,SecFiberDB,2,FALSE),SecDB,4,FALSE)))</f>
        <v/>
      </c>
      <c r="D406" s="41" t="str">
        <f t="shared" si="6"/>
        <v/>
      </c>
    </row>
    <row r="407" spans="3:4" x14ac:dyDescent="0.25">
      <c r="C407" s="41" t="str">
        <f>IF(A407=0,"",IF(IF(COUNTIF(Sec_Fiber!$A$19:$A$1018,B407)&gt;0,TRUE,FALSE)=FALSE,VLOOKUP(B407,SecDB,4,FALSE),VLOOKUP(VLOOKUP(B407,SecFiberDB,2,FALSE),SecDB,4,FALSE)))</f>
        <v/>
      </c>
      <c r="D407" s="41" t="str">
        <f t="shared" si="6"/>
        <v/>
      </c>
    </row>
    <row r="408" spans="3:4" x14ac:dyDescent="0.25">
      <c r="C408" s="41" t="str">
        <f>IF(A408=0,"",IF(IF(COUNTIF(Sec_Fiber!$A$19:$A$1018,B408)&gt;0,TRUE,FALSE)=FALSE,VLOOKUP(B408,SecDB,4,FALSE),VLOOKUP(VLOOKUP(B408,SecFiberDB,2,FALSE),SecDB,4,FALSE)))</f>
        <v/>
      </c>
      <c r="D408" s="41" t="str">
        <f t="shared" si="6"/>
        <v/>
      </c>
    </row>
    <row r="409" spans="3:4" x14ac:dyDescent="0.25">
      <c r="C409" s="41" t="str">
        <f>IF(A409=0,"",IF(IF(COUNTIF(Sec_Fiber!$A$19:$A$1018,B409)&gt;0,TRUE,FALSE)=FALSE,VLOOKUP(B409,SecDB,4,FALSE),VLOOKUP(VLOOKUP(B409,SecFiberDB,2,FALSE),SecDB,4,FALSE)))</f>
        <v/>
      </c>
      <c r="D409" s="41" t="str">
        <f t="shared" si="6"/>
        <v/>
      </c>
    </row>
    <row r="410" spans="3:4" x14ac:dyDescent="0.25">
      <c r="C410" s="41" t="str">
        <f>IF(A410=0,"",IF(IF(COUNTIF(Sec_Fiber!$A$19:$A$1018,B410)&gt;0,TRUE,FALSE)=FALSE,VLOOKUP(B410,SecDB,4,FALSE),VLOOKUP(VLOOKUP(B410,SecFiberDB,2,FALSE),SecDB,4,FALSE)))</f>
        <v/>
      </c>
      <c r="D410" s="41" t="str">
        <f t="shared" si="6"/>
        <v/>
      </c>
    </row>
    <row r="411" spans="3:4" x14ac:dyDescent="0.25">
      <c r="C411" s="41" t="str">
        <f>IF(A411=0,"",IF(IF(COUNTIF(Sec_Fiber!$A$19:$A$1018,B411)&gt;0,TRUE,FALSE)=FALSE,VLOOKUP(B411,SecDB,4,FALSE),VLOOKUP(VLOOKUP(B411,SecFiberDB,2,FALSE),SecDB,4,FALSE)))</f>
        <v/>
      </c>
      <c r="D411" s="41" t="str">
        <f t="shared" si="6"/>
        <v/>
      </c>
    </row>
    <row r="412" spans="3:4" x14ac:dyDescent="0.25">
      <c r="C412" s="41" t="str">
        <f>IF(A412=0,"",IF(IF(COUNTIF(Sec_Fiber!$A$19:$A$1018,B412)&gt;0,TRUE,FALSE)=FALSE,VLOOKUP(B412,SecDB,4,FALSE),VLOOKUP(VLOOKUP(B412,SecFiberDB,2,FALSE),SecDB,4,FALSE)))</f>
        <v/>
      </c>
      <c r="D412" s="41" t="str">
        <f t="shared" si="6"/>
        <v/>
      </c>
    </row>
    <row r="413" spans="3:4" x14ac:dyDescent="0.25">
      <c r="C413" s="41" t="str">
        <f>IF(A413=0,"",IF(IF(COUNTIF(Sec_Fiber!$A$19:$A$1018,B413)&gt;0,TRUE,FALSE)=FALSE,VLOOKUP(B413,SecDB,4,FALSE),VLOOKUP(VLOOKUP(B413,SecFiberDB,2,FALSE),SecDB,4,FALSE)))</f>
        <v/>
      </c>
      <c r="D413" s="41" t="str">
        <f t="shared" si="6"/>
        <v/>
      </c>
    </row>
    <row r="414" spans="3:4" x14ac:dyDescent="0.25">
      <c r="C414" s="41" t="str">
        <f>IF(A414=0,"",IF(IF(COUNTIF(Sec_Fiber!$A$19:$A$1018,B414)&gt;0,TRUE,FALSE)=FALSE,VLOOKUP(B414,SecDB,4,FALSE),VLOOKUP(VLOOKUP(B414,SecFiberDB,2,FALSE),SecDB,4,FALSE)))</f>
        <v/>
      </c>
      <c r="D414" s="41" t="str">
        <f t="shared" si="6"/>
        <v/>
      </c>
    </row>
    <row r="415" spans="3:4" x14ac:dyDescent="0.25">
      <c r="C415" s="41" t="str">
        <f>IF(A415=0,"",IF(IF(COUNTIF(Sec_Fiber!$A$19:$A$1018,B415)&gt;0,TRUE,FALSE)=FALSE,VLOOKUP(B415,SecDB,4,FALSE),VLOOKUP(VLOOKUP(B415,SecFiberDB,2,FALSE),SecDB,4,FALSE)))</f>
        <v/>
      </c>
      <c r="D415" s="41" t="str">
        <f t="shared" si="6"/>
        <v/>
      </c>
    </row>
    <row r="416" spans="3:4" x14ac:dyDescent="0.25">
      <c r="C416" s="41" t="str">
        <f>IF(A416=0,"",IF(IF(COUNTIF(Sec_Fiber!$A$19:$A$1018,B416)&gt;0,TRUE,FALSE)=FALSE,VLOOKUP(B416,SecDB,4,FALSE),VLOOKUP(VLOOKUP(B416,SecFiberDB,2,FALSE),SecDB,4,FALSE)))</f>
        <v/>
      </c>
      <c r="D416" s="41" t="str">
        <f t="shared" si="6"/>
        <v/>
      </c>
    </row>
    <row r="417" spans="3:4" x14ac:dyDescent="0.25">
      <c r="C417" s="41" t="str">
        <f>IF(A417=0,"",IF(IF(COUNTIF(Sec_Fiber!$A$19:$A$1018,B417)&gt;0,TRUE,FALSE)=FALSE,VLOOKUP(B417,SecDB,4,FALSE),VLOOKUP(VLOOKUP(B417,SecFiberDB,2,FALSE),SecDB,4,FALSE)))</f>
        <v/>
      </c>
      <c r="D417" s="41" t="str">
        <f t="shared" si="6"/>
        <v/>
      </c>
    </row>
    <row r="418" spans="3:4" x14ac:dyDescent="0.25">
      <c r="C418" s="41" t="str">
        <f>IF(A418=0,"",IF(IF(COUNTIF(Sec_Fiber!$A$19:$A$1018,B418)&gt;0,TRUE,FALSE)=FALSE,VLOOKUP(B418,SecDB,4,FALSE),VLOOKUP(VLOOKUP(B418,SecFiberDB,2,FALSE),SecDB,4,FALSE)))</f>
        <v/>
      </c>
      <c r="D418" s="41" t="str">
        <f t="shared" si="6"/>
        <v/>
      </c>
    </row>
    <row r="419" spans="3:4" x14ac:dyDescent="0.25">
      <c r="C419" s="41" t="str">
        <f>IF(A419=0,"",IF(IF(COUNTIF(Sec_Fiber!$A$19:$A$1018,B419)&gt;0,TRUE,FALSE)=FALSE,VLOOKUP(B419,SecDB,4,FALSE),VLOOKUP(VLOOKUP(B419,SecFiberDB,2,FALSE),SecDB,4,FALSE)))</f>
        <v/>
      </c>
      <c r="D419" s="41" t="str">
        <f t="shared" si="6"/>
        <v/>
      </c>
    </row>
    <row r="420" spans="3:4" x14ac:dyDescent="0.25">
      <c r="C420" s="41" t="str">
        <f>IF(A420=0,"",IF(IF(COUNTIF(Sec_Fiber!$A$19:$A$1018,B420)&gt;0,TRUE,FALSE)=FALSE,VLOOKUP(B420,SecDB,4,FALSE),VLOOKUP(VLOOKUP(B420,SecFiberDB,2,FALSE),SecDB,4,FALSE)))</f>
        <v/>
      </c>
      <c r="D420" s="41" t="str">
        <f t="shared" si="6"/>
        <v/>
      </c>
    </row>
    <row r="421" spans="3:4" x14ac:dyDescent="0.25">
      <c r="C421" s="41" t="str">
        <f>IF(A421=0,"",IF(IF(COUNTIF(Sec_Fiber!$A$19:$A$1018,B421)&gt;0,TRUE,FALSE)=FALSE,VLOOKUP(B421,SecDB,4,FALSE),VLOOKUP(VLOOKUP(B421,SecFiberDB,2,FALSE),SecDB,4,FALSE)))</f>
        <v/>
      </c>
      <c r="D421" s="41" t="str">
        <f t="shared" si="6"/>
        <v/>
      </c>
    </row>
    <row r="422" spans="3:4" x14ac:dyDescent="0.25">
      <c r="C422" s="41" t="str">
        <f>IF(A422=0,"",IF(IF(COUNTIF(Sec_Fiber!$A$19:$A$1018,B422)&gt;0,TRUE,FALSE)=FALSE,VLOOKUP(B422,SecDB,4,FALSE),VLOOKUP(VLOOKUP(B422,SecFiberDB,2,FALSE),SecDB,4,FALSE)))</f>
        <v/>
      </c>
      <c r="D422" s="41" t="str">
        <f t="shared" si="6"/>
        <v/>
      </c>
    </row>
    <row r="423" spans="3:4" x14ac:dyDescent="0.25">
      <c r="C423" s="41" t="str">
        <f>IF(A423=0,"",IF(IF(COUNTIF(Sec_Fiber!$A$19:$A$1018,B423)&gt;0,TRUE,FALSE)=FALSE,VLOOKUP(B423,SecDB,4,FALSE),VLOOKUP(VLOOKUP(B423,SecFiberDB,2,FALSE),SecDB,4,FALSE)))</f>
        <v/>
      </c>
      <c r="D423" s="41" t="str">
        <f t="shared" si="6"/>
        <v/>
      </c>
    </row>
    <row r="424" spans="3:4" x14ac:dyDescent="0.25">
      <c r="C424" s="41" t="str">
        <f>IF(A424=0,"",IF(IF(COUNTIF(Sec_Fiber!$A$19:$A$1018,B424)&gt;0,TRUE,FALSE)=FALSE,VLOOKUP(B424,SecDB,4,FALSE),VLOOKUP(VLOOKUP(B424,SecFiberDB,2,FALSE),SecDB,4,FALSE)))</f>
        <v/>
      </c>
      <c r="D424" s="41" t="str">
        <f t="shared" si="6"/>
        <v/>
      </c>
    </row>
    <row r="425" spans="3:4" x14ac:dyDescent="0.25">
      <c r="C425" s="41" t="str">
        <f>IF(A425=0,"",IF(IF(COUNTIF(Sec_Fiber!$A$19:$A$1018,B425)&gt;0,TRUE,FALSE)=FALSE,VLOOKUP(B425,SecDB,4,FALSE),VLOOKUP(VLOOKUP(B425,SecFiberDB,2,FALSE),SecDB,4,FALSE)))</f>
        <v/>
      </c>
      <c r="D425" s="41" t="str">
        <f t="shared" si="6"/>
        <v/>
      </c>
    </row>
    <row r="426" spans="3:4" x14ac:dyDescent="0.25">
      <c r="C426" s="41" t="str">
        <f>IF(A426=0,"",IF(IF(COUNTIF(Sec_Fiber!$A$19:$A$1018,B426)&gt;0,TRUE,FALSE)=FALSE,VLOOKUP(B426,SecDB,4,FALSE),VLOOKUP(VLOOKUP(B426,SecFiberDB,2,FALSE),SecDB,4,FALSE)))</f>
        <v/>
      </c>
      <c r="D426" s="41" t="str">
        <f t="shared" si="6"/>
        <v/>
      </c>
    </row>
    <row r="427" spans="3:4" x14ac:dyDescent="0.25">
      <c r="C427" s="41" t="str">
        <f>IF(A427=0,"",IF(IF(COUNTIF(Sec_Fiber!$A$19:$A$1018,B427)&gt;0,TRUE,FALSE)=FALSE,VLOOKUP(B427,SecDB,4,FALSE),VLOOKUP(VLOOKUP(B427,SecFiberDB,2,FALSE),SecDB,4,FALSE)))</f>
        <v/>
      </c>
      <c r="D427" s="41" t="str">
        <f t="shared" si="6"/>
        <v/>
      </c>
    </row>
    <row r="428" spans="3:4" x14ac:dyDescent="0.25">
      <c r="C428" s="41" t="str">
        <f>IF(A428=0,"",IF(IF(COUNTIF(Sec_Fiber!$A$19:$A$1018,B428)&gt;0,TRUE,FALSE)=FALSE,VLOOKUP(B428,SecDB,4,FALSE),VLOOKUP(VLOOKUP(B428,SecFiberDB,2,FALSE),SecDB,4,FALSE)))</f>
        <v/>
      </c>
      <c r="D428" s="41" t="str">
        <f t="shared" si="6"/>
        <v/>
      </c>
    </row>
    <row r="429" spans="3:4" x14ac:dyDescent="0.25">
      <c r="C429" s="41" t="str">
        <f>IF(A429=0,"",IF(IF(COUNTIF(Sec_Fiber!$A$19:$A$1018,B429)&gt;0,TRUE,FALSE)=FALSE,VLOOKUP(B429,SecDB,4,FALSE),VLOOKUP(VLOOKUP(B429,SecFiberDB,2,FALSE),SecDB,4,FALSE)))</f>
        <v/>
      </c>
      <c r="D429" s="41" t="str">
        <f t="shared" si="6"/>
        <v/>
      </c>
    </row>
    <row r="430" spans="3:4" x14ac:dyDescent="0.25">
      <c r="C430" s="41" t="str">
        <f>IF(A430=0,"",IF(IF(COUNTIF(Sec_Fiber!$A$19:$A$1018,B430)&gt;0,TRUE,FALSE)=FALSE,VLOOKUP(B430,SecDB,4,FALSE),VLOOKUP(VLOOKUP(B430,SecFiberDB,2,FALSE),SecDB,4,FALSE)))</f>
        <v/>
      </c>
      <c r="D430" s="41" t="str">
        <f t="shared" si="6"/>
        <v/>
      </c>
    </row>
    <row r="431" spans="3:4" x14ac:dyDescent="0.25">
      <c r="C431" s="41" t="str">
        <f>IF(A431=0,"",IF(IF(COUNTIF(Sec_Fiber!$A$19:$A$1018,B431)&gt;0,TRUE,FALSE)=FALSE,VLOOKUP(B431,SecDB,4,FALSE),VLOOKUP(VLOOKUP(B431,SecFiberDB,2,FALSE),SecDB,4,FALSE)))</f>
        <v/>
      </c>
      <c r="D431" s="41" t="str">
        <f t="shared" si="6"/>
        <v/>
      </c>
    </row>
    <row r="432" spans="3:4" x14ac:dyDescent="0.25">
      <c r="C432" s="41" t="str">
        <f>IF(A432=0,"",IF(IF(COUNTIF(Sec_Fiber!$A$19:$A$1018,B432)&gt;0,TRUE,FALSE)=FALSE,VLOOKUP(B432,SecDB,4,FALSE),VLOOKUP(VLOOKUP(B432,SecFiberDB,2,FALSE),SecDB,4,FALSE)))</f>
        <v/>
      </c>
      <c r="D432" s="41" t="str">
        <f t="shared" si="6"/>
        <v/>
      </c>
    </row>
    <row r="433" spans="3:4" x14ac:dyDescent="0.25">
      <c r="C433" s="41" t="str">
        <f>IF(A433=0,"",IF(IF(COUNTIF(Sec_Fiber!$A$19:$A$1018,B433)&gt;0,TRUE,FALSE)=FALSE,VLOOKUP(B433,SecDB,4,FALSE),VLOOKUP(VLOOKUP(B433,SecFiberDB,2,FALSE),SecDB,4,FALSE)))</f>
        <v/>
      </c>
      <c r="D433" s="41" t="str">
        <f t="shared" si="6"/>
        <v/>
      </c>
    </row>
    <row r="434" spans="3:4" x14ac:dyDescent="0.25">
      <c r="C434" s="41" t="str">
        <f>IF(A434=0,"",IF(IF(COUNTIF(Sec_Fiber!$A$19:$A$1018,B434)&gt;0,TRUE,FALSE)=FALSE,VLOOKUP(B434,SecDB,4,FALSE),VLOOKUP(VLOOKUP(B434,SecFiberDB,2,FALSE),SecDB,4,FALSE)))</f>
        <v/>
      </c>
      <c r="D434" s="41" t="str">
        <f t="shared" si="6"/>
        <v/>
      </c>
    </row>
    <row r="435" spans="3:4" x14ac:dyDescent="0.25">
      <c r="C435" s="41" t="str">
        <f>IF(A435=0,"",IF(IF(COUNTIF(Sec_Fiber!$A$19:$A$1018,B435)&gt;0,TRUE,FALSE)=FALSE,VLOOKUP(B435,SecDB,4,FALSE),VLOOKUP(VLOOKUP(B435,SecFiberDB,2,FALSE),SecDB,4,FALSE)))</f>
        <v/>
      </c>
      <c r="D435" s="41" t="str">
        <f t="shared" si="6"/>
        <v/>
      </c>
    </row>
    <row r="436" spans="3:4" x14ac:dyDescent="0.25">
      <c r="C436" s="41" t="str">
        <f>IF(A436=0,"",IF(IF(COUNTIF(Sec_Fiber!$A$19:$A$1018,B436)&gt;0,TRUE,FALSE)=FALSE,VLOOKUP(B436,SecDB,4,FALSE),VLOOKUP(VLOOKUP(B436,SecFiberDB,2,FALSE),SecDB,4,FALSE)))</f>
        <v/>
      </c>
      <c r="D436" s="41" t="str">
        <f t="shared" si="6"/>
        <v/>
      </c>
    </row>
    <row r="437" spans="3:4" x14ac:dyDescent="0.25">
      <c r="C437" s="41" t="str">
        <f>IF(A437=0,"",IF(IF(COUNTIF(Sec_Fiber!$A$19:$A$1018,B437)&gt;0,TRUE,FALSE)=FALSE,VLOOKUP(B437,SecDB,4,FALSE),VLOOKUP(VLOOKUP(B437,SecFiberDB,2,FALSE),SecDB,4,FALSE)))</f>
        <v/>
      </c>
      <c r="D437" s="41" t="str">
        <f t="shared" si="6"/>
        <v/>
      </c>
    </row>
    <row r="438" spans="3:4" x14ac:dyDescent="0.25">
      <c r="C438" s="41" t="str">
        <f>IF(A438=0,"",IF(IF(COUNTIF(Sec_Fiber!$A$19:$A$1018,B438)&gt;0,TRUE,FALSE)=FALSE,VLOOKUP(B438,SecDB,4,FALSE),VLOOKUP(VLOOKUP(B438,SecFiberDB,2,FALSE),SecDB,4,FALSE)))</f>
        <v/>
      </c>
      <c r="D438" s="41" t="str">
        <f t="shared" si="6"/>
        <v/>
      </c>
    </row>
    <row r="439" spans="3:4" x14ac:dyDescent="0.25">
      <c r="C439" s="41" t="str">
        <f>IF(A439=0,"",IF(IF(COUNTIF(Sec_Fiber!$A$19:$A$1018,B439)&gt;0,TRUE,FALSE)=FALSE,VLOOKUP(B439,SecDB,4,FALSE),VLOOKUP(VLOOKUP(B439,SecFiberDB,2,FALSE),SecDB,4,FALSE)))</f>
        <v/>
      </c>
      <c r="D439" s="41" t="str">
        <f t="shared" si="6"/>
        <v/>
      </c>
    </row>
    <row r="440" spans="3:4" x14ac:dyDescent="0.25">
      <c r="C440" s="41" t="str">
        <f>IF(A440=0,"",IF(IF(COUNTIF(Sec_Fiber!$A$19:$A$1018,B440)&gt;0,TRUE,FALSE)=FALSE,VLOOKUP(B440,SecDB,4,FALSE),VLOOKUP(VLOOKUP(B440,SecFiberDB,2,FALSE),SecDB,4,FALSE)))</f>
        <v/>
      </c>
      <c r="D440" s="41" t="str">
        <f t="shared" si="6"/>
        <v/>
      </c>
    </row>
    <row r="441" spans="3:4" x14ac:dyDescent="0.25">
      <c r="C441" s="41" t="str">
        <f>IF(A441=0,"",IF(IF(COUNTIF(Sec_Fiber!$A$19:$A$1018,B441)&gt;0,TRUE,FALSE)=FALSE,VLOOKUP(B441,SecDB,4,FALSE),VLOOKUP(VLOOKUP(B441,SecFiberDB,2,FALSE),SecDB,4,FALSE)))</f>
        <v/>
      </c>
      <c r="D441" s="41" t="str">
        <f t="shared" si="6"/>
        <v/>
      </c>
    </row>
    <row r="442" spans="3:4" x14ac:dyDescent="0.25">
      <c r="C442" s="41" t="str">
        <f>IF(A442=0,"",IF(IF(COUNTIF(Sec_Fiber!$A$19:$A$1018,B442)&gt;0,TRUE,FALSE)=FALSE,VLOOKUP(B442,SecDB,4,FALSE),VLOOKUP(VLOOKUP(B442,SecFiberDB,2,FALSE),SecDB,4,FALSE)))</f>
        <v/>
      </c>
      <c r="D442" s="41" t="str">
        <f t="shared" si="6"/>
        <v/>
      </c>
    </row>
    <row r="443" spans="3:4" x14ac:dyDescent="0.25">
      <c r="C443" s="41" t="str">
        <f>IF(A443=0,"",IF(IF(COUNTIF(Sec_Fiber!$A$19:$A$1018,B443)&gt;0,TRUE,FALSE)=FALSE,VLOOKUP(B443,SecDB,4,FALSE),VLOOKUP(VLOOKUP(B443,SecFiberDB,2,FALSE),SecDB,4,FALSE)))</f>
        <v/>
      </c>
      <c r="D443" s="41" t="str">
        <f t="shared" si="6"/>
        <v/>
      </c>
    </row>
    <row r="444" spans="3:4" x14ac:dyDescent="0.25">
      <c r="C444" s="41" t="str">
        <f>IF(A444=0,"",IF(IF(COUNTIF(Sec_Fiber!$A$19:$A$1018,B444)&gt;0,TRUE,FALSE)=FALSE,VLOOKUP(B444,SecDB,4,FALSE),VLOOKUP(VLOOKUP(B444,SecFiberDB,2,FALSE),SecDB,4,FALSE)))</f>
        <v/>
      </c>
      <c r="D444" s="41" t="str">
        <f t="shared" si="6"/>
        <v/>
      </c>
    </row>
    <row r="445" spans="3:4" x14ac:dyDescent="0.25">
      <c r="C445" s="41" t="str">
        <f>IF(A445=0,"",IF(IF(COUNTIF(Sec_Fiber!$A$19:$A$1018,B445)&gt;0,TRUE,FALSE)=FALSE,VLOOKUP(B445,SecDB,4,FALSE),VLOOKUP(VLOOKUP(B445,SecFiberDB,2,FALSE),SecDB,4,FALSE)))</f>
        <v/>
      </c>
      <c r="D445" s="41" t="str">
        <f t="shared" si="6"/>
        <v/>
      </c>
    </row>
    <row r="446" spans="3:4" x14ac:dyDescent="0.25">
      <c r="C446" s="41" t="str">
        <f>IF(A446=0,"",IF(IF(COUNTIF(Sec_Fiber!$A$19:$A$1018,B446)&gt;0,TRUE,FALSE)=FALSE,VLOOKUP(B446,SecDB,4,FALSE),VLOOKUP(VLOOKUP(B446,SecFiberDB,2,FALSE),SecDB,4,FALSE)))</f>
        <v/>
      </c>
      <c r="D446" s="41" t="str">
        <f t="shared" si="6"/>
        <v/>
      </c>
    </row>
    <row r="447" spans="3:4" x14ac:dyDescent="0.25">
      <c r="C447" s="41" t="str">
        <f>IF(A447=0,"",IF(IF(COUNTIF(Sec_Fiber!$A$19:$A$1018,B447)&gt;0,TRUE,FALSE)=FALSE,VLOOKUP(B447,SecDB,4,FALSE),VLOOKUP(VLOOKUP(B447,SecFiberDB,2,FALSE),SecDB,4,FALSE)))</f>
        <v/>
      </c>
      <c r="D447" s="41" t="str">
        <f t="shared" si="6"/>
        <v/>
      </c>
    </row>
    <row r="448" spans="3:4" x14ac:dyDescent="0.25">
      <c r="C448" s="41" t="str">
        <f>IF(A448=0,"",IF(IF(COUNTIF(Sec_Fiber!$A$19:$A$1018,B448)&gt;0,TRUE,FALSE)=FALSE,VLOOKUP(B448,SecDB,4,FALSE),VLOOKUP(VLOOKUP(B448,SecFiberDB,2,FALSE),SecDB,4,FALSE)))</f>
        <v/>
      </c>
      <c r="D448" s="41" t="str">
        <f t="shared" si="6"/>
        <v/>
      </c>
    </row>
    <row r="449" spans="3:4" x14ac:dyDescent="0.25">
      <c r="C449" s="41" t="str">
        <f>IF(A449=0,"",IF(IF(COUNTIF(Sec_Fiber!$A$19:$A$1018,B449)&gt;0,TRUE,FALSE)=FALSE,VLOOKUP(B449,SecDB,4,FALSE),VLOOKUP(VLOOKUP(B449,SecFiberDB,2,FALSE),SecDB,4,FALSE)))</f>
        <v/>
      </c>
      <c r="D449" s="41" t="str">
        <f t="shared" si="6"/>
        <v/>
      </c>
    </row>
    <row r="450" spans="3:4" x14ac:dyDescent="0.25">
      <c r="C450" s="41" t="str">
        <f>IF(A450=0,"",IF(IF(COUNTIF(Sec_Fiber!$A$19:$A$1018,B450)&gt;0,TRUE,FALSE)=FALSE,VLOOKUP(B450,SecDB,4,FALSE),VLOOKUP(VLOOKUP(B450,SecFiberDB,2,FALSE),SecDB,4,FALSE)))</f>
        <v/>
      </c>
      <c r="D450" s="41" t="str">
        <f t="shared" si="6"/>
        <v/>
      </c>
    </row>
    <row r="451" spans="3:4" x14ac:dyDescent="0.25">
      <c r="C451" s="41" t="str">
        <f>IF(A451=0,"",IF(IF(COUNTIF(Sec_Fiber!$A$19:$A$1018,B451)&gt;0,TRUE,FALSE)=FALSE,VLOOKUP(B451,SecDB,4,FALSE),VLOOKUP(VLOOKUP(B451,SecFiberDB,2,FALSE),SecDB,4,FALSE)))</f>
        <v/>
      </c>
      <c r="D451" s="41" t="str">
        <f t="shared" si="6"/>
        <v/>
      </c>
    </row>
    <row r="452" spans="3:4" x14ac:dyDescent="0.25">
      <c r="C452" s="41" t="str">
        <f>IF(A452=0,"",IF(IF(COUNTIF(Sec_Fiber!$A$19:$A$1018,B452)&gt;0,TRUE,FALSE)=FALSE,VLOOKUP(B452,SecDB,4,FALSE),VLOOKUP(VLOOKUP(B452,SecFiberDB,2,FALSE),SecDB,4,FALSE)))</f>
        <v/>
      </c>
      <c r="D452" s="41" t="str">
        <f t="shared" si="6"/>
        <v/>
      </c>
    </row>
    <row r="453" spans="3:4" x14ac:dyDescent="0.25">
      <c r="C453" s="41" t="str">
        <f>IF(A453=0,"",IF(IF(COUNTIF(Sec_Fiber!$A$19:$A$1018,B453)&gt;0,TRUE,FALSE)=FALSE,VLOOKUP(B453,SecDB,4,FALSE),VLOOKUP(VLOOKUP(B453,SecFiberDB,2,FALSE),SecDB,4,FALSE)))</f>
        <v/>
      </c>
      <c r="D453" s="41" t="str">
        <f t="shared" si="6"/>
        <v/>
      </c>
    </row>
    <row r="454" spans="3:4" x14ac:dyDescent="0.25">
      <c r="C454" s="41" t="str">
        <f>IF(A454=0,"",IF(IF(COUNTIF(Sec_Fiber!$A$19:$A$1018,B454)&gt;0,TRUE,FALSE)=FALSE,VLOOKUP(B454,SecDB,4,FALSE),VLOOKUP(VLOOKUP(B454,SecFiberDB,2,FALSE),SecDB,4,FALSE)))</f>
        <v/>
      </c>
      <c r="D454" s="41" t="str">
        <f t="shared" si="6"/>
        <v/>
      </c>
    </row>
    <row r="455" spans="3:4" x14ac:dyDescent="0.25">
      <c r="C455" s="41" t="str">
        <f>IF(A455=0,"",IF(IF(COUNTIF(Sec_Fiber!$A$19:$A$1018,B455)&gt;0,TRUE,FALSE)=FALSE,VLOOKUP(B455,SecDB,4,FALSE),VLOOKUP(VLOOKUP(B455,SecFiberDB,2,FALSE),SecDB,4,FALSE)))</f>
        <v/>
      </c>
      <c r="D455" s="41" t="str">
        <f t="shared" si="6"/>
        <v/>
      </c>
    </row>
    <row r="456" spans="3:4" x14ac:dyDescent="0.25">
      <c r="C456" s="41" t="str">
        <f>IF(A456=0,"",IF(IF(COUNTIF(Sec_Fiber!$A$19:$A$1018,B456)&gt;0,TRUE,FALSE)=FALSE,VLOOKUP(B456,SecDB,4,FALSE),VLOOKUP(VLOOKUP(B456,SecFiberDB,2,FALSE),SecDB,4,FALSE)))</f>
        <v/>
      </c>
      <c r="D456" s="41" t="str">
        <f t="shared" si="6"/>
        <v/>
      </c>
    </row>
    <row r="457" spans="3:4" x14ac:dyDescent="0.25">
      <c r="C457" s="41" t="str">
        <f>IF(A457=0,"",IF(IF(COUNTIF(Sec_Fiber!$A$19:$A$1018,B457)&gt;0,TRUE,FALSE)=FALSE,VLOOKUP(B457,SecDB,4,FALSE),VLOOKUP(VLOOKUP(B457,SecFiberDB,2,FALSE),SecDB,4,FALSE)))</f>
        <v/>
      </c>
      <c r="D457" s="41" t="str">
        <f t="shared" ref="D457:D520" si="7">IF(A457=0,"","Aggregator")</f>
        <v/>
      </c>
    </row>
    <row r="458" spans="3:4" x14ac:dyDescent="0.25">
      <c r="C458" s="41" t="str">
        <f>IF(A458=0,"",IF(IF(COUNTIF(Sec_Fiber!$A$19:$A$1018,B458)&gt;0,TRUE,FALSE)=FALSE,VLOOKUP(B458,SecDB,4,FALSE),VLOOKUP(VLOOKUP(B458,SecFiberDB,2,FALSE),SecDB,4,FALSE)))</f>
        <v/>
      </c>
      <c r="D458" s="41" t="str">
        <f t="shared" si="7"/>
        <v/>
      </c>
    </row>
    <row r="459" spans="3:4" x14ac:dyDescent="0.25">
      <c r="C459" s="41" t="str">
        <f>IF(A459=0,"",IF(IF(COUNTIF(Sec_Fiber!$A$19:$A$1018,B459)&gt;0,TRUE,FALSE)=FALSE,VLOOKUP(B459,SecDB,4,FALSE),VLOOKUP(VLOOKUP(B459,SecFiberDB,2,FALSE),SecDB,4,FALSE)))</f>
        <v/>
      </c>
      <c r="D459" s="41" t="str">
        <f t="shared" si="7"/>
        <v/>
      </c>
    </row>
    <row r="460" spans="3:4" x14ac:dyDescent="0.25">
      <c r="C460" s="41" t="str">
        <f>IF(A460=0,"",IF(IF(COUNTIF(Sec_Fiber!$A$19:$A$1018,B460)&gt;0,TRUE,FALSE)=FALSE,VLOOKUP(B460,SecDB,4,FALSE),VLOOKUP(VLOOKUP(B460,SecFiberDB,2,FALSE),SecDB,4,FALSE)))</f>
        <v/>
      </c>
      <c r="D460" s="41" t="str">
        <f t="shared" si="7"/>
        <v/>
      </c>
    </row>
    <row r="461" spans="3:4" x14ac:dyDescent="0.25">
      <c r="C461" s="41" t="str">
        <f>IF(A461=0,"",IF(IF(COUNTIF(Sec_Fiber!$A$19:$A$1018,B461)&gt;0,TRUE,FALSE)=FALSE,VLOOKUP(B461,SecDB,4,FALSE),VLOOKUP(VLOOKUP(B461,SecFiberDB,2,FALSE),SecDB,4,FALSE)))</f>
        <v/>
      </c>
      <c r="D461" s="41" t="str">
        <f t="shared" si="7"/>
        <v/>
      </c>
    </row>
    <row r="462" spans="3:4" x14ac:dyDescent="0.25">
      <c r="C462" s="41" t="str">
        <f>IF(A462=0,"",IF(IF(COUNTIF(Sec_Fiber!$A$19:$A$1018,B462)&gt;0,TRUE,FALSE)=FALSE,VLOOKUP(B462,SecDB,4,FALSE),VLOOKUP(VLOOKUP(B462,SecFiberDB,2,FALSE),SecDB,4,FALSE)))</f>
        <v/>
      </c>
      <c r="D462" s="41" t="str">
        <f t="shared" si="7"/>
        <v/>
      </c>
    </row>
    <row r="463" spans="3:4" x14ac:dyDescent="0.25">
      <c r="C463" s="41" t="str">
        <f>IF(A463=0,"",IF(IF(COUNTIF(Sec_Fiber!$A$19:$A$1018,B463)&gt;0,TRUE,FALSE)=FALSE,VLOOKUP(B463,SecDB,4,FALSE),VLOOKUP(VLOOKUP(B463,SecFiberDB,2,FALSE),SecDB,4,FALSE)))</f>
        <v/>
      </c>
      <c r="D463" s="41" t="str">
        <f t="shared" si="7"/>
        <v/>
      </c>
    </row>
    <row r="464" spans="3:4" x14ac:dyDescent="0.25">
      <c r="C464" s="41" t="str">
        <f>IF(A464=0,"",IF(IF(COUNTIF(Sec_Fiber!$A$19:$A$1018,B464)&gt;0,TRUE,FALSE)=FALSE,VLOOKUP(B464,SecDB,4,FALSE),VLOOKUP(VLOOKUP(B464,SecFiberDB,2,FALSE),SecDB,4,FALSE)))</f>
        <v/>
      </c>
      <c r="D464" s="41" t="str">
        <f t="shared" si="7"/>
        <v/>
      </c>
    </row>
    <row r="465" spans="3:4" x14ac:dyDescent="0.25">
      <c r="C465" s="41" t="str">
        <f>IF(A465=0,"",IF(IF(COUNTIF(Sec_Fiber!$A$19:$A$1018,B465)&gt;0,TRUE,FALSE)=FALSE,VLOOKUP(B465,SecDB,4,FALSE),VLOOKUP(VLOOKUP(B465,SecFiberDB,2,FALSE),SecDB,4,FALSE)))</f>
        <v/>
      </c>
      <c r="D465" s="41" t="str">
        <f t="shared" si="7"/>
        <v/>
      </c>
    </row>
    <row r="466" spans="3:4" x14ac:dyDescent="0.25">
      <c r="C466" s="41" t="str">
        <f>IF(A466=0,"",IF(IF(COUNTIF(Sec_Fiber!$A$19:$A$1018,B466)&gt;0,TRUE,FALSE)=FALSE,VLOOKUP(B466,SecDB,4,FALSE),VLOOKUP(VLOOKUP(B466,SecFiberDB,2,FALSE),SecDB,4,FALSE)))</f>
        <v/>
      </c>
      <c r="D466" s="41" t="str">
        <f t="shared" si="7"/>
        <v/>
      </c>
    </row>
    <row r="467" spans="3:4" x14ac:dyDescent="0.25">
      <c r="C467" s="41" t="str">
        <f>IF(A467=0,"",IF(IF(COUNTIF(Sec_Fiber!$A$19:$A$1018,B467)&gt;0,TRUE,FALSE)=FALSE,VLOOKUP(B467,SecDB,4,FALSE),VLOOKUP(VLOOKUP(B467,SecFiberDB,2,FALSE),SecDB,4,FALSE)))</f>
        <v/>
      </c>
      <c r="D467" s="41" t="str">
        <f t="shared" si="7"/>
        <v/>
      </c>
    </row>
    <row r="468" spans="3:4" x14ac:dyDescent="0.25">
      <c r="C468" s="41" t="str">
        <f>IF(A468=0,"",IF(IF(COUNTIF(Sec_Fiber!$A$19:$A$1018,B468)&gt;0,TRUE,FALSE)=FALSE,VLOOKUP(B468,SecDB,4,FALSE),VLOOKUP(VLOOKUP(B468,SecFiberDB,2,FALSE),SecDB,4,FALSE)))</f>
        <v/>
      </c>
      <c r="D468" s="41" t="str">
        <f t="shared" si="7"/>
        <v/>
      </c>
    </row>
    <row r="469" spans="3:4" x14ac:dyDescent="0.25">
      <c r="C469" s="41" t="str">
        <f>IF(A469=0,"",IF(IF(COUNTIF(Sec_Fiber!$A$19:$A$1018,B469)&gt;0,TRUE,FALSE)=FALSE,VLOOKUP(B469,SecDB,4,FALSE),VLOOKUP(VLOOKUP(B469,SecFiberDB,2,FALSE),SecDB,4,FALSE)))</f>
        <v/>
      </c>
      <c r="D469" s="41" t="str">
        <f t="shared" si="7"/>
        <v/>
      </c>
    </row>
    <row r="470" spans="3:4" x14ac:dyDescent="0.25">
      <c r="C470" s="41" t="str">
        <f>IF(A470=0,"",IF(IF(COUNTIF(Sec_Fiber!$A$19:$A$1018,B470)&gt;0,TRUE,FALSE)=FALSE,VLOOKUP(B470,SecDB,4,FALSE),VLOOKUP(VLOOKUP(B470,SecFiberDB,2,FALSE),SecDB,4,FALSE)))</f>
        <v/>
      </c>
      <c r="D470" s="41" t="str">
        <f t="shared" si="7"/>
        <v/>
      </c>
    </row>
    <row r="471" spans="3:4" x14ac:dyDescent="0.25">
      <c r="C471" s="41" t="str">
        <f>IF(A471=0,"",IF(IF(COUNTIF(Sec_Fiber!$A$19:$A$1018,B471)&gt;0,TRUE,FALSE)=FALSE,VLOOKUP(B471,SecDB,4,FALSE),VLOOKUP(VLOOKUP(B471,SecFiberDB,2,FALSE),SecDB,4,FALSE)))</f>
        <v/>
      </c>
      <c r="D471" s="41" t="str">
        <f t="shared" si="7"/>
        <v/>
      </c>
    </row>
    <row r="472" spans="3:4" x14ac:dyDescent="0.25">
      <c r="C472" s="41" t="str">
        <f>IF(A472=0,"",IF(IF(COUNTIF(Sec_Fiber!$A$19:$A$1018,B472)&gt;0,TRUE,FALSE)=FALSE,VLOOKUP(B472,SecDB,4,FALSE),VLOOKUP(VLOOKUP(B472,SecFiberDB,2,FALSE),SecDB,4,FALSE)))</f>
        <v/>
      </c>
      <c r="D472" s="41" t="str">
        <f t="shared" si="7"/>
        <v/>
      </c>
    </row>
    <row r="473" spans="3:4" x14ac:dyDescent="0.25">
      <c r="C473" s="41" t="str">
        <f>IF(A473=0,"",IF(IF(COUNTIF(Sec_Fiber!$A$19:$A$1018,B473)&gt;0,TRUE,FALSE)=FALSE,VLOOKUP(B473,SecDB,4,FALSE),VLOOKUP(VLOOKUP(B473,SecFiberDB,2,FALSE),SecDB,4,FALSE)))</f>
        <v/>
      </c>
      <c r="D473" s="41" t="str">
        <f t="shared" si="7"/>
        <v/>
      </c>
    </row>
    <row r="474" spans="3:4" x14ac:dyDescent="0.25">
      <c r="C474" s="41" t="str">
        <f>IF(A474=0,"",IF(IF(COUNTIF(Sec_Fiber!$A$19:$A$1018,B474)&gt;0,TRUE,FALSE)=FALSE,VLOOKUP(B474,SecDB,4,FALSE),VLOOKUP(VLOOKUP(B474,SecFiberDB,2,FALSE),SecDB,4,FALSE)))</f>
        <v/>
      </c>
      <c r="D474" s="41" t="str">
        <f t="shared" si="7"/>
        <v/>
      </c>
    </row>
    <row r="475" spans="3:4" x14ac:dyDescent="0.25">
      <c r="C475" s="41" t="str">
        <f>IF(A475=0,"",IF(IF(COUNTIF(Sec_Fiber!$A$19:$A$1018,B475)&gt;0,TRUE,FALSE)=FALSE,VLOOKUP(B475,SecDB,4,FALSE),VLOOKUP(VLOOKUP(B475,SecFiberDB,2,FALSE),SecDB,4,FALSE)))</f>
        <v/>
      </c>
      <c r="D475" s="41" t="str">
        <f t="shared" si="7"/>
        <v/>
      </c>
    </row>
    <row r="476" spans="3:4" x14ac:dyDescent="0.25">
      <c r="C476" s="41" t="str">
        <f>IF(A476=0,"",IF(IF(COUNTIF(Sec_Fiber!$A$19:$A$1018,B476)&gt;0,TRUE,FALSE)=FALSE,VLOOKUP(B476,SecDB,4,FALSE),VLOOKUP(VLOOKUP(B476,SecFiberDB,2,FALSE),SecDB,4,FALSE)))</f>
        <v/>
      </c>
      <c r="D476" s="41" t="str">
        <f t="shared" si="7"/>
        <v/>
      </c>
    </row>
    <row r="477" spans="3:4" x14ac:dyDescent="0.25">
      <c r="C477" s="41" t="str">
        <f>IF(A477=0,"",IF(IF(COUNTIF(Sec_Fiber!$A$19:$A$1018,B477)&gt;0,TRUE,FALSE)=FALSE,VLOOKUP(B477,SecDB,4,FALSE),VLOOKUP(VLOOKUP(B477,SecFiberDB,2,FALSE),SecDB,4,FALSE)))</f>
        <v/>
      </c>
      <c r="D477" s="41" t="str">
        <f t="shared" si="7"/>
        <v/>
      </c>
    </row>
    <row r="478" spans="3:4" x14ac:dyDescent="0.25">
      <c r="C478" s="41" t="str">
        <f>IF(A478=0,"",IF(IF(COUNTIF(Sec_Fiber!$A$19:$A$1018,B478)&gt;0,TRUE,FALSE)=FALSE,VLOOKUP(B478,SecDB,4,FALSE),VLOOKUP(VLOOKUP(B478,SecFiberDB,2,FALSE),SecDB,4,FALSE)))</f>
        <v/>
      </c>
      <c r="D478" s="41" t="str">
        <f t="shared" si="7"/>
        <v/>
      </c>
    </row>
    <row r="479" spans="3:4" x14ac:dyDescent="0.25">
      <c r="C479" s="41" t="str">
        <f>IF(A479=0,"",IF(IF(COUNTIF(Sec_Fiber!$A$19:$A$1018,B479)&gt;0,TRUE,FALSE)=FALSE,VLOOKUP(B479,SecDB,4,FALSE),VLOOKUP(VLOOKUP(B479,SecFiberDB,2,FALSE),SecDB,4,FALSE)))</f>
        <v/>
      </c>
      <c r="D479" s="41" t="str">
        <f t="shared" si="7"/>
        <v/>
      </c>
    </row>
    <row r="480" spans="3:4" x14ac:dyDescent="0.25">
      <c r="C480" s="41" t="str">
        <f>IF(A480=0,"",IF(IF(COUNTIF(Sec_Fiber!$A$19:$A$1018,B480)&gt;0,TRUE,FALSE)=FALSE,VLOOKUP(B480,SecDB,4,FALSE),VLOOKUP(VLOOKUP(B480,SecFiberDB,2,FALSE),SecDB,4,FALSE)))</f>
        <v/>
      </c>
      <c r="D480" s="41" t="str">
        <f t="shared" si="7"/>
        <v/>
      </c>
    </row>
    <row r="481" spans="3:4" x14ac:dyDescent="0.25">
      <c r="C481" s="41" t="str">
        <f>IF(A481=0,"",IF(IF(COUNTIF(Sec_Fiber!$A$19:$A$1018,B481)&gt;0,TRUE,FALSE)=FALSE,VLOOKUP(B481,SecDB,4,FALSE),VLOOKUP(VLOOKUP(B481,SecFiberDB,2,FALSE),SecDB,4,FALSE)))</f>
        <v/>
      </c>
      <c r="D481" s="41" t="str">
        <f t="shared" si="7"/>
        <v/>
      </c>
    </row>
    <row r="482" spans="3:4" x14ac:dyDescent="0.25">
      <c r="C482" s="41" t="str">
        <f>IF(A482=0,"",IF(IF(COUNTIF(Sec_Fiber!$A$19:$A$1018,B482)&gt;0,TRUE,FALSE)=FALSE,VLOOKUP(B482,SecDB,4,FALSE),VLOOKUP(VLOOKUP(B482,SecFiberDB,2,FALSE),SecDB,4,FALSE)))</f>
        <v/>
      </c>
      <c r="D482" s="41" t="str">
        <f t="shared" si="7"/>
        <v/>
      </c>
    </row>
    <row r="483" spans="3:4" x14ac:dyDescent="0.25">
      <c r="C483" s="41" t="str">
        <f>IF(A483=0,"",IF(IF(COUNTIF(Sec_Fiber!$A$19:$A$1018,B483)&gt;0,TRUE,FALSE)=FALSE,VLOOKUP(B483,SecDB,4,FALSE),VLOOKUP(VLOOKUP(B483,SecFiberDB,2,FALSE),SecDB,4,FALSE)))</f>
        <v/>
      </c>
      <c r="D483" s="41" t="str">
        <f t="shared" si="7"/>
        <v/>
      </c>
    </row>
    <row r="484" spans="3:4" x14ac:dyDescent="0.25">
      <c r="C484" s="41" t="str">
        <f>IF(A484=0,"",IF(IF(COUNTIF(Sec_Fiber!$A$19:$A$1018,B484)&gt;0,TRUE,FALSE)=FALSE,VLOOKUP(B484,SecDB,4,FALSE),VLOOKUP(VLOOKUP(B484,SecFiberDB,2,FALSE),SecDB,4,FALSE)))</f>
        <v/>
      </c>
      <c r="D484" s="41" t="str">
        <f t="shared" si="7"/>
        <v/>
      </c>
    </row>
    <row r="485" spans="3:4" x14ac:dyDescent="0.25">
      <c r="C485" s="41" t="str">
        <f>IF(A485=0,"",IF(IF(COUNTIF(Sec_Fiber!$A$19:$A$1018,B485)&gt;0,TRUE,FALSE)=FALSE,VLOOKUP(B485,SecDB,4,FALSE),VLOOKUP(VLOOKUP(B485,SecFiberDB,2,FALSE),SecDB,4,FALSE)))</f>
        <v/>
      </c>
      <c r="D485" s="41" t="str">
        <f t="shared" si="7"/>
        <v/>
      </c>
    </row>
    <row r="486" spans="3:4" x14ac:dyDescent="0.25">
      <c r="C486" s="41" t="str">
        <f>IF(A486=0,"",IF(IF(COUNTIF(Sec_Fiber!$A$19:$A$1018,B486)&gt;0,TRUE,FALSE)=FALSE,VLOOKUP(B486,SecDB,4,FALSE),VLOOKUP(VLOOKUP(B486,SecFiberDB,2,FALSE),SecDB,4,FALSE)))</f>
        <v/>
      </c>
      <c r="D486" s="41" t="str">
        <f t="shared" si="7"/>
        <v/>
      </c>
    </row>
    <row r="487" spans="3:4" x14ac:dyDescent="0.25">
      <c r="C487" s="41" t="str">
        <f>IF(A487=0,"",IF(IF(COUNTIF(Sec_Fiber!$A$19:$A$1018,B487)&gt;0,TRUE,FALSE)=FALSE,VLOOKUP(B487,SecDB,4,FALSE),VLOOKUP(VLOOKUP(B487,SecFiberDB,2,FALSE),SecDB,4,FALSE)))</f>
        <v/>
      </c>
      <c r="D487" s="41" t="str">
        <f t="shared" si="7"/>
        <v/>
      </c>
    </row>
    <row r="488" spans="3:4" x14ac:dyDescent="0.25">
      <c r="C488" s="41" t="str">
        <f>IF(A488=0,"",IF(IF(COUNTIF(Sec_Fiber!$A$19:$A$1018,B488)&gt;0,TRUE,FALSE)=FALSE,VLOOKUP(B488,SecDB,4,FALSE),VLOOKUP(VLOOKUP(B488,SecFiberDB,2,FALSE),SecDB,4,FALSE)))</f>
        <v/>
      </c>
      <c r="D488" s="41" t="str">
        <f t="shared" si="7"/>
        <v/>
      </c>
    </row>
    <row r="489" spans="3:4" x14ac:dyDescent="0.25">
      <c r="C489" s="41" t="str">
        <f>IF(A489=0,"",IF(IF(COUNTIF(Sec_Fiber!$A$19:$A$1018,B489)&gt;0,TRUE,FALSE)=FALSE,VLOOKUP(B489,SecDB,4,FALSE),VLOOKUP(VLOOKUP(B489,SecFiberDB,2,FALSE),SecDB,4,FALSE)))</f>
        <v/>
      </c>
      <c r="D489" s="41" t="str">
        <f t="shared" si="7"/>
        <v/>
      </c>
    </row>
    <row r="490" spans="3:4" x14ac:dyDescent="0.25">
      <c r="C490" s="41" t="str">
        <f>IF(A490=0,"",IF(IF(COUNTIF(Sec_Fiber!$A$19:$A$1018,B490)&gt;0,TRUE,FALSE)=FALSE,VLOOKUP(B490,SecDB,4,FALSE),VLOOKUP(VLOOKUP(B490,SecFiberDB,2,FALSE),SecDB,4,FALSE)))</f>
        <v/>
      </c>
      <c r="D490" s="41" t="str">
        <f t="shared" si="7"/>
        <v/>
      </c>
    </row>
    <row r="491" spans="3:4" x14ac:dyDescent="0.25">
      <c r="C491" s="41" t="str">
        <f>IF(A491=0,"",IF(IF(COUNTIF(Sec_Fiber!$A$19:$A$1018,B491)&gt;0,TRUE,FALSE)=FALSE,VLOOKUP(B491,SecDB,4,FALSE),VLOOKUP(VLOOKUP(B491,SecFiberDB,2,FALSE),SecDB,4,FALSE)))</f>
        <v/>
      </c>
      <c r="D491" s="41" t="str">
        <f t="shared" si="7"/>
        <v/>
      </c>
    </row>
    <row r="492" spans="3:4" x14ac:dyDescent="0.25">
      <c r="C492" s="41" t="str">
        <f>IF(A492=0,"",IF(IF(COUNTIF(Sec_Fiber!$A$19:$A$1018,B492)&gt;0,TRUE,FALSE)=FALSE,VLOOKUP(B492,SecDB,4,FALSE),VLOOKUP(VLOOKUP(B492,SecFiberDB,2,FALSE),SecDB,4,FALSE)))</f>
        <v/>
      </c>
      <c r="D492" s="41" t="str">
        <f t="shared" si="7"/>
        <v/>
      </c>
    </row>
    <row r="493" spans="3:4" x14ac:dyDescent="0.25">
      <c r="C493" s="41" t="str">
        <f>IF(A493=0,"",IF(IF(COUNTIF(Sec_Fiber!$A$19:$A$1018,B493)&gt;0,TRUE,FALSE)=FALSE,VLOOKUP(B493,SecDB,4,FALSE),VLOOKUP(VLOOKUP(B493,SecFiberDB,2,FALSE),SecDB,4,FALSE)))</f>
        <v/>
      </c>
      <c r="D493" s="41" t="str">
        <f t="shared" si="7"/>
        <v/>
      </c>
    </row>
    <row r="494" spans="3:4" x14ac:dyDescent="0.25">
      <c r="C494" s="41" t="str">
        <f>IF(A494=0,"",IF(IF(COUNTIF(Sec_Fiber!$A$19:$A$1018,B494)&gt;0,TRUE,FALSE)=FALSE,VLOOKUP(B494,SecDB,4,FALSE),VLOOKUP(VLOOKUP(B494,SecFiberDB,2,FALSE),SecDB,4,FALSE)))</f>
        <v/>
      </c>
      <c r="D494" s="41" t="str">
        <f t="shared" si="7"/>
        <v/>
      </c>
    </row>
    <row r="495" spans="3:4" x14ac:dyDescent="0.25">
      <c r="C495" s="41" t="str">
        <f>IF(A495=0,"",IF(IF(COUNTIF(Sec_Fiber!$A$19:$A$1018,B495)&gt;0,TRUE,FALSE)=FALSE,VLOOKUP(B495,SecDB,4,FALSE),VLOOKUP(VLOOKUP(B495,SecFiberDB,2,FALSE),SecDB,4,FALSE)))</f>
        <v/>
      </c>
      <c r="D495" s="41" t="str">
        <f t="shared" si="7"/>
        <v/>
      </c>
    </row>
    <row r="496" spans="3:4" x14ac:dyDescent="0.25">
      <c r="C496" s="41" t="str">
        <f>IF(A496=0,"",IF(IF(COUNTIF(Sec_Fiber!$A$19:$A$1018,B496)&gt;0,TRUE,FALSE)=FALSE,VLOOKUP(B496,SecDB,4,FALSE),VLOOKUP(VLOOKUP(B496,SecFiberDB,2,FALSE),SecDB,4,FALSE)))</f>
        <v/>
      </c>
      <c r="D496" s="41" t="str">
        <f t="shared" si="7"/>
        <v/>
      </c>
    </row>
    <row r="497" spans="3:4" x14ac:dyDescent="0.25">
      <c r="C497" s="41" t="str">
        <f>IF(A497=0,"",IF(IF(COUNTIF(Sec_Fiber!$A$19:$A$1018,B497)&gt;0,TRUE,FALSE)=FALSE,VLOOKUP(B497,SecDB,4,FALSE),VLOOKUP(VLOOKUP(B497,SecFiberDB,2,FALSE),SecDB,4,FALSE)))</f>
        <v/>
      </c>
      <c r="D497" s="41" t="str">
        <f t="shared" si="7"/>
        <v/>
      </c>
    </row>
    <row r="498" spans="3:4" x14ac:dyDescent="0.25">
      <c r="C498" s="41" t="str">
        <f>IF(A498=0,"",IF(IF(COUNTIF(Sec_Fiber!$A$19:$A$1018,B498)&gt;0,TRUE,FALSE)=FALSE,VLOOKUP(B498,SecDB,4,FALSE),VLOOKUP(VLOOKUP(B498,SecFiberDB,2,FALSE),SecDB,4,FALSE)))</f>
        <v/>
      </c>
      <c r="D498" s="41" t="str">
        <f t="shared" si="7"/>
        <v/>
      </c>
    </row>
    <row r="499" spans="3:4" x14ac:dyDescent="0.25">
      <c r="C499" s="41" t="str">
        <f>IF(A499=0,"",IF(IF(COUNTIF(Sec_Fiber!$A$19:$A$1018,B499)&gt;0,TRUE,FALSE)=FALSE,VLOOKUP(B499,SecDB,4,FALSE),VLOOKUP(VLOOKUP(B499,SecFiberDB,2,FALSE),SecDB,4,FALSE)))</f>
        <v/>
      </c>
      <c r="D499" s="41" t="str">
        <f t="shared" si="7"/>
        <v/>
      </c>
    </row>
    <row r="500" spans="3:4" x14ac:dyDescent="0.25">
      <c r="C500" s="41" t="str">
        <f>IF(A500=0,"",IF(IF(COUNTIF(Sec_Fiber!$A$19:$A$1018,B500)&gt;0,TRUE,FALSE)=FALSE,VLOOKUP(B500,SecDB,4,FALSE),VLOOKUP(VLOOKUP(B500,SecFiberDB,2,FALSE),SecDB,4,FALSE)))</f>
        <v/>
      </c>
      <c r="D500" s="41" t="str">
        <f t="shared" si="7"/>
        <v/>
      </c>
    </row>
    <row r="501" spans="3:4" x14ac:dyDescent="0.25">
      <c r="C501" s="41" t="str">
        <f>IF(A501=0,"",IF(IF(COUNTIF(Sec_Fiber!$A$19:$A$1018,B501)&gt;0,TRUE,FALSE)=FALSE,VLOOKUP(B501,SecDB,4,FALSE),VLOOKUP(VLOOKUP(B501,SecFiberDB,2,FALSE),SecDB,4,FALSE)))</f>
        <v/>
      </c>
      <c r="D501" s="41" t="str">
        <f t="shared" si="7"/>
        <v/>
      </c>
    </row>
    <row r="502" spans="3:4" x14ac:dyDescent="0.25">
      <c r="C502" s="41" t="str">
        <f>IF(A502=0,"",IF(IF(COUNTIF(Sec_Fiber!$A$19:$A$1018,B502)&gt;0,TRUE,FALSE)=FALSE,VLOOKUP(B502,SecDB,4,FALSE),VLOOKUP(VLOOKUP(B502,SecFiberDB,2,FALSE),SecDB,4,FALSE)))</f>
        <v/>
      </c>
      <c r="D502" s="41" t="str">
        <f t="shared" si="7"/>
        <v/>
      </c>
    </row>
    <row r="503" spans="3:4" x14ac:dyDescent="0.25">
      <c r="C503" s="41" t="str">
        <f>IF(A503=0,"",IF(IF(COUNTIF(Sec_Fiber!$A$19:$A$1018,B503)&gt;0,TRUE,FALSE)=FALSE,VLOOKUP(B503,SecDB,4,FALSE),VLOOKUP(VLOOKUP(B503,SecFiberDB,2,FALSE),SecDB,4,FALSE)))</f>
        <v/>
      </c>
      <c r="D503" s="41" t="str">
        <f t="shared" si="7"/>
        <v/>
      </c>
    </row>
    <row r="504" spans="3:4" x14ac:dyDescent="0.25">
      <c r="C504" s="41" t="str">
        <f>IF(A504=0,"",IF(IF(COUNTIF(Sec_Fiber!$A$19:$A$1018,B504)&gt;0,TRUE,FALSE)=FALSE,VLOOKUP(B504,SecDB,4,FALSE),VLOOKUP(VLOOKUP(B504,SecFiberDB,2,FALSE),SecDB,4,FALSE)))</f>
        <v/>
      </c>
      <c r="D504" s="41" t="str">
        <f t="shared" si="7"/>
        <v/>
      </c>
    </row>
    <row r="505" spans="3:4" x14ac:dyDescent="0.25">
      <c r="C505" s="41" t="str">
        <f>IF(A505=0,"",IF(IF(COUNTIF(Sec_Fiber!$A$19:$A$1018,B505)&gt;0,TRUE,FALSE)=FALSE,VLOOKUP(B505,SecDB,4,FALSE),VLOOKUP(VLOOKUP(B505,SecFiberDB,2,FALSE),SecDB,4,FALSE)))</f>
        <v/>
      </c>
      <c r="D505" s="41" t="str">
        <f t="shared" si="7"/>
        <v/>
      </c>
    </row>
    <row r="506" spans="3:4" x14ac:dyDescent="0.25">
      <c r="C506" s="41" t="str">
        <f>IF(A506=0,"",IF(IF(COUNTIF(Sec_Fiber!$A$19:$A$1018,B506)&gt;0,TRUE,FALSE)=FALSE,VLOOKUP(B506,SecDB,4,FALSE),VLOOKUP(VLOOKUP(B506,SecFiberDB,2,FALSE),SecDB,4,FALSE)))</f>
        <v/>
      </c>
      <c r="D506" s="41" t="str">
        <f t="shared" si="7"/>
        <v/>
      </c>
    </row>
    <row r="507" spans="3:4" x14ac:dyDescent="0.25">
      <c r="C507" s="41" t="str">
        <f>IF(A507=0,"",IF(IF(COUNTIF(Sec_Fiber!$A$19:$A$1018,B507)&gt;0,TRUE,FALSE)=FALSE,VLOOKUP(B507,SecDB,4,FALSE),VLOOKUP(VLOOKUP(B507,SecFiberDB,2,FALSE),SecDB,4,FALSE)))</f>
        <v/>
      </c>
      <c r="D507" s="41" t="str">
        <f t="shared" si="7"/>
        <v/>
      </c>
    </row>
    <row r="508" spans="3:4" x14ac:dyDescent="0.25">
      <c r="C508" s="41" t="str">
        <f>IF(A508=0,"",IF(IF(COUNTIF(Sec_Fiber!$A$19:$A$1018,B508)&gt;0,TRUE,FALSE)=FALSE,VLOOKUP(B508,SecDB,4,FALSE),VLOOKUP(VLOOKUP(B508,SecFiberDB,2,FALSE),SecDB,4,FALSE)))</f>
        <v/>
      </c>
      <c r="D508" s="41" t="str">
        <f t="shared" si="7"/>
        <v/>
      </c>
    </row>
    <row r="509" spans="3:4" x14ac:dyDescent="0.25">
      <c r="C509" s="41" t="str">
        <f>IF(A509=0,"",IF(IF(COUNTIF(Sec_Fiber!$A$19:$A$1018,B509)&gt;0,TRUE,FALSE)=FALSE,VLOOKUP(B509,SecDB,4,FALSE),VLOOKUP(VLOOKUP(B509,SecFiberDB,2,FALSE),SecDB,4,FALSE)))</f>
        <v/>
      </c>
      <c r="D509" s="41" t="str">
        <f t="shared" si="7"/>
        <v/>
      </c>
    </row>
    <row r="510" spans="3:4" x14ac:dyDescent="0.25">
      <c r="C510" s="41" t="str">
        <f>IF(A510=0,"",IF(IF(COUNTIF(Sec_Fiber!$A$19:$A$1018,B510)&gt;0,TRUE,FALSE)=FALSE,VLOOKUP(B510,SecDB,4,FALSE),VLOOKUP(VLOOKUP(B510,SecFiberDB,2,FALSE),SecDB,4,FALSE)))</f>
        <v/>
      </c>
      <c r="D510" s="41" t="str">
        <f t="shared" si="7"/>
        <v/>
      </c>
    </row>
    <row r="511" spans="3:4" x14ac:dyDescent="0.25">
      <c r="C511" s="41" t="str">
        <f>IF(A511=0,"",IF(IF(COUNTIF(Sec_Fiber!$A$19:$A$1018,B511)&gt;0,TRUE,FALSE)=FALSE,VLOOKUP(B511,SecDB,4,FALSE),VLOOKUP(VLOOKUP(B511,SecFiberDB,2,FALSE),SecDB,4,FALSE)))</f>
        <v/>
      </c>
      <c r="D511" s="41" t="str">
        <f t="shared" si="7"/>
        <v/>
      </c>
    </row>
    <row r="512" spans="3:4" x14ac:dyDescent="0.25">
      <c r="C512" s="41" t="str">
        <f>IF(A512=0,"",IF(IF(COUNTIF(Sec_Fiber!$A$19:$A$1018,B512)&gt;0,TRUE,FALSE)=FALSE,VLOOKUP(B512,SecDB,4,FALSE),VLOOKUP(VLOOKUP(B512,SecFiberDB,2,FALSE),SecDB,4,FALSE)))</f>
        <v/>
      </c>
      <c r="D512" s="41" t="str">
        <f t="shared" si="7"/>
        <v/>
      </c>
    </row>
    <row r="513" spans="3:4" x14ac:dyDescent="0.25">
      <c r="C513" s="41" t="str">
        <f>IF(A513=0,"",IF(IF(COUNTIF(Sec_Fiber!$A$19:$A$1018,B513)&gt;0,TRUE,FALSE)=FALSE,VLOOKUP(B513,SecDB,4,FALSE),VLOOKUP(VLOOKUP(B513,SecFiberDB,2,FALSE),SecDB,4,FALSE)))</f>
        <v/>
      </c>
      <c r="D513" s="41" t="str">
        <f t="shared" si="7"/>
        <v/>
      </c>
    </row>
    <row r="514" spans="3:4" x14ac:dyDescent="0.25">
      <c r="C514" s="41" t="str">
        <f>IF(A514=0,"",IF(IF(COUNTIF(Sec_Fiber!$A$19:$A$1018,B514)&gt;0,TRUE,FALSE)=FALSE,VLOOKUP(B514,SecDB,4,FALSE),VLOOKUP(VLOOKUP(B514,SecFiberDB,2,FALSE),SecDB,4,FALSE)))</f>
        <v/>
      </c>
      <c r="D514" s="41" t="str">
        <f t="shared" si="7"/>
        <v/>
      </c>
    </row>
    <row r="515" spans="3:4" x14ac:dyDescent="0.25">
      <c r="C515" s="41" t="str">
        <f>IF(A515=0,"",IF(IF(COUNTIF(Sec_Fiber!$A$19:$A$1018,B515)&gt;0,TRUE,FALSE)=FALSE,VLOOKUP(B515,SecDB,4,FALSE),VLOOKUP(VLOOKUP(B515,SecFiberDB,2,FALSE),SecDB,4,FALSE)))</f>
        <v/>
      </c>
      <c r="D515" s="41" t="str">
        <f t="shared" si="7"/>
        <v/>
      </c>
    </row>
    <row r="516" spans="3:4" x14ac:dyDescent="0.25">
      <c r="C516" s="41" t="str">
        <f>IF(A516=0,"",IF(IF(COUNTIF(Sec_Fiber!$A$19:$A$1018,B516)&gt;0,TRUE,FALSE)=FALSE,VLOOKUP(B516,SecDB,4,FALSE),VLOOKUP(VLOOKUP(B516,SecFiberDB,2,FALSE),SecDB,4,FALSE)))</f>
        <v/>
      </c>
      <c r="D516" s="41" t="str">
        <f t="shared" si="7"/>
        <v/>
      </c>
    </row>
    <row r="517" spans="3:4" x14ac:dyDescent="0.25">
      <c r="C517" s="41" t="str">
        <f>IF(A517=0,"",IF(IF(COUNTIF(Sec_Fiber!$A$19:$A$1018,B517)&gt;0,TRUE,FALSE)=FALSE,VLOOKUP(B517,SecDB,4,FALSE),VLOOKUP(VLOOKUP(B517,SecFiberDB,2,FALSE),SecDB,4,FALSE)))</f>
        <v/>
      </c>
      <c r="D517" s="41" t="str">
        <f t="shared" si="7"/>
        <v/>
      </c>
    </row>
    <row r="518" spans="3:4" x14ac:dyDescent="0.25">
      <c r="C518" s="41" t="str">
        <f>IF(A518=0,"",IF(IF(COUNTIF(Sec_Fiber!$A$19:$A$1018,B518)&gt;0,TRUE,FALSE)=FALSE,VLOOKUP(B518,SecDB,4,FALSE),VLOOKUP(VLOOKUP(B518,SecFiberDB,2,FALSE),SecDB,4,FALSE)))</f>
        <v/>
      </c>
      <c r="D518" s="41" t="str">
        <f t="shared" si="7"/>
        <v/>
      </c>
    </row>
    <row r="519" spans="3:4" x14ac:dyDescent="0.25">
      <c r="C519" s="41" t="str">
        <f>IF(A519=0,"",IF(IF(COUNTIF(Sec_Fiber!$A$19:$A$1018,B519)&gt;0,TRUE,FALSE)=FALSE,VLOOKUP(B519,SecDB,4,FALSE),VLOOKUP(VLOOKUP(B519,SecFiberDB,2,FALSE),SecDB,4,FALSE)))</f>
        <v/>
      </c>
      <c r="D519" s="41" t="str">
        <f t="shared" si="7"/>
        <v/>
      </c>
    </row>
    <row r="520" spans="3:4" x14ac:dyDescent="0.25">
      <c r="C520" s="41" t="str">
        <f>IF(A520=0,"",IF(IF(COUNTIF(Sec_Fiber!$A$19:$A$1018,B520)&gt;0,TRUE,FALSE)=FALSE,VLOOKUP(B520,SecDB,4,FALSE),VLOOKUP(VLOOKUP(B520,SecFiberDB,2,FALSE),SecDB,4,FALSE)))</f>
        <v/>
      </c>
      <c r="D520" s="41" t="str">
        <f t="shared" si="7"/>
        <v/>
      </c>
    </row>
    <row r="521" spans="3:4" x14ac:dyDescent="0.25">
      <c r="C521" s="41" t="str">
        <f>IF(A521=0,"",IF(IF(COUNTIF(Sec_Fiber!$A$19:$A$1018,B521)&gt;0,TRUE,FALSE)=FALSE,VLOOKUP(B521,SecDB,4,FALSE),VLOOKUP(VLOOKUP(B521,SecFiberDB,2,FALSE),SecDB,4,FALSE)))</f>
        <v/>
      </c>
      <c r="D521" s="41" t="str">
        <f t="shared" ref="D521:D584" si="8">IF(A521=0,"","Aggregator")</f>
        <v/>
      </c>
    </row>
    <row r="522" spans="3:4" x14ac:dyDescent="0.25">
      <c r="C522" s="41" t="str">
        <f>IF(A522=0,"",IF(IF(COUNTIF(Sec_Fiber!$A$19:$A$1018,B522)&gt;0,TRUE,FALSE)=FALSE,VLOOKUP(B522,SecDB,4,FALSE),VLOOKUP(VLOOKUP(B522,SecFiberDB,2,FALSE),SecDB,4,FALSE)))</f>
        <v/>
      </c>
      <c r="D522" s="41" t="str">
        <f t="shared" si="8"/>
        <v/>
      </c>
    </row>
    <row r="523" spans="3:4" x14ac:dyDescent="0.25">
      <c r="C523" s="41" t="str">
        <f>IF(A523=0,"",IF(IF(COUNTIF(Sec_Fiber!$A$19:$A$1018,B523)&gt;0,TRUE,FALSE)=FALSE,VLOOKUP(B523,SecDB,4,FALSE),VLOOKUP(VLOOKUP(B523,SecFiberDB,2,FALSE),SecDB,4,FALSE)))</f>
        <v/>
      </c>
      <c r="D523" s="41" t="str">
        <f t="shared" si="8"/>
        <v/>
      </c>
    </row>
    <row r="524" spans="3:4" x14ac:dyDescent="0.25">
      <c r="C524" s="41" t="str">
        <f>IF(A524=0,"",IF(IF(COUNTIF(Sec_Fiber!$A$19:$A$1018,B524)&gt;0,TRUE,FALSE)=FALSE,VLOOKUP(B524,SecDB,4,FALSE),VLOOKUP(VLOOKUP(B524,SecFiberDB,2,FALSE),SecDB,4,FALSE)))</f>
        <v/>
      </c>
      <c r="D524" s="41" t="str">
        <f t="shared" si="8"/>
        <v/>
      </c>
    </row>
    <row r="525" spans="3:4" x14ac:dyDescent="0.25">
      <c r="C525" s="41" t="str">
        <f>IF(A525=0,"",IF(IF(COUNTIF(Sec_Fiber!$A$19:$A$1018,B525)&gt;0,TRUE,FALSE)=FALSE,VLOOKUP(B525,SecDB,4,FALSE),VLOOKUP(VLOOKUP(B525,SecFiberDB,2,FALSE),SecDB,4,FALSE)))</f>
        <v/>
      </c>
      <c r="D525" s="41" t="str">
        <f t="shared" si="8"/>
        <v/>
      </c>
    </row>
    <row r="526" spans="3:4" x14ac:dyDescent="0.25">
      <c r="C526" s="41" t="str">
        <f>IF(A526=0,"",IF(IF(COUNTIF(Sec_Fiber!$A$19:$A$1018,B526)&gt;0,TRUE,FALSE)=FALSE,VLOOKUP(B526,SecDB,4,FALSE),VLOOKUP(VLOOKUP(B526,SecFiberDB,2,FALSE),SecDB,4,FALSE)))</f>
        <v/>
      </c>
      <c r="D526" s="41" t="str">
        <f t="shared" si="8"/>
        <v/>
      </c>
    </row>
    <row r="527" spans="3:4" x14ac:dyDescent="0.25">
      <c r="C527" s="41" t="str">
        <f>IF(A527=0,"",IF(IF(COUNTIF(Sec_Fiber!$A$19:$A$1018,B527)&gt;0,TRUE,FALSE)=FALSE,VLOOKUP(B527,SecDB,4,FALSE),VLOOKUP(VLOOKUP(B527,SecFiberDB,2,FALSE),SecDB,4,FALSE)))</f>
        <v/>
      </c>
      <c r="D527" s="41" t="str">
        <f t="shared" si="8"/>
        <v/>
      </c>
    </row>
    <row r="528" spans="3:4" x14ac:dyDescent="0.25">
      <c r="C528" s="41" t="str">
        <f>IF(A528=0,"",IF(IF(COUNTIF(Sec_Fiber!$A$19:$A$1018,B528)&gt;0,TRUE,FALSE)=FALSE,VLOOKUP(B528,SecDB,4,FALSE),VLOOKUP(VLOOKUP(B528,SecFiberDB,2,FALSE),SecDB,4,FALSE)))</f>
        <v/>
      </c>
      <c r="D528" s="41" t="str">
        <f t="shared" si="8"/>
        <v/>
      </c>
    </row>
    <row r="529" spans="3:4" x14ac:dyDescent="0.25">
      <c r="C529" s="41" t="str">
        <f>IF(A529=0,"",IF(IF(COUNTIF(Sec_Fiber!$A$19:$A$1018,B529)&gt;0,TRUE,FALSE)=FALSE,VLOOKUP(B529,SecDB,4,FALSE),VLOOKUP(VLOOKUP(B529,SecFiberDB,2,FALSE),SecDB,4,FALSE)))</f>
        <v/>
      </c>
      <c r="D529" s="41" t="str">
        <f t="shared" si="8"/>
        <v/>
      </c>
    </row>
    <row r="530" spans="3:4" x14ac:dyDescent="0.25">
      <c r="C530" s="41" t="str">
        <f>IF(A530=0,"",IF(IF(COUNTIF(Sec_Fiber!$A$19:$A$1018,B530)&gt;0,TRUE,FALSE)=FALSE,VLOOKUP(B530,SecDB,4,FALSE),VLOOKUP(VLOOKUP(B530,SecFiberDB,2,FALSE),SecDB,4,FALSE)))</f>
        <v/>
      </c>
      <c r="D530" s="41" t="str">
        <f t="shared" si="8"/>
        <v/>
      </c>
    </row>
    <row r="531" spans="3:4" x14ac:dyDescent="0.25">
      <c r="C531" s="41" t="str">
        <f>IF(A531=0,"",IF(IF(COUNTIF(Sec_Fiber!$A$19:$A$1018,B531)&gt;0,TRUE,FALSE)=FALSE,VLOOKUP(B531,SecDB,4,FALSE),VLOOKUP(VLOOKUP(B531,SecFiberDB,2,FALSE),SecDB,4,FALSE)))</f>
        <v/>
      </c>
      <c r="D531" s="41" t="str">
        <f t="shared" si="8"/>
        <v/>
      </c>
    </row>
    <row r="532" spans="3:4" x14ac:dyDescent="0.25">
      <c r="C532" s="41" t="str">
        <f>IF(A532=0,"",IF(IF(COUNTIF(Sec_Fiber!$A$19:$A$1018,B532)&gt;0,TRUE,FALSE)=FALSE,VLOOKUP(B532,SecDB,4,FALSE),VLOOKUP(VLOOKUP(B532,SecFiberDB,2,FALSE),SecDB,4,FALSE)))</f>
        <v/>
      </c>
      <c r="D532" s="41" t="str">
        <f t="shared" si="8"/>
        <v/>
      </c>
    </row>
    <row r="533" spans="3:4" x14ac:dyDescent="0.25">
      <c r="C533" s="41" t="str">
        <f>IF(A533=0,"",IF(IF(COUNTIF(Sec_Fiber!$A$19:$A$1018,B533)&gt;0,TRUE,FALSE)=FALSE,VLOOKUP(B533,SecDB,4,FALSE),VLOOKUP(VLOOKUP(B533,SecFiberDB,2,FALSE),SecDB,4,FALSE)))</f>
        <v/>
      </c>
      <c r="D533" s="41" t="str">
        <f t="shared" si="8"/>
        <v/>
      </c>
    </row>
    <row r="534" spans="3:4" x14ac:dyDescent="0.25">
      <c r="C534" s="41" t="str">
        <f>IF(A534=0,"",IF(IF(COUNTIF(Sec_Fiber!$A$19:$A$1018,B534)&gt;0,TRUE,FALSE)=FALSE,VLOOKUP(B534,SecDB,4,FALSE),VLOOKUP(VLOOKUP(B534,SecFiberDB,2,FALSE),SecDB,4,FALSE)))</f>
        <v/>
      </c>
      <c r="D534" s="41" t="str">
        <f t="shared" si="8"/>
        <v/>
      </c>
    </row>
    <row r="535" spans="3:4" x14ac:dyDescent="0.25">
      <c r="C535" s="41" t="str">
        <f>IF(A535=0,"",IF(IF(COUNTIF(Sec_Fiber!$A$19:$A$1018,B535)&gt;0,TRUE,FALSE)=FALSE,VLOOKUP(B535,SecDB,4,FALSE),VLOOKUP(VLOOKUP(B535,SecFiberDB,2,FALSE),SecDB,4,FALSE)))</f>
        <v/>
      </c>
      <c r="D535" s="41" t="str">
        <f t="shared" si="8"/>
        <v/>
      </c>
    </row>
    <row r="536" spans="3:4" x14ac:dyDescent="0.25">
      <c r="C536" s="41" t="str">
        <f>IF(A536=0,"",IF(IF(COUNTIF(Sec_Fiber!$A$19:$A$1018,B536)&gt;0,TRUE,FALSE)=FALSE,VLOOKUP(B536,SecDB,4,FALSE),VLOOKUP(VLOOKUP(B536,SecFiberDB,2,FALSE),SecDB,4,FALSE)))</f>
        <v/>
      </c>
      <c r="D536" s="41" t="str">
        <f t="shared" si="8"/>
        <v/>
      </c>
    </row>
    <row r="537" spans="3:4" x14ac:dyDescent="0.25">
      <c r="C537" s="41" t="str">
        <f>IF(A537=0,"",IF(IF(COUNTIF(Sec_Fiber!$A$19:$A$1018,B537)&gt;0,TRUE,FALSE)=FALSE,VLOOKUP(B537,SecDB,4,FALSE),VLOOKUP(VLOOKUP(B537,SecFiberDB,2,FALSE),SecDB,4,FALSE)))</f>
        <v/>
      </c>
      <c r="D537" s="41" t="str">
        <f t="shared" si="8"/>
        <v/>
      </c>
    </row>
    <row r="538" spans="3:4" x14ac:dyDescent="0.25">
      <c r="C538" s="41" t="str">
        <f>IF(A538=0,"",IF(IF(COUNTIF(Sec_Fiber!$A$19:$A$1018,B538)&gt;0,TRUE,FALSE)=FALSE,VLOOKUP(B538,SecDB,4,FALSE),VLOOKUP(VLOOKUP(B538,SecFiberDB,2,FALSE),SecDB,4,FALSE)))</f>
        <v/>
      </c>
      <c r="D538" s="41" t="str">
        <f t="shared" si="8"/>
        <v/>
      </c>
    </row>
    <row r="539" spans="3:4" x14ac:dyDescent="0.25">
      <c r="C539" s="41" t="str">
        <f>IF(A539=0,"",IF(IF(COUNTIF(Sec_Fiber!$A$19:$A$1018,B539)&gt;0,TRUE,FALSE)=FALSE,VLOOKUP(B539,SecDB,4,FALSE),VLOOKUP(VLOOKUP(B539,SecFiberDB,2,FALSE),SecDB,4,FALSE)))</f>
        <v/>
      </c>
      <c r="D539" s="41" t="str">
        <f t="shared" si="8"/>
        <v/>
      </c>
    </row>
    <row r="540" spans="3:4" x14ac:dyDescent="0.25">
      <c r="C540" s="41" t="str">
        <f>IF(A540=0,"",IF(IF(COUNTIF(Sec_Fiber!$A$19:$A$1018,B540)&gt;0,TRUE,FALSE)=FALSE,VLOOKUP(B540,SecDB,4,FALSE),VLOOKUP(VLOOKUP(B540,SecFiberDB,2,FALSE),SecDB,4,FALSE)))</f>
        <v/>
      </c>
      <c r="D540" s="41" t="str">
        <f t="shared" si="8"/>
        <v/>
      </c>
    </row>
    <row r="541" spans="3:4" x14ac:dyDescent="0.25">
      <c r="C541" s="41" t="str">
        <f>IF(A541=0,"",IF(IF(COUNTIF(Sec_Fiber!$A$19:$A$1018,B541)&gt;0,TRUE,FALSE)=FALSE,VLOOKUP(B541,SecDB,4,FALSE),VLOOKUP(VLOOKUP(B541,SecFiberDB,2,FALSE),SecDB,4,FALSE)))</f>
        <v/>
      </c>
      <c r="D541" s="41" t="str">
        <f t="shared" si="8"/>
        <v/>
      </c>
    </row>
    <row r="542" spans="3:4" x14ac:dyDescent="0.25">
      <c r="C542" s="41" t="str">
        <f>IF(A542=0,"",IF(IF(COUNTIF(Sec_Fiber!$A$19:$A$1018,B542)&gt;0,TRUE,FALSE)=FALSE,VLOOKUP(B542,SecDB,4,FALSE),VLOOKUP(VLOOKUP(B542,SecFiberDB,2,FALSE),SecDB,4,FALSE)))</f>
        <v/>
      </c>
      <c r="D542" s="41" t="str">
        <f t="shared" si="8"/>
        <v/>
      </c>
    </row>
    <row r="543" spans="3:4" x14ac:dyDescent="0.25">
      <c r="C543" s="41" t="str">
        <f>IF(A543=0,"",IF(IF(COUNTIF(Sec_Fiber!$A$19:$A$1018,B543)&gt;0,TRUE,FALSE)=FALSE,VLOOKUP(B543,SecDB,4,FALSE),VLOOKUP(VLOOKUP(B543,SecFiberDB,2,FALSE),SecDB,4,FALSE)))</f>
        <v/>
      </c>
      <c r="D543" s="41" t="str">
        <f t="shared" si="8"/>
        <v/>
      </c>
    </row>
    <row r="544" spans="3:4" x14ac:dyDescent="0.25">
      <c r="C544" s="41" t="str">
        <f>IF(A544=0,"",IF(IF(COUNTIF(Sec_Fiber!$A$19:$A$1018,B544)&gt;0,TRUE,FALSE)=FALSE,VLOOKUP(B544,SecDB,4,FALSE),VLOOKUP(VLOOKUP(B544,SecFiberDB,2,FALSE),SecDB,4,FALSE)))</f>
        <v/>
      </c>
      <c r="D544" s="41" t="str">
        <f t="shared" si="8"/>
        <v/>
      </c>
    </row>
    <row r="545" spans="3:4" x14ac:dyDescent="0.25">
      <c r="C545" s="41" t="str">
        <f>IF(A545=0,"",IF(IF(COUNTIF(Sec_Fiber!$A$19:$A$1018,B545)&gt;0,TRUE,FALSE)=FALSE,VLOOKUP(B545,SecDB,4,FALSE),VLOOKUP(VLOOKUP(B545,SecFiberDB,2,FALSE),SecDB,4,FALSE)))</f>
        <v/>
      </c>
      <c r="D545" s="41" t="str">
        <f t="shared" si="8"/>
        <v/>
      </c>
    </row>
    <row r="546" spans="3:4" x14ac:dyDescent="0.25">
      <c r="C546" s="41" t="str">
        <f>IF(A546=0,"",IF(IF(COUNTIF(Sec_Fiber!$A$19:$A$1018,B546)&gt;0,TRUE,FALSE)=FALSE,VLOOKUP(B546,SecDB,4,FALSE),VLOOKUP(VLOOKUP(B546,SecFiberDB,2,FALSE),SecDB,4,FALSE)))</f>
        <v/>
      </c>
      <c r="D546" s="41" t="str">
        <f t="shared" si="8"/>
        <v/>
      </c>
    </row>
    <row r="547" spans="3:4" x14ac:dyDescent="0.25">
      <c r="C547" s="41" t="str">
        <f>IF(A547=0,"",IF(IF(COUNTIF(Sec_Fiber!$A$19:$A$1018,B547)&gt;0,TRUE,FALSE)=FALSE,VLOOKUP(B547,SecDB,4,FALSE),VLOOKUP(VLOOKUP(B547,SecFiberDB,2,FALSE),SecDB,4,FALSE)))</f>
        <v/>
      </c>
      <c r="D547" s="41" t="str">
        <f t="shared" si="8"/>
        <v/>
      </c>
    </row>
    <row r="548" spans="3:4" x14ac:dyDescent="0.25">
      <c r="C548" s="41" t="str">
        <f>IF(A548=0,"",IF(IF(COUNTIF(Sec_Fiber!$A$19:$A$1018,B548)&gt;0,TRUE,FALSE)=FALSE,VLOOKUP(B548,SecDB,4,FALSE),VLOOKUP(VLOOKUP(B548,SecFiberDB,2,FALSE),SecDB,4,FALSE)))</f>
        <v/>
      </c>
      <c r="D548" s="41" t="str">
        <f t="shared" si="8"/>
        <v/>
      </c>
    </row>
    <row r="549" spans="3:4" x14ac:dyDescent="0.25">
      <c r="C549" s="41" t="str">
        <f>IF(A549=0,"",IF(IF(COUNTIF(Sec_Fiber!$A$19:$A$1018,B549)&gt;0,TRUE,FALSE)=FALSE,VLOOKUP(B549,SecDB,4,FALSE),VLOOKUP(VLOOKUP(B549,SecFiberDB,2,FALSE),SecDB,4,FALSE)))</f>
        <v/>
      </c>
      <c r="D549" s="41" t="str">
        <f t="shared" si="8"/>
        <v/>
      </c>
    </row>
    <row r="550" spans="3:4" x14ac:dyDescent="0.25">
      <c r="C550" s="41" t="str">
        <f>IF(A550=0,"",IF(IF(COUNTIF(Sec_Fiber!$A$19:$A$1018,B550)&gt;0,TRUE,FALSE)=FALSE,VLOOKUP(B550,SecDB,4,FALSE),VLOOKUP(VLOOKUP(B550,SecFiberDB,2,FALSE),SecDB,4,FALSE)))</f>
        <v/>
      </c>
      <c r="D550" s="41" t="str">
        <f t="shared" si="8"/>
        <v/>
      </c>
    </row>
    <row r="551" spans="3:4" x14ac:dyDescent="0.25">
      <c r="C551" s="41" t="str">
        <f>IF(A551=0,"",IF(IF(COUNTIF(Sec_Fiber!$A$19:$A$1018,B551)&gt;0,TRUE,FALSE)=FALSE,VLOOKUP(B551,SecDB,4,FALSE),VLOOKUP(VLOOKUP(B551,SecFiberDB,2,FALSE),SecDB,4,FALSE)))</f>
        <v/>
      </c>
      <c r="D551" s="41" t="str">
        <f t="shared" si="8"/>
        <v/>
      </c>
    </row>
    <row r="552" spans="3:4" x14ac:dyDescent="0.25">
      <c r="C552" s="41" t="str">
        <f>IF(A552=0,"",IF(IF(COUNTIF(Sec_Fiber!$A$19:$A$1018,B552)&gt;0,TRUE,FALSE)=FALSE,VLOOKUP(B552,SecDB,4,FALSE),VLOOKUP(VLOOKUP(B552,SecFiberDB,2,FALSE),SecDB,4,FALSE)))</f>
        <v/>
      </c>
      <c r="D552" s="41" t="str">
        <f t="shared" si="8"/>
        <v/>
      </c>
    </row>
    <row r="553" spans="3:4" x14ac:dyDescent="0.25">
      <c r="C553" s="41" t="str">
        <f>IF(A553=0,"",IF(IF(COUNTIF(Sec_Fiber!$A$19:$A$1018,B553)&gt;0,TRUE,FALSE)=FALSE,VLOOKUP(B553,SecDB,4,FALSE),VLOOKUP(VLOOKUP(B553,SecFiberDB,2,FALSE),SecDB,4,FALSE)))</f>
        <v/>
      </c>
      <c r="D553" s="41" t="str">
        <f t="shared" si="8"/>
        <v/>
      </c>
    </row>
    <row r="554" spans="3:4" x14ac:dyDescent="0.25">
      <c r="C554" s="41" t="str">
        <f>IF(A554=0,"",IF(IF(COUNTIF(Sec_Fiber!$A$19:$A$1018,B554)&gt;0,TRUE,FALSE)=FALSE,VLOOKUP(B554,SecDB,4,FALSE),VLOOKUP(VLOOKUP(B554,SecFiberDB,2,FALSE),SecDB,4,FALSE)))</f>
        <v/>
      </c>
      <c r="D554" s="41" t="str">
        <f t="shared" si="8"/>
        <v/>
      </c>
    </row>
    <row r="555" spans="3:4" x14ac:dyDescent="0.25">
      <c r="C555" s="41" t="str">
        <f>IF(A555=0,"",IF(IF(COUNTIF(Sec_Fiber!$A$19:$A$1018,B555)&gt;0,TRUE,FALSE)=FALSE,VLOOKUP(B555,SecDB,4,FALSE),VLOOKUP(VLOOKUP(B555,SecFiberDB,2,FALSE),SecDB,4,FALSE)))</f>
        <v/>
      </c>
      <c r="D555" s="41" t="str">
        <f t="shared" si="8"/>
        <v/>
      </c>
    </row>
    <row r="556" spans="3:4" x14ac:dyDescent="0.25">
      <c r="C556" s="41" t="str">
        <f>IF(A556=0,"",IF(IF(COUNTIF(Sec_Fiber!$A$19:$A$1018,B556)&gt;0,TRUE,FALSE)=FALSE,VLOOKUP(B556,SecDB,4,FALSE),VLOOKUP(VLOOKUP(B556,SecFiberDB,2,FALSE),SecDB,4,FALSE)))</f>
        <v/>
      </c>
      <c r="D556" s="41" t="str">
        <f t="shared" si="8"/>
        <v/>
      </c>
    </row>
    <row r="557" spans="3:4" x14ac:dyDescent="0.25">
      <c r="C557" s="41" t="str">
        <f>IF(A557=0,"",IF(IF(COUNTIF(Sec_Fiber!$A$19:$A$1018,B557)&gt;0,TRUE,FALSE)=FALSE,VLOOKUP(B557,SecDB,4,FALSE),VLOOKUP(VLOOKUP(B557,SecFiberDB,2,FALSE),SecDB,4,FALSE)))</f>
        <v/>
      </c>
      <c r="D557" s="41" t="str">
        <f t="shared" si="8"/>
        <v/>
      </c>
    </row>
    <row r="558" spans="3:4" x14ac:dyDescent="0.25">
      <c r="C558" s="41" t="str">
        <f>IF(A558=0,"",IF(IF(COUNTIF(Sec_Fiber!$A$19:$A$1018,B558)&gt;0,TRUE,FALSE)=FALSE,VLOOKUP(B558,SecDB,4,FALSE),VLOOKUP(VLOOKUP(B558,SecFiberDB,2,FALSE),SecDB,4,FALSE)))</f>
        <v/>
      </c>
      <c r="D558" s="41" t="str">
        <f t="shared" si="8"/>
        <v/>
      </c>
    </row>
    <row r="559" spans="3:4" x14ac:dyDescent="0.25">
      <c r="C559" s="41" t="str">
        <f>IF(A559=0,"",IF(IF(COUNTIF(Sec_Fiber!$A$19:$A$1018,B559)&gt;0,TRUE,FALSE)=FALSE,VLOOKUP(B559,SecDB,4,FALSE),VLOOKUP(VLOOKUP(B559,SecFiberDB,2,FALSE),SecDB,4,FALSE)))</f>
        <v/>
      </c>
      <c r="D559" s="41" t="str">
        <f t="shared" si="8"/>
        <v/>
      </c>
    </row>
    <row r="560" spans="3:4" x14ac:dyDescent="0.25">
      <c r="C560" s="41" t="str">
        <f>IF(A560=0,"",IF(IF(COUNTIF(Sec_Fiber!$A$19:$A$1018,B560)&gt;0,TRUE,FALSE)=FALSE,VLOOKUP(B560,SecDB,4,FALSE),VLOOKUP(VLOOKUP(B560,SecFiberDB,2,FALSE),SecDB,4,FALSE)))</f>
        <v/>
      </c>
      <c r="D560" s="41" t="str">
        <f t="shared" si="8"/>
        <v/>
      </c>
    </row>
    <row r="561" spans="3:4" x14ac:dyDescent="0.25">
      <c r="C561" s="41" t="str">
        <f>IF(A561=0,"",IF(IF(COUNTIF(Sec_Fiber!$A$19:$A$1018,B561)&gt;0,TRUE,FALSE)=FALSE,VLOOKUP(B561,SecDB,4,FALSE),VLOOKUP(VLOOKUP(B561,SecFiberDB,2,FALSE),SecDB,4,FALSE)))</f>
        <v/>
      </c>
      <c r="D561" s="41" t="str">
        <f t="shared" si="8"/>
        <v/>
      </c>
    </row>
    <row r="562" spans="3:4" x14ac:dyDescent="0.25">
      <c r="C562" s="41" t="str">
        <f>IF(A562=0,"",IF(IF(COUNTIF(Sec_Fiber!$A$19:$A$1018,B562)&gt;0,TRUE,FALSE)=FALSE,VLOOKUP(B562,SecDB,4,FALSE),VLOOKUP(VLOOKUP(B562,SecFiberDB,2,FALSE),SecDB,4,FALSE)))</f>
        <v/>
      </c>
      <c r="D562" s="41" t="str">
        <f t="shared" si="8"/>
        <v/>
      </c>
    </row>
    <row r="563" spans="3:4" x14ac:dyDescent="0.25">
      <c r="C563" s="41" t="str">
        <f>IF(A563=0,"",IF(IF(COUNTIF(Sec_Fiber!$A$19:$A$1018,B563)&gt;0,TRUE,FALSE)=FALSE,VLOOKUP(B563,SecDB,4,FALSE),VLOOKUP(VLOOKUP(B563,SecFiberDB,2,FALSE),SecDB,4,FALSE)))</f>
        <v/>
      </c>
      <c r="D563" s="41" t="str">
        <f t="shared" si="8"/>
        <v/>
      </c>
    </row>
    <row r="564" spans="3:4" x14ac:dyDescent="0.25">
      <c r="C564" s="41" t="str">
        <f>IF(A564=0,"",IF(IF(COUNTIF(Sec_Fiber!$A$19:$A$1018,B564)&gt;0,TRUE,FALSE)=FALSE,VLOOKUP(B564,SecDB,4,FALSE),VLOOKUP(VLOOKUP(B564,SecFiberDB,2,FALSE),SecDB,4,FALSE)))</f>
        <v/>
      </c>
      <c r="D564" s="41" t="str">
        <f t="shared" si="8"/>
        <v/>
      </c>
    </row>
    <row r="565" spans="3:4" x14ac:dyDescent="0.25">
      <c r="C565" s="41" t="str">
        <f>IF(A565=0,"",IF(IF(COUNTIF(Sec_Fiber!$A$19:$A$1018,B565)&gt;0,TRUE,FALSE)=FALSE,VLOOKUP(B565,SecDB,4,FALSE),VLOOKUP(VLOOKUP(B565,SecFiberDB,2,FALSE),SecDB,4,FALSE)))</f>
        <v/>
      </c>
      <c r="D565" s="41" t="str">
        <f t="shared" si="8"/>
        <v/>
      </c>
    </row>
    <row r="566" spans="3:4" x14ac:dyDescent="0.25">
      <c r="C566" s="41" t="str">
        <f>IF(A566=0,"",IF(IF(COUNTIF(Sec_Fiber!$A$19:$A$1018,B566)&gt;0,TRUE,FALSE)=FALSE,VLOOKUP(B566,SecDB,4,FALSE),VLOOKUP(VLOOKUP(B566,SecFiberDB,2,FALSE),SecDB,4,FALSE)))</f>
        <v/>
      </c>
      <c r="D566" s="41" t="str">
        <f t="shared" si="8"/>
        <v/>
      </c>
    </row>
    <row r="567" spans="3:4" x14ac:dyDescent="0.25">
      <c r="C567" s="41" t="str">
        <f>IF(A567=0,"",IF(IF(COUNTIF(Sec_Fiber!$A$19:$A$1018,B567)&gt;0,TRUE,FALSE)=FALSE,VLOOKUP(B567,SecDB,4,FALSE),VLOOKUP(VLOOKUP(B567,SecFiberDB,2,FALSE),SecDB,4,FALSE)))</f>
        <v/>
      </c>
      <c r="D567" s="41" t="str">
        <f t="shared" si="8"/>
        <v/>
      </c>
    </row>
    <row r="568" spans="3:4" x14ac:dyDescent="0.25">
      <c r="C568" s="41" t="str">
        <f>IF(A568=0,"",IF(IF(COUNTIF(Sec_Fiber!$A$19:$A$1018,B568)&gt;0,TRUE,FALSE)=FALSE,VLOOKUP(B568,SecDB,4,FALSE),VLOOKUP(VLOOKUP(B568,SecFiberDB,2,FALSE),SecDB,4,FALSE)))</f>
        <v/>
      </c>
      <c r="D568" s="41" t="str">
        <f t="shared" si="8"/>
        <v/>
      </c>
    </row>
    <row r="569" spans="3:4" x14ac:dyDescent="0.25">
      <c r="C569" s="41" t="str">
        <f>IF(A569=0,"",IF(IF(COUNTIF(Sec_Fiber!$A$19:$A$1018,B569)&gt;0,TRUE,FALSE)=FALSE,VLOOKUP(B569,SecDB,4,FALSE),VLOOKUP(VLOOKUP(B569,SecFiberDB,2,FALSE),SecDB,4,FALSE)))</f>
        <v/>
      </c>
      <c r="D569" s="41" t="str">
        <f t="shared" si="8"/>
        <v/>
      </c>
    </row>
    <row r="570" spans="3:4" x14ac:dyDescent="0.25">
      <c r="C570" s="41" t="str">
        <f>IF(A570=0,"",IF(IF(COUNTIF(Sec_Fiber!$A$19:$A$1018,B570)&gt;0,TRUE,FALSE)=FALSE,VLOOKUP(B570,SecDB,4,FALSE),VLOOKUP(VLOOKUP(B570,SecFiberDB,2,FALSE),SecDB,4,FALSE)))</f>
        <v/>
      </c>
      <c r="D570" s="41" t="str">
        <f t="shared" si="8"/>
        <v/>
      </c>
    </row>
    <row r="571" spans="3:4" x14ac:dyDescent="0.25">
      <c r="C571" s="41" t="str">
        <f>IF(A571=0,"",IF(IF(COUNTIF(Sec_Fiber!$A$19:$A$1018,B571)&gt;0,TRUE,FALSE)=FALSE,VLOOKUP(B571,SecDB,4,FALSE),VLOOKUP(VLOOKUP(B571,SecFiberDB,2,FALSE),SecDB,4,FALSE)))</f>
        <v/>
      </c>
      <c r="D571" s="41" t="str">
        <f t="shared" si="8"/>
        <v/>
      </c>
    </row>
    <row r="572" spans="3:4" x14ac:dyDescent="0.25">
      <c r="C572" s="41" t="str">
        <f>IF(A572=0,"",IF(IF(COUNTIF(Sec_Fiber!$A$19:$A$1018,B572)&gt;0,TRUE,FALSE)=FALSE,VLOOKUP(B572,SecDB,4,FALSE),VLOOKUP(VLOOKUP(B572,SecFiberDB,2,FALSE),SecDB,4,FALSE)))</f>
        <v/>
      </c>
      <c r="D572" s="41" t="str">
        <f t="shared" si="8"/>
        <v/>
      </c>
    </row>
    <row r="573" spans="3:4" x14ac:dyDescent="0.25">
      <c r="C573" s="41" t="str">
        <f>IF(A573=0,"",IF(IF(COUNTIF(Sec_Fiber!$A$19:$A$1018,B573)&gt;0,TRUE,FALSE)=FALSE,VLOOKUP(B573,SecDB,4,FALSE),VLOOKUP(VLOOKUP(B573,SecFiberDB,2,FALSE),SecDB,4,FALSE)))</f>
        <v/>
      </c>
      <c r="D573" s="41" t="str">
        <f t="shared" si="8"/>
        <v/>
      </c>
    </row>
    <row r="574" spans="3:4" x14ac:dyDescent="0.25">
      <c r="C574" s="41" t="str">
        <f>IF(A574=0,"",IF(IF(COUNTIF(Sec_Fiber!$A$19:$A$1018,B574)&gt;0,TRUE,FALSE)=FALSE,VLOOKUP(B574,SecDB,4,FALSE),VLOOKUP(VLOOKUP(B574,SecFiberDB,2,FALSE),SecDB,4,FALSE)))</f>
        <v/>
      </c>
      <c r="D574" s="41" t="str">
        <f t="shared" si="8"/>
        <v/>
      </c>
    </row>
    <row r="575" spans="3:4" x14ac:dyDescent="0.25">
      <c r="C575" s="41" t="str">
        <f>IF(A575=0,"",IF(IF(COUNTIF(Sec_Fiber!$A$19:$A$1018,B575)&gt;0,TRUE,FALSE)=FALSE,VLOOKUP(B575,SecDB,4,FALSE),VLOOKUP(VLOOKUP(B575,SecFiberDB,2,FALSE),SecDB,4,FALSE)))</f>
        <v/>
      </c>
      <c r="D575" s="41" t="str">
        <f t="shared" si="8"/>
        <v/>
      </c>
    </row>
    <row r="576" spans="3:4" x14ac:dyDescent="0.25">
      <c r="C576" s="41" t="str">
        <f>IF(A576=0,"",IF(IF(COUNTIF(Sec_Fiber!$A$19:$A$1018,B576)&gt;0,TRUE,FALSE)=FALSE,VLOOKUP(B576,SecDB,4,FALSE),VLOOKUP(VLOOKUP(B576,SecFiberDB,2,FALSE),SecDB,4,FALSE)))</f>
        <v/>
      </c>
      <c r="D576" s="41" t="str">
        <f t="shared" si="8"/>
        <v/>
      </c>
    </row>
    <row r="577" spans="3:4" x14ac:dyDescent="0.25">
      <c r="C577" s="41" t="str">
        <f>IF(A577=0,"",IF(IF(COUNTIF(Sec_Fiber!$A$19:$A$1018,B577)&gt;0,TRUE,FALSE)=FALSE,VLOOKUP(B577,SecDB,4,FALSE),VLOOKUP(VLOOKUP(B577,SecFiberDB,2,FALSE),SecDB,4,FALSE)))</f>
        <v/>
      </c>
      <c r="D577" s="41" t="str">
        <f t="shared" si="8"/>
        <v/>
      </c>
    </row>
    <row r="578" spans="3:4" x14ac:dyDescent="0.25">
      <c r="C578" s="41" t="str">
        <f>IF(A578=0,"",IF(IF(COUNTIF(Sec_Fiber!$A$19:$A$1018,B578)&gt;0,TRUE,FALSE)=FALSE,VLOOKUP(B578,SecDB,4,FALSE),VLOOKUP(VLOOKUP(B578,SecFiberDB,2,FALSE),SecDB,4,FALSE)))</f>
        <v/>
      </c>
      <c r="D578" s="41" t="str">
        <f t="shared" si="8"/>
        <v/>
      </c>
    </row>
    <row r="579" spans="3:4" x14ac:dyDescent="0.25">
      <c r="C579" s="41" t="str">
        <f>IF(A579=0,"",IF(IF(COUNTIF(Sec_Fiber!$A$19:$A$1018,B579)&gt;0,TRUE,FALSE)=FALSE,VLOOKUP(B579,SecDB,4,FALSE),VLOOKUP(VLOOKUP(B579,SecFiberDB,2,FALSE),SecDB,4,FALSE)))</f>
        <v/>
      </c>
      <c r="D579" s="41" t="str">
        <f t="shared" si="8"/>
        <v/>
      </c>
    </row>
    <row r="580" spans="3:4" x14ac:dyDescent="0.25">
      <c r="C580" s="41" t="str">
        <f>IF(A580=0,"",IF(IF(COUNTIF(Sec_Fiber!$A$19:$A$1018,B580)&gt;0,TRUE,FALSE)=FALSE,VLOOKUP(B580,SecDB,4,FALSE),VLOOKUP(VLOOKUP(B580,SecFiberDB,2,FALSE),SecDB,4,FALSE)))</f>
        <v/>
      </c>
      <c r="D580" s="41" t="str">
        <f t="shared" si="8"/>
        <v/>
      </c>
    </row>
    <row r="581" spans="3:4" x14ac:dyDescent="0.25">
      <c r="C581" s="41" t="str">
        <f>IF(A581=0,"",IF(IF(COUNTIF(Sec_Fiber!$A$19:$A$1018,B581)&gt;0,TRUE,FALSE)=FALSE,VLOOKUP(B581,SecDB,4,FALSE),VLOOKUP(VLOOKUP(B581,SecFiberDB,2,FALSE),SecDB,4,FALSE)))</f>
        <v/>
      </c>
      <c r="D581" s="41" t="str">
        <f t="shared" si="8"/>
        <v/>
      </c>
    </row>
    <row r="582" spans="3:4" x14ac:dyDescent="0.25">
      <c r="C582" s="41" t="str">
        <f>IF(A582=0,"",IF(IF(COUNTIF(Sec_Fiber!$A$19:$A$1018,B582)&gt;0,TRUE,FALSE)=FALSE,VLOOKUP(B582,SecDB,4,FALSE),VLOOKUP(VLOOKUP(B582,SecFiberDB,2,FALSE),SecDB,4,FALSE)))</f>
        <v/>
      </c>
      <c r="D582" s="41" t="str">
        <f t="shared" si="8"/>
        <v/>
      </c>
    </row>
    <row r="583" spans="3:4" x14ac:dyDescent="0.25">
      <c r="C583" s="41" t="str">
        <f>IF(A583=0,"",IF(IF(COUNTIF(Sec_Fiber!$A$19:$A$1018,B583)&gt;0,TRUE,FALSE)=FALSE,VLOOKUP(B583,SecDB,4,FALSE),VLOOKUP(VLOOKUP(B583,SecFiberDB,2,FALSE),SecDB,4,FALSE)))</f>
        <v/>
      </c>
      <c r="D583" s="41" t="str">
        <f t="shared" si="8"/>
        <v/>
      </c>
    </row>
    <row r="584" spans="3:4" x14ac:dyDescent="0.25">
      <c r="C584" s="41" t="str">
        <f>IF(A584=0,"",IF(IF(COUNTIF(Sec_Fiber!$A$19:$A$1018,B584)&gt;0,TRUE,FALSE)=FALSE,VLOOKUP(B584,SecDB,4,FALSE),VLOOKUP(VLOOKUP(B584,SecFiberDB,2,FALSE),SecDB,4,FALSE)))</f>
        <v/>
      </c>
      <c r="D584" s="41" t="str">
        <f t="shared" si="8"/>
        <v/>
      </c>
    </row>
    <row r="585" spans="3:4" x14ac:dyDescent="0.25">
      <c r="C585" s="41" t="str">
        <f>IF(A585=0,"",IF(IF(COUNTIF(Sec_Fiber!$A$19:$A$1018,B585)&gt;0,TRUE,FALSE)=FALSE,VLOOKUP(B585,SecDB,4,FALSE),VLOOKUP(VLOOKUP(B585,SecFiberDB,2,FALSE),SecDB,4,FALSE)))</f>
        <v/>
      </c>
      <c r="D585" s="41" t="str">
        <f t="shared" ref="D585:D648" si="9">IF(A585=0,"","Aggregator")</f>
        <v/>
      </c>
    </row>
    <row r="586" spans="3:4" x14ac:dyDescent="0.25">
      <c r="C586" s="41" t="str">
        <f>IF(A586=0,"",IF(IF(COUNTIF(Sec_Fiber!$A$19:$A$1018,B586)&gt;0,TRUE,FALSE)=FALSE,VLOOKUP(B586,SecDB,4,FALSE),VLOOKUP(VLOOKUP(B586,SecFiberDB,2,FALSE),SecDB,4,FALSE)))</f>
        <v/>
      </c>
      <c r="D586" s="41" t="str">
        <f t="shared" si="9"/>
        <v/>
      </c>
    </row>
    <row r="587" spans="3:4" x14ac:dyDescent="0.25">
      <c r="C587" s="41" t="str">
        <f>IF(A587=0,"",IF(IF(COUNTIF(Sec_Fiber!$A$19:$A$1018,B587)&gt;0,TRUE,FALSE)=FALSE,VLOOKUP(B587,SecDB,4,FALSE),VLOOKUP(VLOOKUP(B587,SecFiberDB,2,FALSE),SecDB,4,FALSE)))</f>
        <v/>
      </c>
      <c r="D587" s="41" t="str">
        <f t="shared" si="9"/>
        <v/>
      </c>
    </row>
    <row r="588" spans="3:4" x14ac:dyDescent="0.25">
      <c r="C588" s="41" t="str">
        <f>IF(A588=0,"",IF(IF(COUNTIF(Sec_Fiber!$A$19:$A$1018,B588)&gt;0,TRUE,FALSE)=FALSE,VLOOKUP(B588,SecDB,4,FALSE),VLOOKUP(VLOOKUP(B588,SecFiberDB,2,FALSE),SecDB,4,FALSE)))</f>
        <v/>
      </c>
      <c r="D588" s="41" t="str">
        <f t="shared" si="9"/>
        <v/>
      </c>
    </row>
    <row r="589" spans="3:4" x14ac:dyDescent="0.25">
      <c r="C589" s="41" t="str">
        <f>IF(A589=0,"",IF(IF(COUNTIF(Sec_Fiber!$A$19:$A$1018,B589)&gt;0,TRUE,FALSE)=FALSE,VLOOKUP(B589,SecDB,4,FALSE),VLOOKUP(VLOOKUP(B589,SecFiberDB,2,FALSE),SecDB,4,FALSE)))</f>
        <v/>
      </c>
      <c r="D589" s="41" t="str">
        <f t="shared" si="9"/>
        <v/>
      </c>
    </row>
    <row r="590" spans="3:4" x14ac:dyDescent="0.25">
      <c r="C590" s="41" t="str">
        <f>IF(A590=0,"",IF(IF(COUNTIF(Sec_Fiber!$A$19:$A$1018,B590)&gt;0,TRUE,FALSE)=FALSE,VLOOKUP(B590,SecDB,4,FALSE),VLOOKUP(VLOOKUP(B590,SecFiberDB,2,FALSE),SecDB,4,FALSE)))</f>
        <v/>
      </c>
      <c r="D590" s="41" t="str">
        <f t="shared" si="9"/>
        <v/>
      </c>
    </row>
    <row r="591" spans="3:4" x14ac:dyDescent="0.25">
      <c r="C591" s="41" t="str">
        <f>IF(A591=0,"",IF(IF(COUNTIF(Sec_Fiber!$A$19:$A$1018,B591)&gt;0,TRUE,FALSE)=FALSE,VLOOKUP(B591,SecDB,4,FALSE),VLOOKUP(VLOOKUP(B591,SecFiberDB,2,FALSE),SecDB,4,FALSE)))</f>
        <v/>
      </c>
      <c r="D591" s="41" t="str">
        <f t="shared" si="9"/>
        <v/>
      </c>
    </row>
    <row r="592" spans="3:4" x14ac:dyDescent="0.25">
      <c r="C592" s="41" t="str">
        <f>IF(A592=0,"",IF(IF(COUNTIF(Sec_Fiber!$A$19:$A$1018,B592)&gt;0,TRUE,FALSE)=FALSE,VLOOKUP(B592,SecDB,4,FALSE),VLOOKUP(VLOOKUP(B592,SecFiberDB,2,FALSE),SecDB,4,FALSE)))</f>
        <v/>
      </c>
      <c r="D592" s="41" t="str">
        <f t="shared" si="9"/>
        <v/>
      </c>
    </row>
    <row r="593" spans="3:4" x14ac:dyDescent="0.25">
      <c r="C593" s="41" t="str">
        <f>IF(A593=0,"",IF(IF(COUNTIF(Sec_Fiber!$A$19:$A$1018,B593)&gt;0,TRUE,FALSE)=FALSE,VLOOKUP(B593,SecDB,4,FALSE),VLOOKUP(VLOOKUP(B593,SecFiberDB,2,FALSE),SecDB,4,FALSE)))</f>
        <v/>
      </c>
      <c r="D593" s="41" t="str">
        <f t="shared" si="9"/>
        <v/>
      </c>
    </row>
    <row r="594" spans="3:4" x14ac:dyDescent="0.25">
      <c r="C594" s="41" t="str">
        <f>IF(A594=0,"",IF(IF(COUNTIF(Sec_Fiber!$A$19:$A$1018,B594)&gt;0,TRUE,FALSE)=FALSE,VLOOKUP(B594,SecDB,4,FALSE),VLOOKUP(VLOOKUP(B594,SecFiberDB,2,FALSE),SecDB,4,FALSE)))</f>
        <v/>
      </c>
      <c r="D594" s="41" t="str">
        <f t="shared" si="9"/>
        <v/>
      </c>
    </row>
    <row r="595" spans="3:4" x14ac:dyDescent="0.25">
      <c r="C595" s="41" t="str">
        <f>IF(A595=0,"",IF(IF(COUNTIF(Sec_Fiber!$A$19:$A$1018,B595)&gt;0,TRUE,FALSE)=FALSE,VLOOKUP(B595,SecDB,4,FALSE),VLOOKUP(VLOOKUP(B595,SecFiberDB,2,FALSE),SecDB,4,FALSE)))</f>
        <v/>
      </c>
      <c r="D595" s="41" t="str">
        <f t="shared" si="9"/>
        <v/>
      </c>
    </row>
    <row r="596" spans="3:4" x14ac:dyDescent="0.25">
      <c r="C596" s="41" t="str">
        <f>IF(A596=0,"",IF(IF(COUNTIF(Sec_Fiber!$A$19:$A$1018,B596)&gt;0,TRUE,FALSE)=FALSE,VLOOKUP(B596,SecDB,4,FALSE),VLOOKUP(VLOOKUP(B596,SecFiberDB,2,FALSE),SecDB,4,FALSE)))</f>
        <v/>
      </c>
      <c r="D596" s="41" t="str">
        <f t="shared" si="9"/>
        <v/>
      </c>
    </row>
    <row r="597" spans="3:4" x14ac:dyDescent="0.25">
      <c r="C597" s="41" t="str">
        <f>IF(A597=0,"",IF(IF(COUNTIF(Sec_Fiber!$A$19:$A$1018,B597)&gt;0,TRUE,FALSE)=FALSE,VLOOKUP(B597,SecDB,4,FALSE),VLOOKUP(VLOOKUP(B597,SecFiberDB,2,FALSE),SecDB,4,FALSE)))</f>
        <v/>
      </c>
      <c r="D597" s="41" t="str">
        <f t="shared" si="9"/>
        <v/>
      </c>
    </row>
    <row r="598" spans="3:4" x14ac:dyDescent="0.25">
      <c r="C598" s="41" t="str">
        <f>IF(A598=0,"",IF(IF(COUNTIF(Sec_Fiber!$A$19:$A$1018,B598)&gt;0,TRUE,FALSE)=FALSE,VLOOKUP(B598,SecDB,4,FALSE),VLOOKUP(VLOOKUP(B598,SecFiberDB,2,FALSE),SecDB,4,FALSE)))</f>
        <v/>
      </c>
      <c r="D598" s="41" t="str">
        <f t="shared" si="9"/>
        <v/>
      </c>
    </row>
    <row r="599" spans="3:4" x14ac:dyDescent="0.25">
      <c r="C599" s="41" t="str">
        <f>IF(A599=0,"",IF(IF(COUNTIF(Sec_Fiber!$A$19:$A$1018,B599)&gt;0,TRUE,FALSE)=FALSE,VLOOKUP(B599,SecDB,4,FALSE),VLOOKUP(VLOOKUP(B599,SecFiberDB,2,FALSE),SecDB,4,FALSE)))</f>
        <v/>
      </c>
      <c r="D599" s="41" t="str">
        <f t="shared" si="9"/>
        <v/>
      </c>
    </row>
    <row r="600" spans="3:4" x14ac:dyDescent="0.25">
      <c r="C600" s="41" t="str">
        <f>IF(A600=0,"",IF(IF(COUNTIF(Sec_Fiber!$A$19:$A$1018,B600)&gt;0,TRUE,FALSE)=FALSE,VLOOKUP(B600,SecDB,4,FALSE),VLOOKUP(VLOOKUP(B600,SecFiberDB,2,FALSE),SecDB,4,FALSE)))</f>
        <v/>
      </c>
      <c r="D600" s="41" t="str">
        <f t="shared" si="9"/>
        <v/>
      </c>
    </row>
    <row r="601" spans="3:4" x14ac:dyDescent="0.25">
      <c r="C601" s="41" t="str">
        <f>IF(A601=0,"",IF(IF(COUNTIF(Sec_Fiber!$A$19:$A$1018,B601)&gt;0,TRUE,FALSE)=FALSE,VLOOKUP(B601,SecDB,4,FALSE),VLOOKUP(VLOOKUP(B601,SecFiberDB,2,FALSE),SecDB,4,FALSE)))</f>
        <v/>
      </c>
      <c r="D601" s="41" t="str">
        <f t="shared" si="9"/>
        <v/>
      </c>
    </row>
    <row r="602" spans="3:4" x14ac:dyDescent="0.25">
      <c r="C602" s="41" t="str">
        <f>IF(A602=0,"",IF(IF(COUNTIF(Sec_Fiber!$A$19:$A$1018,B602)&gt;0,TRUE,FALSE)=FALSE,VLOOKUP(B602,SecDB,4,FALSE),VLOOKUP(VLOOKUP(B602,SecFiberDB,2,FALSE),SecDB,4,FALSE)))</f>
        <v/>
      </c>
      <c r="D602" s="41" t="str">
        <f t="shared" si="9"/>
        <v/>
      </c>
    </row>
    <row r="603" spans="3:4" x14ac:dyDescent="0.25">
      <c r="C603" s="41" t="str">
        <f>IF(A603=0,"",IF(IF(COUNTIF(Sec_Fiber!$A$19:$A$1018,B603)&gt;0,TRUE,FALSE)=FALSE,VLOOKUP(B603,SecDB,4,FALSE),VLOOKUP(VLOOKUP(B603,SecFiberDB,2,FALSE),SecDB,4,FALSE)))</f>
        <v/>
      </c>
      <c r="D603" s="41" t="str">
        <f t="shared" si="9"/>
        <v/>
      </c>
    </row>
    <row r="604" spans="3:4" x14ac:dyDescent="0.25">
      <c r="C604" s="41" t="str">
        <f>IF(A604=0,"",IF(IF(COUNTIF(Sec_Fiber!$A$19:$A$1018,B604)&gt;0,TRUE,FALSE)=FALSE,VLOOKUP(B604,SecDB,4,FALSE),VLOOKUP(VLOOKUP(B604,SecFiberDB,2,FALSE),SecDB,4,FALSE)))</f>
        <v/>
      </c>
      <c r="D604" s="41" t="str">
        <f t="shared" si="9"/>
        <v/>
      </c>
    </row>
    <row r="605" spans="3:4" x14ac:dyDescent="0.25">
      <c r="C605" s="41" t="str">
        <f>IF(A605=0,"",IF(IF(COUNTIF(Sec_Fiber!$A$19:$A$1018,B605)&gt;0,TRUE,FALSE)=FALSE,VLOOKUP(B605,SecDB,4,FALSE),VLOOKUP(VLOOKUP(B605,SecFiberDB,2,FALSE),SecDB,4,FALSE)))</f>
        <v/>
      </c>
      <c r="D605" s="41" t="str">
        <f t="shared" si="9"/>
        <v/>
      </c>
    </row>
    <row r="606" spans="3:4" x14ac:dyDescent="0.25">
      <c r="C606" s="41" t="str">
        <f>IF(A606=0,"",IF(IF(COUNTIF(Sec_Fiber!$A$19:$A$1018,B606)&gt;0,TRUE,FALSE)=FALSE,VLOOKUP(B606,SecDB,4,FALSE),VLOOKUP(VLOOKUP(B606,SecFiberDB,2,FALSE),SecDB,4,FALSE)))</f>
        <v/>
      </c>
      <c r="D606" s="41" t="str">
        <f t="shared" si="9"/>
        <v/>
      </c>
    </row>
    <row r="607" spans="3:4" x14ac:dyDescent="0.25">
      <c r="C607" s="41" t="str">
        <f>IF(A607=0,"",IF(IF(COUNTIF(Sec_Fiber!$A$19:$A$1018,B607)&gt;0,TRUE,FALSE)=FALSE,VLOOKUP(B607,SecDB,4,FALSE),VLOOKUP(VLOOKUP(B607,SecFiberDB,2,FALSE),SecDB,4,FALSE)))</f>
        <v/>
      </c>
      <c r="D607" s="41" t="str">
        <f t="shared" si="9"/>
        <v/>
      </c>
    </row>
    <row r="608" spans="3:4" x14ac:dyDescent="0.25">
      <c r="C608" s="41" t="str">
        <f>IF(A608=0,"",IF(IF(COUNTIF(Sec_Fiber!$A$19:$A$1018,B608)&gt;0,TRUE,FALSE)=FALSE,VLOOKUP(B608,SecDB,4,FALSE),VLOOKUP(VLOOKUP(B608,SecFiberDB,2,FALSE),SecDB,4,FALSE)))</f>
        <v/>
      </c>
      <c r="D608" s="41" t="str">
        <f t="shared" si="9"/>
        <v/>
      </c>
    </row>
    <row r="609" spans="3:4" x14ac:dyDescent="0.25">
      <c r="C609" s="41" t="str">
        <f>IF(A609=0,"",IF(IF(COUNTIF(Sec_Fiber!$A$19:$A$1018,B609)&gt;0,TRUE,FALSE)=FALSE,VLOOKUP(B609,SecDB,4,FALSE),VLOOKUP(VLOOKUP(B609,SecFiberDB,2,FALSE),SecDB,4,FALSE)))</f>
        <v/>
      </c>
      <c r="D609" s="41" t="str">
        <f t="shared" si="9"/>
        <v/>
      </c>
    </row>
    <row r="610" spans="3:4" x14ac:dyDescent="0.25">
      <c r="C610" s="41" t="str">
        <f>IF(A610=0,"",IF(IF(COUNTIF(Sec_Fiber!$A$19:$A$1018,B610)&gt;0,TRUE,FALSE)=FALSE,VLOOKUP(B610,SecDB,4,FALSE),VLOOKUP(VLOOKUP(B610,SecFiberDB,2,FALSE),SecDB,4,FALSE)))</f>
        <v/>
      </c>
      <c r="D610" s="41" t="str">
        <f t="shared" si="9"/>
        <v/>
      </c>
    </row>
    <row r="611" spans="3:4" x14ac:dyDescent="0.25">
      <c r="C611" s="41" t="str">
        <f>IF(A611=0,"",IF(IF(COUNTIF(Sec_Fiber!$A$19:$A$1018,B611)&gt;0,TRUE,FALSE)=FALSE,VLOOKUP(B611,SecDB,4,FALSE),VLOOKUP(VLOOKUP(B611,SecFiberDB,2,FALSE),SecDB,4,FALSE)))</f>
        <v/>
      </c>
      <c r="D611" s="41" t="str">
        <f t="shared" si="9"/>
        <v/>
      </c>
    </row>
    <row r="612" spans="3:4" x14ac:dyDescent="0.25">
      <c r="C612" s="41" t="str">
        <f>IF(A612=0,"",IF(IF(COUNTIF(Sec_Fiber!$A$19:$A$1018,B612)&gt;0,TRUE,FALSE)=FALSE,VLOOKUP(B612,SecDB,4,FALSE),VLOOKUP(VLOOKUP(B612,SecFiberDB,2,FALSE),SecDB,4,FALSE)))</f>
        <v/>
      </c>
      <c r="D612" s="41" t="str">
        <f t="shared" si="9"/>
        <v/>
      </c>
    </row>
    <row r="613" spans="3:4" x14ac:dyDescent="0.25">
      <c r="C613" s="41" t="str">
        <f>IF(A613=0,"",IF(IF(COUNTIF(Sec_Fiber!$A$19:$A$1018,B613)&gt;0,TRUE,FALSE)=FALSE,VLOOKUP(B613,SecDB,4,FALSE),VLOOKUP(VLOOKUP(B613,SecFiberDB,2,FALSE),SecDB,4,FALSE)))</f>
        <v/>
      </c>
      <c r="D613" s="41" t="str">
        <f t="shared" si="9"/>
        <v/>
      </c>
    </row>
    <row r="614" spans="3:4" x14ac:dyDescent="0.25">
      <c r="C614" s="41" t="str">
        <f>IF(A614=0,"",IF(IF(COUNTIF(Sec_Fiber!$A$19:$A$1018,B614)&gt;0,TRUE,FALSE)=FALSE,VLOOKUP(B614,SecDB,4,FALSE),VLOOKUP(VLOOKUP(B614,SecFiberDB,2,FALSE),SecDB,4,FALSE)))</f>
        <v/>
      </c>
      <c r="D614" s="41" t="str">
        <f t="shared" si="9"/>
        <v/>
      </c>
    </row>
    <row r="615" spans="3:4" x14ac:dyDescent="0.25">
      <c r="C615" s="41" t="str">
        <f>IF(A615=0,"",IF(IF(COUNTIF(Sec_Fiber!$A$19:$A$1018,B615)&gt;0,TRUE,FALSE)=FALSE,VLOOKUP(B615,SecDB,4,FALSE),VLOOKUP(VLOOKUP(B615,SecFiberDB,2,FALSE),SecDB,4,FALSE)))</f>
        <v/>
      </c>
      <c r="D615" s="41" t="str">
        <f t="shared" si="9"/>
        <v/>
      </c>
    </row>
    <row r="616" spans="3:4" x14ac:dyDescent="0.25">
      <c r="C616" s="41" t="str">
        <f>IF(A616=0,"",IF(IF(COUNTIF(Sec_Fiber!$A$19:$A$1018,B616)&gt;0,TRUE,FALSE)=FALSE,VLOOKUP(B616,SecDB,4,FALSE),VLOOKUP(VLOOKUP(B616,SecFiberDB,2,FALSE),SecDB,4,FALSE)))</f>
        <v/>
      </c>
      <c r="D616" s="41" t="str">
        <f t="shared" si="9"/>
        <v/>
      </c>
    </row>
    <row r="617" spans="3:4" x14ac:dyDescent="0.25">
      <c r="C617" s="41" t="str">
        <f>IF(A617=0,"",IF(IF(COUNTIF(Sec_Fiber!$A$19:$A$1018,B617)&gt;0,TRUE,FALSE)=FALSE,VLOOKUP(B617,SecDB,4,FALSE),VLOOKUP(VLOOKUP(B617,SecFiberDB,2,FALSE),SecDB,4,FALSE)))</f>
        <v/>
      </c>
      <c r="D617" s="41" t="str">
        <f t="shared" si="9"/>
        <v/>
      </c>
    </row>
    <row r="618" spans="3:4" x14ac:dyDescent="0.25">
      <c r="C618" s="41" t="str">
        <f>IF(A618=0,"",IF(IF(COUNTIF(Sec_Fiber!$A$19:$A$1018,B618)&gt;0,TRUE,FALSE)=FALSE,VLOOKUP(B618,SecDB,4,FALSE),VLOOKUP(VLOOKUP(B618,SecFiberDB,2,FALSE),SecDB,4,FALSE)))</f>
        <v/>
      </c>
      <c r="D618" s="41" t="str">
        <f t="shared" si="9"/>
        <v/>
      </c>
    </row>
    <row r="619" spans="3:4" x14ac:dyDescent="0.25">
      <c r="C619" s="41" t="str">
        <f>IF(A619=0,"",IF(IF(COUNTIF(Sec_Fiber!$A$19:$A$1018,B619)&gt;0,TRUE,FALSE)=FALSE,VLOOKUP(B619,SecDB,4,FALSE),VLOOKUP(VLOOKUP(B619,SecFiberDB,2,FALSE),SecDB,4,FALSE)))</f>
        <v/>
      </c>
      <c r="D619" s="41" t="str">
        <f t="shared" si="9"/>
        <v/>
      </c>
    </row>
    <row r="620" spans="3:4" x14ac:dyDescent="0.25">
      <c r="C620" s="41" t="str">
        <f>IF(A620=0,"",IF(IF(COUNTIF(Sec_Fiber!$A$19:$A$1018,B620)&gt;0,TRUE,FALSE)=FALSE,VLOOKUP(B620,SecDB,4,FALSE),VLOOKUP(VLOOKUP(B620,SecFiberDB,2,FALSE),SecDB,4,FALSE)))</f>
        <v/>
      </c>
      <c r="D620" s="41" t="str">
        <f t="shared" si="9"/>
        <v/>
      </c>
    </row>
    <row r="621" spans="3:4" x14ac:dyDescent="0.25">
      <c r="C621" s="41" t="str">
        <f>IF(A621=0,"",IF(IF(COUNTIF(Sec_Fiber!$A$19:$A$1018,B621)&gt;0,TRUE,FALSE)=FALSE,VLOOKUP(B621,SecDB,4,FALSE),VLOOKUP(VLOOKUP(B621,SecFiberDB,2,FALSE),SecDB,4,FALSE)))</f>
        <v/>
      </c>
      <c r="D621" s="41" t="str">
        <f t="shared" si="9"/>
        <v/>
      </c>
    </row>
    <row r="622" spans="3:4" x14ac:dyDescent="0.25">
      <c r="C622" s="41" t="str">
        <f>IF(A622=0,"",IF(IF(COUNTIF(Sec_Fiber!$A$19:$A$1018,B622)&gt;0,TRUE,FALSE)=FALSE,VLOOKUP(B622,SecDB,4,FALSE),VLOOKUP(VLOOKUP(B622,SecFiberDB,2,FALSE),SecDB,4,FALSE)))</f>
        <v/>
      </c>
      <c r="D622" s="41" t="str">
        <f t="shared" si="9"/>
        <v/>
      </c>
    </row>
    <row r="623" spans="3:4" x14ac:dyDescent="0.25">
      <c r="C623" s="41" t="str">
        <f>IF(A623=0,"",IF(IF(COUNTIF(Sec_Fiber!$A$19:$A$1018,B623)&gt;0,TRUE,FALSE)=FALSE,VLOOKUP(B623,SecDB,4,FALSE),VLOOKUP(VLOOKUP(B623,SecFiberDB,2,FALSE),SecDB,4,FALSE)))</f>
        <v/>
      </c>
      <c r="D623" s="41" t="str">
        <f t="shared" si="9"/>
        <v/>
      </c>
    </row>
    <row r="624" spans="3:4" x14ac:dyDescent="0.25">
      <c r="C624" s="41" t="str">
        <f>IF(A624=0,"",IF(IF(COUNTIF(Sec_Fiber!$A$19:$A$1018,B624)&gt;0,TRUE,FALSE)=FALSE,VLOOKUP(B624,SecDB,4,FALSE),VLOOKUP(VLOOKUP(B624,SecFiberDB,2,FALSE),SecDB,4,FALSE)))</f>
        <v/>
      </c>
      <c r="D624" s="41" t="str">
        <f t="shared" si="9"/>
        <v/>
      </c>
    </row>
    <row r="625" spans="3:4" x14ac:dyDescent="0.25">
      <c r="C625" s="41" t="str">
        <f>IF(A625=0,"",IF(IF(COUNTIF(Sec_Fiber!$A$19:$A$1018,B625)&gt;0,TRUE,FALSE)=FALSE,VLOOKUP(B625,SecDB,4,FALSE),VLOOKUP(VLOOKUP(B625,SecFiberDB,2,FALSE),SecDB,4,FALSE)))</f>
        <v/>
      </c>
      <c r="D625" s="41" t="str">
        <f t="shared" si="9"/>
        <v/>
      </c>
    </row>
    <row r="626" spans="3:4" x14ac:dyDescent="0.25">
      <c r="C626" s="41" t="str">
        <f>IF(A626=0,"",IF(IF(COUNTIF(Sec_Fiber!$A$19:$A$1018,B626)&gt;0,TRUE,FALSE)=FALSE,VLOOKUP(B626,SecDB,4,FALSE),VLOOKUP(VLOOKUP(B626,SecFiberDB,2,FALSE),SecDB,4,FALSE)))</f>
        <v/>
      </c>
      <c r="D626" s="41" t="str">
        <f t="shared" si="9"/>
        <v/>
      </c>
    </row>
    <row r="627" spans="3:4" x14ac:dyDescent="0.25">
      <c r="C627" s="41" t="str">
        <f>IF(A627=0,"",IF(IF(COUNTIF(Sec_Fiber!$A$19:$A$1018,B627)&gt;0,TRUE,FALSE)=FALSE,VLOOKUP(B627,SecDB,4,FALSE),VLOOKUP(VLOOKUP(B627,SecFiberDB,2,FALSE),SecDB,4,FALSE)))</f>
        <v/>
      </c>
      <c r="D627" s="41" t="str">
        <f t="shared" si="9"/>
        <v/>
      </c>
    </row>
    <row r="628" spans="3:4" x14ac:dyDescent="0.25">
      <c r="C628" s="41" t="str">
        <f>IF(A628=0,"",IF(IF(COUNTIF(Sec_Fiber!$A$19:$A$1018,B628)&gt;0,TRUE,FALSE)=FALSE,VLOOKUP(B628,SecDB,4,FALSE),VLOOKUP(VLOOKUP(B628,SecFiberDB,2,FALSE),SecDB,4,FALSE)))</f>
        <v/>
      </c>
      <c r="D628" s="41" t="str">
        <f t="shared" si="9"/>
        <v/>
      </c>
    </row>
    <row r="629" spans="3:4" x14ac:dyDescent="0.25">
      <c r="C629" s="41" t="str">
        <f>IF(A629=0,"",IF(IF(COUNTIF(Sec_Fiber!$A$19:$A$1018,B629)&gt;0,TRUE,FALSE)=FALSE,VLOOKUP(B629,SecDB,4,FALSE),VLOOKUP(VLOOKUP(B629,SecFiberDB,2,FALSE),SecDB,4,FALSE)))</f>
        <v/>
      </c>
      <c r="D629" s="41" t="str">
        <f t="shared" si="9"/>
        <v/>
      </c>
    </row>
    <row r="630" spans="3:4" x14ac:dyDescent="0.25">
      <c r="C630" s="41" t="str">
        <f>IF(A630=0,"",IF(IF(COUNTIF(Sec_Fiber!$A$19:$A$1018,B630)&gt;0,TRUE,FALSE)=FALSE,VLOOKUP(B630,SecDB,4,FALSE),VLOOKUP(VLOOKUP(B630,SecFiberDB,2,FALSE),SecDB,4,FALSE)))</f>
        <v/>
      </c>
      <c r="D630" s="41" t="str">
        <f t="shared" si="9"/>
        <v/>
      </c>
    </row>
    <row r="631" spans="3:4" x14ac:dyDescent="0.25">
      <c r="C631" s="41" t="str">
        <f>IF(A631=0,"",IF(IF(COUNTIF(Sec_Fiber!$A$19:$A$1018,B631)&gt;0,TRUE,FALSE)=FALSE,VLOOKUP(B631,SecDB,4,FALSE),VLOOKUP(VLOOKUP(B631,SecFiberDB,2,FALSE),SecDB,4,FALSE)))</f>
        <v/>
      </c>
      <c r="D631" s="41" t="str">
        <f t="shared" si="9"/>
        <v/>
      </c>
    </row>
    <row r="632" spans="3:4" x14ac:dyDescent="0.25">
      <c r="C632" s="41" t="str">
        <f>IF(A632=0,"",IF(IF(COUNTIF(Sec_Fiber!$A$19:$A$1018,B632)&gt;0,TRUE,FALSE)=FALSE,VLOOKUP(B632,SecDB,4,FALSE),VLOOKUP(VLOOKUP(B632,SecFiberDB,2,FALSE),SecDB,4,FALSE)))</f>
        <v/>
      </c>
      <c r="D632" s="41" t="str">
        <f t="shared" si="9"/>
        <v/>
      </c>
    </row>
    <row r="633" spans="3:4" x14ac:dyDescent="0.25">
      <c r="C633" s="41" t="str">
        <f>IF(A633=0,"",IF(IF(COUNTIF(Sec_Fiber!$A$19:$A$1018,B633)&gt;0,TRUE,FALSE)=FALSE,VLOOKUP(B633,SecDB,4,FALSE),VLOOKUP(VLOOKUP(B633,SecFiberDB,2,FALSE),SecDB,4,FALSE)))</f>
        <v/>
      </c>
      <c r="D633" s="41" t="str">
        <f t="shared" si="9"/>
        <v/>
      </c>
    </row>
    <row r="634" spans="3:4" x14ac:dyDescent="0.25">
      <c r="C634" s="41" t="str">
        <f>IF(A634=0,"",IF(IF(COUNTIF(Sec_Fiber!$A$19:$A$1018,B634)&gt;0,TRUE,FALSE)=FALSE,VLOOKUP(B634,SecDB,4,FALSE),VLOOKUP(VLOOKUP(B634,SecFiberDB,2,FALSE),SecDB,4,FALSE)))</f>
        <v/>
      </c>
      <c r="D634" s="41" t="str">
        <f t="shared" si="9"/>
        <v/>
      </c>
    </row>
    <row r="635" spans="3:4" x14ac:dyDescent="0.25">
      <c r="C635" s="41" t="str">
        <f>IF(A635=0,"",IF(IF(COUNTIF(Sec_Fiber!$A$19:$A$1018,B635)&gt;0,TRUE,FALSE)=FALSE,VLOOKUP(B635,SecDB,4,FALSE),VLOOKUP(VLOOKUP(B635,SecFiberDB,2,FALSE),SecDB,4,FALSE)))</f>
        <v/>
      </c>
      <c r="D635" s="41" t="str">
        <f t="shared" si="9"/>
        <v/>
      </c>
    </row>
    <row r="636" spans="3:4" x14ac:dyDescent="0.25">
      <c r="C636" s="41" t="str">
        <f>IF(A636=0,"",IF(IF(COUNTIF(Sec_Fiber!$A$19:$A$1018,B636)&gt;0,TRUE,FALSE)=FALSE,VLOOKUP(B636,SecDB,4,FALSE),VLOOKUP(VLOOKUP(B636,SecFiberDB,2,FALSE),SecDB,4,FALSE)))</f>
        <v/>
      </c>
      <c r="D636" s="41" t="str">
        <f t="shared" si="9"/>
        <v/>
      </c>
    </row>
    <row r="637" spans="3:4" x14ac:dyDescent="0.25">
      <c r="C637" s="41" t="str">
        <f>IF(A637=0,"",IF(IF(COUNTIF(Sec_Fiber!$A$19:$A$1018,B637)&gt;0,TRUE,FALSE)=FALSE,VLOOKUP(B637,SecDB,4,FALSE),VLOOKUP(VLOOKUP(B637,SecFiberDB,2,FALSE),SecDB,4,FALSE)))</f>
        <v/>
      </c>
      <c r="D637" s="41" t="str">
        <f t="shared" si="9"/>
        <v/>
      </c>
    </row>
    <row r="638" spans="3:4" x14ac:dyDescent="0.25">
      <c r="C638" s="41" t="str">
        <f>IF(A638=0,"",IF(IF(COUNTIF(Sec_Fiber!$A$19:$A$1018,B638)&gt;0,TRUE,FALSE)=FALSE,VLOOKUP(B638,SecDB,4,FALSE),VLOOKUP(VLOOKUP(B638,SecFiberDB,2,FALSE),SecDB,4,FALSE)))</f>
        <v/>
      </c>
      <c r="D638" s="41" t="str">
        <f t="shared" si="9"/>
        <v/>
      </c>
    </row>
    <row r="639" spans="3:4" x14ac:dyDescent="0.25">
      <c r="C639" s="41" t="str">
        <f>IF(A639=0,"",IF(IF(COUNTIF(Sec_Fiber!$A$19:$A$1018,B639)&gt;0,TRUE,FALSE)=FALSE,VLOOKUP(B639,SecDB,4,FALSE),VLOOKUP(VLOOKUP(B639,SecFiberDB,2,FALSE),SecDB,4,FALSE)))</f>
        <v/>
      </c>
      <c r="D639" s="41" t="str">
        <f t="shared" si="9"/>
        <v/>
      </c>
    </row>
    <row r="640" spans="3:4" x14ac:dyDescent="0.25">
      <c r="C640" s="41" t="str">
        <f>IF(A640=0,"",IF(IF(COUNTIF(Sec_Fiber!$A$19:$A$1018,B640)&gt;0,TRUE,FALSE)=FALSE,VLOOKUP(B640,SecDB,4,FALSE),VLOOKUP(VLOOKUP(B640,SecFiberDB,2,FALSE),SecDB,4,FALSE)))</f>
        <v/>
      </c>
      <c r="D640" s="41" t="str">
        <f t="shared" si="9"/>
        <v/>
      </c>
    </row>
    <row r="641" spans="3:4" x14ac:dyDescent="0.25">
      <c r="C641" s="41" t="str">
        <f>IF(A641=0,"",IF(IF(COUNTIF(Sec_Fiber!$A$19:$A$1018,B641)&gt;0,TRUE,FALSE)=FALSE,VLOOKUP(B641,SecDB,4,FALSE),VLOOKUP(VLOOKUP(B641,SecFiberDB,2,FALSE),SecDB,4,FALSE)))</f>
        <v/>
      </c>
      <c r="D641" s="41" t="str">
        <f t="shared" si="9"/>
        <v/>
      </c>
    </row>
    <row r="642" spans="3:4" x14ac:dyDescent="0.25">
      <c r="C642" s="41" t="str">
        <f>IF(A642=0,"",IF(IF(COUNTIF(Sec_Fiber!$A$19:$A$1018,B642)&gt;0,TRUE,FALSE)=FALSE,VLOOKUP(B642,SecDB,4,FALSE),VLOOKUP(VLOOKUP(B642,SecFiberDB,2,FALSE),SecDB,4,FALSE)))</f>
        <v/>
      </c>
      <c r="D642" s="41" t="str">
        <f t="shared" si="9"/>
        <v/>
      </c>
    </row>
    <row r="643" spans="3:4" x14ac:dyDescent="0.25">
      <c r="C643" s="41" t="str">
        <f>IF(A643=0,"",IF(IF(COUNTIF(Sec_Fiber!$A$19:$A$1018,B643)&gt;0,TRUE,FALSE)=FALSE,VLOOKUP(B643,SecDB,4,FALSE),VLOOKUP(VLOOKUP(B643,SecFiberDB,2,FALSE),SecDB,4,FALSE)))</f>
        <v/>
      </c>
      <c r="D643" s="41" t="str">
        <f t="shared" si="9"/>
        <v/>
      </c>
    </row>
    <row r="644" spans="3:4" x14ac:dyDescent="0.25">
      <c r="C644" s="41" t="str">
        <f>IF(A644=0,"",IF(IF(COUNTIF(Sec_Fiber!$A$19:$A$1018,B644)&gt;0,TRUE,FALSE)=FALSE,VLOOKUP(B644,SecDB,4,FALSE),VLOOKUP(VLOOKUP(B644,SecFiberDB,2,FALSE),SecDB,4,FALSE)))</f>
        <v/>
      </c>
      <c r="D644" s="41" t="str">
        <f t="shared" si="9"/>
        <v/>
      </c>
    </row>
    <row r="645" spans="3:4" x14ac:dyDescent="0.25">
      <c r="C645" s="41" t="str">
        <f>IF(A645=0,"",IF(IF(COUNTIF(Sec_Fiber!$A$19:$A$1018,B645)&gt;0,TRUE,FALSE)=FALSE,VLOOKUP(B645,SecDB,4,FALSE),VLOOKUP(VLOOKUP(B645,SecFiberDB,2,FALSE),SecDB,4,FALSE)))</f>
        <v/>
      </c>
      <c r="D645" s="41" t="str">
        <f t="shared" si="9"/>
        <v/>
      </c>
    </row>
    <row r="646" spans="3:4" x14ac:dyDescent="0.25">
      <c r="C646" s="41" t="str">
        <f>IF(A646=0,"",IF(IF(COUNTIF(Sec_Fiber!$A$19:$A$1018,B646)&gt;0,TRUE,FALSE)=FALSE,VLOOKUP(B646,SecDB,4,FALSE),VLOOKUP(VLOOKUP(B646,SecFiberDB,2,FALSE),SecDB,4,FALSE)))</f>
        <v/>
      </c>
      <c r="D646" s="41" t="str">
        <f t="shared" si="9"/>
        <v/>
      </c>
    </row>
    <row r="647" spans="3:4" x14ac:dyDescent="0.25">
      <c r="C647" s="41" t="str">
        <f>IF(A647=0,"",IF(IF(COUNTIF(Sec_Fiber!$A$19:$A$1018,B647)&gt;0,TRUE,FALSE)=FALSE,VLOOKUP(B647,SecDB,4,FALSE),VLOOKUP(VLOOKUP(B647,SecFiberDB,2,FALSE),SecDB,4,FALSE)))</f>
        <v/>
      </c>
      <c r="D647" s="41" t="str">
        <f t="shared" si="9"/>
        <v/>
      </c>
    </row>
    <row r="648" spans="3:4" x14ac:dyDescent="0.25">
      <c r="C648" s="41" t="str">
        <f>IF(A648=0,"",IF(IF(COUNTIF(Sec_Fiber!$A$19:$A$1018,B648)&gt;0,TRUE,FALSE)=FALSE,VLOOKUP(B648,SecDB,4,FALSE),VLOOKUP(VLOOKUP(B648,SecFiberDB,2,FALSE),SecDB,4,FALSE)))</f>
        <v/>
      </c>
      <c r="D648" s="41" t="str">
        <f t="shared" si="9"/>
        <v/>
      </c>
    </row>
    <row r="649" spans="3:4" x14ac:dyDescent="0.25">
      <c r="C649" s="41" t="str">
        <f>IF(A649=0,"",IF(IF(COUNTIF(Sec_Fiber!$A$19:$A$1018,B649)&gt;0,TRUE,FALSE)=FALSE,VLOOKUP(B649,SecDB,4,FALSE),VLOOKUP(VLOOKUP(B649,SecFiberDB,2,FALSE),SecDB,4,FALSE)))</f>
        <v/>
      </c>
      <c r="D649" s="41" t="str">
        <f t="shared" ref="D649:D712" si="10">IF(A649=0,"","Aggregator")</f>
        <v/>
      </c>
    </row>
    <row r="650" spans="3:4" x14ac:dyDescent="0.25">
      <c r="C650" s="41" t="str">
        <f>IF(A650=0,"",IF(IF(COUNTIF(Sec_Fiber!$A$19:$A$1018,B650)&gt;0,TRUE,FALSE)=FALSE,VLOOKUP(B650,SecDB,4,FALSE),VLOOKUP(VLOOKUP(B650,SecFiberDB,2,FALSE),SecDB,4,FALSE)))</f>
        <v/>
      </c>
      <c r="D650" s="41" t="str">
        <f t="shared" si="10"/>
        <v/>
      </c>
    </row>
    <row r="651" spans="3:4" x14ac:dyDescent="0.25">
      <c r="C651" s="41" t="str">
        <f>IF(A651=0,"",IF(IF(COUNTIF(Sec_Fiber!$A$19:$A$1018,B651)&gt;0,TRUE,FALSE)=FALSE,VLOOKUP(B651,SecDB,4,FALSE),VLOOKUP(VLOOKUP(B651,SecFiberDB,2,FALSE),SecDB,4,FALSE)))</f>
        <v/>
      </c>
      <c r="D651" s="41" t="str">
        <f t="shared" si="10"/>
        <v/>
      </c>
    </row>
    <row r="652" spans="3:4" x14ac:dyDescent="0.25">
      <c r="C652" s="41" t="str">
        <f>IF(A652=0,"",IF(IF(COUNTIF(Sec_Fiber!$A$19:$A$1018,B652)&gt;0,TRUE,FALSE)=FALSE,VLOOKUP(B652,SecDB,4,FALSE),VLOOKUP(VLOOKUP(B652,SecFiberDB,2,FALSE),SecDB,4,FALSE)))</f>
        <v/>
      </c>
      <c r="D652" s="41" t="str">
        <f t="shared" si="10"/>
        <v/>
      </c>
    </row>
    <row r="653" spans="3:4" x14ac:dyDescent="0.25">
      <c r="C653" s="41" t="str">
        <f>IF(A653=0,"",IF(IF(COUNTIF(Sec_Fiber!$A$19:$A$1018,B653)&gt;0,TRUE,FALSE)=FALSE,VLOOKUP(B653,SecDB,4,FALSE),VLOOKUP(VLOOKUP(B653,SecFiberDB,2,FALSE),SecDB,4,FALSE)))</f>
        <v/>
      </c>
      <c r="D653" s="41" t="str">
        <f t="shared" si="10"/>
        <v/>
      </c>
    </row>
    <row r="654" spans="3:4" x14ac:dyDescent="0.25">
      <c r="C654" s="41" t="str">
        <f>IF(A654=0,"",IF(IF(COUNTIF(Sec_Fiber!$A$19:$A$1018,B654)&gt;0,TRUE,FALSE)=FALSE,VLOOKUP(B654,SecDB,4,FALSE),VLOOKUP(VLOOKUP(B654,SecFiberDB,2,FALSE),SecDB,4,FALSE)))</f>
        <v/>
      </c>
      <c r="D654" s="41" t="str">
        <f t="shared" si="10"/>
        <v/>
      </c>
    </row>
    <row r="655" spans="3:4" x14ac:dyDescent="0.25">
      <c r="C655" s="41" t="str">
        <f>IF(A655=0,"",IF(IF(COUNTIF(Sec_Fiber!$A$19:$A$1018,B655)&gt;0,TRUE,FALSE)=FALSE,VLOOKUP(B655,SecDB,4,FALSE),VLOOKUP(VLOOKUP(B655,SecFiberDB,2,FALSE),SecDB,4,FALSE)))</f>
        <v/>
      </c>
      <c r="D655" s="41" t="str">
        <f t="shared" si="10"/>
        <v/>
      </c>
    </row>
    <row r="656" spans="3:4" x14ac:dyDescent="0.25">
      <c r="C656" s="41" t="str">
        <f>IF(A656=0,"",IF(IF(COUNTIF(Sec_Fiber!$A$19:$A$1018,B656)&gt;0,TRUE,FALSE)=FALSE,VLOOKUP(B656,SecDB,4,FALSE),VLOOKUP(VLOOKUP(B656,SecFiberDB,2,FALSE),SecDB,4,FALSE)))</f>
        <v/>
      </c>
      <c r="D656" s="41" t="str">
        <f t="shared" si="10"/>
        <v/>
      </c>
    </row>
    <row r="657" spans="3:4" x14ac:dyDescent="0.25">
      <c r="C657" s="41" t="str">
        <f>IF(A657=0,"",IF(IF(COUNTIF(Sec_Fiber!$A$19:$A$1018,B657)&gt;0,TRUE,FALSE)=FALSE,VLOOKUP(B657,SecDB,4,FALSE),VLOOKUP(VLOOKUP(B657,SecFiberDB,2,FALSE),SecDB,4,FALSE)))</f>
        <v/>
      </c>
      <c r="D657" s="41" t="str">
        <f t="shared" si="10"/>
        <v/>
      </c>
    </row>
    <row r="658" spans="3:4" x14ac:dyDescent="0.25">
      <c r="C658" s="41" t="str">
        <f>IF(A658=0,"",IF(IF(COUNTIF(Sec_Fiber!$A$19:$A$1018,B658)&gt;0,TRUE,FALSE)=FALSE,VLOOKUP(B658,SecDB,4,FALSE),VLOOKUP(VLOOKUP(B658,SecFiberDB,2,FALSE),SecDB,4,FALSE)))</f>
        <v/>
      </c>
      <c r="D658" s="41" t="str">
        <f t="shared" si="10"/>
        <v/>
      </c>
    </row>
    <row r="659" spans="3:4" x14ac:dyDescent="0.25">
      <c r="C659" s="41" t="str">
        <f>IF(A659=0,"",IF(IF(COUNTIF(Sec_Fiber!$A$19:$A$1018,B659)&gt;0,TRUE,FALSE)=FALSE,VLOOKUP(B659,SecDB,4,FALSE),VLOOKUP(VLOOKUP(B659,SecFiberDB,2,FALSE),SecDB,4,FALSE)))</f>
        <v/>
      </c>
      <c r="D659" s="41" t="str">
        <f t="shared" si="10"/>
        <v/>
      </c>
    </row>
    <row r="660" spans="3:4" x14ac:dyDescent="0.25">
      <c r="C660" s="41" t="str">
        <f>IF(A660=0,"",IF(IF(COUNTIF(Sec_Fiber!$A$19:$A$1018,B660)&gt;0,TRUE,FALSE)=FALSE,VLOOKUP(B660,SecDB,4,FALSE),VLOOKUP(VLOOKUP(B660,SecFiberDB,2,FALSE),SecDB,4,FALSE)))</f>
        <v/>
      </c>
      <c r="D660" s="41" t="str">
        <f t="shared" si="10"/>
        <v/>
      </c>
    </row>
    <row r="661" spans="3:4" x14ac:dyDescent="0.25">
      <c r="C661" s="41" t="str">
        <f>IF(A661=0,"",IF(IF(COUNTIF(Sec_Fiber!$A$19:$A$1018,B661)&gt;0,TRUE,FALSE)=FALSE,VLOOKUP(B661,SecDB,4,FALSE),VLOOKUP(VLOOKUP(B661,SecFiberDB,2,FALSE),SecDB,4,FALSE)))</f>
        <v/>
      </c>
      <c r="D661" s="41" t="str">
        <f t="shared" si="10"/>
        <v/>
      </c>
    </row>
    <row r="662" spans="3:4" x14ac:dyDescent="0.25">
      <c r="C662" s="41" t="str">
        <f>IF(A662=0,"",IF(IF(COUNTIF(Sec_Fiber!$A$19:$A$1018,B662)&gt;0,TRUE,FALSE)=FALSE,VLOOKUP(B662,SecDB,4,FALSE),VLOOKUP(VLOOKUP(B662,SecFiberDB,2,FALSE),SecDB,4,FALSE)))</f>
        <v/>
      </c>
      <c r="D662" s="41" t="str">
        <f t="shared" si="10"/>
        <v/>
      </c>
    </row>
    <row r="663" spans="3:4" x14ac:dyDescent="0.25">
      <c r="C663" s="41" t="str">
        <f>IF(A663=0,"",IF(IF(COUNTIF(Sec_Fiber!$A$19:$A$1018,B663)&gt;0,TRUE,FALSE)=FALSE,VLOOKUP(B663,SecDB,4,FALSE),VLOOKUP(VLOOKUP(B663,SecFiberDB,2,FALSE),SecDB,4,FALSE)))</f>
        <v/>
      </c>
      <c r="D663" s="41" t="str">
        <f t="shared" si="10"/>
        <v/>
      </c>
    </row>
    <row r="664" spans="3:4" x14ac:dyDescent="0.25">
      <c r="C664" s="41" t="str">
        <f>IF(A664=0,"",IF(IF(COUNTIF(Sec_Fiber!$A$19:$A$1018,B664)&gt;0,TRUE,FALSE)=FALSE,VLOOKUP(B664,SecDB,4,FALSE),VLOOKUP(VLOOKUP(B664,SecFiberDB,2,FALSE),SecDB,4,FALSE)))</f>
        <v/>
      </c>
      <c r="D664" s="41" t="str">
        <f t="shared" si="10"/>
        <v/>
      </c>
    </row>
    <row r="665" spans="3:4" x14ac:dyDescent="0.25">
      <c r="C665" s="41" t="str">
        <f>IF(A665=0,"",IF(IF(COUNTIF(Sec_Fiber!$A$19:$A$1018,B665)&gt;0,TRUE,FALSE)=FALSE,VLOOKUP(B665,SecDB,4,FALSE),VLOOKUP(VLOOKUP(B665,SecFiberDB,2,FALSE),SecDB,4,FALSE)))</f>
        <v/>
      </c>
      <c r="D665" s="41" t="str">
        <f t="shared" si="10"/>
        <v/>
      </c>
    </row>
    <row r="666" spans="3:4" x14ac:dyDescent="0.25">
      <c r="C666" s="41" t="str">
        <f>IF(A666=0,"",IF(IF(COUNTIF(Sec_Fiber!$A$19:$A$1018,B666)&gt;0,TRUE,FALSE)=FALSE,VLOOKUP(B666,SecDB,4,FALSE),VLOOKUP(VLOOKUP(B666,SecFiberDB,2,FALSE),SecDB,4,FALSE)))</f>
        <v/>
      </c>
      <c r="D666" s="41" t="str">
        <f t="shared" si="10"/>
        <v/>
      </c>
    </row>
    <row r="667" spans="3:4" x14ac:dyDescent="0.25">
      <c r="C667" s="41" t="str">
        <f>IF(A667=0,"",IF(IF(COUNTIF(Sec_Fiber!$A$19:$A$1018,B667)&gt;0,TRUE,FALSE)=FALSE,VLOOKUP(B667,SecDB,4,FALSE),VLOOKUP(VLOOKUP(B667,SecFiberDB,2,FALSE),SecDB,4,FALSE)))</f>
        <v/>
      </c>
      <c r="D667" s="41" t="str">
        <f t="shared" si="10"/>
        <v/>
      </c>
    </row>
    <row r="668" spans="3:4" x14ac:dyDescent="0.25">
      <c r="C668" s="41" t="str">
        <f>IF(A668=0,"",IF(IF(COUNTIF(Sec_Fiber!$A$19:$A$1018,B668)&gt;0,TRUE,FALSE)=FALSE,VLOOKUP(B668,SecDB,4,FALSE),VLOOKUP(VLOOKUP(B668,SecFiberDB,2,FALSE),SecDB,4,FALSE)))</f>
        <v/>
      </c>
      <c r="D668" s="41" t="str">
        <f t="shared" si="10"/>
        <v/>
      </c>
    </row>
    <row r="669" spans="3:4" x14ac:dyDescent="0.25">
      <c r="C669" s="41" t="str">
        <f>IF(A669=0,"",IF(IF(COUNTIF(Sec_Fiber!$A$19:$A$1018,B669)&gt;0,TRUE,FALSE)=FALSE,VLOOKUP(B669,SecDB,4,FALSE),VLOOKUP(VLOOKUP(B669,SecFiberDB,2,FALSE),SecDB,4,FALSE)))</f>
        <v/>
      </c>
      <c r="D669" s="41" t="str">
        <f t="shared" si="10"/>
        <v/>
      </c>
    </row>
    <row r="670" spans="3:4" x14ac:dyDescent="0.25">
      <c r="C670" s="41" t="str">
        <f>IF(A670=0,"",IF(IF(COUNTIF(Sec_Fiber!$A$19:$A$1018,B670)&gt;0,TRUE,FALSE)=FALSE,VLOOKUP(B670,SecDB,4,FALSE),VLOOKUP(VLOOKUP(B670,SecFiberDB,2,FALSE),SecDB,4,FALSE)))</f>
        <v/>
      </c>
      <c r="D670" s="41" t="str">
        <f t="shared" si="10"/>
        <v/>
      </c>
    </row>
    <row r="671" spans="3:4" x14ac:dyDescent="0.25">
      <c r="C671" s="41" t="str">
        <f>IF(A671=0,"",IF(IF(COUNTIF(Sec_Fiber!$A$19:$A$1018,B671)&gt;0,TRUE,FALSE)=FALSE,VLOOKUP(B671,SecDB,4,FALSE),VLOOKUP(VLOOKUP(B671,SecFiberDB,2,FALSE),SecDB,4,FALSE)))</f>
        <v/>
      </c>
      <c r="D671" s="41" t="str">
        <f t="shared" si="10"/>
        <v/>
      </c>
    </row>
    <row r="672" spans="3:4" x14ac:dyDescent="0.25">
      <c r="C672" s="41" t="str">
        <f>IF(A672=0,"",IF(IF(COUNTIF(Sec_Fiber!$A$19:$A$1018,B672)&gt;0,TRUE,FALSE)=FALSE,VLOOKUP(B672,SecDB,4,FALSE),VLOOKUP(VLOOKUP(B672,SecFiberDB,2,FALSE),SecDB,4,FALSE)))</f>
        <v/>
      </c>
      <c r="D672" s="41" t="str">
        <f t="shared" si="10"/>
        <v/>
      </c>
    </row>
    <row r="673" spans="3:4" x14ac:dyDescent="0.25">
      <c r="C673" s="41" t="str">
        <f>IF(A673=0,"",IF(IF(COUNTIF(Sec_Fiber!$A$19:$A$1018,B673)&gt;0,TRUE,FALSE)=FALSE,VLOOKUP(B673,SecDB,4,FALSE),VLOOKUP(VLOOKUP(B673,SecFiberDB,2,FALSE),SecDB,4,FALSE)))</f>
        <v/>
      </c>
      <c r="D673" s="41" t="str">
        <f t="shared" si="10"/>
        <v/>
      </c>
    </row>
    <row r="674" spans="3:4" x14ac:dyDescent="0.25">
      <c r="C674" s="41" t="str">
        <f>IF(A674=0,"",IF(IF(COUNTIF(Sec_Fiber!$A$19:$A$1018,B674)&gt;0,TRUE,FALSE)=FALSE,VLOOKUP(B674,SecDB,4,FALSE),VLOOKUP(VLOOKUP(B674,SecFiberDB,2,FALSE),SecDB,4,FALSE)))</f>
        <v/>
      </c>
      <c r="D674" s="41" t="str">
        <f t="shared" si="10"/>
        <v/>
      </c>
    </row>
    <row r="675" spans="3:4" x14ac:dyDescent="0.25">
      <c r="C675" s="41" t="str">
        <f>IF(A675=0,"",IF(IF(COUNTIF(Sec_Fiber!$A$19:$A$1018,B675)&gt;0,TRUE,FALSE)=FALSE,VLOOKUP(B675,SecDB,4,FALSE),VLOOKUP(VLOOKUP(B675,SecFiberDB,2,FALSE),SecDB,4,FALSE)))</f>
        <v/>
      </c>
      <c r="D675" s="41" t="str">
        <f t="shared" si="10"/>
        <v/>
      </c>
    </row>
    <row r="676" spans="3:4" x14ac:dyDescent="0.25">
      <c r="C676" s="41" t="str">
        <f>IF(A676=0,"",IF(IF(COUNTIF(Sec_Fiber!$A$19:$A$1018,B676)&gt;0,TRUE,FALSE)=FALSE,VLOOKUP(B676,SecDB,4,FALSE),VLOOKUP(VLOOKUP(B676,SecFiberDB,2,FALSE),SecDB,4,FALSE)))</f>
        <v/>
      </c>
      <c r="D676" s="41" t="str">
        <f t="shared" si="10"/>
        <v/>
      </c>
    </row>
    <row r="677" spans="3:4" x14ac:dyDescent="0.25">
      <c r="C677" s="41" t="str">
        <f>IF(A677=0,"",IF(IF(COUNTIF(Sec_Fiber!$A$19:$A$1018,B677)&gt;0,TRUE,FALSE)=FALSE,VLOOKUP(B677,SecDB,4,FALSE),VLOOKUP(VLOOKUP(B677,SecFiberDB,2,FALSE),SecDB,4,FALSE)))</f>
        <v/>
      </c>
      <c r="D677" s="41" t="str">
        <f t="shared" si="10"/>
        <v/>
      </c>
    </row>
    <row r="678" spans="3:4" x14ac:dyDescent="0.25">
      <c r="C678" s="41" t="str">
        <f>IF(A678=0,"",IF(IF(COUNTIF(Sec_Fiber!$A$19:$A$1018,B678)&gt;0,TRUE,FALSE)=FALSE,VLOOKUP(B678,SecDB,4,FALSE),VLOOKUP(VLOOKUP(B678,SecFiberDB,2,FALSE),SecDB,4,FALSE)))</f>
        <v/>
      </c>
      <c r="D678" s="41" t="str">
        <f t="shared" si="10"/>
        <v/>
      </c>
    </row>
    <row r="679" spans="3:4" x14ac:dyDescent="0.25">
      <c r="C679" s="41" t="str">
        <f>IF(A679=0,"",IF(IF(COUNTIF(Sec_Fiber!$A$19:$A$1018,B679)&gt;0,TRUE,FALSE)=FALSE,VLOOKUP(B679,SecDB,4,FALSE),VLOOKUP(VLOOKUP(B679,SecFiberDB,2,FALSE),SecDB,4,FALSE)))</f>
        <v/>
      </c>
      <c r="D679" s="41" t="str">
        <f t="shared" si="10"/>
        <v/>
      </c>
    </row>
    <row r="680" spans="3:4" x14ac:dyDescent="0.25">
      <c r="C680" s="41" t="str">
        <f>IF(A680=0,"",IF(IF(COUNTIF(Sec_Fiber!$A$19:$A$1018,B680)&gt;0,TRUE,FALSE)=FALSE,VLOOKUP(B680,SecDB,4,FALSE),VLOOKUP(VLOOKUP(B680,SecFiberDB,2,FALSE),SecDB,4,FALSE)))</f>
        <v/>
      </c>
      <c r="D680" s="41" t="str">
        <f t="shared" si="10"/>
        <v/>
      </c>
    </row>
    <row r="681" spans="3:4" x14ac:dyDescent="0.25">
      <c r="C681" s="41" t="str">
        <f>IF(A681=0,"",IF(IF(COUNTIF(Sec_Fiber!$A$19:$A$1018,B681)&gt;0,TRUE,FALSE)=FALSE,VLOOKUP(B681,SecDB,4,FALSE),VLOOKUP(VLOOKUP(B681,SecFiberDB,2,FALSE),SecDB,4,FALSE)))</f>
        <v/>
      </c>
      <c r="D681" s="41" t="str">
        <f t="shared" si="10"/>
        <v/>
      </c>
    </row>
    <row r="682" spans="3:4" x14ac:dyDescent="0.25">
      <c r="C682" s="41" t="str">
        <f>IF(A682=0,"",IF(IF(COUNTIF(Sec_Fiber!$A$19:$A$1018,B682)&gt;0,TRUE,FALSE)=FALSE,VLOOKUP(B682,SecDB,4,FALSE),VLOOKUP(VLOOKUP(B682,SecFiberDB,2,FALSE),SecDB,4,FALSE)))</f>
        <v/>
      </c>
      <c r="D682" s="41" t="str">
        <f t="shared" si="10"/>
        <v/>
      </c>
    </row>
    <row r="683" spans="3:4" x14ac:dyDescent="0.25">
      <c r="C683" s="41" t="str">
        <f>IF(A683=0,"",IF(IF(COUNTIF(Sec_Fiber!$A$19:$A$1018,B683)&gt;0,TRUE,FALSE)=FALSE,VLOOKUP(B683,SecDB,4,FALSE),VLOOKUP(VLOOKUP(B683,SecFiberDB,2,FALSE),SecDB,4,FALSE)))</f>
        <v/>
      </c>
      <c r="D683" s="41" t="str">
        <f t="shared" si="10"/>
        <v/>
      </c>
    </row>
    <row r="684" spans="3:4" x14ac:dyDescent="0.25">
      <c r="C684" s="41" t="str">
        <f>IF(A684=0,"",IF(IF(COUNTIF(Sec_Fiber!$A$19:$A$1018,B684)&gt;0,TRUE,FALSE)=FALSE,VLOOKUP(B684,SecDB,4,FALSE),VLOOKUP(VLOOKUP(B684,SecFiberDB,2,FALSE),SecDB,4,FALSE)))</f>
        <v/>
      </c>
      <c r="D684" s="41" t="str">
        <f t="shared" si="10"/>
        <v/>
      </c>
    </row>
    <row r="685" spans="3:4" x14ac:dyDescent="0.25">
      <c r="C685" s="41" t="str">
        <f>IF(A685=0,"",IF(IF(COUNTIF(Sec_Fiber!$A$19:$A$1018,B685)&gt;0,TRUE,FALSE)=FALSE,VLOOKUP(B685,SecDB,4,FALSE),VLOOKUP(VLOOKUP(B685,SecFiberDB,2,FALSE),SecDB,4,FALSE)))</f>
        <v/>
      </c>
      <c r="D685" s="41" t="str">
        <f t="shared" si="10"/>
        <v/>
      </c>
    </row>
    <row r="686" spans="3:4" x14ac:dyDescent="0.25">
      <c r="C686" s="41" t="str">
        <f>IF(A686=0,"",IF(IF(COUNTIF(Sec_Fiber!$A$19:$A$1018,B686)&gt;0,TRUE,FALSE)=FALSE,VLOOKUP(B686,SecDB,4,FALSE),VLOOKUP(VLOOKUP(B686,SecFiberDB,2,FALSE),SecDB,4,FALSE)))</f>
        <v/>
      </c>
      <c r="D686" s="41" t="str">
        <f t="shared" si="10"/>
        <v/>
      </c>
    </row>
    <row r="687" spans="3:4" x14ac:dyDescent="0.25">
      <c r="C687" s="41" t="str">
        <f>IF(A687=0,"",IF(IF(COUNTIF(Sec_Fiber!$A$19:$A$1018,B687)&gt;0,TRUE,FALSE)=FALSE,VLOOKUP(B687,SecDB,4,FALSE),VLOOKUP(VLOOKUP(B687,SecFiberDB,2,FALSE),SecDB,4,FALSE)))</f>
        <v/>
      </c>
      <c r="D687" s="41" t="str">
        <f t="shared" si="10"/>
        <v/>
      </c>
    </row>
    <row r="688" spans="3:4" x14ac:dyDescent="0.25">
      <c r="C688" s="41" t="str">
        <f>IF(A688=0,"",IF(IF(COUNTIF(Sec_Fiber!$A$19:$A$1018,B688)&gt;0,TRUE,FALSE)=FALSE,VLOOKUP(B688,SecDB,4,FALSE),VLOOKUP(VLOOKUP(B688,SecFiberDB,2,FALSE),SecDB,4,FALSE)))</f>
        <v/>
      </c>
      <c r="D688" s="41" t="str">
        <f t="shared" si="10"/>
        <v/>
      </c>
    </row>
    <row r="689" spans="3:4" x14ac:dyDescent="0.25">
      <c r="C689" s="41" t="str">
        <f>IF(A689=0,"",IF(IF(COUNTIF(Sec_Fiber!$A$19:$A$1018,B689)&gt;0,TRUE,FALSE)=FALSE,VLOOKUP(B689,SecDB,4,FALSE),VLOOKUP(VLOOKUP(B689,SecFiberDB,2,FALSE),SecDB,4,FALSE)))</f>
        <v/>
      </c>
      <c r="D689" s="41" t="str">
        <f t="shared" si="10"/>
        <v/>
      </c>
    </row>
    <row r="690" spans="3:4" x14ac:dyDescent="0.25">
      <c r="C690" s="41" t="str">
        <f>IF(A690=0,"",IF(IF(COUNTIF(Sec_Fiber!$A$19:$A$1018,B690)&gt;0,TRUE,FALSE)=FALSE,VLOOKUP(B690,SecDB,4,FALSE),VLOOKUP(VLOOKUP(B690,SecFiberDB,2,FALSE),SecDB,4,FALSE)))</f>
        <v/>
      </c>
      <c r="D690" s="41" t="str">
        <f t="shared" si="10"/>
        <v/>
      </c>
    </row>
    <row r="691" spans="3:4" x14ac:dyDescent="0.25">
      <c r="C691" s="41" t="str">
        <f>IF(A691=0,"",IF(IF(COUNTIF(Sec_Fiber!$A$19:$A$1018,B691)&gt;0,TRUE,FALSE)=FALSE,VLOOKUP(B691,SecDB,4,FALSE),VLOOKUP(VLOOKUP(B691,SecFiberDB,2,FALSE),SecDB,4,FALSE)))</f>
        <v/>
      </c>
      <c r="D691" s="41" t="str">
        <f t="shared" si="10"/>
        <v/>
      </c>
    </row>
    <row r="692" spans="3:4" x14ac:dyDescent="0.25">
      <c r="C692" s="41" t="str">
        <f>IF(A692=0,"",IF(IF(COUNTIF(Sec_Fiber!$A$19:$A$1018,B692)&gt;0,TRUE,FALSE)=FALSE,VLOOKUP(B692,SecDB,4,FALSE),VLOOKUP(VLOOKUP(B692,SecFiberDB,2,FALSE),SecDB,4,FALSE)))</f>
        <v/>
      </c>
      <c r="D692" s="41" t="str">
        <f t="shared" si="10"/>
        <v/>
      </c>
    </row>
    <row r="693" spans="3:4" x14ac:dyDescent="0.25">
      <c r="C693" s="41" t="str">
        <f>IF(A693=0,"",IF(IF(COUNTIF(Sec_Fiber!$A$19:$A$1018,B693)&gt;0,TRUE,FALSE)=FALSE,VLOOKUP(B693,SecDB,4,FALSE),VLOOKUP(VLOOKUP(B693,SecFiberDB,2,FALSE),SecDB,4,FALSE)))</f>
        <v/>
      </c>
      <c r="D693" s="41" t="str">
        <f t="shared" si="10"/>
        <v/>
      </c>
    </row>
    <row r="694" spans="3:4" x14ac:dyDescent="0.25">
      <c r="C694" s="41" t="str">
        <f>IF(A694=0,"",IF(IF(COUNTIF(Sec_Fiber!$A$19:$A$1018,B694)&gt;0,TRUE,FALSE)=FALSE,VLOOKUP(B694,SecDB,4,FALSE),VLOOKUP(VLOOKUP(B694,SecFiberDB,2,FALSE),SecDB,4,FALSE)))</f>
        <v/>
      </c>
      <c r="D694" s="41" t="str">
        <f t="shared" si="10"/>
        <v/>
      </c>
    </row>
    <row r="695" spans="3:4" x14ac:dyDescent="0.25">
      <c r="C695" s="41" t="str">
        <f>IF(A695=0,"",IF(IF(COUNTIF(Sec_Fiber!$A$19:$A$1018,B695)&gt;0,TRUE,FALSE)=FALSE,VLOOKUP(B695,SecDB,4,FALSE),VLOOKUP(VLOOKUP(B695,SecFiberDB,2,FALSE),SecDB,4,FALSE)))</f>
        <v/>
      </c>
      <c r="D695" s="41" t="str">
        <f t="shared" si="10"/>
        <v/>
      </c>
    </row>
    <row r="696" spans="3:4" x14ac:dyDescent="0.25">
      <c r="C696" s="41" t="str">
        <f>IF(A696=0,"",IF(IF(COUNTIF(Sec_Fiber!$A$19:$A$1018,B696)&gt;0,TRUE,FALSE)=FALSE,VLOOKUP(B696,SecDB,4,FALSE),VLOOKUP(VLOOKUP(B696,SecFiberDB,2,FALSE),SecDB,4,FALSE)))</f>
        <v/>
      </c>
      <c r="D696" s="41" t="str">
        <f t="shared" si="10"/>
        <v/>
      </c>
    </row>
    <row r="697" spans="3:4" x14ac:dyDescent="0.25">
      <c r="C697" s="41" t="str">
        <f>IF(A697=0,"",IF(IF(COUNTIF(Sec_Fiber!$A$19:$A$1018,B697)&gt;0,TRUE,FALSE)=FALSE,VLOOKUP(B697,SecDB,4,FALSE),VLOOKUP(VLOOKUP(B697,SecFiberDB,2,FALSE),SecDB,4,FALSE)))</f>
        <v/>
      </c>
      <c r="D697" s="41" t="str">
        <f t="shared" si="10"/>
        <v/>
      </c>
    </row>
    <row r="698" spans="3:4" x14ac:dyDescent="0.25">
      <c r="C698" s="41" t="str">
        <f>IF(A698=0,"",IF(IF(COUNTIF(Sec_Fiber!$A$19:$A$1018,B698)&gt;0,TRUE,FALSE)=FALSE,VLOOKUP(B698,SecDB,4,FALSE),VLOOKUP(VLOOKUP(B698,SecFiberDB,2,FALSE),SecDB,4,FALSE)))</f>
        <v/>
      </c>
      <c r="D698" s="41" t="str">
        <f t="shared" si="10"/>
        <v/>
      </c>
    </row>
    <row r="699" spans="3:4" x14ac:dyDescent="0.25">
      <c r="C699" s="41" t="str">
        <f>IF(A699=0,"",IF(IF(COUNTIF(Sec_Fiber!$A$19:$A$1018,B699)&gt;0,TRUE,FALSE)=FALSE,VLOOKUP(B699,SecDB,4,FALSE),VLOOKUP(VLOOKUP(B699,SecFiberDB,2,FALSE),SecDB,4,FALSE)))</f>
        <v/>
      </c>
      <c r="D699" s="41" t="str">
        <f t="shared" si="10"/>
        <v/>
      </c>
    </row>
    <row r="700" spans="3:4" x14ac:dyDescent="0.25">
      <c r="C700" s="41" t="str">
        <f>IF(A700=0,"",IF(IF(COUNTIF(Sec_Fiber!$A$19:$A$1018,B700)&gt;0,TRUE,FALSE)=FALSE,VLOOKUP(B700,SecDB,4,FALSE),VLOOKUP(VLOOKUP(B700,SecFiberDB,2,FALSE),SecDB,4,FALSE)))</f>
        <v/>
      </c>
      <c r="D700" s="41" t="str">
        <f t="shared" si="10"/>
        <v/>
      </c>
    </row>
    <row r="701" spans="3:4" x14ac:dyDescent="0.25">
      <c r="C701" s="41" t="str">
        <f>IF(A701=0,"",IF(IF(COUNTIF(Sec_Fiber!$A$19:$A$1018,B701)&gt;0,TRUE,FALSE)=FALSE,VLOOKUP(B701,SecDB,4,FALSE),VLOOKUP(VLOOKUP(B701,SecFiberDB,2,FALSE),SecDB,4,FALSE)))</f>
        <v/>
      </c>
      <c r="D701" s="41" t="str">
        <f t="shared" si="10"/>
        <v/>
      </c>
    </row>
    <row r="702" spans="3:4" x14ac:dyDescent="0.25">
      <c r="C702" s="41" t="str">
        <f>IF(A702=0,"",IF(IF(COUNTIF(Sec_Fiber!$A$19:$A$1018,B702)&gt;0,TRUE,FALSE)=FALSE,VLOOKUP(B702,SecDB,4,FALSE),VLOOKUP(VLOOKUP(B702,SecFiberDB,2,FALSE),SecDB,4,FALSE)))</f>
        <v/>
      </c>
      <c r="D702" s="41" t="str">
        <f t="shared" si="10"/>
        <v/>
      </c>
    </row>
    <row r="703" spans="3:4" x14ac:dyDescent="0.25">
      <c r="C703" s="41" t="str">
        <f>IF(A703=0,"",IF(IF(COUNTIF(Sec_Fiber!$A$19:$A$1018,B703)&gt;0,TRUE,FALSE)=FALSE,VLOOKUP(B703,SecDB,4,FALSE),VLOOKUP(VLOOKUP(B703,SecFiberDB,2,FALSE),SecDB,4,FALSE)))</f>
        <v/>
      </c>
      <c r="D703" s="41" t="str">
        <f t="shared" si="10"/>
        <v/>
      </c>
    </row>
    <row r="704" spans="3:4" x14ac:dyDescent="0.25">
      <c r="C704" s="41" t="str">
        <f>IF(A704=0,"",IF(IF(COUNTIF(Sec_Fiber!$A$19:$A$1018,B704)&gt;0,TRUE,FALSE)=FALSE,VLOOKUP(B704,SecDB,4,FALSE),VLOOKUP(VLOOKUP(B704,SecFiberDB,2,FALSE),SecDB,4,FALSE)))</f>
        <v/>
      </c>
      <c r="D704" s="41" t="str">
        <f t="shared" si="10"/>
        <v/>
      </c>
    </row>
    <row r="705" spans="3:4" x14ac:dyDescent="0.25">
      <c r="C705" s="41" t="str">
        <f>IF(A705=0,"",IF(IF(COUNTIF(Sec_Fiber!$A$19:$A$1018,B705)&gt;0,TRUE,FALSE)=FALSE,VLOOKUP(B705,SecDB,4,FALSE),VLOOKUP(VLOOKUP(B705,SecFiberDB,2,FALSE),SecDB,4,FALSE)))</f>
        <v/>
      </c>
      <c r="D705" s="41" t="str">
        <f t="shared" si="10"/>
        <v/>
      </c>
    </row>
    <row r="706" spans="3:4" x14ac:dyDescent="0.25">
      <c r="C706" s="41" t="str">
        <f>IF(A706=0,"",IF(IF(COUNTIF(Sec_Fiber!$A$19:$A$1018,B706)&gt;0,TRUE,FALSE)=FALSE,VLOOKUP(B706,SecDB,4,FALSE),VLOOKUP(VLOOKUP(B706,SecFiberDB,2,FALSE),SecDB,4,FALSE)))</f>
        <v/>
      </c>
      <c r="D706" s="41" t="str">
        <f t="shared" si="10"/>
        <v/>
      </c>
    </row>
    <row r="707" spans="3:4" x14ac:dyDescent="0.25">
      <c r="C707" s="41" t="str">
        <f>IF(A707=0,"",IF(IF(COUNTIF(Sec_Fiber!$A$19:$A$1018,B707)&gt;0,TRUE,FALSE)=FALSE,VLOOKUP(B707,SecDB,4,FALSE),VLOOKUP(VLOOKUP(B707,SecFiberDB,2,FALSE),SecDB,4,FALSE)))</f>
        <v/>
      </c>
      <c r="D707" s="41" t="str">
        <f t="shared" si="10"/>
        <v/>
      </c>
    </row>
    <row r="708" spans="3:4" x14ac:dyDescent="0.25">
      <c r="C708" s="41" t="str">
        <f>IF(A708=0,"",IF(IF(COUNTIF(Sec_Fiber!$A$19:$A$1018,B708)&gt;0,TRUE,FALSE)=FALSE,VLOOKUP(B708,SecDB,4,FALSE),VLOOKUP(VLOOKUP(B708,SecFiberDB,2,FALSE),SecDB,4,FALSE)))</f>
        <v/>
      </c>
      <c r="D708" s="41" t="str">
        <f t="shared" si="10"/>
        <v/>
      </c>
    </row>
    <row r="709" spans="3:4" x14ac:dyDescent="0.25">
      <c r="C709" s="41" t="str">
        <f>IF(A709=0,"",IF(IF(COUNTIF(Sec_Fiber!$A$19:$A$1018,B709)&gt;0,TRUE,FALSE)=FALSE,VLOOKUP(B709,SecDB,4,FALSE),VLOOKUP(VLOOKUP(B709,SecFiberDB,2,FALSE),SecDB,4,FALSE)))</f>
        <v/>
      </c>
      <c r="D709" s="41" t="str">
        <f t="shared" si="10"/>
        <v/>
      </c>
    </row>
    <row r="710" spans="3:4" x14ac:dyDescent="0.25">
      <c r="C710" s="41" t="str">
        <f>IF(A710=0,"",IF(IF(COUNTIF(Sec_Fiber!$A$19:$A$1018,B710)&gt;0,TRUE,FALSE)=FALSE,VLOOKUP(B710,SecDB,4,FALSE),VLOOKUP(VLOOKUP(B710,SecFiberDB,2,FALSE),SecDB,4,FALSE)))</f>
        <v/>
      </c>
      <c r="D710" s="41" t="str">
        <f t="shared" si="10"/>
        <v/>
      </c>
    </row>
    <row r="711" spans="3:4" x14ac:dyDescent="0.25">
      <c r="C711" s="41" t="str">
        <f>IF(A711=0,"",IF(IF(COUNTIF(Sec_Fiber!$A$19:$A$1018,B711)&gt;0,TRUE,FALSE)=FALSE,VLOOKUP(B711,SecDB,4,FALSE),VLOOKUP(VLOOKUP(B711,SecFiberDB,2,FALSE),SecDB,4,FALSE)))</f>
        <v/>
      </c>
      <c r="D711" s="41" t="str">
        <f t="shared" si="10"/>
        <v/>
      </c>
    </row>
    <row r="712" spans="3:4" x14ac:dyDescent="0.25">
      <c r="C712" s="41" t="str">
        <f>IF(A712=0,"",IF(IF(COUNTIF(Sec_Fiber!$A$19:$A$1018,B712)&gt;0,TRUE,FALSE)=FALSE,VLOOKUP(B712,SecDB,4,FALSE),VLOOKUP(VLOOKUP(B712,SecFiberDB,2,FALSE),SecDB,4,FALSE)))</f>
        <v/>
      </c>
      <c r="D712" s="41" t="str">
        <f t="shared" si="10"/>
        <v/>
      </c>
    </row>
    <row r="713" spans="3:4" x14ac:dyDescent="0.25">
      <c r="C713" s="41" t="str">
        <f>IF(A713=0,"",IF(IF(COUNTIF(Sec_Fiber!$A$19:$A$1018,B713)&gt;0,TRUE,FALSE)=FALSE,VLOOKUP(B713,SecDB,4,FALSE),VLOOKUP(VLOOKUP(B713,SecFiberDB,2,FALSE),SecDB,4,FALSE)))</f>
        <v/>
      </c>
      <c r="D713" s="41" t="str">
        <f t="shared" ref="D713:D776" si="11">IF(A713=0,"","Aggregator")</f>
        <v/>
      </c>
    </row>
    <row r="714" spans="3:4" x14ac:dyDescent="0.25">
      <c r="C714" s="41" t="str">
        <f>IF(A714=0,"",IF(IF(COUNTIF(Sec_Fiber!$A$19:$A$1018,B714)&gt;0,TRUE,FALSE)=FALSE,VLOOKUP(B714,SecDB,4,FALSE),VLOOKUP(VLOOKUP(B714,SecFiberDB,2,FALSE),SecDB,4,FALSE)))</f>
        <v/>
      </c>
      <c r="D714" s="41" t="str">
        <f t="shared" si="11"/>
        <v/>
      </c>
    </row>
    <row r="715" spans="3:4" x14ac:dyDescent="0.25">
      <c r="C715" s="41" t="str">
        <f>IF(A715=0,"",IF(IF(COUNTIF(Sec_Fiber!$A$19:$A$1018,B715)&gt;0,TRUE,FALSE)=FALSE,VLOOKUP(B715,SecDB,4,FALSE),VLOOKUP(VLOOKUP(B715,SecFiberDB,2,FALSE),SecDB,4,FALSE)))</f>
        <v/>
      </c>
      <c r="D715" s="41" t="str">
        <f t="shared" si="11"/>
        <v/>
      </c>
    </row>
    <row r="716" spans="3:4" x14ac:dyDescent="0.25">
      <c r="C716" s="41" t="str">
        <f>IF(A716=0,"",IF(IF(COUNTIF(Sec_Fiber!$A$19:$A$1018,B716)&gt;0,TRUE,FALSE)=FALSE,VLOOKUP(B716,SecDB,4,FALSE),VLOOKUP(VLOOKUP(B716,SecFiberDB,2,FALSE),SecDB,4,FALSE)))</f>
        <v/>
      </c>
      <c r="D716" s="41" t="str">
        <f t="shared" si="11"/>
        <v/>
      </c>
    </row>
    <row r="717" spans="3:4" x14ac:dyDescent="0.25">
      <c r="C717" s="41" t="str">
        <f>IF(A717=0,"",IF(IF(COUNTIF(Sec_Fiber!$A$19:$A$1018,B717)&gt;0,TRUE,FALSE)=FALSE,VLOOKUP(B717,SecDB,4,FALSE),VLOOKUP(VLOOKUP(B717,SecFiberDB,2,FALSE),SecDB,4,FALSE)))</f>
        <v/>
      </c>
      <c r="D717" s="41" t="str">
        <f t="shared" si="11"/>
        <v/>
      </c>
    </row>
    <row r="718" spans="3:4" x14ac:dyDescent="0.25">
      <c r="C718" s="41" t="str">
        <f>IF(A718=0,"",IF(IF(COUNTIF(Sec_Fiber!$A$19:$A$1018,B718)&gt;0,TRUE,FALSE)=FALSE,VLOOKUP(B718,SecDB,4,FALSE),VLOOKUP(VLOOKUP(B718,SecFiberDB,2,FALSE),SecDB,4,FALSE)))</f>
        <v/>
      </c>
      <c r="D718" s="41" t="str">
        <f t="shared" si="11"/>
        <v/>
      </c>
    </row>
    <row r="719" spans="3:4" x14ac:dyDescent="0.25">
      <c r="C719" s="41" t="str">
        <f>IF(A719=0,"",IF(IF(COUNTIF(Sec_Fiber!$A$19:$A$1018,B719)&gt;0,TRUE,FALSE)=FALSE,VLOOKUP(B719,SecDB,4,FALSE),VLOOKUP(VLOOKUP(B719,SecFiberDB,2,FALSE),SecDB,4,FALSE)))</f>
        <v/>
      </c>
      <c r="D719" s="41" t="str">
        <f t="shared" si="11"/>
        <v/>
      </c>
    </row>
    <row r="720" spans="3:4" x14ac:dyDescent="0.25">
      <c r="C720" s="41" t="str">
        <f>IF(A720=0,"",IF(IF(COUNTIF(Sec_Fiber!$A$19:$A$1018,B720)&gt;0,TRUE,FALSE)=FALSE,VLOOKUP(B720,SecDB,4,FALSE),VLOOKUP(VLOOKUP(B720,SecFiberDB,2,FALSE),SecDB,4,FALSE)))</f>
        <v/>
      </c>
      <c r="D720" s="41" t="str">
        <f t="shared" si="11"/>
        <v/>
      </c>
    </row>
    <row r="721" spans="3:4" x14ac:dyDescent="0.25">
      <c r="C721" s="41" t="str">
        <f>IF(A721=0,"",IF(IF(COUNTIF(Sec_Fiber!$A$19:$A$1018,B721)&gt;0,TRUE,FALSE)=FALSE,VLOOKUP(B721,SecDB,4,FALSE),VLOOKUP(VLOOKUP(B721,SecFiberDB,2,FALSE),SecDB,4,FALSE)))</f>
        <v/>
      </c>
      <c r="D721" s="41" t="str">
        <f t="shared" si="11"/>
        <v/>
      </c>
    </row>
    <row r="722" spans="3:4" x14ac:dyDescent="0.25">
      <c r="C722" s="41" t="str">
        <f>IF(A722=0,"",IF(IF(COUNTIF(Sec_Fiber!$A$19:$A$1018,B722)&gt;0,TRUE,FALSE)=FALSE,VLOOKUP(B722,SecDB,4,FALSE),VLOOKUP(VLOOKUP(B722,SecFiberDB,2,FALSE),SecDB,4,FALSE)))</f>
        <v/>
      </c>
      <c r="D722" s="41" t="str">
        <f t="shared" si="11"/>
        <v/>
      </c>
    </row>
    <row r="723" spans="3:4" x14ac:dyDescent="0.25">
      <c r="C723" s="41" t="str">
        <f>IF(A723=0,"",IF(IF(COUNTIF(Sec_Fiber!$A$19:$A$1018,B723)&gt;0,TRUE,FALSE)=FALSE,VLOOKUP(B723,SecDB,4,FALSE),VLOOKUP(VLOOKUP(B723,SecFiberDB,2,FALSE),SecDB,4,FALSE)))</f>
        <v/>
      </c>
      <c r="D723" s="41" t="str">
        <f t="shared" si="11"/>
        <v/>
      </c>
    </row>
    <row r="724" spans="3:4" x14ac:dyDescent="0.25">
      <c r="C724" s="41" t="str">
        <f>IF(A724=0,"",IF(IF(COUNTIF(Sec_Fiber!$A$19:$A$1018,B724)&gt;0,TRUE,FALSE)=FALSE,VLOOKUP(B724,SecDB,4,FALSE),VLOOKUP(VLOOKUP(B724,SecFiberDB,2,FALSE),SecDB,4,FALSE)))</f>
        <v/>
      </c>
      <c r="D724" s="41" t="str">
        <f t="shared" si="11"/>
        <v/>
      </c>
    </row>
    <row r="725" spans="3:4" x14ac:dyDescent="0.25">
      <c r="C725" s="41" t="str">
        <f>IF(A725=0,"",IF(IF(COUNTIF(Sec_Fiber!$A$19:$A$1018,B725)&gt;0,TRUE,FALSE)=FALSE,VLOOKUP(B725,SecDB,4,FALSE),VLOOKUP(VLOOKUP(B725,SecFiberDB,2,FALSE),SecDB,4,FALSE)))</f>
        <v/>
      </c>
      <c r="D725" s="41" t="str">
        <f t="shared" si="11"/>
        <v/>
      </c>
    </row>
    <row r="726" spans="3:4" x14ac:dyDescent="0.25">
      <c r="C726" s="41" t="str">
        <f>IF(A726=0,"",IF(IF(COUNTIF(Sec_Fiber!$A$19:$A$1018,B726)&gt;0,TRUE,FALSE)=FALSE,VLOOKUP(B726,SecDB,4,FALSE),VLOOKUP(VLOOKUP(B726,SecFiberDB,2,FALSE),SecDB,4,FALSE)))</f>
        <v/>
      </c>
      <c r="D726" s="41" t="str">
        <f t="shared" si="11"/>
        <v/>
      </c>
    </row>
    <row r="727" spans="3:4" x14ac:dyDescent="0.25">
      <c r="C727" s="41" t="str">
        <f>IF(A727=0,"",IF(IF(COUNTIF(Sec_Fiber!$A$19:$A$1018,B727)&gt;0,TRUE,FALSE)=FALSE,VLOOKUP(B727,SecDB,4,FALSE),VLOOKUP(VLOOKUP(B727,SecFiberDB,2,FALSE),SecDB,4,FALSE)))</f>
        <v/>
      </c>
      <c r="D727" s="41" t="str">
        <f t="shared" si="11"/>
        <v/>
      </c>
    </row>
    <row r="728" spans="3:4" x14ac:dyDescent="0.25">
      <c r="C728" s="41" t="str">
        <f>IF(A728=0,"",IF(IF(COUNTIF(Sec_Fiber!$A$19:$A$1018,B728)&gt;0,TRUE,FALSE)=FALSE,VLOOKUP(B728,SecDB,4,FALSE),VLOOKUP(VLOOKUP(B728,SecFiberDB,2,FALSE),SecDB,4,FALSE)))</f>
        <v/>
      </c>
      <c r="D728" s="41" t="str">
        <f t="shared" si="11"/>
        <v/>
      </c>
    </row>
    <row r="729" spans="3:4" x14ac:dyDescent="0.25">
      <c r="C729" s="41" t="str">
        <f>IF(A729=0,"",IF(IF(COUNTIF(Sec_Fiber!$A$19:$A$1018,B729)&gt;0,TRUE,FALSE)=FALSE,VLOOKUP(B729,SecDB,4,FALSE),VLOOKUP(VLOOKUP(B729,SecFiberDB,2,FALSE),SecDB,4,FALSE)))</f>
        <v/>
      </c>
      <c r="D729" s="41" t="str">
        <f t="shared" si="11"/>
        <v/>
      </c>
    </row>
    <row r="730" spans="3:4" x14ac:dyDescent="0.25">
      <c r="C730" s="41" t="str">
        <f>IF(A730=0,"",IF(IF(COUNTIF(Sec_Fiber!$A$19:$A$1018,B730)&gt;0,TRUE,FALSE)=FALSE,VLOOKUP(B730,SecDB,4,FALSE),VLOOKUP(VLOOKUP(B730,SecFiberDB,2,FALSE),SecDB,4,FALSE)))</f>
        <v/>
      </c>
      <c r="D730" s="41" t="str">
        <f t="shared" si="11"/>
        <v/>
      </c>
    </row>
    <row r="731" spans="3:4" x14ac:dyDescent="0.25">
      <c r="C731" s="41" t="str">
        <f>IF(A731=0,"",IF(IF(COUNTIF(Sec_Fiber!$A$19:$A$1018,B731)&gt;0,TRUE,FALSE)=FALSE,VLOOKUP(B731,SecDB,4,FALSE),VLOOKUP(VLOOKUP(B731,SecFiberDB,2,FALSE),SecDB,4,FALSE)))</f>
        <v/>
      </c>
      <c r="D731" s="41" t="str">
        <f t="shared" si="11"/>
        <v/>
      </c>
    </row>
    <row r="732" spans="3:4" x14ac:dyDescent="0.25">
      <c r="C732" s="41" t="str">
        <f>IF(A732=0,"",IF(IF(COUNTIF(Sec_Fiber!$A$19:$A$1018,B732)&gt;0,TRUE,FALSE)=FALSE,VLOOKUP(B732,SecDB,4,FALSE),VLOOKUP(VLOOKUP(B732,SecFiberDB,2,FALSE),SecDB,4,FALSE)))</f>
        <v/>
      </c>
      <c r="D732" s="41" t="str">
        <f t="shared" si="11"/>
        <v/>
      </c>
    </row>
    <row r="733" spans="3:4" x14ac:dyDescent="0.25">
      <c r="C733" s="41" t="str">
        <f>IF(A733=0,"",IF(IF(COUNTIF(Sec_Fiber!$A$19:$A$1018,B733)&gt;0,TRUE,FALSE)=FALSE,VLOOKUP(B733,SecDB,4,FALSE),VLOOKUP(VLOOKUP(B733,SecFiberDB,2,FALSE),SecDB,4,FALSE)))</f>
        <v/>
      </c>
      <c r="D733" s="41" t="str">
        <f t="shared" si="11"/>
        <v/>
      </c>
    </row>
    <row r="734" spans="3:4" x14ac:dyDescent="0.25">
      <c r="C734" s="41" t="str">
        <f>IF(A734=0,"",IF(IF(COUNTIF(Sec_Fiber!$A$19:$A$1018,B734)&gt;0,TRUE,FALSE)=FALSE,VLOOKUP(B734,SecDB,4,FALSE),VLOOKUP(VLOOKUP(B734,SecFiberDB,2,FALSE),SecDB,4,FALSE)))</f>
        <v/>
      </c>
      <c r="D734" s="41" t="str">
        <f t="shared" si="11"/>
        <v/>
      </c>
    </row>
    <row r="735" spans="3:4" x14ac:dyDescent="0.25">
      <c r="C735" s="41" t="str">
        <f>IF(A735=0,"",IF(IF(COUNTIF(Sec_Fiber!$A$19:$A$1018,B735)&gt;0,TRUE,FALSE)=FALSE,VLOOKUP(B735,SecDB,4,FALSE),VLOOKUP(VLOOKUP(B735,SecFiberDB,2,FALSE),SecDB,4,FALSE)))</f>
        <v/>
      </c>
      <c r="D735" s="41" t="str">
        <f t="shared" si="11"/>
        <v/>
      </c>
    </row>
    <row r="736" spans="3:4" x14ac:dyDescent="0.25">
      <c r="C736" s="41" t="str">
        <f>IF(A736=0,"",IF(IF(COUNTIF(Sec_Fiber!$A$19:$A$1018,B736)&gt;0,TRUE,FALSE)=FALSE,VLOOKUP(B736,SecDB,4,FALSE),VLOOKUP(VLOOKUP(B736,SecFiberDB,2,FALSE),SecDB,4,FALSE)))</f>
        <v/>
      </c>
      <c r="D736" s="41" t="str">
        <f t="shared" si="11"/>
        <v/>
      </c>
    </row>
    <row r="737" spans="3:4" x14ac:dyDescent="0.25">
      <c r="C737" s="41" t="str">
        <f>IF(A737=0,"",IF(IF(COUNTIF(Sec_Fiber!$A$19:$A$1018,B737)&gt;0,TRUE,FALSE)=FALSE,VLOOKUP(B737,SecDB,4,FALSE),VLOOKUP(VLOOKUP(B737,SecFiberDB,2,FALSE),SecDB,4,FALSE)))</f>
        <v/>
      </c>
      <c r="D737" s="41" t="str">
        <f t="shared" si="11"/>
        <v/>
      </c>
    </row>
    <row r="738" spans="3:4" x14ac:dyDescent="0.25">
      <c r="C738" s="41" t="str">
        <f>IF(A738=0,"",IF(IF(COUNTIF(Sec_Fiber!$A$19:$A$1018,B738)&gt;0,TRUE,FALSE)=FALSE,VLOOKUP(B738,SecDB,4,FALSE),VLOOKUP(VLOOKUP(B738,SecFiberDB,2,FALSE),SecDB,4,FALSE)))</f>
        <v/>
      </c>
      <c r="D738" s="41" t="str">
        <f t="shared" si="11"/>
        <v/>
      </c>
    </row>
    <row r="739" spans="3:4" x14ac:dyDescent="0.25">
      <c r="C739" s="41" t="str">
        <f>IF(A739=0,"",IF(IF(COUNTIF(Sec_Fiber!$A$19:$A$1018,B739)&gt;0,TRUE,FALSE)=FALSE,VLOOKUP(B739,SecDB,4,FALSE),VLOOKUP(VLOOKUP(B739,SecFiberDB,2,FALSE),SecDB,4,FALSE)))</f>
        <v/>
      </c>
      <c r="D739" s="41" t="str">
        <f t="shared" si="11"/>
        <v/>
      </c>
    </row>
    <row r="740" spans="3:4" x14ac:dyDescent="0.25">
      <c r="C740" s="41" t="str">
        <f>IF(A740=0,"",IF(IF(COUNTIF(Sec_Fiber!$A$19:$A$1018,B740)&gt;0,TRUE,FALSE)=FALSE,VLOOKUP(B740,SecDB,4,FALSE),VLOOKUP(VLOOKUP(B740,SecFiberDB,2,FALSE),SecDB,4,FALSE)))</f>
        <v/>
      </c>
      <c r="D740" s="41" t="str">
        <f t="shared" si="11"/>
        <v/>
      </c>
    </row>
    <row r="741" spans="3:4" x14ac:dyDescent="0.25">
      <c r="C741" s="41" t="str">
        <f>IF(A741=0,"",IF(IF(COUNTIF(Sec_Fiber!$A$19:$A$1018,B741)&gt;0,TRUE,FALSE)=FALSE,VLOOKUP(B741,SecDB,4,FALSE),VLOOKUP(VLOOKUP(B741,SecFiberDB,2,FALSE),SecDB,4,FALSE)))</f>
        <v/>
      </c>
      <c r="D741" s="41" t="str">
        <f t="shared" si="11"/>
        <v/>
      </c>
    </row>
    <row r="742" spans="3:4" x14ac:dyDescent="0.25">
      <c r="C742" s="41" t="str">
        <f>IF(A742=0,"",IF(IF(COUNTIF(Sec_Fiber!$A$19:$A$1018,B742)&gt;0,TRUE,FALSE)=FALSE,VLOOKUP(B742,SecDB,4,FALSE),VLOOKUP(VLOOKUP(B742,SecFiberDB,2,FALSE),SecDB,4,FALSE)))</f>
        <v/>
      </c>
      <c r="D742" s="41" t="str">
        <f t="shared" si="11"/>
        <v/>
      </c>
    </row>
    <row r="743" spans="3:4" x14ac:dyDescent="0.25">
      <c r="C743" s="41" t="str">
        <f>IF(A743=0,"",IF(IF(COUNTIF(Sec_Fiber!$A$19:$A$1018,B743)&gt;0,TRUE,FALSE)=FALSE,VLOOKUP(B743,SecDB,4,FALSE),VLOOKUP(VLOOKUP(B743,SecFiberDB,2,FALSE),SecDB,4,FALSE)))</f>
        <v/>
      </c>
      <c r="D743" s="41" t="str">
        <f t="shared" si="11"/>
        <v/>
      </c>
    </row>
    <row r="744" spans="3:4" x14ac:dyDescent="0.25">
      <c r="C744" s="41" t="str">
        <f>IF(A744=0,"",IF(IF(COUNTIF(Sec_Fiber!$A$19:$A$1018,B744)&gt;0,TRUE,FALSE)=FALSE,VLOOKUP(B744,SecDB,4,FALSE),VLOOKUP(VLOOKUP(B744,SecFiberDB,2,FALSE),SecDB,4,FALSE)))</f>
        <v/>
      </c>
      <c r="D744" s="41" t="str">
        <f t="shared" si="11"/>
        <v/>
      </c>
    </row>
    <row r="745" spans="3:4" x14ac:dyDescent="0.25">
      <c r="C745" s="41" t="str">
        <f>IF(A745=0,"",IF(IF(COUNTIF(Sec_Fiber!$A$19:$A$1018,B745)&gt;0,TRUE,FALSE)=FALSE,VLOOKUP(B745,SecDB,4,FALSE),VLOOKUP(VLOOKUP(B745,SecFiberDB,2,FALSE),SecDB,4,FALSE)))</f>
        <v/>
      </c>
      <c r="D745" s="41" t="str">
        <f t="shared" si="11"/>
        <v/>
      </c>
    </row>
    <row r="746" spans="3:4" x14ac:dyDescent="0.25">
      <c r="C746" s="41" t="str">
        <f>IF(A746=0,"",IF(IF(COUNTIF(Sec_Fiber!$A$19:$A$1018,B746)&gt;0,TRUE,FALSE)=FALSE,VLOOKUP(B746,SecDB,4,FALSE),VLOOKUP(VLOOKUP(B746,SecFiberDB,2,FALSE),SecDB,4,FALSE)))</f>
        <v/>
      </c>
      <c r="D746" s="41" t="str">
        <f t="shared" si="11"/>
        <v/>
      </c>
    </row>
    <row r="747" spans="3:4" x14ac:dyDescent="0.25">
      <c r="C747" s="41" t="str">
        <f>IF(A747=0,"",IF(IF(COUNTIF(Sec_Fiber!$A$19:$A$1018,B747)&gt;0,TRUE,FALSE)=FALSE,VLOOKUP(B747,SecDB,4,FALSE),VLOOKUP(VLOOKUP(B747,SecFiberDB,2,FALSE),SecDB,4,FALSE)))</f>
        <v/>
      </c>
      <c r="D747" s="41" t="str">
        <f t="shared" si="11"/>
        <v/>
      </c>
    </row>
    <row r="748" spans="3:4" x14ac:dyDescent="0.25">
      <c r="C748" s="41" t="str">
        <f>IF(A748=0,"",IF(IF(COUNTIF(Sec_Fiber!$A$19:$A$1018,B748)&gt;0,TRUE,FALSE)=FALSE,VLOOKUP(B748,SecDB,4,FALSE),VLOOKUP(VLOOKUP(B748,SecFiberDB,2,FALSE),SecDB,4,FALSE)))</f>
        <v/>
      </c>
      <c r="D748" s="41" t="str">
        <f t="shared" si="11"/>
        <v/>
      </c>
    </row>
    <row r="749" spans="3:4" x14ac:dyDescent="0.25">
      <c r="C749" s="41" t="str">
        <f>IF(A749=0,"",IF(IF(COUNTIF(Sec_Fiber!$A$19:$A$1018,B749)&gt;0,TRUE,FALSE)=FALSE,VLOOKUP(B749,SecDB,4,FALSE),VLOOKUP(VLOOKUP(B749,SecFiberDB,2,FALSE),SecDB,4,FALSE)))</f>
        <v/>
      </c>
      <c r="D749" s="41" t="str">
        <f t="shared" si="11"/>
        <v/>
      </c>
    </row>
    <row r="750" spans="3:4" x14ac:dyDescent="0.25">
      <c r="C750" s="41" t="str">
        <f>IF(A750=0,"",IF(IF(COUNTIF(Sec_Fiber!$A$19:$A$1018,B750)&gt;0,TRUE,FALSE)=FALSE,VLOOKUP(B750,SecDB,4,FALSE),VLOOKUP(VLOOKUP(B750,SecFiberDB,2,FALSE),SecDB,4,FALSE)))</f>
        <v/>
      </c>
      <c r="D750" s="41" t="str">
        <f t="shared" si="11"/>
        <v/>
      </c>
    </row>
    <row r="751" spans="3:4" x14ac:dyDescent="0.25">
      <c r="C751" s="41" t="str">
        <f>IF(A751=0,"",IF(IF(COUNTIF(Sec_Fiber!$A$19:$A$1018,B751)&gt;0,TRUE,FALSE)=FALSE,VLOOKUP(B751,SecDB,4,FALSE),VLOOKUP(VLOOKUP(B751,SecFiberDB,2,FALSE),SecDB,4,FALSE)))</f>
        <v/>
      </c>
      <c r="D751" s="41" t="str">
        <f t="shared" si="11"/>
        <v/>
      </c>
    </row>
    <row r="752" spans="3:4" x14ac:dyDescent="0.25">
      <c r="C752" s="41" t="str">
        <f>IF(A752=0,"",IF(IF(COUNTIF(Sec_Fiber!$A$19:$A$1018,B752)&gt;0,TRUE,FALSE)=FALSE,VLOOKUP(B752,SecDB,4,FALSE),VLOOKUP(VLOOKUP(B752,SecFiberDB,2,FALSE),SecDB,4,FALSE)))</f>
        <v/>
      </c>
      <c r="D752" s="41" t="str">
        <f t="shared" si="11"/>
        <v/>
      </c>
    </row>
    <row r="753" spans="3:4" x14ac:dyDescent="0.25">
      <c r="C753" s="41" t="str">
        <f>IF(A753=0,"",IF(IF(COUNTIF(Sec_Fiber!$A$19:$A$1018,B753)&gt;0,TRUE,FALSE)=FALSE,VLOOKUP(B753,SecDB,4,FALSE),VLOOKUP(VLOOKUP(B753,SecFiberDB,2,FALSE),SecDB,4,FALSE)))</f>
        <v/>
      </c>
      <c r="D753" s="41" t="str">
        <f t="shared" si="11"/>
        <v/>
      </c>
    </row>
    <row r="754" spans="3:4" x14ac:dyDescent="0.25">
      <c r="C754" s="41" t="str">
        <f>IF(A754=0,"",IF(IF(COUNTIF(Sec_Fiber!$A$19:$A$1018,B754)&gt;0,TRUE,FALSE)=FALSE,VLOOKUP(B754,SecDB,4,FALSE),VLOOKUP(VLOOKUP(B754,SecFiberDB,2,FALSE),SecDB,4,FALSE)))</f>
        <v/>
      </c>
      <c r="D754" s="41" t="str">
        <f t="shared" si="11"/>
        <v/>
      </c>
    </row>
    <row r="755" spans="3:4" x14ac:dyDescent="0.25">
      <c r="C755" s="41" t="str">
        <f>IF(A755=0,"",IF(IF(COUNTIF(Sec_Fiber!$A$19:$A$1018,B755)&gt;0,TRUE,FALSE)=FALSE,VLOOKUP(B755,SecDB,4,FALSE),VLOOKUP(VLOOKUP(B755,SecFiberDB,2,FALSE),SecDB,4,FALSE)))</f>
        <v/>
      </c>
      <c r="D755" s="41" t="str">
        <f t="shared" si="11"/>
        <v/>
      </c>
    </row>
    <row r="756" spans="3:4" x14ac:dyDescent="0.25">
      <c r="C756" s="41" t="str">
        <f>IF(A756=0,"",IF(IF(COUNTIF(Sec_Fiber!$A$19:$A$1018,B756)&gt;0,TRUE,FALSE)=FALSE,VLOOKUP(B756,SecDB,4,FALSE),VLOOKUP(VLOOKUP(B756,SecFiberDB,2,FALSE),SecDB,4,FALSE)))</f>
        <v/>
      </c>
      <c r="D756" s="41" t="str">
        <f t="shared" si="11"/>
        <v/>
      </c>
    </row>
    <row r="757" spans="3:4" x14ac:dyDescent="0.25">
      <c r="C757" s="41" t="str">
        <f>IF(A757=0,"",IF(IF(COUNTIF(Sec_Fiber!$A$19:$A$1018,B757)&gt;0,TRUE,FALSE)=FALSE,VLOOKUP(B757,SecDB,4,FALSE),VLOOKUP(VLOOKUP(B757,SecFiberDB,2,FALSE),SecDB,4,FALSE)))</f>
        <v/>
      </c>
      <c r="D757" s="41" t="str">
        <f t="shared" si="11"/>
        <v/>
      </c>
    </row>
    <row r="758" spans="3:4" x14ac:dyDescent="0.25">
      <c r="C758" s="41" t="str">
        <f>IF(A758=0,"",IF(IF(COUNTIF(Sec_Fiber!$A$19:$A$1018,B758)&gt;0,TRUE,FALSE)=FALSE,VLOOKUP(B758,SecDB,4,FALSE),VLOOKUP(VLOOKUP(B758,SecFiberDB,2,FALSE),SecDB,4,FALSE)))</f>
        <v/>
      </c>
      <c r="D758" s="41" t="str">
        <f t="shared" si="11"/>
        <v/>
      </c>
    </row>
    <row r="759" spans="3:4" x14ac:dyDescent="0.25">
      <c r="C759" s="41" t="str">
        <f>IF(A759=0,"",IF(IF(COUNTIF(Sec_Fiber!$A$19:$A$1018,B759)&gt;0,TRUE,FALSE)=FALSE,VLOOKUP(B759,SecDB,4,FALSE),VLOOKUP(VLOOKUP(B759,SecFiberDB,2,FALSE),SecDB,4,FALSE)))</f>
        <v/>
      </c>
      <c r="D759" s="41" t="str">
        <f t="shared" si="11"/>
        <v/>
      </c>
    </row>
    <row r="760" spans="3:4" x14ac:dyDescent="0.25">
      <c r="C760" s="41" t="str">
        <f>IF(A760=0,"",IF(IF(COUNTIF(Sec_Fiber!$A$19:$A$1018,B760)&gt;0,TRUE,FALSE)=FALSE,VLOOKUP(B760,SecDB,4,FALSE),VLOOKUP(VLOOKUP(B760,SecFiberDB,2,FALSE),SecDB,4,FALSE)))</f>
        <v/>
      </c>
      <c r="D760" s="41" t="str">
        <f t="shared" si="11"/>
        <v/>
      </c>
    </row>
    <row r="761" spans="3:4" x14ac:dyDescent="0.25">
      <c r="C761" s="41" t="str">
        <f>IF(A761=0,"",IF(IF(COUNTIF(Sec_Fiber!$A$19:$A$1018,B761)&gt;0,TRUE,FALSE)=FALSE,VLOOKUP(B761,SecDB,4,FALSE),VLOOKUP(VLOOKUP(B761,SecFiberDB,2,FALSE),SecDB,4,FALSE)))</f>
        <v/>
      </c>
      <c r="D761" s="41" t="str">
        <f t="shared" si="11"/>
        <v/>
      </c>
    </row>
    <row r="762" spans="3:4" x14ac:dyDescent="0.25">
      <c r="C762" s="41" t="str">
        <f>IF(A762=0,"",IF(IF(COUNTIF(Sec_Fiber!$A$19:$A$1018,B762)&gt;0,TRUE,FALSE)=FALSE,VLOOKUP(B762,SecDB,4,FALSE),VLOOKUP(VLOOKUP(B762,SecFiberDB,2,FALSE),SecDB,4,FALSE)))</f>
        <v/>
      </c>
      <c r="D762" s="41" t="str">
        <f t="shared" si="11"/>
        <v/>
      </c>
    </row>
    <row r="763" spans="3:4" x14ac:dyDescent="0.25">
      <c r="C763" s="41" t="str">
        <f>IF(A763=0,"",IF(IF(COUNTIF(Sec_Fiber!$A$19:$A$1018,B763)&gt;0,TRUE,FALSE)=FALSE,VLOOKUP(B763,SecDB,4,FALSE),VLOOKUP(VLOOKUP(B763,SecFiberDB,2,FALSE),SecDB,4,FALSE)))</f>
        <v/>
      </c>
      <c r="D763" s="41" t="str">
        <f t="shared" si="11"/>
        <v/>
      </c>
    </row>
    <row r="764" spans="3:4" x14ac:dyDescent="0.25">
      <c r="C764" s="41" t="str">
        <f>IF(A764=0,"",IF(IF(COUNTIF(Sec_Fiber!$A$19:$A$1018,B764)&gt;0,TRUE,FALSE)=FALSE,VLOOKUP(B764,SecDB,4,FALSE),VLOOKUP(VLOOKUP(B764,SecFiberDB,2,FALSE),SecDB,4,FALSE)))</f>
        <v/>
      </c>
      <c r="D764" s="41" t="str">
        <f t="shared" si="11"/>
        <v/>
      </c>
    </row>
    <row r="765" spans="3:4" x14ac:dyDescent="0.25">
      <c r="C765" s="41" t="str">
        <f>IF(A765=0,"",IF(IF(COUNTIF(Sec_Fiber!$A$19:$A$1018,B765)&gt;0,TRUE,FALSE)=FALSE,VLOOKUP(B765,SecDB,4,FALSE),VLOOKUP(VLOOKUP(B765,SecFiberDB,2,FALSE),SecDB,4,FALSE)))</f>
        <v/>
      </c>
      <c r="D765" s="41" t="str">
        <f t="shared" si="11"/>
        <v/>
      </c>
    </row>
    <row r="766" spans="3:4" x14ac:dyDescent="0.25">
      <c r="C766" s="41" t="str">
        <f>IF(A766=0,"",IF(IF(COUNTIF(Sec_Fiber!$A$19:$A$1018,B766)&gt;0,TRUE,FALSE)=FALSE,VLOOKUP(B766,SecDB,4,FALSE),VLOOKUP(VLOOKUP(B766,SecFiberDB,2,FALSE),SecDB,4,FALSE)))</f>
        <v/>
      </c>
      <c r="D766" s="41" t="str">
        <f t="shared" si="11"/>
        <v/>
      </c>
    </row>
    <row r="767" spans="3:4" x14ac:dyDescent="0.25">
      <c r="C767" s="41" t="str">
        <f>IF(A767=0,"",IF(IF(COUNTIF(Sec_Fiber!$A$19:$A$1018,B767)&gt;0,TRUE,FALSE)=FALSE,VLOOKUP(B767,SecDB,4,FALSE),VLOOKUP(VLOOKUP(B767,SecFiberDB,2,FALSE),SecDB,4,FALSE)))</f>
        <v/>
      </c>
      <c r="D767" s="41" t="str">
        <f t="shared" si="11"/>
        <v/>
      </c>
    </row>
    <row r="768" spans="3:4" x14ac:dyDescent="0.25">
      <c r="C768" s="41" t="str">
        <f>IF(A768=0,"",IF(IF(COUNTIF(Sec_Fiber!$A$19:$A$1018,B768)&gt;0,TRUE,FALSE)=FALSE,VLOOKUP(B768,SecDB,4,FALSE),VLOOKUP(VLOOKUP(B768,SecFiberDB,2,FALSE),SecDB,4,FALSE)))</f>
        <v/>
      </c>
      <c r="D768" s="41" t="str">
        <f t="shared" si="11"/>
        <v/>
      </c>
    </row>
    <row r="769" spans="3:4" x14ac:dyDescent="0.25">
      <c r="C769" s="41" t="str">
        <f>IF(A769=0,"",IF(IF(COUNTIF(Sec_Fiber!$A$19:$A$1018,B769)&gt;0,TRUE,FALSE)=FALSE,VLOOKUP(B769,SecDB,4,FALSE),VLOOKUP(VLOOKUP(B769,SecFiberDB,2,FALSE),SecDB,4,FALSE)))</f>
        <v/>
      </c>
      <c r="D769" s="41" t="str">
        <f t="shared" si="11"/>
        <v/>
      </c>
    </row>
    <row r="770" spans="3:4" x14ac:dyDescent="0.25">
      <c r="C770" s="41" t="str">
        <f>IF(A770=0,"",IF(IF(COUNTIF(Sec_Fiber!$A$19:$A$1018,B770)&gt;0,TRUE,FALSE)=FALSE,VLOOKUP(B770,SecDB,4,FALSE),VLOOKUP(VLOOKUP(B770,SecFiberDB,2,FALSE),SecDB,4,FALSE)))</f>
        <v/>
      </c>
      <c r="D770" s="41" t="str">
        <f t="shared" si="11"/>
        <v/>
      </c>
    </row>
    <row r="771" spans="3:4" x14ac:dyDescent="0.25">
      <c r="C771" s="41" t="str">
        <f>IF(A771=0,"",IF(IF(COUNTIF(Sec_Fiber!$A$19:$A$1018,B771)&gt;0,TRUE,FALSE)=FALSE,VLOOKUP(B771,SecDB,4,FALSE),VLOOKUP(VLOOKUP(B771,SecFiberDB,2,FALSE),SecDB,4,FALSE)))</f>
        <v/>
      </c>
      <c r="D771" s="41" t="str">
        <f t="shared" si="11"/>
        <v/>
      </c>
    </row>
    <row r="772" spans="3:4" x14ac:dyDescent="0.25">
      <c r="C772" s="41" t="str">
        <f>IF(A772=0,"",IF(IF(COUNTIF(Sec_Fiber!$A$19:$A$1018,B772)&gt;0,TRUE,FALSE)=FALSE,VLOOKUP(B772,SecDB,4,FALSE),VLOOKUP(VLOOKUP(B772,SecFiberDB,2,FALSE),SecDB,4,FALSE)))</f>
        <v/>
      </c>
      <c r="D772" s="41" t="str">
        <f t="shared" si="11"/>
        <v/>
      </c>
    </row>
    <row r="773" spans="3:4" x14ac:dyDescent="0.25">
      <c r="C773" s="41" t="str">
        <f>IF(A773=0,"",IF(IF(COUNTIF(Sec_Fiber!$A$19:$A$1018,B773)&gt;0,TRUE,FALSE)=FALSE,VLOOKUP(B773,SecDB,4,FALSE),VLOOKUP(VLOOKUP(B773,SecFiberDB,2,FALSE),SecDB,4,FALSE)))</f>
        <v/>
      </c>
      <c r="D773" s="41" t="str">
        <f t="shared" si="11"/>
        <v/>
      </c>
    </row>
    <row r="774" spans="3:4" x14ac:dyDescent="0.25">
      <c r="C774" s="41" t="str">
        <f>IF(A774=0,"",IF(IF(COUNTIF(Sec_Fiber!$A$19:$A$1018,B774)&gt;0,TRUE,FALSE)=FALSE,VLOOKUP(B774,SecDB,4,FALSE),VLOOKUP(VLOOKUP(B774,SecFiberDB,2,FALSE),SecDB,4,FALSE)))</f>
        <v/>
      </c>
      <c r="D774" s="41" t="str">
        <f t="shared" si="11"/>
        <v/>
      </c>
    </row>
    <row r="775" spans="3:4" x14ac:dyDescent="0.25">
      <c r="C775" s="41" t="str">
        <f>IF(A775=0,"",IF(IF(COUNTIF(Sec_Fiber!$A$19:$A$1018,B775)&gt;0,TRUE,FALSE)=FALSE,VLOOKUP(B775,SecDB,4,FALSE),VLOOKUP(VLOOKUP(B775,SecFiberDB,2,FALSE),SecDB,4,FALSE)))</f>
        <v/>
      </c>
      <c r="D775" s="41" t="str">
        <f t="shared" si="11"/>
        <v/>
      </c>
    </row>
    <row r="776" spans="3:4" x14ac:dyDescent="0.25">
      <c r="C776" s="41" t="str">
        <f>IF(A776=0,"",IF(IF(COUNTIF(Sec_Fiber!$A$19:$A$1018,B776)&gt;0,TRUE,FALSE)=FALSE,VLOOKUP(B776,SecDB,4,FALSE),VLOOKUP(VLOOKUP(B776,SecFiberDB,2,FALSE),SecDB,4,FALSE)))</f>
        <v/>
      </c>
      <c r="D776" s="41" t="str">
        <f t="shared" si="11"/>
        <v/>
      </c>
    </row>
    <row r="777" spans="3:4" x14ac:dyDescent="0.25">
      <c r="C777" s="41" t="str">
        <f>IF(A777=0,"",IF(IF(COUNTIF(Sec_Fiber!$A$19:$A$1018,B777)&gt;0,TRUE,FALSE)=FALSE,VLOOKUP(B777,SecDB,4,FALSE),VLOOKUP(VLOOKUP(B777,SecFiberDB,2,FALSE),SecDB,4,FALSE)))</f>
        <v/>
      </c>
      <c r="D777" s="41" t="str">
        <f t="shared" ref="D777:D840" si="12">IF(A777=0,"","Aggregator")</f>
        <v/>
      </c>
    </row>
    <row r="778" spans="3:4" x14ac:dyDescent="0.25">
      <c r="C778" s="41" t="str">
        <f>IF(A778=0,"",IF(IF(COUNTIF(Sec_Fiber!$A$19:$A$1018,B778)&gt;0,TRUE,FALSE)=FALSE,VLOOKUP(B778,SecDB,4,FALSE),VLOOKUP(VLOOKUP(B778,SecFiberDB,2,FALSE),SecDB,4,FALSE)))</f>
        <v/>
      </c>
      <c r="D778" s="41" t="str">
        <f t="shared" si="12"/>
        <v/>
      </c>
    </row>
    <row r="779" spans="3:4" x14ac:dyDescent="0.25">
      <c r="C779" s="41" t="str">
        <f>IF(A779=0,"",IF(IF(COUNTIF(Sec_Fiber!$A$19:$A$1018,B779)&gt;0,TRUE,FALSE)=FALSE,VLOOKUP(B779,SecDB,4,FALSE),VLOOKUP(VLOOKUP(B779,SecFiberDB,2,FALSE),SecDB,4,FALSE)))</f>
        <v/>
      </c>
      <c r="D779" s="41" t="str">
        <f t="shared" si="12"/>
        <v/>
      </c>
    </row>
    <row r="780" spans="3:4" x14ac:dyDescent="0.25">
      <c r="C780" s="41" t="str">
        <f>IF(A780=0,"",IF(IF(COUNTIF(Sec_Fiber!$A$19:$A$1018,B780)&gt;0,TRUE,FALSE)=FALSE,VLOOKUP(B780,SecDB,4,FALSE),VLOOKUP(VLOOKUP(B780,SecFiberDB,2,FALSE),SecDB,4,FALSE)))</f>
        <v/>
      </c>
      <c r="D780" s="41" t="str">
        <f t="shared" si="12"/>
        <v/>
      </c>
    </row>
    <row r="781" spans="3:4" x14ac:dyDescent="0.25">
      <c r="C781" s="41" t="str">
        <f>IF(A781=0,"",IF(IF(COUNTIF(Sec_Fiber!$A$19:$A$1018,B781)&gt;0,TRUE,FALSE)=FALSE,VLOOKUP(B781,SecDB,4,FALSE),VLOOKUP(VLOOKUP(B781,SecFiberDB,2,FALSE),SecDB,4,FALSE)))</f>
        <v/>
      </c>
      <c r="D781" s="41" t="str">
        <f t="shared" si="12"/>
        <v/>
      </c>
    </row>
    <row r="782" spans="3:4" x14ac:dyDescent="0.25">
      <c r="C782" s="41" t="str">
        <f>IF(A782=0,"",IF(IF(COUNTIF(Sec_Fiber!$A$19:$A$1018,B782)&gt;0,TRUE,FALSE)=FALSE,VLOOKUP(B782,SecDB,4,FALSE),VLOOKUP(VLOOKUP(B782,SecFiberDB,2,FALSE),SecDB,4,FALSE)))</f>
        <v/>
      </c>
      <c r="D782" s="41" t="str">
        <f t="shared" si="12"/>
        <v/>
      </c>
    </row>
    <row r="783" spans="3:4" x14ac:dyDescent="0.25">
      <c r="C783" s="41" t="str">
        <f>IF(A783=0,"",IF(IF(COUNTIF(Sec_Fiber!$A$19:$A$1018,B783)&gt;0,TRUE,FALSE)=FALSE,VLOOKUP(B783,SecDB,4,FALSE),VLOOKUP(VLOOKUP(B783,SecFiberDB,2,FALSE),SecDB,4,FALSE)))</f>
        <v/>
      </c>
      <c r="D783" s="41" t="str">
        <f t="shared" si="12"/>
        <v/>
      </c>
    </row>
    <row r="784" spans="3:4" x14ac:dyDescent="0.25">
      <c r="C784" s="41" t="str">
        <f>IF(A784=0,"",IF(IF(COUNTIF(Sec_Fiber!$A$19:$A$1018,B784)&gt;0,TRUE,FALSE)=FALSE,VLOOKUP(B784,SecDB,4,FALSE),VLOOKUP(VLOOKUP(B784,SecFiberDB,2,FALSE),SecDB,4,FALSE)))</f>
        <v/>
      </c>
      <c r="D784" s="41" t="str">
        <f t="shared" si="12"/>
        <v/>
      </c>
    </row>
    <row r="785" spans="3:4" x14ac:dyDescent="0.25">
      <c r="C785" s="41" t="str">
        <f>IF(A785=0,"",IF(IF(COUNTIF(Sec_Fiber!$A$19:$A$1018,B785)&gt;0,TRUE,FALSE)=FALSE,VLOOKUP(B785,SecDB,4,FALSE),VLOOKUP(VLOOKUP(B785,SecFiberDB,2,FALSE),SecDB,4,FALSE)))</f>
        <v/>
      </c>
      <c r="D785" s="41" t="str">
        <f t="shared" si="12"/>
        <v/>
      </c>
    </row>
    <row r="786" spans="3:4" x14ac:dyDescent="0.25">
      <c r="C786" s="41" t="str">
        <f>IF(A786=0,"",IF(IF(COUNTIF(Sec_Fiber!$A$19:$A$1018,B786)&gt;0,TRUE,FALSE)=FALSE,VLOOKUP(B786,SecDB,4,FALSE),VLOOKUP(VLOOKUP(B786,SecFiberDB,2,FALSE),SecDB,4,FALSE)))</f>
        <v/>
      </c>
      <c r="D786" s="41" t="str">
        <f t="shared" si="12"/>
        <v/>
      </c>
    </row>
    <row r="787" spans="3:4" x14ac:dyDescent="0.25">
      <c r="C787" s="41" t="str">
        <f>IF(A787=0,"",IF(IF(COUNTIF(Sec_Fiber!$A$19:$A$1018,B787)&gt;0,TRUE,FALSE)=FALSE,VLOOKUP(B787,SecDB,4,FALSE),VLOOKUP(VLOOKUP(B787,SecFiberDB,2,FALSE),SecDB,4,FALSE)))</f>
        <v/>
      </c>
      <c r="D787" s="41" t="str">
        <f t="shared" si="12"/>
        <v/>
      </c>
    </row>
    <row r="788" spans="3:4" x14ac:dyDescent="0.25">
      <c r="C788" s="41" t="str">
        <f>IF(A788=0,"",IF(IF(COUNTIF(Sec_Fiber!$A$19:$A$1018,B788)&gt;0,TRUE,FALSE)=FALSE,VLOOKUP(B788,SecDB,4,FALSE),VLOOKUP(VLOOKUP(B788,SecFiberDB,2,FALSE),SecDB,4,FALSE)))</f>
        <v/>
      </c>
      <c r="D788" s="41" t="str">
        <f t="shared" si="12"/>
        <v/>
      </c>
    </row>
    <row r="789" spans="3:4" x14ac:dyDescent="0.25">
      <c r="C789" s="41" t="str">
        <f>IF(A789=0,"",IF(IF(COUNTIF(Sec_Fiber!$A$19:$A$1018,B789)&gt;0,TRUE,FALSE)=FALSE,VLOOKUP(B789,SecDB,4,FALSE),VLOOKUP(VLOOKUP(B789,SecFiberDB,2,FALSE),SecDB,4,FALSE)))</f>
        <v/>
      </c>
      <c r="D789" s="41" t="str">
        <f t="shared" si="12"/>
        <v/>
      </c>
    </row>
    <row r="790" spans="3:4" x14ac:dyDescent="0.25">
      <c r="C790" s="41" t="str">
        <f>IF(A790=0,"",IF(IF(COUNTIF(Sec_Fiber!$A$19:$A$1018,B790)&gt;0,TRUE,FALSE)=FALSE,VLOOKUP(B790,SecDB,4,FALSE),VLOOKUP(VLOOKUP(B790,SecFiberDB,2,FALSE),SecDB,4,FALSE)))</f>
        <v/>
      </c>
      <c r="D790" s="41" t="str">
        <f t="shared" si="12"/>
        <v/>
      </c>
    </row>
    <row r="791" spans="3:4" x14ac:dyDescent="0.25">
      <c r="C791" s="41" t="str">
        <f>IF(A791=0,"",IF(IF(COUNTIF(Sec_Fiber!$A$19:$A$1018,B791)&gt;0,TRUE,FALSE)=FALSE,VLOOKUP(B791,SecDB,4,FALSE),VLOOKUP(VLOOKUP(B791,SecFiberDB,2,FALSE),SecDB,4,FALSE)))</f>
        <v/>
      </c>
      <c r="D791" s="41" t="str">
        <f t="shared" si="12"/>
        <v/>
      </c>
    </row>
    <row r="792" spans="3:4" x14ac:dyDescent="0.25">
      <c r="C792" s="41" t="str">
        <f>IF(A792=0,"",IF(IF(COUNTIF(Sec_Fiber!$A$19:$A$1018,B792)&gt;0,TRUE,FALSE)=FALSE,VLOOKUP(B792,SecDB,4,FALSE),VLOOKUP(VLOOKUP(B792,SecFiberDB,2,FALSE),SecDB,4,FALSE)))</f>
        <v/>
      </c>
      <c r="D792" s="41" t="str">
        <f t="shared" si="12"/>
        <v/>
      </c>
    </row>
    <row r="793" spans="3:4" x14ac:dyDescent="0.25">
      <c r="C793" s="41" t="str">
        <f>IF(A793=0,"",IF(IF(COUNTIF(Sec_Fiber!$A$19:$A$1018,B793)&gt;0,TRUE,FALSE)=FALSE,VLOOKUP(B793,SecDB,4,FALSE),VLOOKUP(VLOOKUP(B793,SecFiberDB,2,FALSE),SecDB,4,FALSE)))</f>
        <v/>
      </c>
      <c r="D793" s="41" t="str">
        <f t="shared" si="12"/>
        <v/>
      </c>
    </row>
    <row r="794" spans="3:4" x14ac:dyDescent="0.25">
      <c r="C794" s="41" t="str">
        <f>IF(A794=0,"",IF(IF(COUNTIF(Sec_Fiber!$A$19:$A$1018,B794)&gt;0,TRUE,FALSE)=FALSE,VLOOKUP(B794,SecDB,4,FALSE),VLOOKUP(VLOOKUP(B794,SecFiberDB,2,FALSE),SecDB,4,FALSE)))</f>
        <v/>
      </c>
      <c r="D794" s="41" t="str">
        <f t="shared" si="12"/>
        <v/>
      </c>
    </row>
    <row r="795" spans="3:4" x14ac:dyDescent="0.25">
      <c r="C795" s="41" t="str">
        <f>IF(A795=0,"",IF(IF(COUNTIF(Sec_Fiber!$A$19:$A$1018,B795)&gt;0,TRUE,FALSE)=FALSE,VLOOKUP(B795,SecDB,4,FALSE),VLOOKUP(VLOOKUP(B795,SecFiberDB,2,FALSE),SecDB,4,FALSE)))</f>
        <v/>
      </c>
      <c r="D795" s="41" t="str">
        <f t="shared" si="12"/>
        <v/>
      </c>
    </row>
    <row r="796" spans="3:4" x14ac:dyDescent="0.25">
      <c r="C796" s="41" t="str">
        <f>IF(A796=0,"",IF(IF(COUNTIF(Sec_Fiber!$A$19:$A$1018,B796)&gt;0,TRUE,FALSE)=FALSE,VLOOKUP(B796,SecDB,4,FALSE),VLOOKUP(VLOOKUP(B796,SecFiberDB,2,FALSE),SecDB,4,FALSE)))</f>
        <v/>
      </c>
      <c r="D796" s="41" t="str">
        <f t="shared" si="12"/>
        <v/>
      </c>
    </row>
    <row r="797" spans="3:4" x14ac:dyDescent="0.25">
      <c r="C797" s="41" t="str">
        <f>IF(A797=0,"",IF(IF(COUNTIF(Sec_Fiber!$A$19:$A$1018,B797)&gt;0,TRUE,FALSE)=FALSE,VLOOKUP(B797,SecDB,4,FALSE),VLOOKUP(VLOOKUP(B797,SecFiberDB,2,FALSE),SecDB,4,FALSE)))</f>
        <v/>
      </c>
      <c r="D797" s="41" t="str">
        <f t="shared" si="12"/>
        <v/>
      </c>
    </row>
    <row r="798" spans="3:4" x14ac:dyDescent="0.25">
      <c r="C798" s="41" t="str">
        <f>IF(A798=0,"",IF(IF(COUNTIF(Sec_Fiber!$A$19:$A$1018,B798)&gt;0,TRUE,FALSE)=FALSE,VLOOKUP(B798,SecDB,4,FALSE),VLOOKUP(VLOOKUP(B798,SecFiberDB,2,FALSE),SecDB,4,FALSE)))</f>
        <v/>
      </c>
      <c r="D798" s="41" t="str">
        <f t="shared" si="12"/>
        <v/>
      </c>
    </row>
    <row r="799" spans="3:4" x14ac:dyDescent="0.25">
      <c r="C799" s="41" t="str">
        <f>IF(A799=0,"",IF(IF(COUNTIF(Sec_Fiber!$A$19:$A$1018,B799)&gt;0,TRUE,FALSE)=FALSE,VLOOKUP(B799,SecDB,4,FALSE),VLOOKUP(VLOOKUP(B799,SecFiberDB,2,FALSE),SecDB,4,FALSE)))</f>
        <v/>
      </c>
      <c r="D799" s="41" t="str">
        <f t="shared" si="12"/>
        <v/>
      </c>
    </row>
    <row r="800" spans="3:4" x14ac:dyDescent="0.25">
      <c r="C800" s="41" t="str">
        <f>IF(A800=0,"",IF(IF(COUNTIF(Sec_Fiber!$A$19:$A$1018,B800)&gt;0,TRUE,FALSE)=FALSE,VLOOKUP(B800,SecDB,4,FALSE),VLOOKUP(VLOOKUP(B800,SecFiberDB,2,FALSE),SecDB,4,FALSE)))</f>
        <v/>
      </c>
      <c r="D800" s="41" t="str">
        <f t="shared" si="12"/>
        <v/>
      </c>
    </row>
    <row r="801" spans="3:4" x14ac:dyDescent="0.25">
      <c r="C801" s="41" t="str">
        <f>IF(A801=0,"",IF(IF(COUNTIF(Sec_Fiber!$A$19:$A$1018,B801)&gt;0,TRUE,FALSE)=FALSE,VLOOKUP(B801,SecDB,4,FALSE),VLOOKUP(VLOOKUP(B801,SecFiberDB,2,FALSE),SecDB,4,FALSE)))</f>
        <v/>
      </c>
      <c r="D801" s="41" t="str">
        <f t="shared" si="12"/>
        <v/>
      </c>
    </row>
    <row r="802" spans="3:4" x14ac:dyDescent="0.25">
      <c r="C802" s="41" t="str">
        <f>IF(A802=0,"",IF(IF(COUNTIF(Sec_Fiber!$A$19:$A$1018,B802)&gt;0,TRUE,FALSE)=FALSE,VLOOKUP(B802,SecDB,4,FALSE),VLOOKUP(VLOOKUP(B802,SecFiberDB,2,FALSE),SecDB,4,FALSE)))</f>
        <v/>
      </c>
      <c r="D802" s="41" t="str">
        <f t="shared" si="12"/>
        <v/>
      </c>
    </row>
    <row r="803" spans="3:4" x14ac:dyDescent="0.25">
      <c r="C803" s="41" t="str">
        <f>IF(A803=0,"",IF(IF(COUNTIF(Sec_Fiber!$A$19:$A$1018,B803)&gt;0,TRUE,FALSE)=FALSE,VLOOKUP(B803,SecDB,4,FALSE),VLOOKUP(VLOOKUP(B803,SecFiberDB,2,FALSE),SecDB,4,FALSE)))</f>
        <v/>
      </c>
      <c r="D803" s="41" t="str">
        <f t="shared" si="12"/>
        <v/>
      </c>
    </row>
    <row r="804" spans="3:4" x14ac:dyDescent="0.25">
      <c r="C804" s="41" t="str">
        <f>IF(A804=0,"",IF(IF(COUNTIF(Sec_Fiber!$A$19:$A$1018,B804)&gt;0,TRUE,FALSE)=FALSE,VLOOKUP(B804,SecDB,4,FALSE),VLOOKUP(VLOOKUP(B804,SecFiberDB,2,FALSE),SecDB,4,FALSE)))</f>
        <v/>
      </c>
      <c r="D804" s="41" t="str">
        <f t="shared" si="12"/>
        <v/>
      </c>
    </row>
    <row r="805" spans="3:4" x14ac:dyDescent="0.25">
      <c r="C805" s="41" t="str">
        <f>IF(A805=0,"",IF(IF(COUNTIF(Sec_Fiber!$A$19:$A$1018,B805)&gt;0,TRUE,FALSE)=FALSE,VLOOKUP(B805,SecDB,4,FALSE),VLOOKUP(VLOOKUP(B805,SecFiberDB,2,FALSE),SecDB,4,FALSE)))</f>
        <v/>
      </c>
      <c r="D805" s="41" t="str">
        <f t="shared" si="12"/>
        <v/>
      </c>
    </row>
    <row r="806" spans="3:4" x14ac:dyDescent="0.25">
      <c r="C806" s="41" t="str">
        <f>IF(A806=0,"",IF(IF(COUNTIF(Sec_Fiber!$A$19:$A$1018,B806)&gt;0,TRUE,FALSE)=FALSE,VLOOKUP(B806,SecDB,4,FALSE),VLOOKUP(VLOOKUP(B806,SecFiberDB,2,FALSE),SecDB,4,FALSE)))</f>
        <v/>
      </c>
      <c r="D806" s="41" t="str">
        <f t="shared" si="12"/>
        <v/>
      </c>
    </row>
    <row r="807" spans="3:4" x14ac:dyDescent="0.25">
      <c r="C807" s="41" t="str">
        <f>IF(A807=0,"",IF(IF(COUNTIF(Sec_Fiber!$A$19:$A$1018,B807)&gt;0,TRUE,FALSE)=FALSE,VLOOKUP(B807,SecDB,4,FALSE),VLOOKUP(VLOOKUP(B807,SecFiberDB,2,FALSE),SecDB,4,FALSE)))</f>
        <v/>
      </c>
      <c r="D807" s="41" t="str">
        <f t="shared" si="12"/>
        <v/>
      </c>
    </row>
    <row r="808" spans="3:4" x14ac:dyDescent="0.25">
      <c r="C808" s="41" t="str">
        <f>IF(A808=0,"",IF(IF(COUNTIF(Sec_Fiber!$A$19:$A$1018,B808)&gt;0,TRUE,FALSE)=FALSE,VLOOKUP(B808,SecDB,4,FALSE),VLOOKUP(VLOOKUP(B808,SecFiberDB,2,FALSE),SecDB,4,FALSE)))</f>
        <v/>
      </c>
      <c r="D808" s="41" t="str">
        <f t="shared" si="12"/>
        <v/>
      </c>
    </row>
    <row r="809" spans="3:4" x14ac:dyDescent="0.25">
      <c r="C809" s="41" t="str">
        <f>IF(A809=0,"",IF(IF(COUNTIF(Sec_Fiber!$A$19:$A$1018,B809)&gt;0,TRUE,FALSE)=FALSE,VLOOKUP(B809,SecDB,4,FALSE),VLOOKUP(VLOOKUP(B809,SecFiberDB,2,FALSE),SecDB,4,FALSE)))</f>
        <v/>
      </c>
      <c r="D809" s="41" t="str">
        <f t="shared" si="12"/>
        <v/>
      </c>
    </row>
    <row r="810" spans="3:4" x14ac:dyDescent="0.25">
      <c r="C810" s="41" t="str">
        <f>IF(A810=0,"",IF(IF(COUNTIF(Sec_Fiber!$A$19:$A$1018,B810)&gt;0,TRUE,FALSE)=FALSE,VLOOKUP(B810,SecDB,4,FALSE),VLOOKUP(VLOOKUP(B810,SecFiberDB,2,FALSE),SecDB,4,FALSE)))</f>
        <v/>
      </c>
      <c r="D810" s="41" t="str">
        <f t="shared" si="12"/>
        <v/>
      </c>
    </row>
    <row r="811" spans="3:4" x14ac:dyDescent="0.25">
      <c r="C811" s="41" t="str">
        <f>IF(A811=0,"",IF(IF(COUNTIF(Sec_Fiber!$A$19:$A$1018,B811)&gt;0,TRUE,FALSE)=FALSE,VLOOKUP(B811,SecDB,4,FALSE),VLOOKUP(VLOOKUP(B811,SecFiberDB,2,FALSE),SecDB,4,FALSE)))</f>
        <v/>
      </c>
      <c r="D811" s="41" t="str">
        <f t="shared" si="12"/>
        <v/>
      </c>
    </row>
    <row r="812" spans="3:4" x14ac:dyDescent="0.25">
      <c r="C812" s="41" t="str">
        <f>IF(A812=0,"",IF(IF(COUNTIF(Sec_Fiber!$A$19:$A$1018,B812)&gt;0,TRUE,FALSE)=FALSE,VLOOKUP(B812,SecDB,4,FALSE),VLOOKUP(VLOOKUP(B812,SecFiberDB,2,FALSE),SecDB,4,FALSE)))</f>
        <v/>
      </c>
      <c r="D812" s="41" t="str">
        <f t="shared" si="12"/>
        <v/>
      </c>
    </row>
    <row r="813" spans="3:4" x14ac:dyDescent="0.25">
      <c r="C813" s="41" t="str">
        <f>IF(A813=0,"",IF(IF(COUNTIF(Sec_Fiber!$A$19:$A$1018,B813)&gt;0,TRUE,FALSE)=FALSE,VLOOKUP(B813,SecDB,4,FALSE),VLOOKUP(VLOOKUP(B813,SecFiberDB,2,FALSE),SecDB,4,FALSE)))</f>
        <v/>
      </c>
      <c r="D813" s="41" t="str">
        <f t="shared" si="12"/>
        <v/>
      </c>
    </row>
    <row r="814" spans="3:4" x14ac:dyDescent="0.25">
      <c r="C814" s="41" t="str">
        <f>IF(A814=0,"",IF(IF(COUNTIF(Sec_Fiber!$A$19:$A$1018,B814)&gt;0,TRUE,FALSE)=FALSE,VLOOKUP(B814,SecDB,4,FALSE),VLOOKUP(VLOOKUP(B814,SecFiberDB,2,FALSE),SecDB,4,FALSE)))</f>
        <v/>
      </c>
      <c r="D814" s="41" t="str">
        <f t="shared" si="12"/>
        <v/>
      </c>
    </row>
    <row r="815" spans="3:4" x14ac:dyDescent="0.25">
      <c r="C815" s="41" t="str">
        <f>IF(A815=0,"",IF(IF(COUNTIF(Sec_Fiber!$A$19:$A$1018,B815)&gt;0,TRUE,FALSE)=FALSE,VLOOKUP(B815,SecDB,4,FALSE),VLOOKUP(VLOOKUP(B815,SecFiberDB,2,FALSE),SecDB,4,FALSE)))</f>
        <v/>
      </c>
      <c r="D815" s="41" t="str">
        <f t="shared" si="12"/>
        <v/>
      </c>
    </row>
    <row r="816" spans="3:4" x14ac:dyDescent="0.25">
      <c r="C816" s="41" t="str">
        <f>IF(A816=0,"",IF(IF(COUNTIF(Sec_Fiber!$A$19:$A$1018,B816)&gt;0,TRUE,FALSE)=FALSE,VLOOKUP(B816,SecDB,4,FALSE),VLOOKUP(VLOOKUP(B816,SecFiberDB,2,FALSE),SecDB,4,FALSE)))</f>
        <v/>
      </c>
      <c r="D816" s="41" t="str">
        <f t="shared" si="12"/>
        <v/>
      </c>
    </row>
    <row r="817" spans="3:4" x14ac:dyDescent="0.25">
      <c r="C817" s="41" t="str">
        <f>IF(A817=0,"",IF(IF(COUNTIF(Sec_Fiber!$A$19:$A$1018,B817)&gt;0,TRUE,FALSE)=FALSE,VLOOKUP(B817,SecDB,4,FALSE),VLOOKUP(VLOOKUP(B817,SecFiberDB,2,FALSE),SecDB,4,FALSE)))</f>
        <v/>
      </c>
      <c r="D817" s="41" t="str">
        <f t="shared" si="12"/>
        <v/>
      </c>
    </row>
    <row r="818" spans="3:4" x14ac:dyDescent="0.25">
      <c r="C818" s="41" t="str">
        <f>IF(A818=0,"",IF(IF(COUNTIF(Sec_Fiber!$A$19:$A$1018,B818)&gt;0,TRUE,FALSE)=FALSE,VLOOKUP(B818,SecDB,4,FALSE),VLOOKUP(VLOOKUP(B818,SecFiberDB,2,FALSE),SecDB,4,FALSE)))</f>
        <v/>
      </c>
      <c r="D818" s="41" t="str">
        <f t="shared" si="12"/>
        <v/>
      </c>
    </row>
    <row r="819" spans="3:4" x14ac:dyDescent="0.25">
      <c r="C819" s="41" t="str">
        <f>IF(A819=0,"",IF(IF(COUNTIF(Sec_Fiber!$A$19:$A$1018,B819)&gt;0,TRUE,FALSE)=FALSE,VLOOKUP(B819,SecDB,4,FALSE),VLOOKUP(VLOOKUP(B819,SecFiberDB,2,FALSE),SecDB,4,FALSE)))</f>
        <v/>
      </c>
      <c r="D819" s="41" t="str">
        <f t="shared" si="12"/>
        <v/>
      </c>
    </row>
    <row r="820" spans="3:4" x14ac:dyDescent="0.25">
      <c r="C820" s="41" t="str">
        <f>IF(A820=0,"",IF(IF(COUNTIF(Sec_Fiber!$A$19:$A$1018,B820)&gt;0,TRUE,FALSE)=FALSE,VLOOKUP(B820,SecDB,4,FALSE),VLOOKUP(VLOOKUP(B820,SecFiberDB,2,FALSE),SecDB,4,FALSE)))</f>
        <v/>
      </c>
      <c r="D820" s="41" t="str">
        <f t="shared" si="12"/>
        <v/>
      </c>
    </row>
    <row r="821" spans="3:4" x14ac:dyDescent="0.25">
      <c r="C821" s="41" t="str">
        <f>IF(A821=0,"",IF(IF(COUNTIF(Sec_Fiber!$A$19:$A$1018,B821)&gt;0,TRUE,FALSE)=FALSE,VLOOKUP(B821,SecDB,4,FALSE),VLOOKUP(VLOOKUP(B821,SecFiberDB,2,FALSE),SecDB,4,FALSE)))</f>
        <v/>
      </c>
      <c r="D821" s="41" t="str">
        <f t="shared" si="12"/>
        <v/>
      </c>
    </row>
    <row r="822" spans="3:4" x14ac:dyDescent="0.25">
      <c r="C822" s="41" t="str">
        <f>IF(A822=0,"",IF(IF(COUNTIF(Sec_Fiber!$A$19:$A$1018,B822)&gt;0,TRUE,FALSE)=FALSE,VLOOKUP(B822,SecDB,4,FALSE),VLOOKUP(VLOOKUP(B822,SecFiberDB,2,FALSE),SecDB,4,FALSE)))</f>
        <v/>
      </c>
      <c r="D822" s="41" t="str">
        <f t="shared" si="12"/>
        <v/>
      </c>
    </row>
    <row r="823" spans="3:4" x14ac:dyDescent="0.25">
      <c r="C823" s="41" t="str">
        <f>IF(A823=0,"",IF(IF(COUNTIF(Sec_Fiber!$A$19:$A$1018,B823)&gt;0,TRUE,FALSE)=FALSE,VLOOKUP(B823,SecDB,4,FALSE),VLOOKUP(VLOOKUP(B823,SecFiberDB,2,FALSE),SecDB,4,FALSE)))</f>
        <v/>
      </c>
      <c r="D823" s="41" t="str">
        <f t="shared" si="12"/>
        <v/>
      </c>
    </row>
    <row r="824" spans="3:4" x14ac:dyDescent="0.25">
      <c r="C824" s="41" t="str">
        <f>IF(A824=0,"",IF(IF(COUNTIF(Sec_Fiber!$A$19:$A$1018,B824)&gt;0,TRUE,FALSE)=FALSE,VLOOKUP(B824,SecDB,4,FALSE),VLOOKUP(VLOOKUP(B824,SecFiberDB,2,FALSE),SecDB,4,FALSE)))</f>
        <v/>
      </c>
      <c r="D824" s="41" t="str">
        <f t="shared" si="12"/>
        <v/>
      </c>
    </row>
    <row r="825" spans="3:4" x14ac:dyDescent="0.25">
      <c r="C825" s="41" t="str">
        <f>IF(A825=0,"",IF(IF(COUNTIF(Sec_Fiber!$A$19:$A$1018,B825)&gt;0,TRUE,FALSE)=FALSE,VLOOKUP(B825,SecDB,4,FALSE),VLOOKUP(VLOOKUP(B825,SecFiberDB,2,FALSE),SecDB,4,FALSE)))</f>
        <v/>
      </c>
      <c r="D825" s="41" t="str">
        <f t="shared" si="12"/>
        <v/>
      </c>
    </row>
    <row r="826" spans="3:4" x14ac:dyDescent="0.25">
      <c r="C826" s="41" t="str">
        <f>IF(A826=0,"",IF(IF(COUNTIF(Sec_Fiber!$A$19:$A$1018,B826)&gt;0,TRUE,FALSE)=FALSE,VLOOKUP(B826,SecDB,4,FALSE),VLOOKUP(VLOOKUP(B826,SecFiberDB,2,FALSE),SecDB,4,FALSE)))</f>
        <v/>
      </c>
      <c r="D826" s="41" t="str">
        <f t="shared" si="12"/>
        <v/>
      </c>
    </row>
    <row r="827" spans="3:4" x14ac:dyDescent="0.25">
      <c r="C827" s="41" t="str">
        <f>IF(A827=0,"",IF(IF(COUNTIF(Sec_Fiber!$A$19:$A$1018,B827)&gt;0,TRUE,FALSE)=FALSE,VLOOKUP(B827,SecDB,4,FALSE),VLOOKUP(VLOOKUP(B827,SecFiberDB,2,FALSE),SecDB,4,FALSE)))</f>
        <v/>
      </c>
      <c r="D827" s="41" t="str">
        <f t="shared" si="12"/>
        <v/>
      </c>
    </row>
    <row r="828" spans="3:4" x14ac:dyDescent="0.25">
      <c r="C828" s="41" t="str">
        <f>IF(A828=0,"",IF(IF(COUNTIF(Sec_Fiber!$A$19:$A$1018,B828)&gt;0,TRUE,FALSE)=FALSE,VLOOKUP(B828,SecDB,4,FALSE),VLOOKUP(VLOOKUP(B828,SecFiberDB,2,FALSE),SecDB,4,FALSE)))</f>
        <v/>
      </c>
      <c r="D828" s="41" t="str">
        <f t="shared" si="12"/>
        <v/>
      </c>
    </row>
    <row r="829" spans="3:4" x14ac:dyDescent="0.25">
      <c r="C829" s="41" t="str">
        <f>IF(A829=0,"",IF(IF(COUNTIF(Sec_Fiber!$A$19:$A$1018,B829)&gt;0,TRUE,FALSE)=FALSE,VLOOKUP(B829,SecDB,4,FALSE),VLOOKUP(VLOOKUP(B829,SecFiberDB,2,FALSE),SecDB,4,FALSE)))</f>
        <v/>
      </c>
      <c r="D829" s="41" t="str">
        <f t="shared" si="12"/>
        <v/>
      </c>
    </row>
    <row r="830" spans="3:4" x14ac:dyDescent="0.25">
      <c r="C830" s="41" t="str">
        <f>IF(A830=0,"",IF(IF(COUNTIF(Sec_Fiber!$A$19:$A$1018,B830)&gt;0,TRUE,FALSE)=FALSE,VLOOKUP(B830,SecDB,4,FALSE),VLOOKUP(VLOOKUP(B830,SecFiberDB,2,FALSE),SecDB,4,FALSE)))</f>
        <v/>
      </c>
      <c r="D830" s="41" t="str">
        <f t="shared" si="12"/>
        <v/>
      </c>
    </row>
    <row r="831" spans="3:4" x14ac:dyDescent="0.25">
      <c r="C831" s="41" t="str">
        <f>IF(A831=0,"",IF(IF(COUNTIF(Sec_Fiber!$A$19:$A$1018,B831)&gt;0,TRUE,FALSE)=FALSE,VLOOKUP(B831,SecDB,4,FALSE),VLOOKUP(VLOOKUP(B831,SecFiberDB,2,FALSE),SecDB,4,FALSE)))</f>
        <v/>
      </c>
      <c r="D831" s="41" t="str">
        <f t="shared" si="12"/>
        <v/>
      </c>
    </row>
    <row r="832" spans="3:4" x14ac:dyDescent="0.25">
      <c r="C832" s="41" t="str">
        <f>IF(A832=0,"",IF(IF(COUNTIF(Sec_Fiber!$A$19:$A$1018,B832)&gt;0,TRUE,FALSE)=FALSE,VLOOKUP(B832,SecDB,4,FALSE),VLOOKUP(VLOOKUP(B832,SecFiberDB,2,FALSE),SecDB,4,FALSE)))</f>
        <v/>
      </c>
      <c r="D832" s="41" t="str">
        <f t="shared" si="12"/>
        <v/>
      </c>
    </row>
    <row r="833" spans="3:4" x14ac:dyDescent="0.25">
      <c r="C833" s="41" t="str">
        <f>IF(A833=0,"",IF(IF(COUNTIF(Sec_Fiber!$A$19:$A$1018,B833)&gt;0,TRUE,FALSE)=FALSE,VLOOKUP(B833,SecDB,4,FALSE),VLOOKUP(VLOOKUP(B833,SecFiberDB,2,FALSE),SecDB,4,FALSE)))</f>
        <v/>
      </c>
      <c r="D833" s="41" t="str">
        <f t="shared" si="12"/>
        <v/>
      </c>
    </row>
    <row r="834" spans="3:4" x14ac:dyDescent="0.25">
      <c r="C834" s="41" t="str">
        <f>IF(A834=0,"",IF(IF(COUNTIF(Sec_Fiber!$A$19:$A$1018,B834)&gt;0,TRUE,FALSE)=FALSE,VLOOKUP(B834,SecDB,4,FALSE),VLOOKUP(VLOOKUP(B834,SecFiberDB,2,FALSE),SecDB,4,FALSE)))</f>
        <v/>
      </c>
      <c r="D834" s="41" t="str">
        <f t="shared" si="12"/>
        <v/>
      </c>
    </row>
    <row r="835" spans="3:4" x14ac:dyDescent="0.25">
      <c r="C835" s="41" t="str">
        <f>IF(A835=0,"",IF(IF(COUNTIF(Sec_Fiber!$A$19:$A$1018,B835)&gt;0,TRUE,FALSE)=FALSE,VLOOKUP(B835,SecDB,4,FALSE),VLOOKUP(VLOOKUP(B835,SecFiberDB,2,FALSE),SecDB,4,FALSE)))</f>
        <v/>
      </c>
      <c r="D835" s="41" t="str">
        <f t="shared" si="12"/>
        <v/>
      </c>
    </row>
    <row r="836" spans="3:4" x14ac:dyDescent="0.25">
      <c r="C836" s="41" t="str">
        <f>IF(A836=0,"",IF(IF(COUNTIF(Sec_Fiber!$A$19:$A$1018,B836)&gt;0,TRUE,FALSE)=FALSE,VLOOKUP(B836,SecDB,4,FALSE),VLOOKUP(VLOOKUP(B836,SecFiberDB,2,FALSE),SecDB,4,FALSE)))</f>
        <v/>
      </c>
      <c r="D836" s="41" t="str">
        <f t="shared" si="12"/>
        <v/>
      </c>
    </row>
    <row r="837" spans="3:4" x14ac:dyDescent="0.25">
      <c r="C837" s="41" t="str">
        <f>IF(A837=0,"",IF(IF(COUNTIF(Sec_Fiber!$A$19:$A$1018,B837)&gt;0,TRUE,FALSE)=FALSE,VLOOKUP(B837,SecDB,4,FALSE),VLOOKUP(VLOOKUP(B837,SecFiberDB,2,FALSE),SecDB,4,FALSE)))</f>
        <v/>
      </c>
      <c r="D837" s="41" t="str">
        <f t="shared" si="12"/>
        <v/>
      </c>
    </row>
    <row r="838" spans="3:4" x14ac:dyDescent="0.25">
      <c r="C838" s="41" t="str">
        <f>IF(A838=0,"",IF(IF(COUNTIF(Sec_Fiber!$A$19:$A$1018,B838)&gt;0,TRUE,FALSE)=FALSE,VLOOKUP(B838,SecDB,4,FALSE),VLOOKUP(VLOOKUP(B838,SecFiberDB,2,FALSE),SecDB,4,FALSE)))</f>
        <v/>
      </c>
      <c r="D838" s="41" t="str">
        <f t="shared" si="12"/>
        <v/>
      </c>
    </row>
    <row r="839" spans="3:4" x14ac:dyDescent="0.25">
      <c r="C839" s="41" t="str">
        <f>IF(A839=0,"",IF(IF(COUNTIF(Sec_Fiber!$A$19:$A$1018,B839)&gt;0,TRUE,FALSE)=FALSE,VLOOKUP(B839,SecDB,4,FALSE),VLOOKUP(VLOOKUP(B839,SecFiberDB,2,FALSE),SecDB,4,FALSE)))</f>
        <v/>
      </c>
      <c r="D839" s="41" t="str">
        <f t="shared" si="12"/>
        <v/>
      </c>
    </row>
    <row r="840" spans="3:4" x14ac:dyDescent="0.25">
      <c r="C840" s="41" t="str">
        <f>IF(A840=0,"",IF(IF(COUNTIF(Sec_Fiber!$A$19:$A$1018,B840)&gt;0,TRUE,FALSE)=FALSE,VLOOKUP(B840,SecDB,4,FALSE),VLOOKUP(VLOOKUP(B840,SecFiberDB,2,FALSE),SecDB,4,FALSE)))</f>
        <v/>
      </c>
      <c r="D840" s="41" t="str">
        <f t="shared" si="12"/>
        <v/>
      </c>
    </row>
    <row r="841" spans="3:4" x14ac:dyDescent="0.25">
      <c r="C841" s="41" t="str">
        <f>IF(A841=0,"",IF(IF(COUNTIF(Sec_Fiber!$A$19:$A$1018,B841)&gt;0,TRUE,FALSE)=FALSE,VLOOKUP(B841,SecDB,4,FALSE),VLOOKUP(VLOOKUP(B841,SecFiberDB,2,FALSE),SecDB,4,FALSE)))</f>
        <v/>
      </c>
      <c r="D841" s="41" t="str">
        <f t="shared" ref="D841:D904" si="13">IF(A841=0,"","Aggregator")</f>
        <v/>
      </c>
    </row>
    <row r="842" spans="3:4" x14ac:dyDescent="0.25">
      <c r="C842" s="41" t="str">
        <f>IF(A842=0,"",IF(IF(COUNTIF(Sec_Fiber!$A$19:$A$1018,B842)&gt;0,TRUE,FALSE)=FALSE,VLOOKUP(B842,SecDB,4,FALSE),VLOOKUP(VLOOKUP(B842,SecFiberDB,2,FALSE),SecDB,4,FALSE)))</f>
        <v/>
      </c>
      <c r="D842" s="41" t="str">
        <f t="shared" si="13"/>
        <v/>
      </c>
    </row>
    <row r="843" spans="3:4" x14ac:dyDescent="0.25">
      <c r="C843" s="41" t="str">
        <f>IF(A843=0,"",IF(IF(COUNTIF(Sec_Fiber!$A$19:$A$1018,B843)&gt;0,TRUE,FALSE)=FALSE,VLOOKUP(B843,SecDB,4,FALSE),VLOOKUP(VLOOKUP(B843,SecFiberDB,2,FALSE),SecDB,4,FALSE)))</f>
        <v/>
      </c>
      <c r="D843" s="41" t="str">
        <f t="shared" si="13"/>
        <v/>
      </c>
    </row>
    <row r="844" spans="3:4" x14ac:dyDescent="0.25">
      <c r="C844" s="41" t="str">
        <f>IF(A844=0,"",IF(IF(COUNTIF(Sec_Fiber!$A$19:$A$1018,B844)&gt;0,TRUE,FALSE)=FALSE,VLOOKUP(B844,SecDB,4,FALSE),VLOOKUP(VLOOKUP(B844,SecFiberDB,2,FALSE),SecDB,4,FALSE)))</f>
        <v/>
      </c>
      <c r="D844" s="41" t="str">
        <f t="shared" si="13"/>
        <v/>
      </c>
    </row>
    <row r="845" spans="3:4" x14ac:dyDescent="0.25">
      <c r="C845" s="41" t="str">
        <f>IF(A845=0,"",IF(IF(COUNTIF(Sec_Fiber!$A$19:$A$1018,B845)&gt;0,TRUE,FALSE)=FALSE,VLOOKUP(B845,SecDB,4,FALSE),VLOOKUP(VLOOKUP(B845,SecFiberDB,2,FALSE),SecDB,4,FALSE)))</f>
        <v/>
      </c>
      <c r="D845" s="41" t="str">
        <f t="shared" si="13"/>
        <v/>
      </c>
    </row>
    <row r="846" spans="3:4" x14ac:dyDescent="0.25">
      <c r="C846" s="41" t="str">
        <f>IF(A846=0,"",IF(IF(COUNTIF(Sec_Fiber!$A$19:$A$1018,B846)&gt;0,TRUE,FALSE)=FALSE,VLOOKUP(B846,SecDB,4,FALSE),VLOOKUP(VLOOKUP(B846,SecFiberDB,2,FALSE),SecDB,4,FALSE)))</f>
        <v/>
      </c>
      <c r="D846" s="41" t="str">
        <f t="shared" si="13"/>
        <v/>
      </c>
    </row>
    <row r="847" spans="3:4" x14ac:dyDescent="0.25">
      <c r="C847" s="41" t="str">
        <f>IF(A847=0,"",IF(IF(COUNTIF(Sec_Fiber!$A$19:$A$1018,B847)&gt;0,TRUE,FALSE)=FALSE,VLOOKUP(B847,SecDB,4,FALSE),VLOOKUP(VLOOKUP(B847,SecFiberDB,2,FALSE),SecDB,4,FALSE)))</f>
        <v/>
      </c>
      <c r="D847" s="41" t="str">
        <f t="shared" si="13"/>
        <v/>
      </c>
    </row>
    <row r="848" spans="3:4" x14ac:dyDescent="0.25">
      <c r="C848" s="41" t="str">
        <f>IF(A848=0,"",IF(IF(COUNTIF(Sec_Fiber!$A$19:$A$1018,B848)&gt;0,TRUE,FALSE)=FALSE,VLOOKUP(B848,SecDB,4,FALSE),VLOOKUP(VLOOKUP(B848,SecFiberDB,2,FALSE),SecDB,4,FALSE)))</f>
        <v/>
      </c>
      <c r="D848" s="41" t="str">
        <f t="shared" si="13"/>
        <v/>
      </c>
    </row>
    <row r="849" spans="3:4" x14ac:dyDescent="0.25">
      <c r="C849" s="41" t="str">
        <f>IF(A849=0,"",IF(IF(COUNTIF(Sec_Fiber!$A$19:$A$1018,B849)&gt;0,TRUE,FALSE)=FALSE,VLOOKUP(B849,SecDB,4,FALSE),VLOOKUP(VLOOKUP(B849,SecFiberDB,2,FALSE),SecDB,4,FALSE)))</f>
        <v/>
      </c>
      <c r="D849" s="41" t="str">
        <f t="shared" si="13"/>
        <v/>
      </c>
    </row>
    <row r="850" spans="3:4" x14ac:dyDescent="0.25">
      <c r="C850" s="41" t="str">
        <f>IF(A850=0,"",IF(IF(COUNTIF(Sec_Fiber!$A$19:$A$1018,B850)&gt;0,TRUE,FALSE)=FALSE,VLOOKUP(B850,SecDB,4,FALSE),VLOOKUP(VLOOKUP(B850,SecFiberDB,2,FALSE),SecDB,4,FALSE)))</f>
        <v/>
      </c>
      <c r="D850" s="41" t="str">
        <f t="shared" si="13"/>
        <v/>
      </c>
    </row>
    <row r="851" spans="3:4" x14ac:dyDescent="0.25">
      <c r="C851" s="41" t="str">
        <f>IF(A851=0,"",IF(IF(COUNTIF(Sec_Fiber!$A$19:$A$1018,B851)&gt;0,TRUE,FALSE)=FALSE,VLOOKUP(B851,SecDB,4,FALSE),VLOOKUP(VLOOKUP(B851,SecFiberDB,2,FALSE),SecDB,4,FALSE)))</f>
        <v/>
      </c>
      <c r="D851" s="41" t="str">
        <f t="shared" si="13"/>
        <v/>
      </c>
    </row>
    <row r="852" spans="3:4" x14ac:dyDescent="0.25">
      <c r="C852" s="41" t="str">
        <f>IF(A852=0,"",IF(IF(COUNTIF(Sec_Fiber!$A$19:$A$1018,B852)&gt;0,TRUE,FALSE)=FALSE,VLOOKUP(B852,SecDB,4,FALSE),VLOOKUP(VLOOKUP(B852,SecFiberDB,2,FALSE),SecDB,4,FALSE)))</f>
        <v/>
      </c>
      <c r="D852" s="41" t="str">
        <f t="shared" si="13"/>
        <v/>
      </c>
    </row>
    <row r="853" spans="3:4" x14ac:dyDescent="0.25">
      <c r="C853" s="41" t="str">
        <f>IF(A853=0,"",IF(IF(COUNTIF(Sec_Fiber!$A$19:$A$1018,B853)&gt;0,TRUE,FALSE)=FALSE,VLOOKUP(B853,SecDB,4,FALSE),VLOOKUP(VLOOKUP(B853,SecFiberDB,2,FALSE),SecDB,4,FALSE)))</f>
        <v/>
      </c>
      <c r="D853" s="41" t="str">
        <f t="shared" si="13"/>
        <v/>
      </c>
    </row>
    <row r="854" spans="3:4" x14ac:dyDescent="0.25">
      <c r="C854" s="41" t="str">
        <f>IF(A854=0,"",IF(IF(COUNTIF(Sec_Fiber!$A$19:$A$1018,B854)&gt;0,TRUE,FALSE)=FALSE,VLOOKUP(B854,SecDB,4,FALSE),VLOOKUP(VLOOKUP(B854,SecFiberDB,2,FALSE),SecDB,4,FALSE)))</f>
        <v/>
      </c>
      <c r="D854" s="41" t="str">
        <f t="shared" si="13"/>
        <v/>
      </c>
    </row>
    <row r="855" spans="3:4" x14ac:dyDescent="0.25">
      <c r="C855" s="41" t="str">
        <f>IF(A855=0,"",IF(IF(COUNTIF(Sec_Fiber!$A$19:$A$1018,B855)&gt;0,TRUE,FALSE)=FALSE,VLOOKUP(B855,SecDB,4,FALSE),VLOOKUP(VLOOKUP(B855,SecFiberDB,2,FALSE),SecDB,4,FALSE)))</f>
        <v/>
      </c>
      <c r="D855" s="41" t="str">
        <f t="shared" si="13"/>
        <v/>
      </c>
    </row>
    <row r="856" spans="3:4" x14ac:dyDescent="0.25">
      <c r="C856" s="41" t="str">
        <f>IF(A856=0,"",IF(IF(COUNTIF(Sec_Fiber!$A$19:$A$1018,B856)&gt;0,TRUE,FALSE)=FALSE,VLOOKUP(B856,SecDB,4,FALSE),VLOOKUP(VLOOKUP(B856,SecFiberDB,2,FALSE),SecDB,4,FALSE)))</f>
        <v/>
      </c>
      <c r="D856" s="41" t="str">
        <f t="shared" si="13"/>
        <v/>
      </c>
    </row>
    <row r="857" spans="3:4" x14ac:dyDescent="0.25">
      <c r="C857" s="41" t="str">
        <f>IF(A857=0,"",IF(IF(COUNTIF(Sec_Fiber!$A$19:$A$1018,B857)&gt;0,TRUE,FALSE)=FALSE,VLOOKUP(B857,SecDB,4,FALSE),VLOOKUP(VLOOKUP(B857,SecFiberDB,2,FALSE),SecDB,4,FALSE)))</f>
        <v/>
      </c>
      <c r="D857" s="41" t="str">
        <f t="shared" si="13"/>
        <v/>
      </c>
    </row>
    <row r="858" spans="3:4" x14ac:dyDescent="0.25">
      <c r="C858" s="41" t="str">
        <f>IF(A858=0,"",IF(IF(COUNTIF(Sec_Fiber!$A$19:$A$1018,B858)&gt;0,TRUE,FALSE)=FALSE,VLOOKUP(B858,SecDB,4,FALSE),VLOOKUP(VLOOKUP(B858,SecFiberDB,2,FALSE),SecDB,4,FALSE)))</f>
        <v/>
      </c>
      <c r="D858" s="41" t="str">
        <f t="shared" si="13"/>
        <v/>
      </c>
    </row>
    <row r="859" spans="3:4" x14ac:dyDescent="0.25">
      <c r="C859" s="41" t="str">
        <f>IF(A859=0,"",IF(IF(COUNTIF(Sec_Fiber!$A$19:$A$1018,B859)&gt;0,TRUE,FALSE)=FALSE,VLOOKUP(B859,SecDB,4,FALSE),VLOOKUP(VLOOKUP(B859,SecFiberDB,2,FALSE),SecDB,4,FALSE)))</f>
        <v/>
      </c>
      <c r="D859" s="41" t="str">
        <f t="shared" si="13"/>
        <v/>
      </c>
    </row>
    <row r="860" spans="3:4" x14ac:dyDescent="0.25">
      <c r="C860" s="41" t="str">
        <f>IF(A860=0,"",IF(IF(COUNTIF(Sec_Fiber!$A$19:$A$1018,B860)&gt;0,TRUE,FALSE)=FALSE,VLOOKUP(B860,SecDB,4,FALSE),VLOOKUP(VLOOKUP(B860,SecFiberDB,2,FALSE),SecDB,4,FALSE)))</f>
        <v/>
      </c>
      <c r="D860" s="41" t="str">
        <f t="shared" si="13"/>
        <v/>
      </c>
    </row>
    <row r="861" spans="3:4" x14ac:dyDescent="0.25">
      <c r="C861" s="41" t="str">
        <f>IF(A861=0,"",IF(IF(COUNTIF(Sec_Fiber!$A$19:$A$1018,B861)&gt;0,TRUE,FALSE)=FALSE,VLOOKUP(B861,SecDB,4,FALSE),VLOOKUP(VLOOKUP(B861,SecFiberDB,2,FALSE),SecDB,4,FALSE)))</f>
        <v/>
      </c>
      <c r="D861" s="41" t="str">
        <f t="shared" si="13"/>
        <v/>
      </c>
    </row>
    <row r="862" spans="3:4" x14ac:dyDescent="0.25">
      <c r="C862" s="41" t="str">
        <f>IF(A862=0,"",IF(IF(COUNTIF(Sec_Fiber!$A$19:$A$1018,B862)&gt;0,TRUE,FALSE)=FALSE,VLOOKUP(B862,SecDB,4,FALSE),VLOOKUP(VLOOKUP(B862,SecFiberDB,2,FALSE),SecDB,4,FALSE)))</f>
        <v/>
      </c>
      <c r="D862" s="41" t="str">
        <f t="shared" si="13"/>
        <v/>
      </c>
    </row>
    <row r="863" spans="3:4" x14ac:dyDescent="0.25">
      <c r="C863" s="41" t="str">
        <f>IF(A863=0,"",IF(IF(COUNTIF(Sec_Fiber!$A$19:$A$1018,B863)&gt;0,TRUE,FALSE)=FALSE,VLOOKUP(B863,SecDB,4,FALSE),VLOOKUP(VLOOKUP(B863,SecFiberDB,2,FALSE),SecDB,4,FALSE)))</f>
        <v/>
      </c>
      <c r="D863" s="41" t="str">
        <f t="shared" si="13"/>
        <v/>
      </c>
    </row>
    <row r="864" spans="3:4" x14ac:dyDescent="0.25">
      <c r="C864" s="41" t="str">
        <f>IF(A864=0,"",IF(IF(COUNTIF(Sec_Fiber!$A$19:$A$1018,B864)&gt;0,TRUE,FALSE)=FALSE,VLOOKUP(B864,SecDB,4,FALSE),VLOOKUP(VLOOKUP(B864,SecFiberDB,2,FALSE),SecDB,4,FALSE)))</f>
        <v/>
      </c>
      <c r="D864" s="41" t="str">
        <f t="shared" si="13"/>
        <v/>
      </c>
    </row>
    <row r="865" spans="3:4" x14ac:dyDescent="0.25">
      <c r="C865" s="41" t="str">
        <f>IF(A865=0,"",IF(IF(COUNTIF(Sec_Fiber!$A$19:$A$1018,B865)&gt;0,TRUE,FALSE)=FALSE,VLOOKUP(B865,SecDB,4,FALSE),VLOOKUP(VLOOKUP(B865,SecFiberDB,2,FALSE),SecDB,4,FALSE)))</f>
        <v/>
      </c>
      <c r="D865" s="41" t="str">
        <f t="shared" si="13"/>
        <v/>
      </c>
    </row>
    <row r="866" spans="3:4" x14ac:dyDescent="0.25">
      <c r="C866" s="41" t="str">
        <f>IF(A866=0,"",IF(IF(COUNTIF(Sec_Fiber!$A$19:$A$1018,B866)&gt;0,TRUE,FALSE)=FALSE,VLOOKUP(B866,SecDB,4,FALSE),VLOOKUP(VLOOKUP(B866,SecFiberDB,2,FALSE),SecDB,4,FALSE)))</f>
        <v/>
      </c>
      <c r="D866" s="41" t="str">
        <f t="shared" si="13"/>
        <v/>
      </c>
    </row>
    <row r="867" spans="3:4" x14ac:dyDescent="0.25">
      <c r="C867" s="41" t="str">
        <f>IF(A867=0,"",IF(IF(COUNTIF(Sec_Fiber!$A$19:$A$1018,B867)&gt;0,TRUE,FALSE)=FALSE,VLOOKUP(B867,SecDB,4,FALSE),VLOOKUP(VLOOKUP(B867,SecFiberDB,2,FALSE),SecDB,4,FALSE)))</f>
        <v/>
      </c>
      <c r="D867" s="41" t="str">
        <f t="shared" si="13"/>
        <v/>
      </c>
    </row>
    <row r="868" spans="3:4" x14ac:dyDescent="0.25">
      <c r="C868" s="41" t="str">
        <f>IF(A868=0,"",IF(IF(COUNTIF(Sec_Fiber!$A$19:$A$1018,B868)&gt;0,TRUE,FALSE)=FALSE,VLOOKUP(B868,SecDB,4,FALSE),VLOOKUP(VLOOKUP(B868,SecFiberDB,2,FALSE),SecDB,4,FALSE)))</f>
        <v/>
      </c>
      <c r="D868" s="41" t="str">
        <f t="shared" si="13"/>
        <v/>
      </c>
    </row>
    <row r="869" spans="3:4" x14ac:dyDescent="0.25">
      <c r="C869" s="41" t="str">
        <f>IF(A869=0,"",IF(IF(COUNTIF(Sec_Fiber!$A$19:$A$1018,B869)&gt;0,TRUE,FALSE)=FALSE,VLOOKUP(B869,SecDB,4,FALSE),VLOOKUP(VLOOKUP(B869,SecFiberDB,2,FALSE),SecDB,4,FALSE)))</f>
        <v/>
      </c>
      <c r="D869" s="41" t="str">
        <f t="shared" si="13"/>
        <v/>
      </c>
    </row>
    <row r="870" spans="3:4" x14ac:dyDescent="0.25">
      <c r="C870" s="41" t="str">
        <f>IF(A870=0,"",IF(IF(COUNTIF(Sec_Fiber!$A$19:$A$1018,B870)&gt;0,TRUE,FALSE)=FALSE,VLOOKUP(B870,SecDB,4,FALSE),VLOOKUP(VLOOKUP(B870,SecFiberDB,2,FALSE),SecDB,4,FALSE)))</f>
        <v/>
      </c>
      <c r="D870" s="41" t="str">
        <f t="shared" si="13"/>
        <v/>
      </c>
    </row>
    <row r="871" spans="3:4" x14ac:dyDescent="0.25">
      <c r="C871" s="41" t="str">
        <f>IF(A871=0,"",IF(IF(COUNTIF(Sec_Fiber!$A$19:$A$1018,B871)&gt;0,TRUE,FALSE)=FALSE,VLOOKUP(B871,SecDB,4,FALSE),VLOOKUP(VLOOKUP(B871,SecFiberDB,2,FALSE),SecDB,4,FALSE)))</f>
        <v/>
      </c>
      <c r="D871" s="41" t="str">
        <f t="shared" si="13"/>
        <v/>
      </c>
    </row>
    <row r="872" spans="3:4" x14ac:dyDescent="0.25">
      <c r="C872" s="41" t="str">
        <f>IF(A872=0,"",IF(IF(COUNTIF(Sec_Fiber!$A$19:$A$1018,B872)&gt;0,TRUE,FALSE)=FALSE,VLOOKUP(B872,SecDB,4,FALSE),VLOOKUP(VLOOKUP(B872,SecFiberDB,2,FALSE),SecDB,4,FALSE)))</f>
        <v/>
      </c>
      <c r="D872" s="41" t="str">
        <f t="shared" si="13"/>
        <v/>
      </c>
    </row>
    <row r="873" spans="3:4" x14ac:dyDescent="0.25">
      <c r="C873" s="41" t="str">
        <f>IF(A873=0,"",IF(IF(COUNTIF(Sec_Fiber!$A$19:$A$1018,B873)&gt;0,TRUE,FALSE)=FALSE,VLOOKUP(B873,SecDB,4,FALSE),VLOOKUP(VLOOKUP(B873,SecFiberDB,2,FALSE),SecDB,4,FALSE)))</f>
        <v/>
      </c>
      <c r="D873" s="41" t="str">
        <f t="shared" si="13"/>
        <v/>
      </c>
    </row>
    <row r="874" spans="3:4" x14ac:dyDescent="0.25">
      <c r="C874" s="41" t="str">
        <f>IF(A874=0,"",IF(IF(COUNTIF(Sec_Fiber!$A$19:$A$1018,B874)&gt;0,TRUE,FALSE)=FALSE,VLOOKUP(B874,SecDB,4,FALSE),VLOOKUP(VLOOKUP(B874,SecFiberDB,2,FALSE),SecDB,4,FALSE)))</f>
        <v/>
      </c>
      <c r="D874" s="41" t="str">
        <f t="shared" si="13"/>
        <v/>
      </c>
    </row>
    <row r="875" spans="3:4" x14ac:dyDescent="0.25">
      <c r="C875" s="41" t="str">
        <f>IF(A875=0,"",IF(IF(COUNTIF(Sec_Fiber!$A$19:$A$1018,B875)&gt;0,TRUE,FALSE)=FALSE,VLOOKUP(B875,SecDB,4,FALSE),VLOOKUP(VLOOKUP(B875,SecFiberDB,2,FALSE),SecDB,4,FALSE)))</f>
        <v/>
      </c>
      <c r="D875" s="41" t="str">
        <f t="shared" si="13"/>
        <v/>
      </c>
    </row>
    <row r="876" spans="3:4" x14ac:dyDescent="0.25">
      <c r="C876" s="41" t="str">
        <f>IF(A876=0,"",IF(IF(COUNTIF(Sec_Fiber!$A$19:$A$1018,B876)&gt;0,TRUE,FALSE)=FALSE,VLOOKUP(B876,SecDB,4,FALSE),VLOOKUP(VLOOKUP(B876,SecFiberDB,2,FALSE),SecDB,4,FALSE)))</f>
        <v/>
      </c>
      <c r="D876" s="41" t="str">
        <f t="shared" si="13"/>
        <v/>
      </c>
    </row>
    <row r="877" spans="3:4" x14ac:dyDescent="0.25">
      <c r="C877" s="41" t="str">
        <f>IF(A877=0,"",IF(IF(COUNTIF(Sec_Fiber!$A$19:$A$1018,B877)&gt;0,TRUE,FALSE)=FALSE,VLOOKUP(B877,SecDB,4,FALSE),VLOOKUP(VLOOKUP(B877,SecFiberDB,2,FALSE),SecDB,4,FALSE)))</f>
        <v/>
      </c>
      <c r="D877" s="41" t="str">
        <f t="shared" si="13"/>
        <v/>
      </c>
    </row>
    <row r="878" spans="3:4" x14ac:dyDescent="0.25">
      <c r="C878" s="41" t="str">
        <f>IF(A878=0,"",IF(IF(COUNTIF(Sec_Fiber!$A$19:$A$1018,B878)&gt;0,TRUE,FALSE)=FALSE,VLOOKUP(B878,SecDB,4,FALSE),VLOOKUP(VLOOKUP(B878,SecFiberDB,2,FALSE),SecDB,4,FALSE)))</f>
        <v/>
      </c>
      <c r="D878" s="41" t="str">
        <f t="shared" si="13"/>
        <v/>
      </c>
    </row>
    <row r="879" spans="3:4" x14ac:dyDescent="0.25">
      <c r="C879" s="41" t="str">
        <f>IF(A879=0,"",IF(IF(COUNTIF(Sec_Fiber!$A$19:$A$1018,B879)&gt;0,TRUE,FALSE)=FALSE,VLOOKUP(B879,SecDB,4,FALSE),VLOOKUP(VLOOKUP(B879,SecFiberDB,2,FALSE),SecDB,4,FALSE)))</f>
        <v/>
      </c>
      <c r="D879" s="41" t="str">
        <f t="shared" si="13"/>
        <v/>
      </c>
    </row>
    <row r="880" spans="3:4" x14ac:dyDescent="0.25">
      <c r="C880" s="41" t="str">
        <f>IF(A880=0,"",IF(IF(COUNTIF(Sec_Fiber!$A$19:$A$1018,B880)&gt;0,TRUE,FALSE)=FALSE,VLOOKUP(B880,SecDB,4,FALSE),VLOOKUP(VLOOKUP(B880,SecFiberDB,2,FALSE),SecDB,4,FALSE)))</f>
        <v/>
      </c>
      <c r="D880" s="41" t="str">
        <f t="shared" si="13"/>
        <v/>
      </c>
    </row>
    <row r="881" spans="3:4" x14ac:dyDescent="0.25">
      <c r="C881" s="41" t="str">
        <f>IF(A881=0,"",IF(IF(COUNTIF(Sec_Fiber!$A$19:$A$1018,B881)&gt;0,TRUE,FALSE)=FALSE,VLOOKUP(B881,SecDB,4,FALSE),VLOOKUP(VLOOKUP(B881,SecFiberDB,2,FALSE),SecDB,4,FALSE)))</f>
        <v/>
      </c>
      <c r="D881" s="41" t="str">
        <f t="shared" si="13"/>
        <v/>
      </c>
    </row>
    <row r="882" spans="3:4" x14ac:dyDescent="0.25">
      <c r="C882" s="41" t="str">
        <f>IF(A882=0,"",IF(IF(COUNTIF(Sec_Fiber!$A$19:$A$1018,B882)&gt;0,TRUE,FALSE)=FALSE,VLOOKUP(B882,SecDB,4,FALSE),VLOOKUP(VLOOKUP(B882,SecFiberDB,2,FALSE),SecDB,4,FALSE)))</f>
        <v/>
      </c>
      <c r="D882" s="41" t="str">
        <f t="shared" si="13"/>
        <v/>
      </c>
    </row>
    <row r="883" spans="3:4" x14ac:dyDescent="0.25">
      <c r="C883" s="41" t="str">
        <f>IF(A883=0,"",IF(IF(COUNTIF(Sec_Fiber!$A$19:$A$1018,B883)&gt;0,TRUE,FALSE)=FALSE,VLOOKUP(B883,SecDB,4,FALSE),VLOOKUP(VLOOKUP(B883,SecFiberDB,2,FALSE),SecDB,4,FALSE)))</f>
        <v/>
      </c>
      <c r="D883" s="41" t="str">
        <f t="shared" si="13"/>
        <v/>
      </c>
    </row>
    <row r="884" spans="3:4" x14ac:dyDescent="0.25">
      <c r="C884" s="41" t="str">
        <f>IF(A884=0,"",IF(IF(COUNTIF(Sec_Fiber!$A$19:$A$1018,B884)&gt;0,TRUE,FALSE)=FALSE,VLOOKUP(B884,SecDB,4,FALSE),VLOOKUP(VLOOKUP(B884,SecFiberDB,2,FALSE),SecDB,4,FALSE)))</f>
        <v/>
      </c>
      <c r="D884" s="41" t="str">
        <f t="shared" si="13"/>
        <v/>
      </c>
    </row>
    <row r="885" spans="3:4" x14ac:dyDescent="0.25">
      <c r="C885" s="41" t="str">
        <f>IF(A885=0,"",IF(IF(COUNTIF(Sec_Fiber!$A$19:$A$1018,B885)&gt;0,TRUE,FALSE)=FALSE,VLOOKUP(B885,SecDB,4,FALSE),VLOOKUP(VLOOKUP(B885,SecFiberDB,2,FALSE),SecDB,4,FALSE)))</f>
        <v/>
      </c>
      <c r="D885" s="41" t="str">
        <f t="shared" si="13"/>
        <v/>
      </c>
    </row>
    <row r="886" spans="3:4" x14ac:dyDescent="0.25">
      <c r="C886" s="41" t="str">
        <f>IF(A886=0,"",IF(IF(COUNTIF(Sec_Fiber!$A$19:$A$1018,B886)&gt;0,TRUE,FALSE)=FALSE,VLOOKUP(B886,SecDB,4,FALSE),VLOOKUP(VLOOKUP(B886,SecFiberDB,2,FALSE),SecDB,4,FALSE)))</f>
        <v/>
      </c>
      <c r="D886" s="41" t="str">
        <f t="shared" si="13"/>
        <v/>
      </c>
    </row>
    <row r="887" spans="3:4" x14ac:dyDescent="0.25">
      <c r="C887" s="41" t="str">
        <f>IF(A887=0,"",IF(IF(COUNTIF(Sec_Fiber!$A$19:$A$1018,B887)&gt;0,TRUE,FALSE)=FALSE,VLOOKUP(B887,SecDB,4,FALSE),VLOOKUP(VLOOKUP(B887,SecFiberDB,2,FALSE),SecDB,4,FALSE)))</f>
        <v/>
      </c>
      <c r="D887" s="41" t="str">
        <f t="shared" si="13"/>
        <v/>
      </c>
    </row>
    <row r="888" spans="3:4" x14ac:dyDescent="0.25">
      <c r="C888" s="41" t="str">
        <f>IF(A888=0,"",IF(IF(COUNTIF(Sec_Fiber!$A$19:$A$1018,B888)&gt;0,TRUE,FALSE)=FALSE,VLOOKUP(B888,SecDB,4,FALSE),VLOOKUP(VLOOKUP(B888,SecFiberDB,2,FALSE),SecDB,4,FALSE)))</f>
        <v/>
      </c>
      <c r="D888" s="41" t="str">
        <f t="shared" si="13"/>
        <v/>
      </c>
    </row>
    <row r="889" spans="3:4" x14ac:dyDescent="0.25">
      <c r="C889" s="41" t="str">
        <f>IF(A889=0,"",IF(IF(COUNTIF(Sec_Fiber!$A$19:$A$1018,B889)&gt;0,TRUE,FALSE)=FALSE,VLOOKUP(B889,SecDB,4,FALSE),VLOOKUP(VLOOKUP(B889,SecFiberDB,2,FALSE),SecDB,4,FALSE)))</f>
        <v/>
      </c>
      <c r="D889" s="41" t="str">
        <f t="shared" si="13"/>
        <v/>
      </c>
    </row>
    <row r="890" spans="3:4" x14ac:dyDescent="0.25">
      <c r="C890" s="41" t="str">
        <f>IF(A890=0,"",IF(IF(COUNTIF(Sec_Fiber!$A$19:$A$1018,B890)&gt;0,TRUE,FALSE)=FALSE,VLOOKUP(B890,SecDB,4,FALSE),VLOOKUP(VLOOKUP(B890,SecFiberDB,2,FALSE),SecDB,4,FALSE)))</f>
        <v/>
      </c>
      <c r="D890" s="41" t="str">
        <f t="shared" si="13"/>
        <v/>
      </c>
    </row>
    <row r="891" spans="3:4" x14ac:dyDescent="0.25">
      <c r="C891" s="41" t="str">
        <f>IF(A891=0,"",IF(IF(COUNTIF(Sec_Fiber!$A$19:$A$1018,B891)&gt;0,TRUE,FALSE)=FALSE,VLOOKUP(B891,SecDB,4,FALSE),VLOOKUP(VLOOKUP(B891,SecFiberDB,2,FALSE),SecDB,4,FALSE)))</f>
        <v/>
      </c>
      <c r="D891" s="41" t="str">
        <f t="shared" si="13"/>
        <v/>
      </c>
    </row>
    <row r="892" spans="3:4" x14ac:dyDescent="0.25">
      <c r="C892" s="41" t="str">
        <f>IF(A892=0,"",IF(IF(COUNTIF(Sec_Fiber!$A$19:$A$1018,B892)&gt;0,TRUE,FALSE)=FALSE,VLOOKUP(B892,SecDB,4,FALSE),VLOOKUP(VLOOKUP(B892,SecFiberDB,2,FALSE),SecDB,4,FALSE)))</f>
        <v/>
      </c>
      <c r="D892" s="41" t="str">
        <f t="shared" si="13"/>
        <v/>
      </c>
    </row>
    <row r="893" spans="3:4" x14ac:dyDescent="0.25">
      <c r="C893" s="41" t="str">
        <f>IF(A893=0,"",IF(IF(COUNTIF(Sec_Fiber!$A$19:$A$1018,B893)&gt;0,TRUE,FALSE)=FALSE,VLOOKUP(B893,SecDB,4,FALSE),VLOOKUP(VLOOKUP(B893,SecFiberDB,2,FALSE),SecDB,4,FALSE)))</f>
        <v/>
      </c>
      <c r="D893" s="41" t="str">
        <f t="shared" si="13"/>
        <v/>
      </c>
    </row>
    <row r="894" spans="3:4" x14ac:dyDescent="0.25">
      <c r="C894" s="41" t="str">
        <f>IF(A894=0,"",IF(IF(COUNTIF(Sec_Fiber!$A$19:$A$1018,B894)&gt;0,TRUE,FALSE)=FALSE,VLOOKUP(B894,SecDB,4,FALSE),VLOOKUP(VLOOKUP(B894,SecFiberDB,2,FALSE),SecDB,4,FALSE)))</f>
        <v/>
      </c>
      <c r="D894" s="41" t="str">
        <f t="shared" si="13"/>
        <v/>
      </c>
    </row>
    <row r="895" spans="3:4" x14ac:dyDescent="0.25">
      <c r="C895" s="41" t="str">
        <f>IF(A895=0,"",IF(IF(COUNTIF(Sec_Fiber!$A$19:$A$1018,B895)&gt;0,TRUE,FALSE)=FALSE,VLOOKUP(B895,SecDB,4,FALSE),VLOOKUP(VLOOKUP(B895,SecFiberDB,2,FALSE),SecDB,4,FALSE)))</f>
        <v/>
      </c>
      <c r="D895" s="41" t="str">
        <f t="shared" si="13"/>
        <v/>
      </c>
    </row>
    <row r="896" spans="3:4" x14ac:dyDescent="0.25">
      <c r="C896" s="41" t="str">
        <f>IF(A896=0,"",IF(IF(COUNTIF(Sec_Fiber!$A$19:$A$1018,B896)&gt;0,TRUE,FALSE)=FALSE,VLOOKUP(B896,SecDB,4,FALSE),VLOOKUP(VLOOKUP(B896,SecFiberDB,2,FALSE),SecDB,4,FALSE)))</f>
        <v/>
      </c>
      <c r="D896" s="41" t="str">
        <f t="shared" si="13"/>
        <v/>
      </c>
    </row>
    <row r="897" spans="3:4" x14ac:dyDescent="0.25">
      <c r="C897" s="41" t="str">
        <f>IF(A897=0,"",IF(IF(COUNTIF(Sec_Fiber!$A$19:$A$1018,B897)&gt;0,TRUE,FALSE)=FALSE,VLOOKUP(B897,SecDB,4,FALSE),VLOOKUP(VLOOKUP(B897,SecFiberDB,2,FALSE),SecDB,4,FALSE)))</f>
        <v/>
      </c>
      <c r="D897" s="41" t="str">
        <f t="shared" si="13"/>
        <v/>
      </c>
    </row>
    <row r="898" spans="3:4" x14ac:dyDescent="0.25">
      <c r="C898" s="41" t="str">
        <f>IF(A898=0,"",IF(IF(COUNTIF(Sec_Fiber!$A$19:$A$1018,B898)&gt;0,TRUE,FALSE)=FALSE,VLOOKUP(B898,SecDB,4,FALSE),VLOOKUP(VLOOKUP(B898,SecFiberDB,2,FALSE),SecDB,4,FALSE)))</f>
        <v/>
      </c>
      <c r="D898" s="41" t="str">
        <f t="shared" si="13"/>
        <v/>
      </c>
    </row>
    <row r="899" spans="3:4" x14ac:dyDescent="0.25">
      <c r="C899" s="41" t="str">
        <f>IF(A899=0,"",IF(IF(COUNTIF(Sec_Fiber!$A$19:$A$1018,B899)&gt;0,TRUE,FALSE)=FALSE,VLOOKUP(B899,SecDB,4,FALSE),VLOOKUP(VLOOKUP(B899,SecFiberDB,2,FALSE),SecDB,4,FALSE)))</f>
        <v/>
      </c>
      <c r="D899" s="41" t="str">
        <f t="shared" si="13"/>
        <v/>
      </c>
    </row>
    <row r="900" spans="3:4" x14ac:dyDescent="0.25">
      <c r="C900" s="41" t="str">
        <f>IF(A900=0,"",IF(IF(COUNTIF(Sec_Fiber!$A$19:$A$1018,B900)&gt;0,TRUE,FALSE)=FALSE,VLOOKUP(B900,SecDB,4,FALSE),VLOOKUP(VLOOKUP(B900,SecFiberDB,2,FALSE),SecDB,4,FALSE)))</f>
        <v/>
      </c>
      <c r="D900" s="41" t="str">
        <f t="shared" si="13"/>
        <v/>
      </c>
    </row>
    <row r="901" spans="3:4" x14ac:dyDescent="0.25">
      <c r="C901" s="41" t="str">
        <f>IF(A901=0,"",IF(IF(COUNTIF(Sec_Fiber!$A$19:$A$1018,B901)&gt;0,TRUE,FALSE)=FALSE,VLOOKUP(B901,SecDB,4,FALSE),VLOOKUP(VLOOKUP(B901,SecFiberDB,2,FALSE),SecDB,4,FALSE)))</f>
        <v/>
      </c>
      <c r="D901" s="41" t="str">
        <f t="shared" si="13"/>
        <v/>
      </c>
    </row>
    <row r="902" spans="3:4" x14ac:dyDescent="0.25">
      <c r="C902" s="41" t="str">
        <f>IF(A902=0,"",IF(IF(COUNTIF(Sec_Fiber!$A$19:$A$1018,B902)&gt;0,TRUE,FALSE)=FALSE,VLOOKUP(B902,SecDB,4,FALSE),VLOOKUP(VLOOKUP(B902,SecFiberDB,2,FALSE),SecDB,4,FALSE)))</f>
        <v/>
      </c>
      <c r="D902" s="41" t="str">
        <f t="shared" si="13"/>
        <v/>
      </c>
    </row>
    <row r="903" spans="3:4" x14ac:dyDescent="0.25">
      <c r="C903" s="41" t="str">
        <f>IF(A903=0,"",IF(IF(COUNTIF(Sec_Fiber!$A$19:$A$1018,B903)&gt;0,TRUE,FALSE)=FALSE,VLOOKUP(B903,SecDB,4,FALSE),VLOOKUP(VLOOKUP(B903,SecFiberDB,2,FALSE),SecDB,4,FALSE)))</f>
        <v/>
      </c>
      <c r="D903" s="41" t="str">
        <f t="shared" si="13"/>
        <v/>
      </c>
    </row>
    <row r="904" spans="3:4" x14ac:dyDescent="0.25">
      <c r="C904" s="41" t="str">
        <f>IF(A904=0,"",IF(IF(COUNTIF(Sec_Fiber!$A$19:$A$1018,B904)&gt;0,TRUE,FALSE)=FALSE,VLOOKUP(B904,SecDB,4,FALSE),VLOOKUP(VLOOKUP(B904,SecFiberDB,2,FALSE),SecDB,4,FALSE)))</f>
        <v/>
      </c>
      <c r="D904" s="41" t="str">
        <f t="shared" si="13"/>
        <v/>
      </c>
    </row>
    <row r="905" spans="3:4" x14ac:dyDescent="0.25">
      <c r="C905" s="41" t="str">
        <f>IF(A905=0,"",IF(IF(COUNTIF(Sec_Fiber!$A$19:$A$1018,B905)&gt;0,TRUE,FALSE)=FALSE,VLOOKUP(B905,SecDB,4,FALSE),VLOOKUP(VLOOKUP(B905,SecFiberDB,2,FALSE),SecDB,4,FALSE)))</f>
        <v/>
      </c>
      <c r="D905" s="41" t="str">
        <f t="shared" ref="D905:D968" si="14">IF(A905=0,"","Aggregator")</f>
        <v/>
      </c>
    </row>
    <row r="906" spans="3:4" x14ac:dyDescent="0.25">
      <c r="C906" s="41" t="str">
        <f>IF(A906=0,"",IF(IF(COUNTIF(Sec_Fiber!$A$19:$A$1018,B906)&gt;0,TRUE,FALSE)=FALSE,VLOOKUP(B906,SecDB,4,FALSE),VLOOKUP(VLOOKUP(B906,SecFiberDB,2,FALSE),SecDB,4,FALSE)))</f>
        <v/>
      </c>
      <c r="D906" s="41" t="str">
        <f t="shared" si="14"/>
        <v/>
      </c>
    </row>
    <row r="907" spans="3:4" x14ac:dyDescent="0.25">
      <c r="C907" s="41" t="str">
        <f>IF(A907=0,"",IF(IF(COUNTIF(Sec_Fiber!$A$19:$A$1018,B907)&gt;0,TRUE,FALSE)=FALSE,VLOOKUP(B907,SecDB,4,FALSE),VLOOKUP(VLOOKUP(B907,SecFiberDB,2,FALSE),SecDB,4,FALSE)))</f>
        <v/>
      </c>
      <c r="D907" s="41" t="str">
        <f t="shared" si="14"/>
        <v/>
      </c>
    </row>
    <row r="908" spans="3:4" x14ac:dyDescent="0.25">
      <c r="C908" s="41" t="str">
        <f>IF(A908=0,"",IF(IF(COUNTIF(Sec_Fiber!$A$19:$A$1018,B908)&gt;0,TRUE,FALSE)=FALSE,VLOOKUP(B908,SecDB,4,FALSE),VLOOKUP(VLOOKUP(B908,SecFiberDB,2,FALSE),SecDB,4,FALSE)))</f>
        <v/>
      </c>
      <c r="D908" s="41" t="str">
        <f t="shared" si="14"/>
        <v/>
      </c>
    </row>
    <row r="909" spans="3:4" x14ac:dyDescent="0.25">
      <c r="C909" s="41" t="str">
        <f>IF(A909=0,"",IF(IF(COUNTIF(Sec_Fiber!$A$19:$A$1018,B909)&gt;0,TRUE,FALSE)=FALSE,VLOOKUP(B909,SecDB,4,FALSE),VLOOKUP(VLOOKUP(B909,SecFiberDB,2,FALSE),SecDB,4,FALSE)))</f>
        <v/>
      </c>
      <c r="D909" s="41" t="str">
        <f t="shared" si="14"/>
        <v/>
      </c>
    </row>
    <row r="910" spans="3:4" x14ac:dyDescent="0.25">
      <c r="C910" s="41" t="str">
        <f>IF(A910=0,"",IF(IF(COUNTIF(Sec_Fiber!$A$19:$A$1018,B910)&gt;0,TRUE,FALSE)=FALSE,VLOOKUP(B910,SecDB,4,FALSE),VLOOKUP(VLOOKUP(B910,SecFiberDB,2,FALSE),SecDB,4,FALSE)))</f>
        <v/>
      </c>
      <c r="D910" s="41" t="str">
        <f t="shared" si="14"/>
        <v/>
      </c>
    </row>
    <row r="911" spans="3:4" x14ac:dyDescent="0.25">
      <c r="C911" s="41" t="str">
        <f>IF(A911=0,"",IF(IF(COUNTIF(Sec_Fiber!$A$19:$A$1018,B911)&gt;0,TRUE,FALSE)=FALSE,VLOOKUP(B911,SecDB,4,FALSE),VLOOKUP(VLOOKUP(B911,SecFiberDB,2,FALSE),SecDB,4,FALSE)))</f>
        <v/>
      </c>
      <c r="D911" s="41" t="str">
        <f t="shared" si="14"/>
        <v/>
      </c>
    </row>
    <row r="912" spans="3:4" x14ac:dyDescent="0.25">
      <c r="C912" s="41" t="str">
        <f>IF(A912=0,"",IF(IF(COUNTIF(Sec_Fiber!$A$19:$A$1018,B912)&gt;0,TRUE,FALSE)=FALSE,VLOOKUP(B912,SecDB,4,FALSE),VLOOKUP(VLOOKUP(B912,SecFiberDB,2,FALSE),SecDB,4,FALSE)))</f>
        <v/>
      </c>
      <c r="D912" s="41" t="str">
        <f t="shared" si="14"/>
        <v/>
      </c>
    </row>
    <row r="913" spans="3:4" x14ac:dyDescent="0.25">
      <c r="C913" s="41" t="str">
        <f>IF(A913=0,"",IF(IF(COUNTIF(Sec_Fiber!$A$19:$A$1018,B913)&gt;0,TRUE,FALSE)=FALSE,VLOOKUP(B913,SecDB,4,FALSE),VLOOKUP(VLOOKUP(B913,SecFiberDB,2,FALSE),SecDB,4,FALSE)))</f>
        <v/>
      </c>
      <c r="D913" s="41" t="str">
        <f t="shared" si="14"/>
        <v/>
      </c>
    </row>
    <row r="914" spans="3:4" x14ac:dyDescent="0.25">
      <c r="C914" s="41" t="str">
        <f>IF(A914=0,"",IF(IF(COUNTIF(Sec_Fiber!$A$19:$A$1018,B914)&gt;0,TRUE,FALSE)=FALSE,VLOOKUP(B914,SecDB,4,FALSE),VLOOKUP(VLOOKUP(B914,SecFiberDB,2,FALSE),SecDB,4,FALSE)))</f>
        <v/>
      </c>
      <c r="D914" s="41" t="str">
        <f t="shared" si="14"/>
        <v/>
      </c>
    </row>
    <row r="915" spans="3:4" x14ac:dyDescent="0.25">
      <c r="C915" s="41" t="str">
        <f>IF(A915=0,"",IF(IF(COUNTIF(Sec_Fiber!$A$19:$A$1018,B915)&gt;0,TRUE,FALSE)=FALSE,VLOOKUP(B915,SecDB,4,FALSE),VLOOKUP(VLOOKUP(B915,SecFiberDB,2,FALSE),SecDB,4,FALSE)))</f>
        <v/>
      </c>
      <c r="D915" s="41" t="str">
        <f t="shared" si="14"/>
        <v/>
      </c>
    </row>
    <row r="916" spans="3:4" x14ac:dyDescent="0.25">
      <c r="C916" s="41" t="str">
        <f>IF(A916=0,"",IF(IF(COUNTIF(Sec_Fiber!$A$19:$A$1018,B916)&gt;0,TRUE,FALSE)=FALSE,VLOOKUP(B916,SecDB,4,FALSE),VLOOKUP(VLOOKUP(B916,SecFiberDB,2,FALSE),SecDB,4,FALSE)))</f>
        <v/>
      </c>
      <c r="D916" s="41" t="str">
        <f t="shared" si="14"/>
        <v/>
      </c>
    </row>
    <row r="917" spans="3:4" x14ac:dyDescent="0.25">
      <c r="C917" s="41" t="str">
        <f>IF(A917=0,"",IF(IF(COUNTIF(Sec_Fiber!$A$19:$A$1018,B917)&gt;0,TRUE,FALSE)=FALSE,VLOOKUP(B917,SecDB,4,FALSE),VLOOKUP(VLOOKUP(B917,SecFiberDB,2,FALSE),SecDB,4,FALSE)))</f>
        <v/>
      </c>
      <c r="D917" s="41" t="str">
        <f t="shared" si="14"/>
        <v/>
      </c>
    </row>
    <row r="918" spans="3:4" x14ac:dyDescent="0.25">
      <c r="C918" s="41" t="str">
        <f>IF(A918=0,"",IF(IF(COUNTIF(Sec_Fiber!$A$19:$A$1018,B918)&gt;0,TRUE,FALSE)=FALSE,VLOOKUP(B918,SecDB,4,FALSE),VLOOKUP(VLOOKUP(B918,SecFiberDB,2,FALSE),SecDB,4,FALSE)))</f>
        <v/>
      </c>
      <c r="D918" s="41" t="str">
        <f t="shared" si="14"/>
        <v/>
      </c>
    </row>
    <row r="919" spans="3:4" x14ac:dyDescent="0.25">
      <c r="C919" s="41" t="str">
        <f>IF(A919=0,"",IF(IF(COUNTIF(Sec_Fiber!$A$19:$A$1018,B919)&gt;0,TRUE,FALSE)=FALSE,VLOOKUP(B919,SecDB,4,FALSE),VLOOKUP(VLOOKUP(B919,SecFiberDB,2,FALSE),SecDB,4,FALSE)))</f>
        <v/>
      </c>
      <c r="D919" s="41" t="str">
        <f t="shared" si="14"/>
        <v/>
      </c>
    </row>
    <row r="920" spans="3:4" x14ac:dyDescent="0.25">
      <c r="C920" s="41" t="str">
        <f>IF(A920=0,"",IF(IF(COUNTIF(Sec_Fiber!$A$19:$A$1018,B920)&gt;0,TRUE,FALSE)=FALSE,VLOOKUP(B920,SecDB,4,FALSE),VLOOKUP(VLOOKUP(B920,SecFiberDB,2,FALSE),SecDB,4,FALSE)))</f>
        <v/>
      </c>
      <c r="D920" s="41" t="str">
        <f t="shared" si="14"/>
        <v/>
      </c>
    </row>
    <row r="921" spans="3:4" x14ac:dyDescent="0.25">
      <c r="C921" s="41" t="str">
        <f>IF(A921=0,"",IF(IF(COUNTIF(Sec_Fiber!$A$19:$A$1018,B921)&gt;0,TRUE,FALSE)=FALSE,VLOOKUP(B921,SecDB,4,FALSE),VLOOKUP(VLOOKUP(B921,SecFiberDB,2,FALSE),SecDB,4,FALSE)))</f>
        <v/>
      </c>
      <c r="D921" s="41" t="str">
        <f t="shared" si="14"/>
        <v/>
      </c>
    </row>
    <row r="922" spans="3:4" x14ac:dyDescent="0.25">
      <c r="C922" s="41" t="str">
        <f>IF(A922=0,"",IF(IF(COUNTIF(Sec_Fiber!$A$19:$A$1018,B922)&gt;0,TRUE,FALSE)=FALSE,VLOOKUP(B922,SecDB,4,FALSE),VLOOKUP(VLOOKUP(B922,SecFiberDB,2,FALSE),SecDB,4,FALSE)))</f>
        <v/>
      </c>
      <c r="D922" s="41" t="str">
        <f t="shared" si="14"/>
        <v/>
      </c>
    </row>
    <row r="923" spans="3:4" x14ac:dyDescent="0.25">
      <c r="C923" s="41" t="str">
        <f>IF(A923=0,"",IF(IF(COUNTIF(Sec_Fiber!$A$19:$A$1018,B923)&gt;0,TRUE,FALSE)=FALSE,VLOOKUP(B923,SecDB,4,FALSE),VLOOKUP(VLOOKUP(B923,SecFiberDB,2,FALSE),SecDB,4,FALSE)))</f>
        <v/>
      </c>
      <c r="D923" s="41" t="str">
        <f t="shared" si="14"/>
        <v/>
      </c>
    </row>
    <row r="924" spans="3:4" x14ac:dyDescent="0.25">
      <c r="C924" s="41" t="str">
        <f>IF(A924=0,"",IF(IF(COUNTIF(Sec_Fiber!$A$19:$A$1018,B924)&gt;0,TRUE,FALSE)=FALSE,VLOOKUP(B924,SecDB,4,FALSE),VLOOKUP(VLOOKUP(B924,SecFiberDB,2,FALSE),SecDB,4,FALSE)))</f>
        <v/>
      </c>
      <c r="D924" s="41" t="str">
        <f t="shared" si="14"/>
        <v/>
      </c>
    </row>
    <row r="925" spans="3:4" x14ac:dyDescent="0.25">
      <c r="C925" s="41" t="str">
        <f>IF(A925=0,"",IF(IF(COUNTIF(Sec_Fiber!$A$19:$A$1018,B925)&gt;0,TRUE,FALSE)=FALSE,VLOOKUP(B925,SecDB,4,FALSE),VLOOKUP(VLOOKUP(B925,SecFiberDB,2,FALSE),SecDB,4,FALSE)))</f>
        <v/>
      </c>
      <c r="D925" s="41" t="str">
        <f t="shared" si="14"/>
        <v/>
      </c>
    </row>
    <row r="926" spans="3:4" x14ac:dyDescent="0.25">
      <c r="C926" s="41" t="str">
        <f>IF(A926=0,"",IF(IF(COUNTIF(Sec_Fiber!$A$19:$A$1018,B926)&gt;0,TRUE,FALSE)=FALSE,VLOOKUP(B926,SecDB,4,FALSE),VLOOKUP(VLOOKUP(B926,SecFiberDB,2,FALSE),SecDB,4,FALSE)))</f>
        <v/>
      </c>
      <c r="D926" s="41" t="str">
        <f t="shared" si="14"/>
        <v/>
      </c>
    </row>
    <row r="927" spans="3:4" x14ac:dyDescent="0.25">
      <c r="C927" s="41" t="str">
        <f>IF(A927=0,"",IF(IF(COUNTIF(Sec_Fiber!$A$19:$A$1018,B927)&gt;0,TRUE,FALSE)=FALSE,VLOOKUP(B927,SecDB,4,FALSE),VLOOKUP(VLOOKUP(B927,SecFiberDB,2,FALSE),SecDB,4,FALSE)))</f>
        <v/>
      </c>
      <c r="D927" s="41" t="str">
        <f t="shared" si="14"/>
        <v/>
      </c>
    </row>
    <row r="928" spans="3:4" x14ac:dyDescent="0.25">
      <c r="C928" s="41" t="str">
        <f>IF(A928=0,"",IF(IF(COUNTIF(Sec_Fiber!$A$19:$A$1018,B928)&gt;0,TRUE,FALSE)=FALSE,VLOOKUP(B928,SecDB,4,FALSE),VLOOKUP(VLOOKUP(B928,SecFiberDB,2,FALSE),SecDB,4,FALSE)))</f>
        <v/>
      </c>
      <c r="D928" s="41" t="str">
        <f t="shared" si="14"/>
        <v/>
      </c>
    </row>
    <row r="929" spans="3:4" x14ac:dyDescent="0.25">
      <c r="C929" s="41" t="str">
        <f>IF(A929=0,"",IF(IF(COUNTIF(Sec_Fiber!$A$19:$A$1018,B929)&gt;0,TRUE,FALSE)=FALSE,VLOOKUP(B929,SecDB,4,FALSE),VLOOKUP(VLOOKUP(B929,SecFiberDB,2,FALSE),SecDB,4,FALSE)))</f>
        <v/>
      </c>
      <c r="D929" s="41" t="str">
        <f t="shared" si="14"/>
        <v/>
      </c>
    </row>
    <row r="930" spans="3:4" x14ac:dyDescent="0.25">
      <c r="C930" s="41" t="str">
        <f>IF(A930=0,"",IF(IF(COUNTIF(Sec_Fiber!$A$19:$A$1018,B930)&gt;0,TRUE,FALSE)=FALSE,VLOOKUP(B930,SecDB,4,FALSE),VLOOKUP(VLOOKUP(B930,SecFiberDB,2,FALSE),SecDB,4,FALSE)))</f>
        <v/>
      </c>
      <c r="D930" s="41" t="str">
        <f t="shared" si="14"/>
        <v/>
      </c>
    </row>
    <row r="931" spans="3:4" x14ac:dyDescent="0.25">
      <c r="C931" s="41" t="str">
        <f>IF(A931=0,"",IF(IF(COUNTIF(Sec_Fiber!$A$19:$A$1018,B931)&gt;0,TRUE,FALSE)=FALSE,VLOOKUP(B931,SecDB,4,FALSE),VLOOKUP(VLOOKUP(B931,SecFiberDB,2,FALSE),SecDB,4,FALSE)))</f>
        <v/>
      </c>
      <c r="D931" s="41" t="str">
        <f t="shared" si="14"/>
        <v/>
      </c>
    </row>
    <row r="932" spans="3:4" x14ac:dyDescent="0.25">
      <c r="C932" s="41" t="str">
        <f>IF(A932=0,"",IF(IF(COUNTIF(Sec_Fiber!$A$19:$A$1018,B932)&gt;0,TRUE,FALSE)=FALSE,VLOOKUP(B932,SecDB,4,FALSE),VLOOKUP(VLOOKUP(B932,SecFiberDB,2,FALSE),SecDB,4,FALSE)))</f>
        <v/>
      </c>
      <c r="D932" s="41" t="str">
        <f t="shared" si="14"/>
        <v/>
      </c>
    </row>
    <row r="933" spans="3:4" x14ac:dyDescent="0.25">
      <c r="C933" s="41" t="str">
        <f>IF(A933=0,"",IF(IF(COUNTIF(Sec_Fiber!$A$19:$A$1018,B933)&gt;0,TRUE,FALSE)=FALSE,VLOOKUP(B933,SecDB,4,FALSE),VLOOKUP(VLOOKUP(B933,SecFiberDB,2,FALSE),SecDB,4,FALSE)))</f>
        <v/>
      </c>
      <c r="D933" s="41" t="str">
        <f t="shared" si="14"/>
        <v/>
      </c>
    </row>
    <row r="934" spans="3:4" x14ac:dyDescent="0.25">
      <c r="C934" s="41" t="str">
        <f>IF(A934=0,"",IF(IF(COUNTIF(Sec_Fiber!$A$19:$A$1018,B934)&gt;0,TRUE,FALSE)=FALSE,VLOOKUP(B934,SecDB,4,FALSE),VLOOKUP(VLOOKUP(B934,SecFiberDB,2,FALSE),SecDB,4,FALSE)))</f>
        <v/>
      </c>
      <c r="D934" s="41" t="str">
        <f t="shared" si="14"/>
        <v/>
      </c>
    </row>
    <row r="935" spans="3:4" x14ac:dyDescent="0.25">
      <c r="C935" s="41" t="str">
        <f>IF(A935=0,"",IF(IF(COUNTIF(Sec_Fiber!$A$19:$A$1018,B935)&gt;0,TRUE,FALSE)=FALSE,VLOOKUP(B935,SecDB,4,FALSE),VLOOKUP(VLOOKUP(B935,SecFiberDB,2,FALSE),SecDB,4,FALSE)))</f>
        <v/>
      </c>
      <c r="D935" s="41" t="str">
        <f t="shared" si="14"/>
        <v/>
      </c>
    </row>
    <row r="936" spans="3:4" x14ac:dyDescent="0.25">
      <c r="C936" s="41" t="str">
        <f>IF(A936=0,"",IF(IF(COUNTIF(Sec_Fiber!$A$19:$A$1018,B936)&gt;0,TRUE,FALSE)=FALSE,VLOOKUP(B936,SecDB,4,FALSE),VLOOKUP(VLOOKUP(B936,SecFiberDB,2,FALSE),SecDB,4,FALSE)))</f>
        <v/>
      </c>
      <c r="D936" s="41" t="str">
        <f t="shared" si="14"/>
        <v/>
      </c>
    </row>
    <row r="937" spans="3:4" x14ac:dyDescent="0.25">
      <c r="C937" s="41" t="str">
        <f>IF(A937=0,"",IF(IF(COUNTIF(Sec_Fiber!$A$19:$A$1018,B937)&gt;0,TRUE,FALSE)=FALSE,VLOOKUP(B937,SecDB,4,FALSE),VLOOKUP(VLOOKUP(B937,SecFiberDB,2,FALSE),SecDB,4,FALSE)))</f>
        <v/>
      </c>
      <c r="D937" s="41" t="str">
        <f t="shared" si="14"/>
        <v/>
      </c>
    </row>
    <row r="938" spans="3:4" x14ac:dyDescent="0.25">
      <c r="C938" s="41" t="str">
        <f>IF(A938=0,"",IF(IF(COUNTIF(Sec_Fiber!$A$19:$A$1018,B938)&gt;0,TRUE,FALSE)=FALSE,VLOOKUP(B938,SecDB,4,FALSE),VLOOKUP(VLOOKUP(B938,SecFiberDB,2,FALSE),SecDB,4,FALSE)))</f>
        <v/>
      </c>
      <c r="D938" s="41" t="str">
        <f t="shared" si="14"/>
        <v/>
      </c>
    </row>
    <row r="939" spans="3:4" x14ac:dyDescent="0.25">
      <c r="C939" s="41" t="str">
        <f>IF(A939=0,"",IF(IF(COUNTIF(Sec_Fiber!$A$19:$A$1018,B939)&gt;0,TRUE,FALSE)=FALSE,VLOOKUP(B939,SecDB,4,FALSE),VLOOKUP(VLOOKUP(B939,SecFiberDB,2,FALSE),SecDB,4,FALSE)))</f>
        <v/>
      </c>
      <c r="D939" s="41" t="str">
        <f t="shared" si="14"/>
        <v/>
      </c>
    </row>
    <row r="940" spans="3:4" x14ac:dyDescent="0.25">
      <c r="C940" s="41" t="str">
        <f>IF(A940=0,"",IF(IF(COUNTIF(Sec_Fiber!$A$19:$A$1018,B940)&gt;0,TRUE,FALSE)=FALSE,VLOOKUP(B940,SecDB,4,FALSE),VLOOKUP(VLOOKUP(B940,SecFiberDB,2,FALSE),SecDB,4,FALSE)))</f>
        <v/>
      </c>
      <c r="D940" s="41" t="str">
        <f t="shared" si="14"/>
        <v/>
      </c>
    </row>
    <row r="941" spans="3:4" x14ac:dyDescent="0.25">
      <c r="C941" s="41" t="str">
        <f>IF(A941=0,"",IF(IF(COUNTIF(Sec_Fiber!$A$19:$A$1018,B941)&gt;0,TRUE,FALSE)=FALSE,VLOOKUP(B941,SecDB,4,FALSE),VLOOKUP(VLOOKUP(B941,SecFiberDB,2,FALSE),SecDB,4,FALSE)))</f>
        <v/>
      </c>
      <c r="D941" s="41" t="str">
        <f t="shared" si="14"/>
        <v/>
      </c>
    </row>
    <row r="942" spans="3:4" x14ac:dyDescent="0.25">
      <c r="C942" s="41" t="str">
        <f>IF(A942=0,"",IF(IF(COUNTIF(Sec_Fiber!$A$19:$A$1018,B942)&gt;0,TRUE,FALSE)=FALSE,VLOOKUP(B942,SecDB,4,FALSE),VLOOKUP(VLOOKUP(B942,SecFiberDB,2,FALSE),SecDB,4,FALSE)))</f>
        <v/>
      </c>
      <c r="D942" s="41" t="str">
        <f t="shared" si="14"/>
        <v/>
      </c>
    </row>
    <row r="943" spans="3:4" x14ac:dyDescent="0.25">
      <c r="C943" s="41" t="str">
        <f>IF(A943=0,"",IF(IF(COUNTIF(Sec_Fiber!$A$19:$A$1018,B943)&gt;0,TRUE,FALSE)=FALSE,VLOOKUP(B943,SecDB,4,FALSE),VLOOKUP(VLOOKUP(B943,SecFiberDB,2,FALSE),SecDB,4,FALSE)))</f>
        <v/>
      </c>
      <c r="D943" s="41" t="str">
        <f t="shared" si="14"/>
        <v/>
      </c>
    </row>
    <row r="944" spans="3:4" x14ac:dyDescent="0.25">
      <c r="C944" s="41" t="str">
        <f>IF(A944=0,"",IF(IF(COUNTIF(Sec_Fiber!$A$19:$A$1018,B944)&gt;0,TRUE,FALSE)=FALSE,VLOOKUP(B944,SecDB,4,FALSE),VLOOKUP(VLOOKUP(B944,SecFiberDB,2,FALSE),SecDB,4,FALSE)))</f>
        <v/>
      </c>
      <c r="D944" s="41" t="str">
        <f t="shared" si="14"/>
        <v/>
      </c>
    </row>
    <row r="945" spans="3:4" x14ac:dyDescent="0.25">
      <c r="C945" s="41" t="str">
        <f>IF(A945=0,"",IF(IF(COUNTIF(Sec_Fiber!$A$19:$A$1018,B945)&gt;0,TRUE,FALSE)=FALSE,VLOOKUP(B945,SecDB,4,FALSE),VLOOKUP(VLOOKUP(B945,SecFiberDB,2,FALSE),SecDB,4,FALSE)))</f>
        <v/>
      </c>
      <c r="D945" s="41" t="str">
        <f t="shared" si="14"/>
        <v/>
      </c>
    </row>
    <row r="946" spans="3:4" x14ac:dyDescent="0.25">
      <c r="C946" s="41" t="str">
        <f>IF(A946=0,"",IF(IF(COUNTIF(Sec_Fiber!$A$19:$A$1018,B946)&gt;0,TRUE,FALSE)=FALSE,VLOOKUP(B946,SecDB,4,FALSE),VLOOKUP(VLOOKUP(B946,SecFiberDB,2,FALSE),SecDB,4,FALSE)))</f>
        <v/>
      </c>
      <c r="D946" s="41" t="str">
        <f t="shared" si="14"/>
        <v/>
      </c>
    </row>
    <row r="947" spans="3:4" x14ac:dyDescent="0.25">
      <c r="C947" s="41" t="str">
        <f>IF(A947=0,"",IF(IF(COUNTIF(Sec_Fiber!$A$19:$A$1018,B947)&gt;0,TRUE,FALSE)=FALSE,VLOOKUP(B947,SecDB,4,FALSE),VLOOKUP(VLOOKUP(B947,SecFiberDB,2,FALSE),SecDB,4,FALSE)))</f>
        <v/>
      </c>
      <c r="D947" s="41" t="str">
        <f t="shared" si="14"/>
        <v/>
      </c>
    </row>
    <row r="948" spans="3:4" x14ac:dyDescent="0.25">
      <c r="C948" s="41" t="str">
        <f>IF(A948=0,"",IF(IF(COUNTIF(Sec_Fiber!$A$19:$A$1018,B948)&gt;0,TRUE,FALSE)=FALSE,VLOOKUP(B948,SecDB,4,FALSE),VLOOKUP(VLOOKUP(B948,SecFiberDB,2,FALSE),SecDB,4,FALSE)))</f>
        <v/>
      </c>
      <c r="D948" s="41" t="str">
        <f t="shared" si="14"/>
        <v/>
      </c>
    </row>
    <row r="949" spans="3:4" x14ac:dyDescent="0.25">
      <c r="C949" s="41" t="str">
        <f>IF(A949=0,"",IF(IF(COUNTIF(Sec_Fiber!$A$19:$A$1018,B949)&gt;0,TRUE,FALSE)=FALSE,VLOOKUP(B949,SecDB,4,FALSE),VLOOKUP(VLOOKUP(B949,SecFiberDB,2,FALSE),SecDB,4,FALSE)))</f>
        <v/>
      </c>
      <c r="D949" s="41" t="str">
        <f t="shared" si="14"/>
        <v/>
      </c>
    </row>
    <row r="950" spans="3:4" x14ac:dyDescent="0.25">
      <c r="C950" s="41" t="str">
        <f>IF(A950=0,"",IF(IF(COUNTIF(Sec_Fiber!$A$19:$A$1018,B950)&gt;0,TRUE,FALSE)=FALSE,VLOOKUP(B950,SecDB,4,FALSE),VLOOKUP(VLOOKUP(B950,SecFiberDB,2,FALSE),SecDB,4,FALSE)))</f>
        <v/>
      </c>
      <c r="D950" s="41" t="str">
        <f t="shared" si="14"/>
        <v/>
      </c>
    </row>
    <row r="951" spans="3:4" x14ac:dyDescent="0.25">
      <c r="C951" s="41" t="str">
        <f>IF(A951=0,"",IF(IF(COUNTIF(Sec_Fiber!$A$19:$A$1018,B951)&gt;0,TRUE,FALSE)=FALSE,VLOOKUP(B951,SecDB,4,FALSE),VLOOKUP(VLOOKUP(B951,SecFiberDB,2,FALSE),SecDB,4,FALSE)))</f>
        <v/>
      </c>
      <c r="D951" s="41" t="str">
        <f t="shared" si="14"/>
        <v/>
      </c>
    </row>
    <row r="952" spans="3:4" x14ac:dyDescent="0.25">
      <c r="C952" s="41" t="str">
        <f>IF(A952=0,"",IF(IF(COUNTIF(Sec_Fiber!$A$19:$A$1018,B952)&gt;0,TRUE,FALSE)=FALSE,VLOOKUP(B952,SecDB,4,FALSE),VLOOKUP(VLOOKUP(B952,SecFiberDB,2,FALSE),SecDB,4,FALSE)))</f>
        <v/>
      </c>
      <c r="D952" s="41" t="str">
        <f t="shared" si="14"/>
        <v/>
      </c>
    </row>
    <row r="953" spans="3:4" x14ac:dyDescent="0.25">
      <c r="C953" s="41" t="str">
        <f>IF(A953=0,"",IF(IF(COUNTIF(Sec_Fiber!$A$19:$A$1018,B953)&gt;0,TRUE,FALSE)=FALSE,VLOOKUP(B953,SecDB,4,FALSE),VLOOKUP(VLOOKUP(B953,SecFiberDB,2,FALSE),SecDB,4,FALSE)))</f>
        <v/>
      </c>
      <c r="D953" s="41" t="str">
        <f t="shared" si="14"/>
        <v/>
      </c>
    </row>
    <row r="954" spans="3:4" x14ac:dyDescent="0.25">
      <c r="C954" s="41" t="str">
        <f>IF(A954=0,"",IF(IF(COUNTIF(Sec_Fiber!$A$19:$A$1018,B954)&gt;0,TRUE,FALSE)=FALSE,VLOOKUP(B954,SecDB,4,FALSE),VLOOKUP(VLOOKUP(B954,SecFiberDB,2,FALSE),SecDB,4,FALSE)))</f>
        <v/>
      </c>
      <c r="D954" s="41" t="str">
        <f t="shared" si="14"/>
        <v/>
      </c>
    </row>
    <row r="955" spans="3:4" x14ac:dyDescent="0.25">
      <c r="C955" s="41" t="str">
        <f>IF(A955=0,"",IF(IF(COUNTIF(Sec_Fiber!$A$19:$A$1018,B955)&gt;0,TRUE,FALSE)=FALSE,VLOOKUP(B955,SecDB,4,FALSE),VLOOKUP(VLOOKUP(B955,SecFiberDB,2,FALSE),SecDB,4,FALSE)))</f>
        <v/>
      </c>
      <c r="D955" s="41" t="str">
        <f t="shared" si="14"/>
        <v/>
      </c>
    </row>
    <row r="956" spans="3:4" x14ac:dyDescent="0.25">
      <c r="C956" s="41" t="str">
        <f>IF(A956=0,"",IF(IF(COUNTIF(Sec_Fiber!$A$19:$A$1018,B956)&gt;0,TRUE,FALSE)=FALSE,VLOOKUP(B956,SecDB,4,FALSE),VLOOKUP(VLOOKUP(B956,SecFiberDB,2,FALSE),SecDB,4,FALSE)))</f>
        <v/>
      </c>
      <c r="D956" s="41" t="str">
        <f t="shared" si="14"/>
        <v/>
      </c>
    </row>
    <row r="957" spans="3:4" x14ac:dyDescent="0.25">
      <c r="C957" s="41" t="str">
        <f>IF(A957=0,"",IF(IF(COUNTIF(Sec_Fiber!$A$19:$A$1018,B957)&gt;0,TRUE,FALSE)=FALSE,VLOOKUP(B957,SecDB,4,FALSE),VLOOKUP(VLOOKUP(B957,SecFiberDB,2,FALSE),SecDB,4,FALSE)))</f>
        <v/>
      </c>
      <c r="D957" s="41" t="str">
        <f t="shared" si="14"/>
        <v/>
      </c>
    </row>
    <row r="958" spans="3:4" x14ac:dyDescent="0.25">
      <c r="C958" s="41" t="str">
        <f>IF(A958=0,"",IF(IF(COUNTIF(Sec_Fiber!$A$19:$A$1018,B958)&gt;0,TRUE,FALSE)=FALSE,VLOOKUP(B958,SecDB,4,FALSE),VLOOKUP(VLOOKUP(B958,SecFiberDB,2,FALSE),SecDB,4,FALSE)))</f>
        <v/>
      </c>
      <c r="D958" s="41" t="str">
        <f t="shared" si="14"/>
        <v/>
      </c>
    </row>
    <row r="959" spans="3:4" x14ac:dyDescent="0.25">
      <c r="C959" s="41" t="str">
        <f>IF(A959=0,"",IF(IF(COUNTIF(Sec_Fiber!$A$19:$A$1018,B959)&gt;0,TRUE,FALSE)=FALSE,VLOOKUP(B959,SecDB,4,FALSE),VLOOKUP(VLOOKUP(B959,SecFiberDB,2,FALSE),SecDB,4,FALSE)))</f>
        <v/>
      </c>
      <c r="D959" s="41" t="str">
        <f t="shared" si="14"/>
        <v/>
      </c>
    </row>
    <row r="960" spans="3:4" x14ac:dyDescent="0.25">
      <c r="C960" s="41" t="str">
        <f>IF(A960=0,"",IF(IF(COUNTIF(Sec_Fiber!$A$19:$A$1018,B960)&gt;0,TRUE,FALSE)=FALSE,VLOOKUP(B960,SecDB,4,FALSE),VLOOKUP(VLOOKUP(B960,SecFiberDB,2,FALSE),SecDB,4,FALSE)))</f>
        <v/>
      </c>
      <c r="D960" s="41" t="str">
        <f t="shared" si="14"/>
        <v/>
      </c>
    </row>
    <row r="961" spans="3:4" x14ac:dyDescent="0.25">
      <c r="C961" s="41" t="str">
        <f>IF(A961=0,"",IF(IF(COUNTIF(Sec_Fiber!$A$19:$A$1018,B961)&gt;0,TRUE,FALSE)=FALSE,VLOOKUP(B961,SecDB,4,FALSE),VLOOKUP(VLOOKUP(B961,SecFiberDB,2,FALSE),SecDB,4,FALSE)))</f>
        <v/>
      </c>
      <c r="D961" s="41" t="str">
        <f t="shared" si="14"/>
        <v/>
      </c>
    </row>
    <row r="962" spans="3:4" x14ac:dyDescent="0.25">
      <c r="C962" s="41" t="str">
        <f>IF(A962=0,"",IF(IF(COUNTIF(Sec_Fiber!$A$19:$A$1018,B962)&gt;0,TRUE,FALSE)=FALSE,VLOOKUP(B962,SecDB,4,FALSE),VLOOKUP(VLOOKUP(B962,SecFiberDB,2,FALSE),SecDB,4,FALSE)))</f>
        <v/>
      </c>
      <c r="D962" s="41" t="str">
        <f t="shared" si="14"/>
        <v/>
      </c>
    </row>
    <row r="963" spans="3:4" x14ac:dyDescent="0.25">
      <c r="C963" s="41" t="str">
        <f>IF(A963=0,"",IF(IF(COUNTIF(Sec_Fiber!$A$19:$A$1018,B963)&gt;0,TRUE,FALSE)=FALSE,VLOOKUP(B963,SecDB,4,FALSE),VLOOKUP(VLOOKUP(B963,SecFiberDB,2,FALSE),SecDB,4,FALSE)))</f>
        <v/>
      </c>
      <c r="D963" s="41" t="str">
        <f t="shared" si="14"/>
        <v/>
      </c>
    </row>
    <row r="964" spans="3:4" x14ac:dyDescent="0.25">
      <c r="C964" s="41" t="str">
        <f>IF(A964=0,"",IF(IF(COUNTIF(Sec_Fiber!$A$19:$A$1018,B964)&gt;0,TRUE,FALSE)=FALSE,VLOOKUP(B964,SecDB,4,FALSE),VLOOKUP(VLOOKUP(B964,SecFiberDB,2,FALSE),SecDB,4,FALSE)))</f>
        <v/>
      </c>
      <c r="D964" s="41" t="str">
        <f t="shared" si="14"/>
        <v/>
      </c>
    </row>
    <row r="965" spans="3:4" x14ac:dyDescent="0.25">
      <c r="C965" s="41" t="str">
        <f>IF(A965=0,"",IF(IF(COUNTIF(Sec_Fiber!$A$19:$A$1018,B965)&gt;0,TRUE,FALSE)=FALSE,VLOOKUP(B965,SecDB,4,FALSE),VLOOKUP(VLOOKUP(B965,SecFiberDB,2,FALSE),SecDB,4,FALSE)))</f>
        <v/>
      </c>
      <c r="D965" s="41" t="str">
        <f t="shared" si="14"/>
        <v/>
      </c>
    </row>
    <row r="966" spans="3:4" x14ac:dyDescent="0.25">
      <c r="C966" s="41" t="str">
        <f>IF(A966=0,"",IF(IF(COUNTIF(Sec_Fiber!$A$19:$A$1018,B966)&gt;0,TRUE,FALSE)=FALSE,VLOOKUP(B966,SecDB,4,FALSE),VLOOKUP(VLOOKUP(B966,SecFiberDB,2,FALSE),SecDB,4,FALSE)))</f>
        <v/>
      </c>
      <c r="D966" s="41" t="str">
        <f t="shared" si="14"/>
        <v/>
      </c>
    </row>
    <row r="967" spans="3:4" x14ac:dyDescent="0.25">
      <c r="C967" s="41" t="str">
        <f>IF(A967=0,"",IF(IF(COUNTIF(Sec_Fiber!$A$19:$A$1018,B967)&gt;0,TRUE,FALSE)=FALSE,VLOOKUP(B967,SecDB,4,FALSE),VLOOKUP(VLOOKUP(B967,SecFiberDB,2,FALSE),SecDB,4,FALSE)))</f>
        <v/>
      </c>
      <c r="D967" s="41" t="str">
        <f t="shared" si="14"/>
        <v/>
      </c>
    </row>
    <row r="968" spans="3:4" x14ac:dyDescent="0.25">
      <c r="C968" s="41" t="str">
        <f>IF(A968=0,"",IF(IF(COUNTIF(Sec_Fiber!$A$19:$A$1018,B968)&gt;0,TRUE,FALSE)=FALSE,VLOOKUP(B968,SecDB,4,FALSE),VLOOKUP(VLOOKUP(B968,SecFiberDB,2,FALSE),SecDB,4,FALSE)))</f>
        <v/>
      </c>
      <c r="D968" s="41" t="str">
        <f t="shared" si="14"/>
        <v/>
      </c>
    </row>
    <row r="969" spans="3:4" x14ac:dyDescent="0.25">
      <c r="C969" s="41" t="str">
        <f>IF(A969=0,"",IF(IF(COUNTIF(Sec_Fiber!$A$19:$A$1018,B969)&gt;0,TRUE,FALSE)=FALSE,VLOOKUP(B969,SecDB,4,FALSE),VLOOKUP(VLOOKUP(B969,SecFiberDB,2,FALSE),SecDB,4,FALSE)))</f>
        <v/>
      </c>
      <c r="D969" s="41" t="str">
        <f t="shared" ref="D969:D1008" si="15">IF(A969=0,"","Aggregator")</f>
        <v/>
      </c>
    </row>
    <row r="970" spans="3:4" x14ac:dyDescent="0.25">
      <c r="C970" s="41" t="str">
        <f>IF(A970=0,"",IF(IF(COUNTIF(Sec_Fiber!$A$19:$A$1018,B970)&gt;0,TRUE,FALSE)=FALSE,VLOOKUP(B970,SecDB,4,FALSE),VLOOKUP(VLOOKUP(B970,SecFiberDB,2,FALSE),SecDB,4,FALSE)))</f>
        <v/>
      </c>
      <c r="D970" s="41" t="str">
        <f t="shared" si="15"/>
        <v/>
      </c>
    </row>
    <row r="971" spans="3:4" x14ac:dyDescent="0.25">
      <c r="C971" s="41" t="str">
        <f>IF(A971=0,"",IF(IF(COUNTIF(Sec_Fiber!$A$19:$A$1018,B971)&gt;0,TRUE,FALSE)=FALSE,VLOOKUP(B971,SecDB,4,FALSE),VLOOKUP(VLOOKUP(B971,SecFiberDB,2,FALSE),SecDB,4,FALSE)))</f>
        <v/>
      </c>
      <c r="D971" s="41" t="str">
        <f t="shared" si="15"/>
        <v/>
      </c>
    </row>
    <row r="972" spans="3:4" x14ac:dyDescent="0.25">
      <c r="C972" s="41" t="str">
        <f>IF(A972=0,"",IF(IF(COUNTIF(Sec_Fiber!$A$19:$A$1018,B972)&gt;0,TRUE,FALSE)=FALSE,VLOOKUP(B972,SecDB,4,FALSE),VLOOKUP(VLOOKUP(B972,SecFiberDB,2,FALSE),SecDB,4,FALSE)))</f>
        <v/>
      </c>
      <c r="D972" s="41" t="str">
        <f t="shared" si="15"/>
        <v/>
      </c>
    </row>
    <row r="973" spans="3:4" x14ac:dyDescent="0.25">
      <c r="C973" s="41" t="str">
        <f>IF(A973=0,"",IF(IF(COUNTIF(Sec_Fiber!$A$19:$A$1018,B973)&gt;0,TRUE,FALSE)=FALSE,VLOOKUP(B973,SecDB,4,FALSE),VLOOKUP(VLOOKUP(B973,SecFiberDB,2,FALSE),SecDB,4,FALSE)))</f>
        <v/>
      </c>
      <c r="D973" s="41" t="str">
        <f t="shared" si="15"/>
        <v/>
      </c>
    </row>
    <row r="974" spans="3:4" x14ac:dyDescent="0.25">
      <c r="C974" s="41" t="str">
        <f>IF(A974=0,"",IF(IF(COUNTIF(Sec_Fiber!$A$19:$A$1018,B974)&gt;0,TRUE,FALSE)=FALSE,VLOOKUP(B974,SecDB,4,FALSE),VLOOKUP(VLOOKUP(B974,SecFiberDB,2,FALSE),SecDB,4,FALSE)))</f>
        <v/>
      </c>
      <c r="D974" s="41" t="str">
        <f t="shared" si="15"/>
        <v/>
      </c>
    </row>
    <row r="975" spans="3:4" x14ac:dyDescent="0.25">
      <c r="C975" s="41" t="str">
        <f>IF(A975=0,"",IF(IF(COUNTIF(Sec_Fiber!$A$19:$A$1018,B975)&gt;0,TRUE,FALSE)=FALSE,VLOOKUP(B975,SecDB,4,FALSE),VLOOKUP(VLOOKUP(B975,SecFiberDB,2,FALSE),SecDB,4,FALSE)))</f>
        <v/>
      </c>
      <c r="D975" s="41" t="str">
        <f t="shared" si="15"/>
        <v/>
      </c>
    </row>
    <row r="976" spans="3:4" x14ac:dyDescent="0.25">
      <c r="C976" s="41" t="str">
        <f>IF(A976=0,"",IF(IF(COUNTIF(Sec_Fiber!$A$19:$A$1018,B976)&gt;0,TRUE,FALSE)=FALSE,VLOOKUP(B976,SecDB,4,FALSE),VLOOKUP(VLOOKUP(B976,SecFiberDB,2,FALSE),SecDB,4,FALSE)))</f>
        <v/>
      </c>
      <c r="D976" s="41" t="str">
        <f t="shared" si="15"/>
        <v/>
      </c>
    </row>
    <row r="977" spans="3:4" x14ac:dyDescent="0.25">
      <c r="C977" s="41" t="str">
        <f>IF(A977=0,"",IF(IF(COUNTIF(Sec_Fiber!$A$19:$A$1018,B977)&gt;0,TRUE,FALSE)=FALSE,VLOOKUP(B977,SecDB,4,FALSE),VLOOKUP(VLOOKUP(B977,SecFiberDB,2,FALSE),SecDB,4,FALSE)))</f>
        <v/>
      </c>
      <c r="D977" s="41" t="str">
        <f t="shared" si="15"/>
        <v/>
      </c>
    </row>
    <row r="978" spans="3:4" x14ac:dyDescent="0.25">
      <c r="C978" s="41" t="str">
        <f>IF(A978=0,"",IF(IF(COUNTIF(Sec_Fiber!$A$19:$A$1018,B978)&gt;0,TRUE,FALSE)=FALSE,VLOOKUP(B978,SecDB,4,FALSE),VLOOKUP(VLOOKUP(B978,SecFiberDB,2,FALSE),SecDB,4,FALSE)))</f>
        <v/>
      </c>
      <c r="D978" s="41" t="str">
        <f t="shared" si="15"/>
        <v/>
      </c>
    </row>
    <row r="979" spans="3:4" x14ac:dyDescent="0.25">
      <c r="C979" s="41" t="str">
        <f>IF(A979=0,"",IF(IF(COUNTIF(Sec_Fiber!$A$19:$A$1018,B979)&gt;0,TRUE,FALSE)=FALSE,VLOOKUP(B979,SecDB,4,FALSE),VLOOKUP(VLOOKUP(B979,SecFiberDB,2,FALSE),SecDB,4,FALSE)))</f>
        <v/>
      </c>
      <c r="D979" s="41" t="str">
        <f t="shared" si="15"/>
        <v/>
      </c>
    </row>
    <row r="980" spans="3:4" x14ac:dyDescent="0.25">
      <c r="C980" s="41" t="str">
        <f>IF(A980=0,"",IF(IF(COUNTIF(Sec_Fiber!$A$19:$A$1018,B980)&gt;0,TRUE,FALSE)=FALSE,VLOOKUP(B980,SecDB,4,FALSE),VLOOKUP(VLOOKUP(B980,SecFiberDB,2,FALSE),SecDB,4,FALSE)))</f>
        <v/>
      </c>
      <c r="D980" s="41" t="str">
        <f t="shared" si="15"/>
        <v/>
      </c>
    </row>
    <row r="981" spans="3:4" x14ac:dyDescent="0.25">
      <c r="C981" s="41" t="str">
        <f>IF(A981=0,"",IF(IF(COUNTIF(Sec_Fiber!$A$19:$A$1018,B981)&gt;0,TRUE,FALSE)=FALSE,VLOOKUP(B981,SecDB,4,FALSE),VLOOKUP(VLOOKUP(B981,SecFiberDB,2,FALSE),SecDB,4,FALSE)))</f>
        <v/>
      </c>
      <c r="D981" s="41" t="str">
        <f t="shared" si="15"/>
        <v/>
      </c>
    </row>
    <row r="982" spans="3:4" x14ac:dyDescent="0.25">
      <c r="C982" s="41" t="str">
        <f>IF(A982=0,"",IF(IF(COUNTIF(Sec_Fiber!$A$19:$A$1018,B982)&gt;0,TRUE,FALSE)=FALSE,VLOOKUP(B982,SecDB,4,FALSE),VLOOKUP(VLOOKUP(B982,SecFiberDB,2,FALSE),SecDB,4,FALSE)))</f>
        <v/>
      </c>
      <c r="D982" s="41" t="str">
        <f t="shared" si="15"/>
        <v/>
      </c>
    </row>
    <row r="983" spans="3:4" x14ac:dyDescent="0.25">
      <c r="C983" s="41" t="str">
        <f>IF(A983=0,"",IF(IF(COUNTIF(Sec_Fiber!$A$19:$A$1018,B983)&gt;0,TRUE,FALSE)=FALSE,VLOOKUP(B983,SecDB,4,FALSE),VLOOKUP(VLOOKUP(B983,SecFiberDB,2,FALSE),SecDB,4,FALSE)))</f>
        <v/>
      </c>
      <c r="D983" s="41" t="str">
        <f t="shared" si="15"/>
        <v/>
      </c>
    </row>
    <row r="984" spans="3:4" x14ac:dyDescent="0.25">
      <c r="C984" s="41" t="str">
        <f>IF(A984=0,"",IF(IF(COUNTIF(Sec_Fiber!$A$19:$A$1018,B984)&gt;0,TRUE,FALSE)=FALSE,VLOOKUP(B984,SecDB,4,FALSE),VLOOKUP(VLOOKUP(B984,SecFiberDB,2,FALSE),SecDB,4,FALSE)))</f>
        <v/>
      </c>
      <c r="D984" s="41" t="str">
        <f t="shared" si="15"/>
        <v/>
      </c>
    </row>
    <row r="985" spans="3:4" x14ac:dyDescent="0.25">
      <c r="C985" s="41" t="str">
        <f>IF(A985=0,"",IF(IF(COUNTIF(Sec_Fiber!$A$19:$A$1018,B985)&gt;0,TRUE,FALSE)=FALSE,VLOOKUP(B985,SecDB,4,FALSE),VLOOKUP(VLOOKUP(B985,SecFiberDB,2,FALSE),SecDB,4,FALSE)))</f>
        <v/>
      </c>
      <c r="D985" s="41" t="str">
        <f t="shared" si="15"/>
        <v/>
      </c>
    </row>
    <row r="986" spans="3:4" x14ac:dyDescent="0.25">
      <c r="C986" s="41" t="str">
        <f>IF(A986=0,"",IF(IF(COUNTIF(Sec_Fiber!$A$19:$A$1018,B986)&gt;0,TRUE,FALSE)=FALSE,VLOOKUP(B986,SecDB,4,FALSE),VLOOKUP(VLOOKUP(B986,SecFiberDB,2,FALSE),SecDB,4,FALSE)))</f>
        <v/>
      </c>
      <c r="D986" s="41" t="str">
        <f t="shared" si="15"/>
        <v/>
      </c>
    </row>
    <row r="987" spans="3:4" x14ac:dyDescent="0.25">
      <c r="C987" s="41" t="str">
        <f>IF(A987=0,"",IF(IF(COUNTIF(Sec_Fiber!$A$19:$A$1018,B987)&gt;0,TRUE,FALSE)=FALSE,VLOOKUP(B987,SecDB,4,FALSE),VLOOKUP(VLOOKUP(B987,SecFiberDB,2,FALSE),SecDB,4,FALSE)))</f>
        <v/>
      </c>
      <c r="D987" s="41" t="str">
        <f t="shared" si="15"/>
        <v/>
      </c>
    </row>
    <row r="988" spans="3:4" x14ac:dyDescent="0.25">
      <c r="C988" s="41" t="str">
        <f>IF(A988=0,"",IF(IF(COUNTIF(Sec_Fiber!$A$19:$A$1018,B988)&gt;0,TRUE,FALSE)=FALSE,VLOOKUP(B988,SecDB,4,FALSE),VLOOKUP(VLOOKUP(B988,SecFiberDB,2,FALSE),SecDB,4,FALSE)))</f>
        <v/>
      </c>
      <c r="D988" s="41" t="str">
        <f t="shared" si="15"/>
        <v/>
      </c>
    </row>
    <row r="989" spans="3:4" x14ac:dyDescent="0.25">
      <c r="C989" s="41" t="str">
        <f>IF(A989=0,"",IF(IF(COUNTIF(Sec_Fiber!$A$19:$A$1018,B989)&gt;0,TRUE,FALSE)=FALSE,VLOOKUP(B989,SecDB,4,FALSE),VLOOKUP(VLOOKUP(B989,SecFiberDB,2,FALSE),SecDB,4,FALSE)))</f>
        <v/>
      </c>
      <c r="D989" s="41" t="str">
        <f t="shared" si="15"/>
        <v/>
      </c>
    </row>
    <row r="990" spans="3:4" x14ac:dyDescent="0.25">
      <c r="C990" s="41" t="str">
        <f>IF(A990=0,"",IF(IF(COUNTIF(Sec_Fiber!$A$19:$A$1018,B990)&gt;0,TRUE,FALSE)=FALSE,VLOOKUP(B990,SecDB,4,FALSE),VLOOKUP(VLOOKUP(B990,SecFiberDB,2,FALSE),SecDB,4,FALSE)))</f>
        <v/>
      </c>
      <c r="D990" s="41" t="str">
        <f t="shared" si="15"/>
        <v/>
      </c>
    </row>
    <row r="991" spans="3:4" x14ac:dyDescent="0.25">
      <c r="C991" s="41" t="str">
        <f>IF(A991=0,"",IF(IF(COUNTIF(Sec_Fiber!$A$19:$A$1018,B991)&gt;0,TRUE,FALSE)=FALSE,VLOOKUP(B991,SecDB,4,FALSE),VLOOKUP(VLOOKUP(B991,SecFiberDB,2,FALSE),SecDB,4,FALSE)))</f>
        <v/>
      </c>
      <c r="D991" s="41" t="str">
        <f t="shared" si="15"/>
        <v/>
      </c>
    </row>
    <row r="992" spans="3:4" x14ac:dyDescent="0.25">
      <c r="C992" s="41" t="str">
        <f>IF(A992=0,"",IF(IF(COUNTIF(Sec_Fiber!$A$19:$A$1018,B992)&gt;0,TRUE,FALSE)=FALSE,VLOOKUP(B992,SecDB,4,FALSE),VLOOKUP(VLOOKUP(B992,SecFiberDB,2,FALSE),SecDB,4,FALSE)))</f>
        <v/>
      </c>
      <c r="D992" s="41" t="str">
        <f t="shared" si="15"/>
        <v/>
      </c>
    </row>
    <row r="993" spans="3:4" x14ac:dyDescent="0.25">
      <c r="C993" s="41" t="str">
        <f>IF(A993=0,"",IF(IF(COUNTIF(Sec_Fiber!$A$19:$A$1018,B993)&gt;0,TRUE,FALSE)=FALSE,VLOOKUP(B993,SecDB,4,FALSE),VLOOKUP(VLOOKUP(B993,SecFiberDB,2,FALSE),SecDB,4,FALSE)))</f>
        <v/>
      </c>
      <c r="D993" s="41" t="str">
        <f t="shared" si="15"/>
        <v/>
      </c>
    </row>
    <row r="994" spans="3:4" x14ac:dyDescent="0.25">
      <c r="C994" s="41" t="str">
        <f>IF(A994=0,"",IF(IF(COUNTIF(Sec_Fiber!$A$19:$A$1018,B994)&gt;0,TRUE,FALSE)=FALSE,VLOOKUP(B994,SecDB,4,FALSE),VLOOKUP(VLOOKUP(B994,SecFiberDB,2,FALSE),SecDB,4,FALSE)))</f>
        <v/>
      </c>
      <c r="D994" s="41" t="str">
        <f t="shared" si="15"/>
        <v/>
      </c>
    </row>
    <row r="995" spans="3:4" x14ac:dyDescent="0.25">
      <c r="C995" s="41" t="str">
        <f>IF(A995=0,"",IF(IF(COUNTIF(Sec_Fiber!$A$19:$A$1018,B995)&gt;0,TRUE,FALSE)=FALSE,VLOOKUP(B995,SecDB,4,FALSE),VLOOKUP(VLOOKUP(B995,SecFiberDB,2,FALSE),SecDB,4,FALSE)))</f>
        <v/>
      </c>
      <c r="D995" s="41" t="str">
        <f t="shared" si="15"/>
        <v/>
      </c>
    </row>
    <row r="996" spans="3:4" x14ac:dyDescent="0.25">
      <c r="C996" s="41" t="str">
        <f>IF(A996=0,"",IF(IF(COUNTIF(Sec_Fiber!$A$19:$A$1018,B996)&gt;0,TRUE,FALSE)=FALSE,VLOOKUP(B996,SecDB,4,FALSE),VLOOKUP(VLOOKUP(B996,SecFiberDB,2,FALSE),SecDB,4,FALSE)))</f>
        <v/>
      </c>
      <c r="D996" s="41" t="str">
        <f t="shared" si="15"/>
        <v/>
      </c>
    </row>
    <row r="997" spans="3:4" x14ac:dyDescent="0.25">
      <c r="C997" s="41" t="str">
        <f>IF(A997=0,"",IF(IF(COUNTIF(Sec_Fiber!$A$19:$A$1018,B997)&gt;0,TRUE,FALSE)=FALSE,VLOOKUP(B997,SecDB,4,FALSE),VLOOKUP(VLOOKUP(B997,SecFiberDB,2,FALSE),SecDB,4,FALSE)))</f>
        <v/>
      </c>
      <c r="D997" s="41" t="str">
        <f t="shared" si="15"/>
        <v/>
      </c>
    </row>
    <row r="998" spans="3:4" x14ac:dyDescent="0.25">
      <c r="C998" s="41" t="str">
        <f>IF(A998=0,"",IF(IF(COUNTIF(Sec_Fiber!$A$19:$A$1018,B998)&gt;0,TRUE,FALSE)=FALSE,VLOOKUP(B998,SecDB,4,FALSE),VLOOKUP(VLOOKUP(B998,SecFiberDB,2,FALSE),SecDB,4,FALSE)))</f>
        <v/>
      </c>
      <c r="D998" s="41" t="str">
        <f t="shared" si="15"/>
        <v/>
      </c>
    </row>
    <row r="999" spans="3:4" x14ac:dyDescent="0.25">
      <c r="C999" s="41" t="str">
        <f>IF(A999=0,"",IF(IF(COUNTIF(Sec_Fiber!$A$19:$A$1018,B999)&gt;0,TRUE,FALSE)=FALSE,VLOOKUP(B999,SecDB,4,FALSE),VLOOKUP(VLOOKUP(B999,SecFiberDB,2,FALSE),SecDB,4,FALSE)))</f>
        <v/>
      </c>
      <c r="D999" s="41" t="str">
        <f t="shared" si="15"/>
        <v/>
      </c>
    </row>
    <row r="1000" spans="3:4" x14ac:dyDescent="0.25">
      <c r="C1000" s="41" t="str">
        <f>IF(A1000=0,"",IF(IF(COUNTIF(Sec_Fiber!$A$19:$A$1018,B1000)&gt;0,TRUE,FALSE)=FALSE,VLOOKUP(B1000,SecDB,4,FALSE),VLOOKUP(VLOOKUP(B1000,SecFiberDB,2,FALSE),SecDB,4,FALSE)))</f>
        <v/>
      </c>
      <c r="D1000" s="41" t="str">
        <f t="shared" si="15"/>
        <v/>
      </c>
    </row>
    <row r="1001" spans="3:4" x14ac:dyDescent="0.25">
      <c r="C1001" s="41" t="str">
        <f>IF(A1001=0,"",IF(IF(COUNTIF(Sec_Fiber!$A$19:$A$1018,B1001)&gt;0,TRUE,FALSE)=FALSE,VLOOKUP(B1001,SecDB,4,FALSE),VLOOKUP(VLOOKUP(B1001,SecFiberDB,2,FALSE),SecDB,4,FALSE)))</f>
        <v/>
      </c>
      <c r="D1001" s="41" t="str">
        <f t="shared" si="15"/>
        <v/>
      </c>
    </row>
    <row r="1002" spans="3:4" x14ac:dyDescent="0.25">
      <c r="C1002" s="41" t="str">
        <f>IF(A1002=0,"",IF(IF(COUNTIF(Sec_Fiber!$A$19:$A$1018,B1002)&gt;0,TRUE,FALSE)=FALSE,VLOOKUP(B1002,SecDB,4,FALSE),VLOOKUP(VLOOKUP(B1002,SecFiberDB,2,FALSE),SecDB,4,FALSE)))</f>
        <v/>
      </c>
      <c r="D1002" s="41" t="str">
        <f t="shared" si="15"/>
        <v/>
      </c>
    </row>
    <row r="1003" spans="3:4" x14ac:dyDescent="0.25">
      <c r="C1003" s="41" t="str">
        <f>IF(A1003=0,"",IF(IF(COUNTIF(Sec_Fiber!$A$19:$A$1018,B1003)&gt;0,TRUE,FALSE)=FALSE,VLOOKUP(B1003,SecDB,4,FALSE),VLOOKUP(VLOOKUP(B1003,SecFiberDB,2,FALSE),SecDB,4,FALSE)))</f>
        <v/>
      </c>
      <c r="D1003" s="41" t="str">
        <f t="shared" si="15"/>
        <v/>
      </c>
    </row>
    <row r="1004" spans="3:4" x14ac:dyDescent="0.25">
      <c r="C1004" s="41" t="str">
        <f>IF(A1004=0,"",IF(IF(COUNTIF(Sec_Fiber!$A$19:$A$1018,B1004)&gt;0,TRUE,FALSE)=FALSE,VLOOKUP(B1004,SecDB,4,FALSE),VLOOKUP(VLOOKUP(B1004,SecFiberDB,2,FALSE),SecDB,4,FALSE)))</f>
        <v/>
      </c>
      <c r="D1004" s="41" t="str">
        <f t="shared" si="15"/>
        <v/>
      </c>
    </row>
    <row r="1005" spans="3:4" x14ac:dyDescent="0.25">
      <c r="C1005" s="41" t="str">
        <f>IF(A1005=0,"",IF(IF(COUNTIF(Sec_Fiber!$A$19:$A$1018,B1005)&gt;0,TRUE,FALSE)=FALSE,VLOOKUP(B1005,SecDB,4,FALSE),VLOOKUP(VLOOKUP(B1005,SecFiberDB,2,FALSE),SecDB,4,FALSE)))</f>
        <v/>
      </c>
      <c r="D1005" s="41" t="str">
        <f t="shared" si="15"/>
        <v/>
      </c>
    </row>
    <row r="1006" spans="3:4" x14ac:dyDescent="0.25">
      <c r="C1006" s="41" t="str">
        <f>IF(A1006=0,"",IF(IF(COUNTIF(Sec_Fiber!$A$19:$A$1018,B1006)&gt;0,TRUE,FALSE)=FALSE,VLOOKUP(B1006,SecDB,4,FALSE),VLOOKUP(VLOOKUP(B1006,SecFiberDB,2,FALSE),SecDB,4,FALSE)))</f>
        <v/>
      </c>
      <c r="D1006" s="41" t="str">
        <f t="shared" si="15"/>
        <v/>
      </c>
    </row>
    <row r="1007" spans="3:4" x14ac:dyDescent="0.25">
      <c r="C1007" s="41" t="str">
        <f>IF(A1007=0,"",IF(IF(COUNTIF(Sec_Fiber!$A$19:$A$1018,B1007)&gt;0,TRUE,FALSE)=FALSE,VLOOKUP(B1007,SecDB,4,FALSE),VLOOKUP(VLOOKUP(B1007,SecFiberDB,2,FALSE),SecDB,4,FALSE)))</f>
        <v/>
      </c>
      <c r="D1007" s="41" t="str">
        <f t="shared" si="15"/>
        <v/>
      </c>
    </row>
    <row r="1008" spans="3:4" x14ac:dyDescent="0.25">
      <c r="C1008" s="41" t="str">
        <f>IF(A1008=0,"",IF(IF(COUNTIF(Sec_Fiber!$A$19:$A$1018,B1008)&gt;0,TRUE,FALSE)=FALSE,VLOOKUP(B1008,SecDB,4,FALSE),VLOOKUP(VLOOKUP(B1008,SecFiberDB,2,FALSE),SecDB,4,FALSE)))</f>
        <v/>
      </c>
      <c r="D1008" s="41" t="str">
        <f t="shared" si="15"/>
        <v/>
      </c>
    </row>
  </sheetData>
  <dataValidations xWindow="508" yWindow="532" count="3">
    <dataValidation type="textLength" allowBlank="1" showInputMessage="1" showErrorMessage="1" errorTitle="Invalid Input" error="Please enter maximum 32 characters only." sqref="A9:A1048576" xr:uid="{25464784-987A-493D-A952-8894479FDC2D}">
      <formula1>1</formula1>
      <formula2>32</formula2>
    </dataValidation>
    <dataValidation type="list" showInputMessage="1" showErrorMessage="1" errorTitle="Invalid Input" error="Choose from the list" sqref="B9:B1048576" xr:uid="{ECB3A9C5-77CD-42C5-9FDA-40FCCF7D8F54}">
      <formula1>Sec_Name</formula1>
    </dataValidation>
    <dataValidation type="list" showInputMessage="1" showErrorMessage="1" errorTitle="Invalid Input" error="Choose from the list" sqref="E9:E1048576" xr:uid="{7A09B5BC-42C0-45A1-B653-E1F63C6F092E}">
      <formula1>"Flexural Stiffness, Shear Stiffness, Torsional Stiffness, Axial Stiffness"</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4F89-C721-3340-A226-185107DBDAD1}">
  <sheetPr codeName="Sheet13"/>
  <dimension ref="A1:E7"/>
  <sheetViews>
    <sheetView zoomScale="130" zoomScaleNormal="130" workbookViewId="0">
      <selection activeCell="A8" sqref="A8"/>
    </sheetView>
  </sheetViews>
  <sheetFormatPr defaultColWidth="10.85546875" defaultRowHeight="15.75" x14ac:dyDescent="0.25"/>
  <cols>
    <col min="1" max="2" width="20.7109375" style="45" customWidth="1"/>
    <col min="3" max="3" width="10.7109375" style="52" customWidth="1"/>
    <col min="4" max="16384" width="10.85546875" style="3"/>
  </cols>
  <sheetData>
    <row r="1" spans="1:5" x14ac:dyDescent="0.25">
      <c r="A1" s="33" t="s">
        <v>192</v>
      </c>
      <c r="B1" s="39"/>
      <c r="C1" s="46"/>
      <c r="D1" s="177"/>
      <c r="E1" s="40"/>
    </row>
    <row r="2" spans="1:5" x14ac:dyDescent="0.25">
      <c r="A2" s="48" t="s">
        <v>317</v>
      </c>
      <c r="B2" s="41"/>
      <c r="C2" s="58"/>
      <c r="D2" s="176"/>
      <c r="E2" s="42"/>
    </row>
    <row r="3" spans="1:5" x14ac:dyDescent="0.25">
      <c r="A3" s="48" t="s">
        <v>303</v>
      </c>
      <c r="B3" s="41"/>
      <c r="C3" s="58"/>
      <c r="D3" s="176"/>
      <c r="E3" s="42"/>
    </row>
    <row r="4" spans="1:5" x14ac:dyDescent="0.25">
      <c r="A4" s="53" t="str">
        <f>"- t: Slab thickness (Input as float) ("&amp;'User Defined Units'!$B$11&amp;")"</f>
        <v>- t: Slab thickness (Input as float) (m)</v>
      </c>
      <c r="B4" s="43"/>
      <c r="C4" s="50"/>
      <c r="D4" s="178"/>
      <c r="E4" s="44"/>
    </row>
    <row r="5" spans="1:5" x14ac:dyDescent="0.25">
      <c r="A5" s="34"/>
      <c r="B5" s="1"/>
      <c r="C5" s="4"/>
    </row>
    <row r="6" spans="1:5" s="8" customFormat="1" x14ac:dyDescent="0.25">
      <c r="A6" s="32" t="s">
        <v>70</v>
      </c>
      <c r="B6" s="32" t="s">
        <v>18</v>
      </c>
      <c r="C6" s="32" t="s">
        <v>105</v>
      </c>
    </row>
    <row r="7" spans="1:5" x14ac:dyDescent="0.25">
      <c r="A7" s="45" t="s">
        <v>106</v>
      </c>
      <c r="B7" s="45" t="s">
        <v>16</v>
      </c>
      <c r="C7" s="52">
        <v>0.2</v>
      </c>
    </row>
  </sheetData>
  <dataValidations count="3">
    <dataValidation type="textLength" allowBlank="1" showInputMessage="1" showErrorMessage="1" errorTitle="Invalid Input" error="Please enter maximum 32 characters only." sqref="A7:A1048576" xr:uid="{9208C44A-3B70-EB42-8B79-853AF450CF64}">
      <formula1>1</formula1>
      <formula2>32</formula2>
    </dataValidation>
    <dataValidation type="list" showInputMessage="1" showErrorMessage="1" errorTitle="Invalid Input" error="Choose from the list" sqref="B7:B1048576" xr:uid="{F9A26724-8B4A-3E48-9DCF-4A3CDE05A97A}">
      <formula1>Base_Mat</formula1>
    </dataValidation>
    <dataValidation type="decimal" allowBlank="1" showInputMessage="1" showErrorMessage="1" errorTitle="Invalid Input" error="Please enter a float value only." sqref="C7:C1048576" xr:uid="{88532836-B930-994A-A780-68544E0EBCC7}">
      <formula1>0</formula1>
      <formula2>1000000000000</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771D-57DB-764D-B39C-421398651EDA}">
  <sheetPr codeName="Sheet22"/>
  <dimension ref="A1:I132"/>
  <sheetViews>
    <sheetView zoomScale="130" zoomScaleNormal="130" workbookViewId="0">
      <selection activeCell="G16" sqref="G16"/>
    </sheetView>
  </sheetViews>
  <sheetFormatPr defaultColWidth="10.85546875" defaultRowHeight="15.75" x14ac:dyDescent="0.25"/>
  <cols>
    <col min="1" max="1" width="15.7109375" style="175" customWidth="1"/>
    <col min="2" max="4" width="10.7109375" style="87" customWidth="1"/>
    <col min="5" max="5" width="10.7109375" style="86" customWidth="1"/>
    <col min="6" max="6" width="10.85546875" style="86" customWidth="1"/>
    <col min="7" max="16384" width="10.85546875" style="75"/>
  </cols>
  <sheetData>
    <row r="1" spans="1:9" x14ac:dyDescent="0.25">
      <c r="A1" s="71" t="s">
        <v>192</v>
      </c>
      <c r="B1" s="72"/>
      <c r="C1" s="72"/>
      <c r="D1" s="72"/>
      <c r="E1" s="73"/>
      <c r="F1" s="73"/>
      <c r="G1" s="73"/>
      <c r="H1" s="73"/>
      <c r="I1" s="74"/>
    </row>
    <row r="2" spans="1:9" x14ac:dyDescent="0.25">
      <c r="A2" s="95" t="s">
        <v>314</v>
      </c>
      <c r="B2" s="196"/>
      <c r="C2" s="196"/>
      <c r="D2" s="196"/>
      <c r="E2" s="197"/>
      <c r="F2" s="197"/>
      <c r="G2" s="197"/>
      <c r="H2" s="197"/>
      <c r="I2" s="77"/>
    </row>
    <row r="3" spans="1:9" x14ac:dyDescent="0.25">
      <c r="A3" s="78" t="str">
        <f>"- X: X coordinate of point objects (Input as Float) ("&amp;'User Defined Units'!$B$11&amp;")"</f>
        <v>- X: X coordinate of point objects (Input as Float) (m)</v>
      </c>
      <c r="B3" s="196"/>
      <c r="C3" s="196"/>
      <c r="D3" s="196"/>
      <c r="E3" s="197"/>
      <c r="F3" s="197"/>
      <c r="G3" s="197"/>
      <c r="H3" s="197"/>
      <c r="I3" s="77"/>
    </row>
    <row r="4" spans="1:9" x14ac:dyDescent="0.25">
      <c r="A4" s="78" t="str">
        <f>"- Y: Y coordinate of point objects (Input as Float) ("&amp;'User Defined Units'!$B$11&amp;")"</f>
        <v>- Y: Y coordinate of point objects (Input as Float) (m)</v>
      </c>
      <c r="B4" s="196"/>
      <c r="C4" s="196"/>
      <c r="D4" s="196"/>
      <c r="E4" s="197"/>
      <c r="F4" s="197"/>
      <c r="G4" s="197"/>
      <c r="H4" s="197"/>
      <c r="I4" s="77"/>
    </row>
    <row r="5" spans="1:9" x14ac:dyDescent="0.25">
      <c r="A5" s="79" t="str">
        <f>"- Z: Z coordinate of point objects (Input as Float) ("&amp;'User Defined Units'!$B$11&amp;")"</f>
        <v>- Z: Z coordinate of point objects (Input as Float) (m)</v>
      </c>
      <c r="B5" s="80"/>
      <c r="C5" s="80"/>
      <c r="D5" s="80"/>
      <c r="E5" s="81"/>
      <c r="F5" s="81"/>
      <c r="G5" s="81"/>
      <c r="H5" s="81"/>
      <c r="I5" s="82"/>
    </row>
    <row r="6" spans="1:9" x14ac:dyDescent="0.25">
      <c r="A6" s="83"/>
      <c r="B6" s="84"/>
      <c r="C6" s="84"/>
      <c r="D6" s="84"/>
      <c r="E6" s="75"/>
      <c r="F6" s="75"/>
    </row>
    <row r="7" spans="1:9" s="13" customFormat="1" x14ac:dyDescent="0.25">
      <c r="A7" s="85" t="s">
        <v>313</v>
      </c>
      <c r="B7" s="17" t="s">
        <v>107</v>
      </c>
      <c r="C7" s="17" t="s">
        <v>108</v>
      </c>
      <c r="D7" s="17" t="s">
        <v>109</v>
      </c>
      <c r="E7" s="205"/>
      <c r="F7" s="86"/>
    </row>
    <row r="8" spans="1:9" x14ac:dyDescent="0.25">
      <c r="A8" s="175">
        <v>1</v>
      </c>
      <c r="B8" s="87">
        <v>0</v>
      </c>
      <c r="C8" s="87">
        <v>0</v>
      </c>
      <c r="D8" s="87">
        <v>0</v>
      </c>
    </row>
    <row r="9" spans="1:9" x14ac:dyDescent="0.25">
      <c r="A9" s="175">
        <v>2</v>
      </c>
      <c r="B9" s="87">
        <v>8</v>
      </c>
      <c r="C9" s="87">
        <v>0</v>
      </c>
      <c r="D9" s="87">
        <v>0</v>
      </c>
    </row>
    <row r="10" spans="1:9" x14ac:dyDescent="0.25">
      <c r="A10" s="173">
        <v>3</v>
      </c>
      <c r="B10" s="87">
        <v>16</v>
      </c>
      <c r="C10" s="87">
        <v>0</v>
      </c>
      <c r="D10" s="87">
        <v>0</v>
      </c>
    </row>
    <row r="11" spans="1:9" x14ac:dyDescent="0.25">
      <c r="A11" s="175">
        <v>4</v>
      </c>
      <c r="B11" s="87">
        <v>24</v>
      </c>
      <c r="C11" s="87">
        <v>0</v>
      </c>
      <c r="D11" s="87">
        <v>0</v>
      </c>
    </row>
    <row r="12" spans="1:9" x14ac:dyDescent="0.25">
      <c r="A12" s="175">
        <v>5</v>
      </c>
      <c r="B12" s="87">
        <v>32</v>
      </c>
      <c r="C12" s="87">
        <v>0</v>
      </c>
      <c r="D12" s="87">
        <v>0</v>
      </c>
    </row>
    <row r="13" spans="1:9" x14ac:dyDescent="0.25">
      <c r="A13" s="175">
        <v>6</v>
      </c>
      <c r="B13" s="87">
        <v>0</v>
      </c>
      <c r="C13" s="87">
        <v>8</v>
      </c>
      <c r="D13" s="87">
        <v>0</v>
      </c>
    </row>
    <row r="14" spans="1:9" x14ac:dyDescent="0.25">
      <c r="A14" s="175">
        <v>7</v>
      </c>
      <c r="B14" s="87">
        <v>8</v>
      </c>
      <c r="C14" s="87">
        <v>8</v>
      </c>
      <c r="D14" s="87">
        <v>0</v>
      </c>
    </row>
    <row r="15" spans="1:9" x14ac:dyDescent="0.25">
      <c r="A15" s="175">
        <v>8</v>
      </c>
      <c r="B15" s="87">
        <v>16</v>
      </c>
      <c r="C15" s="87">
        <v>8</v>
      </c>
      <c r="D15" s="87">
        <v>0</v>
      </c>
    </row>
    <row r="16" spans="1:9" x14ac:dyDescent="0.25">
      <c r="A16" s="175">
        <v>9</v>
      </c>
      <c r="B16" s="87">
        <v>24</v>
      </c>
      <c r="C16" s="87">
        <v>8</v>
      </c>
      <c r="D16" s="87">
        <v>0</v>
      </c>
    </row>
    <row r="17" spans="1:4" x14ac:dyDescent="0.25">
      <c r="A17" s="175">
        <v>10</v>
      </c>
      <c r="B17" s="87">
        <v>32</v>
      </c>
      <c r="C17" s="87">
        <v>8</v>
      </c>
      <c r="D17" s="87">
        <v>0</v>
      </c>
    </row>
    <row r="18" spans="1:4" x14ac:dyDescent="0.25">
      <c r="A18" s="175">
        <v>11</v>
      </c>
      <c r="B18" s="87">
        <v>0</v>
      </c>
      <c r="C18" s="87">
        <v>16</v>
      </c>
      <c r="D18" s="87">
        <v>0</v>
      </c>
    </row>
    <row r="19" spans="1:4" x14ac:dyDescent="0.25">
      <c r="A19" s="175">
        <v>12</v>
      </c>
      <c r="B19" s="87">
        <v>8</v>
      </c>
      <c r="C19" s="87">
        <v>16</v>
      </c>
      <c r="D19" s="87">
        <v>0</v>
      </c>
    </row>
    <row r="20" spans="1:4" x14ac:dyDescent="0.25">
      <c r="A20" s="175">
        <v>13</v>
      </c>
      <c r="B20" s="87">
        <v>16</v>
      </c>
      <c r="C20" s="87">
        <v>16</v>
      </c>
      <c r="D20" s="87">
        <v>0</v>
      </c>
    </row>
    <row r="21" spans="1:4" x14ac:dyDescent="0.25">
      <c r="A21" s="175">
        <v>14</v>
      </c>
      <c r="B21" s="87">
        <v>24</v>
      </c>
      <c r="C21" s="87">
        <v>16</v>
      </c>
      <c r="D21" s="87">
        <v>0</v>
      </c>
    </row>
    <row r="22" spans="1:4" x14ac:dyDescent="0.25">
      <c r="A22" s="175">
        <v>15</v>
      </c>
      <c r="B22" s="87">
        <v>32</v>
      </c>
      <c r="C22" s="87">
        <v>16</v>
      </c>
      <c r="D22" s="87">
        <v>0</v>
      </c>
    </row>
    <row r="23" spans="1:4" x14ac:dyDescent="0.25">
      <c r="A23" s="175">
        <v>16</v>
      </c>
      <c r="B23" s="87">
        <v>0</v>
      </c>
      <c r="C23" s="87">
        <v>24</v>
      </c>
      <c r="D23" s="87">
        <v>0</v>
      </c>
    </row>
    <row r="24" spans="1:4" x14ac:dyDescent="0.25">
      <c r="A24" s="175">
        <v>17</v>
      </c>
      <c r="B24" s="87">
        <v>8</v>
      </c>
      <c r="C24" s="87">
        <v>24</v>
      </c>
      <c r="D24" s="87">
        <v>0</v>
      </c>
    </row>
    <row r="25" spans="1:4" x14ac:dyDescent="0.25">
      <c r="A25" s="175">
        <v>18</v>
      </c>
      <c r="B25" s="87">
        <v>16</v>
      </c>
      <c r="C25" s="87">
        <v>24</v>
      </c>
      <c r="D25" s="87">
        <v>0</v>
      </c>
    </row>
    <row r="26" spans="1:4" x14ac:dyDescent="0.25">
      <c r="A26" s="175">
        <v>19</v>
      </c>
      <c r="B26" s="87">
        <v>24</v>
      </c>
      <c r="C26" s="87">
        <v>24</v>
      </c>
      <c r="D26" s="87">
        <v>0</v>
      </c>
    </row>
    <row r="27" spans="1:4" x14ac:dyDescent="0.25">
      <c r="A27" s="175">
        <v>20</v>
      </c>
      <c r="B27" s="87">
        <v>32</v>
      </c>
      <c r="C27" s="87">
        <v>24</v>
      </c>
      <c r="D27" s="87">
        <v>0</v>
      </c>
    </row>
    <row r="28" spans="1:4" x14ac:dyDescent="0.25">
      <c r="A28" s="175">
        <v>21</v>
      </c>
      <c r="B28" s="87">
        <v>0</v>
      </c>
      <c r="C28" s="87">
        <v>32</v>
      </c>
      <c r="D28" s="87">
        <v>0</v>
      </c>
    </row>
    <row r="29" spans="1:4" x14ac:dyDescent="0.25">
      <c r="A29" s="175">
        <v>22</v>
      </c>
      <c r="B29" s="87">
        <v>8</v>
      </c>
      <c r="C29" s="87">
        <v>32</v>
      </c>
      <c r="D29" s="87">
        <v>0</v>
      </c>
    </row>
    <row r="30" spans="1:4" x14ac:dyDescent="0.25">
      <c r="A30" s="175">
        <v>23</v>
      </c>
      <c r="B30" s="87">
        <v>16</v>
      </c>
      <c r="C30" s="87">
        <v>32</v>
      </c>
      <c r="D30" s="87">
        <v>0</v>
      </c>
    </row>
    <row r="31" spans="1:4" x14ac:dyDescent="0.25">
      <c r="A31" s="175">
        <v>24</v>
      </c>
      <c r="B31" s="87">
        <v>24</v>
      </c>
      <c r="C31" s="87">
        <v>32</v>
      </c>
      <c r="D31" s="87">
        <v>0</v>
      </c>
    </row>
    <row r="32" spans="1:4" x14ac:dyDescent="0.25">
      <c r="A32" s="175">
        <v>25</v>
      </c>
      <c r="B32" s="87">
        <v>32</v>
      </c>
      <c r="C32" s="87">
        <v>32</v>
      </c>
      <c r="D32" s="87">
        <v>0</v>
      </c>
    </row>
    <row r="33" spans="1:4" x14ac:dyDescent="0.25">
      <c r="A33" s="175">
        <v>26</v>
      </c>
      <c r="B33" s="87">
        <v>0</v>
      </c>
      <c r="C33" s="87">
        <v>0</v>
      </c>
      <c r="D33" s="87">
        <v>4</v>
      </c>
    </row>
    <row r="34" spans="1:4" x14ac:dyDescent="0.25">
      <c r="A34" s="175">
        <v>27</v>
      </c>
      <c r="B34" s="87">
        <v>8</v>
      </c>
      <c r="C34" s="87">
        <v>0</v>
      </c>
      <c r="D34" s="87">
        <v>4</v>
      </c>
    </row>
    <row r="35" spans="1:4" x14ac:dyDescent="0.25">
      <c r="A35" s="175">
        <v>28</v>
      </c>
      <c r="B35" s="87">
        <v>16</v>
      </c>
      <c r="C35" s="87">
        <v>0</v>
      </c>
      <c r="D35" s="87">
        <v>4</v>
      </c>
    </row>
    <row r="36" spans="1:4" x14ac:dyDescent="0.25">
      <c r="A36" s="175">
        <v>29</v>
      </c>
      <c r="B36" s="87">
        <v>24</v>
      </c>
      <c r="C36" s="87">
        <v>0</v>
      </c>
      <c r="D36" s="87">
        <v>4</v>
      </c>
    </row>
    <row r="37" spans="1:4" x14ac:dyDescent="0.25">
      <c r="A37" s="175">
        <v>30</v>
      </c>
      <c r="B37" s="87">
        <v>32</v>
      </c>
      <c r="C37" s="87">
        <v>0</v>
      </c>
      <c r="D37" s="87">
        <v>4</v>
      </c>
    </row>
    <row r="38" spans="1:4" x14ac:dyDescent="0.25">
      <c r="A38" s="175">
        <v>31</v>
      </c>
      <c r="B38" s="87">
        <v>0</v>
      </c>
      <c r="C38" s="87">
        <v>8</v>
      </c>
      <c r="D38" s="87">
        <v>4</v>
      </c>
    </row>
    <row r="39" spans="1:4" x14ac:dyDescent="0.25">
      <c r="A39" s="175">
        <v>32</v>
      </c>
      <c r="B39" s="87">
        <v>8</v>
      </c>
      <c r="C39" s="87">
        <v>8</v>
      </c>
      <c r="D39" s="87">
        <v>4</v>
      </c>
    </row>
    <row r="40" spans="1:4" x14ac:dyDescent="0.25">
      <c r="A40" s="175">
        <v>33</v>
      </c>
      <c r="B40" s="87">
        <v>16</v>
      </c>
      <c r="C40" s="87">
        <v>8</v>
      </c>
      <c r="D40" s="87">
        <v>4</v>
      </c>
    </row>
    <row r="41" spans="1:4" x14ac:dyDescent="0.25">
      <c r="A41" s="175">
        <v>34</v>
      </c>
      <c r="B41" s="87">
        <v>24</v>
      </c>
      <c r="C41" s="87">
        <v>8</v>
      </c>
      <c r="D41" s="87">
        <v>4</v>
      </c>
    </row>
    <row r="42" spans="1:4" x14ac:dyDescent="0.25">
      <c r="A42" s="175">
        <v>35</v>
      </c>
      <c r="B42" s="87">
        <v>32</v>
      </c>
      <c r="C42" s="87">
        <v>8</v>
      </c>
      <c r="D42" s="87">
        <v>4</v>
      </c>
    </row>
    <row r="43" spans="1:4" x14ac:dyDescent="0.25">
      <c r="A43" s="175">
        <v>36</v>
      </c>
      <c r="B43" s="87">
        <v>0</v>
      </c>
      <c r="C43" s="87">
        <v>16</v>
      </c>
      <c r="D43" s="87">
        <v>4</v>
      </c>
    </row>
    <row r="44" spans="1:4" x14ac:dyDescent="0.25">
      <c r="A44" s="175">
        <v>37</v>
      </c>
      <c r="B44" s="87">
        <v>8</v>
      </c>
      <c r="C44" s="87">
        <v>16</v>
      </c>
      <c r="D44" s="87">
        <v>4</v>
      </c>
    </row>
    <row r="45" spans="1:4" x14ac:dyDescent="0.25">
      <c r="A45" s="175">
        <v>38</v>
      </c>
      <c r="B45" s="87">
        <v>16</v>
      </c>
      <c r="C45" s="87">
        <v>16</v>
      </c>
      <c r="D45" s="87">
        <v>4</v>
      </c>
    </row>
    <row r="46" spans="1:4" x14ac:dyDescent="0.25">
      <c r="A46" s="175">
        <v>39</v>
      </c>
      <c r="B46" s="87">
        <v>24</v>
      </c>
      <c r="C46" s="87">
        <v>16</v>
      </c>
      <c r="D46" s="87">
        <v>4</v>
      </c>
    </row>
    <row r="47" spans="1:4" x14ac:dyDescent="0.25">
      <c r="A47" s="175">
        <v>40</v>
      </c>
      <c r="B47" s="87">
        <v>32</v>
      </c>
      <c r="C47" s="87">
        <v>16</v>
      </c>
      <c r="D47" s="87">
        <v>4</v>
      </c>
    </row>
    <row r="48" spans="1:4" x14ac:dyDescent="0.25">
      <c r="A48" s="175">
        <v>41</v>
      </c>
      <c r="B48" s="87">
        <v>0</v>
      </c>
      <c r="C48" s="87">
        <v>24</v>
      </c>
      <c r="D48" s="87">
        <v>4</v>
      </c>
    </row>
    <row r="49" spans="1:4" x14ac:dyDescent="0.25">
      <c r="A49" s="175">
        <v>42</v>
      </c>
      <c r="B49" s="87">
        <v>8</v>
      </c>
      <c r="C49" s="87">
        <v>24</v>
      </c>
      <c r="D49" s="87">
        <v>4</v>
      </c>
    </row>
    <row r="50" spans="1:4" x14ac:dyDescent="0.25">
      <c r="A50" s="175">
        <v>43</v>
      </c>
      <c r="B50" s="87">
        <v>16</v>
      </c>
      <c r="C50" s="87">
        <v>24</v>
      </c>
      <c r="D50" s="87">
        <v>4</v>
      </c>
    </row>
    <row r="51" spans="1:4" x14ac:dyDescent="0.25">
      <c r="A51" s="175">
        <v>44</v>
      </c>
      <c r="B51" s="87">
        <v>24</v>
      </c>
      <c r="C51" s="87">
        <v>24</v>
      </c>
      <c r="D51" s="87">
        <v>4</v>
      </c>
    </row>
    <row r="52" spans="1:4" x14ac:dyDescent="0.25">
      <c r="A52" s="175">
        <v>45</v>
      </c>
      <c r="B52" s="87">
        <v>32</v>
      </c>
      <c r="C52" s="87">
        <v>24</v>
      </c>
      <c r="D52" s="87">
        <v>4</v>
      </c>
    </row>
    <row r="53" spans="1:4" x14ac:dyDescent="0.25">
      <c r="A53" s="175">
        <v>46</v>
      </c>
      <c r="B53" s="87">
        <v>0</v>
      </c>
      <c r="C53" s="87">
        <v>32</v>
      </c>
      <c r="D53" s="87">
        <v>4</v>
      </c>
    </row>
    <row r="54" spans="1:4" x14ac:dyDescent="0.25">
      <c r="A54" s="175">
        <v>47</v>
      </c>
      <c r="B54" s="87">
        <v>8</v>
      </c>
      <c r="C54" s="87">
        <v>32</v>
      </c>
      <c r="D54" s="87">
        <v>4</v>
      </c>
    </row>
    <row r="55" spans="1:4" x14ac:dyDescent="0.25">
      <c r="A55" s="175">
        <v>48</v>
      </c>
      <c r="B55" s="87">
        <v>16</v>
      </c>
      <c r="C55" s="87">
        <v>32</v>
      </c>
      <c r="D55" s="87">
        <v>4</v>
      </c>
    </row>
    <row r="56" spans="1:4" x14ac:dyDescent="0.25">
      <c r="A56" s="175">
        <v>49</v>
      </c>
      <c r="B56" s="87">
        <v>24</v>
      </c>
      <c r="C56" s="87">
        <v>32</v>
      </c>
      <c r="D56" s="87">
        <v>4</v>
      </c>
    </row>
    <row r="57" spans="1:4" x14ac:dyDescent="0.25">
      <c r="A57" s="175">
        <v>50</v>
      </c>
      <c r="B57" s="87">
        <v>32</v>
      </c>
      <c r="C57" s="87">
        <v>32</v>
      </c>
      <c r="D57" s="87">
        <v>4</v>
      </c>
    </row>
    <row r="58" spans="1:4" x14ac:dyDescent="0.25">
      <c r="A58" s="175">
        <v>51</v>
      </c>
      <c r="B58" s="87">
        <v>0</v>
      </c>
      <c r="C58" s="87">
        <v>0</v>
      </c>
      <c r="D58" s="87">
        <v>7.5</v>
      </c>
    </row>
    <row r="59" spans="1:4" x14ac:dyDescent="0.25">
      <c r="A59" s="175">
        <v>52</v>
      </c>
      <c r="B59" s="87">
        <v>8</v>
      </c>
      <c r="C59" s="87">
        <v>0</v>
      </c>
      <c r="D59" s="87">
        <v>7.5</v>
      </c>
    </row>
    <row r="60" spans="1:4" x14ac:dyDescent="0.25">
      <c r="A60" s="175">
        <v>53</v>
      </c>
      <c r="B60" s="87">
        <v>16</v>
      </c>
      <c r="C60" s="87">
        <v>0</v>
      </c>
      <c r="D60" s="87">
        <v>7.5</v>
      </c>
    </row>
    <row r="61" spans="1:4" x14ac:dyDescent="0.25">
      <c r="A61" s="175">
        <v>54</v>
      </c>
      <c r="B61" s="87">
        <v>24</v>
      </c>
      <c r="C61" s="87">
        <v>0</v>
      </c>
      <c r="D61" s="87">
        <v>7.5</v>
      </c>
    </row>
    <row r="62" spans="1:4" x14ac:dyDescent="0.25">
      <c r="A62" s="175">
        <v>55</v>
      </c>
      <c r="B62" s="87">
        <v>32</v>
      </c>
      <c r="C62" s="87">
        <v>0</v>
      </c>
      <c r="D62" s="87">
        <v>7.5</v>
      </c>
    </row>
    <row r="63" spans="1:4" x14ac:dyDescent="0.25">
      <c r="A63" s="175">
        <v>56</v>
      </c>
      <c r="B63" s="87">
        <v>0</v>
      </c>
      <c r="C63" s="87">
        <v>8</v>
      </c>
      <c r="D63" s="87">
        <v>7.5</v>
      </c>
    </row>
    <row r="64" spans="1:4" x14ac:dyDescent="0.25">
      <c r="A64" s="175">
        <v>57</v>
      </c>
      <c r="B64" s="87">
        <v>8</v>
      </c>
      <c r="C64" s="87">
        <v>8</v>
      </c>
      <c r="D64" s="87">
        <v>7.5</v>
      </c>
    </row>
    <row r="65" spans="1:4" x14ac:dyDescent="0.25">
      <c r="A65" s="175">
        <v>58</v>
      </c>
      <c r="B65" s="87">
        <v>16</v>
      </c>
      <c r="C65" s="87">
        <v>8</v>
      </c>
      <c r="D65" s="87">
        <v>7.5</v>
      </c>
    </row>
    <row r="66" spans="1:4" x14ac:dyDescent="0.25">
      <c r="A66" s="175">
        <v>59</v>
      </c>
      <c r="B66" s="87">
        <v>24</v>
      </c>
      <c r="C66" s="87">
        <v>8</v>
      </c>
      <c r="D66" s="87">
        <v>7.5</v>
      </c>
    </row>
    <row r="67" spans="1:4" x14ac:dyDescent="0.25">
      <c r="A67" s="175">
        <v>60</v>
      </c>
      <c r="B67" s="87">
        <v>32</v>
      </c>
      <c r="C67" s="87">
        <v>8</v>
      </c>
      <c r="D67" s="87">
        <v>7.5</v>
      </c>
    </row>
    <row r="68" spans="1:4" x14ac:dyDescent="0.25">
      <c r="A68" s="175">
        <v>61</v>
      </c>
      <c r="B68" s="87">
        <v>0</v>
      </c>
      <c r="C68" s="87">
        <v>16</v>
      </c>
      <c r="D68" s="87">
        <v>7.5</v>
      </c>
    </row>
    <row r="69" spans="1:4" x14ac:dyDescent="0.25">
      <c r="A69" s="175">
        <v>62</v>
      </c>
      <c r="B69" s="87">
        <v>8</v>
      </c>
      <c r="C69" s="87">
        <v>16</v>
      </c>
      <c r="D69" s="87">
        <v>7.5</v>
      </c>
    </row>
    <row r="70" spans="1:4" x14ac:dyDescent="0.25">
      <c r="A70" s="175">
        <v>63</v>
      </c>
      <c r="B70" s="87">
        <v>16</v>
      </c>
      <c r="C70" s="87">
        <v>16</v>
      </c>
      <c r="D70" s="87">
        <v>7.5</v>
      </c>
    </row>
    <row r="71" spans="1:4" x14ac:dyDescent="0.25">
      <c r="A71" s="175">
        <v>64</v>
      </c>
      <c r="B71" s="87">
        <v>24</v>
      </c>
      <c r="C71" s="87">
        <v>16</v>
      </c>
      <c r="D71" s="87">
        <v>7.5</v>
      </c>
    </row>
    <row r="72" spans="1:4" x14ac:dyDescent="0.25">
      <c r="A72" s="175">
        <v>65</v>
      </c>
      <c r="B72" s="87">
        <v>32</v>
      </c>
      <c r="C72" s="87">
        <v>16</v>
      </c>
      <c r="D72" s="87">
        <v>7.5</v>
      </c>
    </row>
    <row r="73" spans="1:4" x14ac:dyDescent="0.25">
      <c r="A73" s="175">
        <v>66</v>
      </c>
      <c r="B73" s="87">
        <v>0</v>
      </c>
      <c r="C73" s="87">
        <v>24</v>
      </c>
      <c r="D73" s="87">
        <v>7.5</v>
      </c>
    </row>
    <row r="74" spans="1:4" x14ac:dyDescent="0.25">
      <c r="A74" s="175">
        <v>67</v>
      </c>
      <c r="B74" s="87">
        <v>8</v>
      </c>
      <c r="C74" s="87">
        <v>24</v>
      </c>
      <c r="D74" s="87">
        <v>7.5</v>
      </c>
    </row>
    <row r="75" spans="1:4" x14ac:dyDescent="0.25">
      <c r="A75" s="175">
        <v>68</v>
      </c>
      <c r="B75" s="87">
        <v>16</v>
      </c>
      <c r="C75" s="87">
        <v>24</v>
      </c>
      <c r="D75" s="87">
        <v>7.5</v>
      </c>
    </row>
    <row r="76" spans="1:4" x14ac:dyDescent="0.25">
      <c r="A76" s="175">
        <v>69</v>
      </c>
      <c r="B76" s="87">
        <v>24</v>
      </c>
      <c r="C76" s="87">
        <v>24</v>
      </c>
      <c r="D76" s="87">
        <v>7.5</v>
      </c>
    </row>
    <row r="77" spans="1:4" x14ac:dyDescent="0.25">
      <c r="A77" s="175">
        <v>70</v>
      </c>
      <c r="B77" s="87">
        <v>32</v>
      </c>
      <c r="C77" s="87">
        <v>24</v>
      </c>
      <c r="D77" s="87">
        <v>7.5</v>
      </c>
    </row>
    <row r="78" spans="1:4" x14ac:dyDescent="0.25">
      <c r="A78" s="175">
        <v>71</v>
      </c>
      <c r="B78" s="87">
        <v>0</v>
      </c>
      <c r="C78" s="87">
        <v>32</v>
      </c>
      <c r="D78" s="87">
        <v>7.5</v>
      </c>
    </row>
    <row r="79" spans="1:4" x14ac:dyDescent="0.25">
      <c r="A79" s="175">
        <v>72</v>
      </c>
      <c r="B79" s="87">
        <v>8</v>
      </c>
      <c r="C79" s="87">
        <v>32</v>
      </c>
      <c r="D79" s="87">
        <v>7.5</v>
      </c>
    </row>
    <row r="80" spans="1:4" x14ac:dyDescent="0.25">
      <c r="A80" s="175">
        <v>73</v>
      </c>
      <c r="B80" s="87">
        <v>16</v>
      </c>
      <c r="C80" s="87">
        <v>32</v>
      </c>
      <c r="D80" s="87">
        <v>7.5</v>
      </c>
    </row>
    <row r="81" spans="1:4" x14ac:dyDescent="0.25">
      <c r="A81" s="175">
        <v>74</v>
      </c>
      <c r="B81" s="87">
        <v>24</v>
      </c>
      <c r="C81" s="87">
        <v>32</v>
      </c>
      <c r="D81" s="87">
        <v>7.5</v>
      </c>
    </row>
    <row r="82" spans="1:4" x14ac:dyDescent="0.25">
      <c r="A82" s="175">
        <v>75</v>
      </c>
      <c r="B82" s="87">
        <v>32</v>
      </c>
      <c r="C82" s="87">
        <v>32</v>
      </c>
      <c r="D82" s="87">
        <v>7.5</v>
      </c>
    </row>
    <row r="83" spans="1:4" x14ac:dyDescent="0.25">
      <c r="A83" s="175">
        <v>76</v>
      </c>
      <c r="B83" s="87">
        <v>0</v>
      </c>
      <c r="C83" s="87">
        <v>0</v>
      </c>
      <c r="D83" s="87">
        <v>11</v>
      </c>
    </row>
    <row r="84" spans="1:4" x14ac:dyDescent="0.25">
      <c r="A84" s="175">
        <v>77</v>
      </c>
      <c r="B84" s="87">
        <v>8</v>
      </c>
      <c r="C84" s="87">
        <v>0</v>
      </c>
      <c r="D84" s="87">
        <v>11</v>
      </c>
    </row>
    <row r="85" spans="1:4" x14ac:dyDescent="0.25">
      <c r="A85" s="175">
        <v>78</v>
      </c>
      <c r="B85" s="87">
        <v>16</v>
      </c>
      <c r="C85" s="87">
        <v>0</v>
      </c>
      <c r="D85" s="87">
        <v>11</v>
      </c>
    </row>
    <row r="86" spans="1:4" x14ac:dyDescent="0.25">
      <c r="A86" s="175">
        <v>79</v>
      </c>
      <c r="B86" s="87">
        <v>24</v>
      </c>
      <c r="C86" s="87">
        <v>0</v>
      </c>
      <c r="D86" s="87">
        <v>11</v>
      </c>
    </row>
    <row r="87" spans="1:4" x14ac:dyDescent="0.25">
      <c r="A87" s="175">
        <v>80</v>
      </c>
      <c r="B87" s="87">
        <v>32</v>
      </c>
      <c r="C87" s="87">
        <v>0</v>
      </c>
      <c r="D87" s="87">
        <v>11</v>
      </c>
    </row>
    <row r="88" spans="1:4" x14ac:dyDescent="0.25">
      <c r="A88" s="175">
        <v>81</v>
      </c>
      <c r="B88" s="87">
        <v>0</v>
      </c>
      <c r="C88" s="87">
        <v>8</v>
      </c>
      <c r="D88" s="87">
        <v>11</v>
      </c>
    </row>
    <row r="89" spans="1:4" x14ac:dyDescent="0.25">
      <c r="A89" s="175">
        <v>82</v>
      </c>
      <c r="B89" s="87">
        <v>8</v>
      </c>
      <c r="C89" s="87">
        <v>8</v>
      </c>
      <c r="D89" s="87">
        <v>11</v>
      </c>
    </row>
    <row r="90" spans="1:4" x14ac:dyDescent="0.25">
      <c r="A90" s="175">
        <v>83</v>
      </c>
      <c r="B90" s="87">
        <v>16</v>
      </c>
      <c r="C90" s="87">
        <v>8</v>
      </c>
      <c r="D90" s="87">
        <v>11</v>
      </c>
    </row>
    <row r="91" spans="1:4" x14ac:dyDescent="0.25">
      <c r="A91" s="175">
        <v>84</v>
      </c>
      <c r="B91" s="87">
        <v>24</v>
      </c>
      <c r="C91" s="87">
        <v>8</v>
      </c>
      <c r="D91" s="87">
        <v>11</v>
      </c>
    </row>
    <row r="92" spans="1:4" x14ac:dyDescent="0.25">
      <c r="A92" s="175">
        <v>85</v>
      </c>
      <c r="B92" s="87">
        <v>32</v>
      </c>
      <c r="C92" s="87">
        <v>8</v>
      </c>
      <c r="D92" s="87">
        <v>11</v>
      </c>
    </row>
    <row r="93" spans="1:4" x14ac:dyDescent="0.25">
      <c r="A93" s="175">
        <v>86</v>
      </c>
      <c r="B93" s="87">
        <v>0</v>
      </c>
      <c r="C93" s="87">
        <v>16</v>
      </c>
      <c r="D93" s="87">
        <v>11</v>
      </c>
    </row>
    <row r="94" spans="1:4" x14ac:dyDescent="0.25">
      <c r="A94" s="175">
        <v>87</v>
      </c>
      <c r="B94" s="87">
        <v>8</v>
      </c>
      <c r="C94" s="87">
        <v>16</v>
      </c>
      <c r="D94" s="87">
        <v>11</v>
      </c>
    </row>
    <row r="95" spans="1:4" x14ac:dyDescent="0.25">
      <c r="A95" s="175">
        <v>88</v>
      </c>
      <c r="B95" s="87">
        <v>16</v>
      </c>
      <c r="C95" s="87">
        <v>16</v>
      </c>
      <c r="D95" s="87">
        <v>11</v>
      </c>
    </row>
    <row r="96" spans="1:4" x14ac:dyDescent="0.25">
      <c r="A96" s="175">
        <v>89</v>
      </c>
      <c r="B96" s="87">
        <v>24</v>
      </c>
      <c r="C96" s="87">
        <v>16</v>
      </c>
      <c r="D96" s="87">
        <v>11</v>
      </c>
    </row>
    <row r="97" spans="1:4" x14ac:dyDescent="0.25">
      <c r="A97" s="175">
        <v>90</v>
      </c>
      <c r="B97" s="87">
        <v>32</v>
      </c>
      <c r="C97" s="87">
        <v>16</v>
      </c>
      <c r="D97" s="87">
        <v>11</v>
      </c>
    </row>
    <row r="98" spans="1:4" x14ac:dyDescent="0.25">
      <c r="A98" s="175">
        <v>91</v>
      </c>
      <c r="B98" s="87">
        <v>0</v>
      </c>
      <c r="C98" s="87">
        <v>24</v>
      </c>
      <c r="D98" s="87">
        <v>11</v>
      </c>
    </row>
    <row r="99" spans="1:4" x14ac:dyDescent="0.25">
      <c r="A99" s="175">
        <v>92</v>
      </c>
      <c r="B99" s="87">
        <v>8</v>
      </c>
      <c r="C99" s="87">
        <v>24</v>
      </c>
      <c r="D99" s="87">
        <v>11</v>
      </c>
    </row>
    <row r="100" spans="1:4" x14ac:dyDescent="0.25">
      <c r="A100" s="175">
        <v>93</v>
      </c>
      <c r="B100" s="87">
        <v>16</v>
      </c>
      <c r="C100" s="87">
        <v>24</v>
      </c>
      <c r="D100" s="87">
        <v>11</v>
      </c>
    </row>
    <row r="101" spans="1:4" x14ac:dyDescent="0.25">
      <c r="A101" s="175">
        <v>94</v>
      </c>
      <c r="B101" s="87">
        <v>24</v>
      </c>
      <c r="C101" s="87">
        <v>24</v>
      </c>
      <c r="D101" s="87">
        <v>11</v>
      </c>
    </row>
    <row r="102" spans="1:4" x14ac:dyDescent="0.25">
      <c r="A102" s="175">
        <v>95</v>
      </c>
      <c r="B102" s="87">
        <v>32</v>
      </c>
      <c r="C102" s="87">
        <v>24</v>
      </c>
      <c r="D102" s="87">
        <v>11</v>
      </c>
    </row>
    <row r="103" spans="1:4" x14ac:dyDescent="0.25">
      <c r="A103" s="175">
        <v>96</v>
      </c>
      <c r="B103" s="87">
        <v>0</v>
      </c>
      <c r="C103" s="87">
        <v>32</v>
      </c>
      <c r="D103" s="87">
        <v>11</v>
      </c>
    </row>
    <row r="104" spans="1:4" x14ac:dyDescent="0.25">
      <c r="A104" s="175">
        <v>97</v>
      </c>
      <c r="B104" s="87">
        <v>8</v>
      </c>
      <c r="C104" s="87">
        <v>32</v>
      </c>
      <c r="D104" s="87">
        <v>11</v>
      </c>
    </row>
    <row r="105" spans="1:4" x14ac:dyDescent="0.25">
      <c r="A105" s="175">
        <v>98</v>
      </c>
      <c r="B105" s="87">
        <v>16</v>
      </c>
      <c r="C105" s="87">
        <v>32</v>
      </c>
      <c r="D105" s="87">
        <v>11</v>
      </c>
    </row>
    <row r="106" spans="1:4" x14ac:dyDescent="0.25">
      <c r="A106" s="175">
        <v>99</v>
      </c>
      <c r="B106" s="87">
        <v>24</v>
      </c>
      <c r="C106" s="87">
        <v>32</v>
      </c>
      <c r="D106" s="87">
        <v>11</v>
      </c>
    </row>
    <row r="107" spans="1:4" x14ac:dyDescent="0.25">
      <c r="A107" s="175">
        <v>100</v>
      </c>
      <c r="B107" s="87">
        <v>32</v>
      </c>
      <c r="C107" s="87">
        <v>32</v>
      </c>
      <c r="D107" s="87">
        <v>11</v>
      </c>
    </row>
    <row r="108" spans="1:4" x14ac:dyDescent="0.25">
      <c r="A108" s="175">
        <v>101</v>
      </c>
      <c r="B108" s="87">
        <v>0</v>
      </c>
      <c r="C108" s="87">
        <v>0</v>
      </c>
      <c r="D108" s="87">
        <v>14.5</v>
      </c>
    </row>
    <row r="109" spans="1:4" x14ac:dyDescent="0.25">
      <c r="A109" s="175">
        <v>102</v>
      </c>
      <c r="B109" s="87">
        <v>8</v>
      </c>
      <c r="C109" s="87">
        <v>0</v>
      </c>
      <c r="D109" s="87">
        <v>14.5</v>
      </c>
    </row>
    <row r="110" spans="1:4" x14ac:dyDescent="0.25">
      <c r="A110" s="175">
        <v>103</v>
      </c>
      <c r="B110" s="87">
        <v>16</v>
      </c>
      <c r="C110" s="87">
        <v>0</v>
      </c>
      <c r="D110" s="87">
        <v>14.5</v>
      </c>
    </row>
    <row r="111" spans="1:4" x14ac:dyDescent="0.25">
      <c r="A111" s="175">
        <v>104</v>
      </c>
      <c r="B111" s="87">
        <v>24</v>
      </c>
      <c r="C111" s="87">
        <v>0</v>
      </c>
      <c r="D111" s="87">
        <v>14.5</v>
      </c>
    </row>
    <row r="112" spans="1:4" x14ac:dyDescent="0.25">
      <c r="A112" s="175">
        <v>105</v>
      </c>
      <c r="B112" s="87">
        <v>32</v>
      </c>
      <c r="C112" s="87">
        <v>0</v>
      </c>
      <c r="D112" s="87">
        <v>14.5</v>
      </c>
    </row>
    <row r="113" spans="1:4" x14ac:dyDescent="0.25">
      <c r="A113" s="175">
        <v>106</v>
      </c>
      <c r="B113" s="87">
        <v>0</v>
      </c>
      <c r="C113" s="87">
        <v>8</v>
      </c>
      <c r="D113" s="87">
        <v>14.5</v>
      </c>
    </row>
    <row r="114" spans="1:4" x14ac:dyDescent="0.25">
      <c r="A114" s="175">
        <v>107</v>
      </c>
      <c r="B114" s="87">
        <v>8</v>
      </c>
      <c r="C114" s="87">
        <v>8</v>
      </c>
      <c r="D114" s="87">
        <v>14.5</v>
      </c>
    </row>
    <row r="115" spans="1:4" x14ac:dyDescent="0.25">
      <c r="A115" s="175">
        <v>108</v>
      </c>
      <c r="B115" s="87">
        <v>16</v>
      </c>
      <c r="C115" s="87">
        <v>8</v>
      </c>
      <c r="D115" s="87">
        <v>14.5</v>
      </c>
    </row>
    <row r="116" spans="1:4" x14ac:dyDescent="0.25">
      <c r="A116" s="175">
        <v>109</v>
      </c>
      <c r="B116" s="87">
        <v>24</v>
      </c>
      <c r="C116" s="87">
        <v>8</v>
      </c>
      <c r="D116" s="87">
        <v>14.5</v>
      </c>
    </row>
    <row r="117" spans="1:4" x14ac:dyDescent="0.25">
      <c r="A117" s="175">
        <v>110</v>
      </c>
      <c r="B117" s="87">
        <v>32</v>
      </c>
      <c r="C117" s="87">
        <v>8</v>
      </c>
      <c r="D117" s="87">
        <v>14.5</v>
      </c>
    </row>
    <row r="118" spans="1:4" x14ac:dyDescent="0.25">
      <c r="A118" s="175">
        <v>111</v>
      </c>
      <c r="B118" s="87">
        <v>0</v>
      </c>
      <c r="C118" s="87">
        <v>16</v>
      </c>
      <c r="D118" s="87">
        <v>14.5</v>
      </c>
    </row>
    <row r="119" spans="1:4" x14ac:dyDescent="0.25">
      <c r="A119" s="175">
        <v>112</v>
      </c>
      <c r="B119" s="87">
        <v>8</v>
      </c>
      <c r="C119" s="87">
        <v>16</v>
      </c>
      <c r="D119" s="87">
        <v>14.5</v>
      </c>
    </row>
    <row r="120" spans="1:4" x14ac:dyDescent="0.25">
      <c r="A120" s="175">
        <v>113</v>
      </c>
      <c r="B120" s="87">
        <v>16</v>
      </c>
      <c r="C120" s="87">
        <v>16</v>
      </c>
      <c r="D120" s="87">
        <v>14.5</v>
      </c>
    </row>
    <row r="121" spans="1:4" x14ac:dyDescent="0.25">
      <c r="A121" s="175">
        <v>114</v>
      </c>
      <c r="B121" s="87">
        <v>24</v>
      </c>
      <c r="C121" s="87">
        <v>16</v>
      </c>
      <c r="D121" s="87">
        <v>14.5</v>
      </c>
    </row>
    <row r="122" spans="1:4" x14ac:dyDescent="0.25">
      <c r="A122" s="175">
        <v>115</v>
      </c>
      <c r="B122" s="87">
        <v>32</v>
      </c>
      <c r="C122" s="87">
        <v>16</v>
      </c>
      <c r="D122" s="87">
        <v>14.5</v>
      </c>
    </row>
    <row r="123" spans="1:4" x14ac:dyDescent="0.25">
      <c r="A123" s="175">
        <v>116</v>
      </c>
      <c r="B123" s="87">
        <v>0</v>
      </c>
      <c r="C123" s="87">
        <v>24</v>
      </c>
      <c r="D123" s="87">
        <v>14.5</v>
      </c>
    </row>
    <row r="124" spans="1:4" x14ac:dyDescent="0.25">
      <c r="A124" s="175">
        <v>117</v>
      </c>
      <c r="B124" s="87">
        <v>8</v>
      </c>
      <c r="C124" s="87">
        <v>24</v>
      </c>
      <c r="D124" s="87">
        <v>14.5</v>
      </c>
    </row>
    <row r="125" spans="1:4" x14ac:dyDescent="0.25">
      <c r="A125" s="175">
        <v>118</v>
      </c>
      <c r="B125" s="87">
        <v>16</v>
      </c>
      <c r="C125" s="87">
        <v>24</v>
      </c>
      <c r="D125" s="87">
        <v>14.5</v>
      </c>
    </row>
    <row r="126" spans="1:4" x14ac:dyDescent="0.25">
      <c r="A126" s="175">
        <v>119</v>
      </c>
      <c r="B126" s="87">
        <v>24</v>
      </c>
      <c r="C126" s="87">
        <v>24</v>
      </c>
      <c r="D126" s="87">
        <v>14.5</v>
      </c>
    </row>
    <row r="127" spans="1:4" x14ac:dyDescent="0.25">
      <c r="A127" s="175">
        <v>120</v>
      </c>
      <c r="B127" s="87">
        <v>32</v>
      </c>
      <c r="C127" s="87">
        <v>24</v>
      </c>
      <c r="D127" s="87">
        <v>14.5</v>
      </c>
    </row>
    <row r="128" spans="1:4" x14ac:dyDescent="0.25">
      <c r="A128" s="175">
        <v>121</v>
      </c>
      <c r="B128" s="87">
        <v>0</v>
      </c>
      <c r="C128" s="87">
        <v>32</v>
      </c>
      <c r="D128" s="87">
        <v>14.5</v>
      </c>
    </row>
    <row r="129" spans="1:4" x14ac:dyDescent="0.25">
      <c r="A129" s="175">
        <v>122</v>
      </c>
      <c r="B129" s="87">
        <v>8</v>
      </c>
      <c r="C129" s="87">
        <v>32</v>
      </c>
      <c r="D129" s="87">
        <v>14.5</v>
      </c>
    </row>
    <row r="130" spans="1:4" x14ac:dyDescent="0.25">
      <c r="A130" s="175">
        <v>123</v>
      </c>
      <c r="B130" s="87">
        <v>16</v>
      </c>
      <c r="C130" s="87">
        <v>32</v>
      </c>
      <c r="D130" s="87">
        <v>14.5</v>
      </c>
    </row>
    <row r="131" spans="1:4" x14ac:dyDescent="0.25">
      <c r="A131" s="175">
        <v>124</v>
      </c>
      <c r="B131" s="87">
        <v>24</v>
      </c>
      <c r="C131" s="87">
        <v>32</v>
      </c>
      <c r="D131" s="87">
        <v>14.5</v>
      </c>
    </row>
    <row r="132" spans="1:4" x14ac:dyDescent="0.25">
      <c r="A132" s="175">
        <v>125</v>
      </c>
      <c r="B132" s="87">
        <v>32</v>
      </c>
      <c r="C132" s="87">
        <v>32</v>
      </c>
      <c r="D132" s="87">
        <v>14.5</v>
      </c>
    </row>
  </sheetData>
  <phoneticPr fontId="12" type="noConversion"/>
  <dataValidations count="3">
    <dataValidation type="decimal" allowBlank="1" showInputMessage="1" showErrorMessage="1" errorTitle="Invalid Input" error="Please enter a float value only." sqref="B8:D1048576" xr:uid="{59191A79-386F-49B3-AFE4-237CB06DBDE4}">
      <formula1>-1000000000000</formula1>
      <formula2>1000000000000</formula2>
    </dataValidation>
    <dataValidation type="textLength" allowBlank="1" showInputMessage="1" showErrorMessage="1" errorTitle="Invalid Input" error="Please enter maximum 15 characters only." sqref="A8:A1048576" xr:uid="{C1002837-A574-45F7-AEE7-82EDB1704E5C}">
      <formula1>1</formula1>
      <formula2>15</formula2>
    </dataValidation>
    <dataValidation showInputMessage="1" showErrorMessage="1" sqref="E8:E1048576" xr:uid="{F11A3C4F-E2E8-4993-8B79-1647FF6EC8AC}"/>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83D8-E217-6640-A9AD-68C48FB60FE4}">
  <sheetPr codeName="Sheet24"/>
  <dimension ref="A1:H273"/>
  <sheetViews>
    <sheetView topLeftCell="A7" zoomScale="130" zoomScaleNormal="130" workbookViewId="0">
      <selection activeCell="I117" sqref="I117"/>
    </sheetView>
  </sheetViews>
  <sheetFormatPr defaultColWidth="10.85546875" defaultRowHeight="15.75" x14ac:dyDescent="0.25"/>
  <cols>
    <col min="1" max="1" width="15.7109375" style="104" customWidth="1"/>
    <col min="2" max="3" width="10.7109375" style="104" customWidth="1"/>
    <col min="4" max="4" width="25.7109375" style="61" customWidth="1"/>
    <col min="5" max="6" width="20.7109375" style="101" customWidth="1"/>
    <col min="7" max="7" width="10.7109375" style="61" customWidth="1"/>
    <col min="8" max="8" width="20.7109375" style="61" customWidth="1"/>
    <col min="9" max="16384" width="10.85546875" style="91"/>
  </cols>
  <sheetData>
    <row r="1" spans="1:8" x14ac:dyDescent="0.25">
      <c r="A1" s="71" t="s">
        <v>192</v>
      </c>
      <c r="B1" s="88"/>
      <c r="C1" s="88"/>
      <c r="D1" s="89"/>
      <c r="E1" s="89"/>
      <c r="F1" s="89"/>
      <c r="G1" s="88"/>
      <c r="H1" s="199"/>
    </row>
    <row r="2" spans="1:8" x14ac:dyDescent="0.25">
      <c r="A2" s="95" t="s">
        <v>315</v>
      </c>
      <c r="B2" s="92"/>
      <c r="C2" s="92"/>
      <c r="D2" s="93"/>
      <c r="E2" s="93"/>
      <c r="F2" s="93"/>
      <c r="G2" s="92"/>
      <c r="H2" s="200"/>
    </row>
    <row r="3" spans="1:8" x14ac:dyDescent="0.25">
      <c r="A3" s="78" t="s">
        <v>209</v>
      </c>
      <c r="B3" s="92"/>
      <c r="C3" s="92"/>
      <c r="D3" s="93"/>
      <c r="E3" s="93"/>
      <c r="F3" s="93"/>
      <c r="G3" s="92"/>
      <c r="H3" s="200"/>
    </row>
    <row r="4" spans="1:8" x14ac:dyDescent="0.25">
      <c r="A4" s="78" t="s">
        <v>210</v>
      </c>
      <c r="B4" s="92"/>
      <c r="C4" s="92"/>
      <c r="D4" s="93"/>
      <c r="E4" s="93"/>
      <c r="F4" s="93"/>
      <c r="G4" s="92"/>
      <c r="H4" s="200"/>
    </row>
    <row r="5" spans="1:8" x14ac:dyDescent="0.25">
      <c r="A5" s="95" t="s">
        <v>221</v>
      </c>
      <c r="B5" s="92"/>
      <c r="C5" s="92"/>
      <c r="D5" s="93"/>
      <c r="E5" s="93"/>
      <c r="F5" s="93"/>
      <c r="G5" s="92"/>
      <c r="H5" s="200"/>
    </row>
    <row r="6" spans="1:8" x14ac:dyDescent="0.25">
      <c r="A6" s="95" t="str">
        <f>"- I-End Offset Length: Offset length at the start (I) of the line object (Input as Float) ("&amp;'User Defined Units'!$B$11&amp;")"</f>
        <v>- I-End Offset Length: Offset length at the start (I) of the line object (Input as Float) (m)</v>
      </c>
      <c r="B6" s="92"/>
      <c r="C6" s="92"/>
      <c r="D6" s="93"/>
      <c r="E6" s="93"/>
      <c r="F6" s="93"/>
      <c r="G6" s="92"/>
      <c r="H6" s="200"/>
    </row>
    <row r="7" spans="1:8" x14ac:dyDescent="0.25">
      <c r="A7" s="95" t="str">
        <f>"-J-End Offset Length: Offset length at the end (J) of the line object (Input as Float) ("&amp;'User Defined Units'!$B$11&amp;")"</f>
        <v>-J-End Offset Length: Offset length at the end (J) of the line object (Input as Float) (m)</v>
      </c>
      <c r="B7" s="92"/>
      <c r="C7" s="92"/>
      <c r="D7" s="93"/>
      <c r="E7" s="93"/>
      <c r="F7" s="93"/>
      <c r="G7" s="92"/>
      <c r="H7" s="200"/>
    </row>
    <row r="8" spans="1:8" x14ac:dyDescent="0.25">
      <c r="A8" s="198" t="s">
        <v>323</v>
      </c>
      <c r="B8" s="92"/>
      <c r="C8" s="92"/>
      <c r="D8" s="93"/>
      <c r="E8" s="93"/>
      <c r="F8" s="93"/>
      <c r="G8" s="92"/>
      <c r="H8" s="200"/>
    </row>
    <row r="9" spans="1:8" x14ac:dyDescent="0.25">
      <c r="A9" s="198" t="s">
        <v>322</v>
      </c>
      <c r="B9" s="92"/>
      <c r="C9" s="92"/>
      <c r="D9" s="93"/>
      <c r="E9" s="93"/>
      <c r="F9" s="93"/>
      <c r="G9" s="92"/>
      <c r="H9" s="200"/>
    </row>
    <row r="10" spans="1:8" x14ac:dyDescent="0.25">
      <c r="A10" s="96" t="s">
        <v>216</v>
      </c>
      <c r="B10" s="92"/>
      <c r="C10" s="92"/>
      <c r="D10" s="93"/>
      <c r="E10" s="93"/>
      <c r="F10" s="93"/>
      <c r="G10" s="92"/>
      <c r="H10" s="200"/>
    </row>
    <row r="11" spans="1:8" x14ac:dyDescent="0.25">
      <c r="A11" s="97" t="s">
        <v>232</v>
      </c>
      <c r="B11" s="98"/>
      <c r="C11" s="99"/>
      <c r="D11" s="99"/>
      <c r="E11" s="99"/>
      <c r="F11" s="99"/>
      <c r="G11" s="204"/>
      <c r="H11" s="201"/>
    </row>
    <row r="12" spans="1:8" x14ac:dyDescent="0.25">
      <c r="A12" s="102"/>
      <c r="B12" s="61"/>
      <c r="C12" s="61"/>
      <c r="D12" s="91"/>
      <c r="E12" s="91"/>
      <c r="F12" s="91"/>
    </row>
    <row r="13" spans="1:8" s="13" customFormat="1" x14ac:dyDescent="0.25">
      <c r="A13" s="85" t="s">
        <v>313</v>
      </c>
      <c r="B13" s="17" t="s">
        <v>197</v>
      </c>
      <c r="C13" s="17" t="s">
        <v>198</v>
      </c>
      <c r="D13" s="85" t="s">
        <v>219</v>
      </c>
      <c r="E13" s="103" t="s">
        <v>217</v>
      </c>
      <c r="F13" s="103" t="s">
        <v>218</v>
      </c>
      <c r="G13" s="85" t="s">
        <v>318</v>
      </c>
      <c r="H13" s="85" t="s">
        <v>321</v>
      </c>
    </row>
    <row r="14" spans="1:8" x14ac:dyDescent="0.25">
      <c r="A14" s="104">
        <v>1</v>
      </c>
      <c r="B14" s="104">
        <v>1</v>
      </c>
      <c r="C14" s="104">
        <v>26</v>
      </c>
      <c r="D14" s="61" t="s">
        <v>220</v>
      </c>
      <c r="E14" s="101">
        <v>0</v>
      </c>
      <c r="F14" s="101">
        <v>0</v>
      </c>
      <c r="G14" s="61" t="s">
        <v>85</v>
      </c>
      <c r="H14" s="61" t="s">
        <v>309</v>
      </c>
    </row>
    <row r="15" spans="1:8" x14ac:dyDescent="0.25">
      <c r="A15" s="104">
        <v>2</v>
      </c>
      <c r="B15" s="104">
        <v>2</v>
      </c>
      <c r="C15" s="104">
        <v>27</v>
      </c>
      <c r="D15" s="61" t="s">
        <v>220</v>
      </c>
      <c r="E15" s="101">
        <v>0</v>
      </c>
      <c r="F15" s="101">
        <v>0</v>
      </c>
      <c r="G15" s="61" t="s">
        <v>85</v>
      </c>
      <c r="H15" s="61" t="s">
        <v>309</v>
      </c>
    </row>
    <row r="16" spans="1:8" x14ac:dyDescent="0.25">
      <c r="A16" s="104">
        <v>3</v>
      </c>
      <c r="B16" s="104">
        <v>3</v>
      </c>
      <c r="C16" s="104">
        <v>28</v>
      </c>
      <c r="D16" s="61" t="s">
        <v>220</v>
      </c>
      <c r="E16" s="101">
        <v>0</v>
      </c>
      <c r="F16" s="101">
        <v>0</v>
      </c>
      <c r="G16" s="61" t="s">
        <v>85</v>
      </c>
      <c r="H16" s="61" t="s">
        <v>309</v>
      </c>
    </row>
    <row r="17" spans="1:8" x14ac:dyDescent="0.25">
      <c r="A17" s="104">
        <v>4</v>
      </c>
      <c r="B17" s="104">
        <v>4</v>
      </c>
      <c r="C17" s="104">
        <v>29</v>
      </c>
      <c r="D17" s="61" t="s">
        <v>220</v>
      </c>
      <c r="E17" s="101">
        <v>0</v>
      </c>
      <c r="F17" s="101">
        <v>0</v>
      </c>
      <c r="G17" s="61" t="s">
        <v>85</v>
      </c>
      <c r="H17" s="61" t="s">
        <v>309</v>
      </c>
    </row>
    <row r="18" spans="1:8" x14ac:dyDescent="0.25">
      <c r="A18" s="104">
        <v>5</v>
      </c>
      <c r="B18" s="104">
        <v>5</v>
      </c>
      <c r="C18" s="104">
        <v>30</v>
      </c>
      <c r="D18" s="61" t="s">
        <v>220</v>
      </c>
      <c r="E18" s="101">
        <v>0</v>
      </c>
      <c r="F18" s="101">
        <v>0</v>
      </c>
      <c r="G18" s="61" t="s">
        <v>85</v>
      </c>
      <c r="H18" s="61" t="s">
        <v>309</v>
      </c>
    </row>
    <row r="19" spans="1:8" x14ac:dyDescent="0.25">
      <c r="A19" s="104">
        <v>6</v>
      </c>
      <c r="B19" s="104">
        <v>6</v>
      </c>
      <c r="C19" s="104">
        <v>31</v>
      </c>
      <c r="D19" s="61" t="s">
        <v>220</v>
      </c>
      <c r="E19" s="101">
        <v>0</v>
      </c>
      <c r="F19" s="101">
        <v>0</v>
      </c>
      <c r="G19" s="61" t="s">
        <v>85</v>
      </c>
      <c r="H19" s="61" t="s">
        <v>309</v>
      </c>
    </row>
    <row r="20" spans="1:8" x14ac:dyDescent="0.25">
      <c r="A20" s="104">
        <v>7</v>
      </c>
      <c r="B20" s="104">
        <v>7</v>
      </c>
      <c r="C20" s="104">
        <v>32</v>
      </c>
      <c r="D20" s="61" t="s">
        <v>220</v>
      </c>
      <c r="E20" s="101">
        <v>0</v>
      </c>
      <c r="F20" s="101">
        <v>0</v>
      </c>
      <c r="G20" s="61" t="s">
        <v>85</v>
      </c>
      <c r="H20" s="61" t="s">
        <v>309</v>
      </c>
    </row>
    <row r="21" spans="1:8" x14ac:dyDescent="0.25">
      <c r="A21" s="104">
        <v>8</v>
      </c>
      <c r="B21" s="104">
        <v>8</v>
      </c>
      <c r="C21" s="104">
        <v>33</v>
      </c>
      <c r="D21" s="61" t="s">
        <v>220</v>
      </c>
      <c r="E21" s="101">
        <v>0</v>
      </c>
      <c r="F21" s="101">
        <v>0</v>
      </c>
      <c r="G21" s="61" t="s">
        <v>85</v>
      </c>
      <c r="H21" s="61" t="s">
        <v>309</v>
      </c>
    </row>
    <row r="22" spans="1:8" x14ac:dyDescent="0.25">
      <c r="A22" s="104">
        <v>9</v>
      </c>
      <c r="B22" s="104">
        <v>9</v>
      </c>
      <c r="C22" s="104">
        <v>34</v>
      </c>
      <c r="D22" s="61" t="s">
        <v>220</v>
      </c>
      <c r="E22" s="101">
        <v>0</v>
      </c>
      <c r="F22" s="101">
        <v>0</v>
      </c>
      <c r="G22" s="61" t="s">
        <v>85</v>
      </c>
      <c r="H22" s="61" t="s">
        <v>309</v>
      </c>
    </row>
    <row r="23" spans="1:8" x14ac:dyDescent="0.25">
      <c r="A23" s="104">
        <v>10</v>
      </c>
      <c r="B23" s="104">
        <v>10</v>
      </c>
      <c r="C23" s="104">
        <v>35</v>
      </c>
      <c r="D23" s="61" t="s">
        <v>220</v>
      </c>
      <c r="E23" s="101">
        <v>0</v>
      </c>
      <c r="F23" s="101">
        <v>0</v>
      </c>
      <c r="G23" s="61" t="s">
        <v>85</v>
      </c>
      <c r="H23" s="61" t="s">
        <v>309</v>
      </c>
    </row>
    <row r="24" spans="1:8" x14ac:dyDescent="0.25">
      <c r="A24" s="104">
        <v>11</v>
      </c>
      <c r="B24" s="104">
        <v>11</v>
      </c>
      <c r="C24" s="104">
        <v>36</v>
      </c>
      <c r="D24" s="61" t="s">
        <v>220</v>
      </c>
      <c r="E24" s="101">
        <v>0</v>
      </c>
      <c r="F24" s="101">
        <v>0</v>
      </c>
      <c r="G24" s="61" t="s">
        <v>85</v>
      </c>
      <c r="H24" s="61" t="s">
        <v>309</v>
      </c>
    </row>
    <row r="25" spans="1:8" x14ac:dyDescent="0.25">
      <c r="A25" s="104">
        <v>12</v>
      </c>
      <c r="B25" s="104">
        <v>12</v>
      </c>
      <c r="C25" s="104">
        <v>37</v>
      </c>
      <c r="D25" s="61" t="s">
        <v>220</v>
      </c>
      <c r="E25" s="101">
        <v>0</v>
      </c>
      <c r="F25" s="101">
        <v>0</v>
      </c>
      <c r="G25" s="61" t="s">
        <v>85</v>
      </c>
      <c r="H25" s="61" t="s">
        <v>309</v>
      </c>
    </row>
    <row r="26" spans="1:8" x14ac:dyDescent="0.25">
      <c r="A26" s="104">
        <v>13</v>
      </c>
      <c r="B26" s="104">
        <v>13</v>
      </c>
      <c r="C26" s="104">
        <v>38</v>
      </c>
      <c r="D26" s="61" t="s">
        <v>220</v>
      </c>
      <c r="E26" s="101">
        <v>0</v>
      </c>
      <c r="F26" s="101">
        <v>0</v>
      </c>
      <c r="G26" s="61" t="s">
        <v>85</v>
      </c>
      <c r="H26" s="61" t="s">
        <v>309</v>
      </c>
    </row>
    <row r="27" spans="1:8" x14ac:dyDescent="0.25">
      <c r="A27" s="104">
        <v>14</v>
      </c>
      <c r="B27" s="104">
        <v>14</v>
      </c>
      <c r="C27" s="104">
        <v>39</v>
      </c>
      <c r="D27" s="61" t="s">
        <v>220</v>
      </c>
      <c r="E27" s="101">
        <v>0</v>
      </c>
      <c r="F27" s="101">
        <v>0</v>
      </c>
      <c r="G27" s="61" t="s">
        <v>85</v>
      </c>
      <c r="H27" s="61" t="s">
        <v>309</v>
      </c>
    </row>
    <row r="28" spans="1:8" x14ac:dyDescent="0.25">
      <c r="A28" s="104">
        <v>15</v>
      </c>
      <c r="B28" s="104">
        <v>15</v>
      </c>
      <c r="C28" s="104">
        <v>40</v>
      </c>
      <c r="D28" s="61" t="s">
        <v>220</v>
      </c>
      <c r="E28" s="101">
        <v>0</v>
      </c>
      <c r="F28" s="101">
        <v>0</v>
      </c>
      <c r="G28" s="61" t="s">
        <v>85</v>
      </c>
      <c r="H28" s="61" t="s">
        <v>309</v>
      </c>
    </row>
    <row r="29" spans="1:8" x14ac:dyDescent="0.25">
      <c r="A29" s="104">
        <v>16</v>
      </c>
      <c r="B29" s="104">
        <v>16</v>
      </c>
      <c r="C29" s="104">
        <v>41</v>
      </c>
      <c r="D29" s="61" t="s">
        <v>220</v>
      </c>
      <c r="E29" s="101">
        <v>0</v>
      </c>
      <c r="F29" s="101">
        <v>0</v>
      </c>
      <c r="G29" s="61" t="s">
        <v>85</v>
      </c>
      <c r="H29" s="61" t="s">
        <v>309</v>
      </c>
    </row>
    <row r="30" spans="1:8" x14ac:dyDescent="0.25">
      <c r="A30" s="104">
        <v>17</v>
      </c>
      <c r="B30" s="104">
        <v>17</v>
      </c>
      <c r="C30" s="104">
        <v>42</v>
      </c>
      <c r="D30" s="61" t="s">
        <v>220</v>
      </c>
      <c r="E30" s="101">
        <v>0</v>
      </c>
      <c r="F30" s="101">
        <v>0</v>
      </c>
      <c r="G30" s="61" t="s">
        <v>85</v>
      </c>
      <c r="H30" s="61" t="s">
        <v>309</v>
      </c>
    </row>
    <row r="31" spans="1:8" x14ac:dyDescent="0.25">
      <c r="A31" s="104">
        <v>18</v>
      </c>
      <c r="B31" s="104">
        <v>18</v>
      </c>
      <c r="C31" s="104">
        <v>43</v>
      </c>
      <c r="D31" s="61" t="s">
        <v>220</v>
      </c>
      <c r="E31" s="101">
        <v>0</v>
      </c>
      <c r="F31" s="101">
        <v>0</v>
      </c>
      <c r="G31" s="61" t="s">
        <v>85</v>
      </c>
      <c r="H31" s="61" t="s">
        <v>309</v>
      </c>
    </row>
    <row r="32" spans="1:8" x14ac:dyDescent="0.25">
      <c r="A32" s="104">
        <v>19</v>
      </c>
      <c r="B32" s="104">
        <v>19</v>
      </c>
      <c r="C32" s="104">
        <v>44</v>
      </c>
      <c r="D32" s="61" t="s">
        <v>220</v>
      </c>
      <c r="E32" s="101">
        <v>0</v>
      </c>
      <c r="F32" s="101">
        <v>0</v>
      </c>
      <c r="G32" s="61" t="s">
        <v>85</v>
      </c>
      <c r="H32" s="61" t="s">
        <v>309</v>
      </c>
    </row>
    <row r="33" spans="1:8" x14ac:dyDescent="0.25">
      <c r="A33" s="104">
        <v>20</v>
      </c>
      <c r="B33" s="104">
        <v>20</v>
      </c>
      <c r="C33" s="104">
        <v>45</v>
      </c>
      <c r="D33" s="61" t="s">
        <v>220</v>
      </c>
      <c r="E33" s="101">
        <v>0</v>
      </c>
      <c r="F33" s="101">
        <v>0</v>
      </c>
      <c r="G33" s="61" t="s">
        <v>85</v>
      </c>
      <c r="H33" s="61" t="s">
        <v>309</v>
      </c>
    </row>
    <row r="34" spans="1:8" x14ac:dyDescent="0.25">
      <c r="A34" s="104">
        <v>21</v>
      </c>
      <c r="B34" s="104">
        <v>21</v>
      </c>
      <c r="C34" s="104">
        <v>46</v>
      </c>
      <c r="D34" s="61" t="s">
        <v>220</v>
      </c>
      <c r="E34" s="101">
        <v>0</v>
      </c>
      <c r="F34" s="101">
        <v>0</v>
      </c>
      <c r="G34" s="61" t="s">
        <v>85</v>
      </c>
      <c r="H34" s="61" t="s">
        <v>309</v>
      </c>
    </row>
    <row r="35" spans="1:8" x14ac:dyDescent="0.25">
      <c r="A35" s="104">
        <v>22</v>
      </c>
      <c r="B35" s="104">
        <v>22</v>
      </c>
      <c r="C35" s="104">
        <v>47</v>
      </c>
      <c r="D35" s="61" t="s">
        <v>220</v>
      </c>
      <c r="E35" s="101">
        <v>0</v>
      </c>
      <c r="F35" s="101">
        <v>0</v>
      </c>
      <c r="G35" s="61" t="s">
        <v>85</v>
      </c>
      <c r="H35" s="61" t="s">
        <v>309</v>
      </c>
    </row>
    <row r="36" spans="1:8" x14ac:dyDescent="0.25">
      <c r="A36" s="104">
        <v>23</v>
      </c>
      <c r="B36" s="104">
        <v>23</v>
      </c>
      <c r="C36" s="104">
        <v>48</v>
      </c>
      <c r="D36" s="61" t="s">
        <v>220</v>
      </c>
      <c r="E36" s="101">
        <v>0</v>
      </c>
      <c r="F36" s="101">
        <v>0</v>
      </c>
      <c r="G36" s="61" t="s">
        <v>85</v>
      </c>
      <c r="H36" s="61" t="s">
        <v>309</v>
      </c>
    </row>
    <row r="37" spans="1:8" x14ac:dyDescent="0.25">
      <c r="A37" s="104">
        <v>24</v>
      </c>
      <c r="B37" s="104">
        <v>24</v>
      </c>
      <c r="C37" s="104">
        <v>49</v>
      </c>
      <c r="D37" s="61" t="s">
        <v>220</v>
      </c>
      <c r="E37" s="101">
        <v>0</v>
      </c>
      <c r="F37" s="101">
        <v>0</v>
      </c>
      <c r="G37" s="61" t="s">
        <v>85</v>
      </c>
      <c r="H37" s="61" t="s">
        <v>309</v>
      </c>
    </row>
    <row r="38" spans="1:8" x14ac:dyDescent="0.25">
      <c r="A38" s="104">
        <v>25</v>
      </c>
      <c r="B38" s="104">
        <v>25</v>
      </c>
      <c r="C38" s="104">
        <v>50</v>
      </c>
      <c r="D38" s="61" t="s">
        <v>220</v>
      </c>
      <c r="E38" s="101">
        <v>0</v>
      </c>
      <c r="F38" s="101">
        <v>0</v>
      </c>
      <c r="G38" s="61" t="s">
        <v>85</v>
      </c>
      <c r="H38" s="61" t="s">
        <v>309</v>
      </c>
    </row>
    <row r="39" spans="1:8" x14ac:dyDescent="0.25">
      <c r="A39" s="104">
        <v>26</v>
      </c>
      <c r="B39" s="104">
        <v>26</v>
      </c>
      <c r="C39" s="104">
        <v>51</v>
      </c>
      <c r="D39" s="61" t="s">
        <v>220</v>
      </c>
      <c r="E39" s="101">
        <v>0</v>
      </c>
      <c r="F39" s="101">
        <v>0</v>
      </c>
      <c r="G39" s="61" t="s">
        <v>85</v>
      </c>
      <c r="H39" s="61" t="s">
        <v>309</v>
      </c>
    </row>
    <row r="40" spans="1:8" x14ac:dyDescent="0.25">
      <c r="A40" s="104">
        <v>27</v>
      </c>
      <c r="B40" s="104">
        <v>27</v>
      </c>
      <c r="C40" s="104">
        <v>52</v>
      </c>
      <c r="D40" s="61" t="s">
        <v>220</v>
      </c>
      <c r="E40" s="101">
        <v>0</v>
      </c>
      <c r="F40" s="101">
        <v>0</v>
      </c>
      <c r="G40" s="61" t="s">
        <v>85</v>
      </c>
      <c r="H40" s="61" t="s">
        <v>309</v>
      </c>
    </row>
    <row r="41" spans="1:8" x14ac:dyDescent="0.25">
      <c r="A41" s="104">
        <v>28</v>
      </c>
      <c r="B41" s="104">
        <v>28</v>
      </c>
      <c r="C41" s="104">
        <v>53</v>
      </c>
      <c r="D41" s="61" t="s">
        <v>220</v>
      </c>
      <c r="E41" s="101">
        <v>0</v>
      </c>
      <c r="F41" s="101">
        <v>0</v>
      </c>
      <c r="G41" s="61" t="s">
        <v>85</v>
      </c>
      <c r="H41" s="61" t="s">
        <v>309</v>
      </c>
    </row>
    <row r="42" spans="1:8" x14ac:dyDescent="0.25">
      <c r="A42" s="104">
        <v>29</v>
      </c>
      <c r="B42" s="104">
        <v>29</v>
      </c>
      <c r="C42" s="104">
        <v>54</v>
      </c>
      <c r="D42" s="61" t="s">
        <v>220</v>
      </c>
      <c r="E42" s="101">
        <v>0</v>
      </c>
      <c r="F42" s="101">
        <v>0</v>
      </c>
      <c r="G42" s="61" t="s">
        <v>85</v>
      </c>
      <c r="H42" s="61" t="s">
        <v>309</v>
      </c>
    </row>
    <row r="43" spans="1:8" x14ac:dyDescent="0.25">
      <c r="A43" s="104">
        <v>30</v>
      </c>
      <c r="B43" s="104">
        <v>30</v>
      </c>
      <c r="C43" s="104">
        <v>55</v>
      </c>
      <c r="D43" s="61" t="s">
        <v>220</v>
      </c>
      <c r="E43" s="101">
        <v>0</v>
      </c>
      <c r="F43" s="101">
        <v>0</v>
      </c>
      <c r="G43" s="61" t="s">
        <v>85</v>
      </c>
      <c r="H43" s="61" t="s">
        <v>309</v>
      </c>
    </row>
    <row r="44" spans="1:8" x14ac:dyDescent="0.25">
      <c r="A44" s="104">
        <v>31</v>
      </c>
      <c r="B44" s="104">
        <v>31</v>
      </c>
      <c r="C44" s="104">
        <v>56</v>
      </c>
      <c r="D44" s="61" t="s">
        <v>220</v>
      </c>
      <c r="E44" s="101">
        <v>0</v>
      </c>
      <c r="F44" s="101">
        <v>0</v>
      </c>
      <c r="G44" s="61" t="s">
        <v>85</v>
      </c>
      <c r="H44" s="61" t="s">
        <v>309</v>
      </c>
    </row>
    <row r="45" spans="1:8" x14ac:dyDescent="0.25">
      <c r="A45" s="104">
        <v>32</v>
      </c>
      <c r="B45" s="104">
        <v>32</v>
      </c>
      <c r="C45" s="104">
        <v>57</v>
      </c>
      <c r="D45" s="61" t="s">
        <v>220</v>
      </c>
      <c r="E45" s="101">
        <v>0</v>
      </c>
      <c r="F45" s="101">
        <v>0</v>
      </c>
      <c r="G45" s="61" t="s">
        <v>85</v>
      </c>
      <c r="H45" s="61" t="s">
        <v>309</v>
      </c>
    </row>
    <row r="46" spans="1:8" x14ac:dyDescent="0.25">
      <c r="A46" s="104">
        <v>33</v>
      </c>
      <c r="B46" s="104">
        <v>33</v>
      </c>
      <c r="C46" s="104">
        <v>58</v>
      </c>
      <c r="D46" s="61" t="s">
        <v>220</v>
      </c>
      <c r="E46" s="101">
        <v>0</v>
      </c>
      <c r="F46" s="101">
        <v>0</v>
      </c>
      <c r="G46" s="61" t="s">
        <v>85</v>
      </c>
      <c r="H46" s="61" t="s">
        <v>309</v>
      </c>
    </row>
    <row r="47" spans="1:8" x14ac:dyDescent="0.25">
      <c r="A47" s="104">
        <v>34</v>
      </c>
      <c r="B47" s="104">
        <v>34</v>
      </c>
      <c r="C47" s="104">
        <v>59</v>
      </c>
      <c r="D47" s="61" t="s">
        <v>220</v>
      </c>
      <c r="E47" s="101">
        <v>0</v>
      </c>
      <c r="F47" s="101">
        <v>0</v>
      </c>
      <c r="G47" s="61" t="s">
        <v>85</v>
      </c>
      <c r="H47" s="61" t="s">
        <v>309</v>
      </c>
    </row>
    <row r="48" spans="1:8" x14ac:dyDescent="0.25">
      <c r="A48" s="104">
        <v>35</v>
      </c>
      <c r="B48" s="104">
        <v>35</v>
      </c>
      <c r="C48" s="104">
        <v>60</v>
      </c>
      <c r="D48" s="61" t="s">
        <v>220</v>
      </c>
      <c r="E48" s="101">
        <v>0</v>
      </c>
      <c r="F48" s="101">
        <v>0</v>
      </c>
      <c r="G48" s="61" t="s">
        <v>85</v>
      </c>
      <c r="H48" s="61" t="s">
        <v>309</v>
      </c>
    </row>
    <row r="49" spans="1:8" x14ac:dyDescent="0.25">
      <c r="A49" s="104">
        <v>36</v>
      </c>
      <c r="B49" s="104">
        <v>36</v>
      </c>
      <c r="C49" s="104">
        <v>61</v>
      </c>
      <c r="D49" s="61" t="s">
        <v>220</v>
      </c>
      <c r="E49" s="101">
        <v>0</v>
      </c>
      <c r="F49" s="101">
        <v>0</v>
      </c>
      <c r="G49" s="61" t="s">
        <v>85</v>
      </c>
      <c r="H49" s="61" t="s">
        <v>309</v>
      </c>
    </row>
    <row r="50" spans="1:8" x14ac:dyDescent="0.25">
      <c r="A50" s="104">
        <v>37</v>
      </c>
      <c r="B50" s="104">
        <v>37</v>
      </c>
      <c r="C50" s="104">
        <v>62</v>
      </c>
      <c r="D50" s="61" t="s">
        <v>220</v>
      </c>
      <c r="E50" s="101">
        <v>0</v>
      </c>
      <c r="F50" s="101">
        <v>0</v>
      </c>
      <c r="G50" s="61" t="s">
        <v>85</v>
      </c>
      <c r="H50" s="61" t="s">
        <v>309</v>
      </c>
    </row>
    <row r="51" spans="1:8" x14ac:dyDescent="0.25">
      <c r="A51" s="104">
        <v>38</v>
      </c>
      <c r="B51" s="104">
        <v>38</v>
      </c>
      <c r="C51" s="104">
        <v>63</v>
      </c>
      <c r="D51" s="61" t="s">
        <v>220</v>
      </c>
      <c r="E51" s="101">
        <v>0</v>
      </c>
      <c r="F51" s="101">
        <v>0</v>
      </c>
      <c r="G51" s="61" t="s">
        <v>85</v>
      </c>
      <c r="H51" s="61" t="s">
        <v>309</v>
      </c>
    </row>
    <row r="52" spans="1:8" x14ac:dyDescent="0.25">
      <c r="A52" s="104">
        <v>39</v>
      </c>
      <c r="B52" s="104">
        <v>39</v>
      </c>
      <c r="C52" s="104">
        <v>64</v>
      </c>
      <c r="D52" s="61" t="s">
        <v>220</v>
      </c>
      <c r="E52" s="101">
        <v>0</v>
      </c>
      <c r="F52" s="101">
        <v>0</v>
      </c>
      <c r="G52" s="61" t="s">
        <v>85</v>
      </c>
      <c r="H52" s="61" t="s">
        <v>309</v>
      </c>
    </row>
    <row r="53" spans="1:8" x14ac:dyDescent="0.25">
      <c r="A53" s="104">
        <v>40</v>
      </c>
      <c r="B53" s="104">
        <v>40</v>
      </c>
      <c r="C53" s="104">
        <v>65</v>
      </c>
      <c r="D53" s="61" t="s">
        <v>220</v>
      </c>
      <c r="E53" s="101">
        <v>0</v>
      </c>
      <c r="F53" s="101">
        <v>0</v>
      </c>
      <c r="G53" s="61" t="s">
        <v>85</v>
      </c>
      <c r="H53" s="61" t="s">
        <v>309</v>
      </c>
    </row>
    <row r="54" spans="1:8" x14ac:dyDescent="0.25">
      <c r="A54" s="104">
        <v>41</v>
      </c>
      <c r="B54" s="104">
        <v>41</v>
      </c>
      <c r="C54" s="104">
        <v>66</v>
      </c>
      <c r="D54" s="61" t="s">
        <v>220</v>
      </c>
      <c r="E54" s="101">
        <v>0</v>
      </c>
      <c r="F54" s="101">
        <v>0</v>
      </c>
      <c r="G54" s="61" t="s">
        <v>85</v>
      </c>
      <c r="H54" s="61" t="s">
        <v>309</v>
      </c>
    </row>
    <row r="55" spans="1:8" x14ac:dyDescent="0.25">
      <c r="A55" s="104">
        <v>42</v>
      </c>
      <c r="B55" s="104">
        <v>42</v>
      </c>
      <c r="C55" s="104">
        <v>67</v>
      </c>
      <c r="D55" s="61" t="s">
        <v>220</v>
      </c>
      <c r="E55" s="101">
        <v>0</v>
      </c>
      <c r="F55" s="101">
        <v>0</v>
      </c>
      <c r="G55" s="61" t="s">
        <v>85</v>
      </c>
      <c r="H55" s="61" t="s">
        <v>309</v>
      </c>
    </row>
    <row r="56" spans="1:8" x14ac:dyDescent="0.25">
      <c r="A56" s="104">
        <v>43</v>
      </c>
      <c r="B56" s="104">
        <v>43</v>
      </c>
      <c r="C56" s="104">
        <v>68</v>
      </c>
      <c r="D56" s="61" t="s">
        <v>220</v>
      </c>
      <c r="E56" s="101">
        <v>0</v>
      </c>
      <c r="F56" s="101">
        <v>0</v>
      </c>
      <c r="G56" s="61" t="s">
        <v>85</v>
      </c>
      <c r="H56" s="61" t="s">
        <v>309</v>
      </c>
    </row>
    <row r="57" spans="1:8" x14ac:dyDescent="0.25">
      <c r="A57" s="104">
        <v>44</v>
      </c>
      <c r="B57" s="104">
        <v>44</v>
      </c>
      <c r="C57" s="104">
        <v>69</v>
      </c>
      <c r="D57" s="61" t="s">
        <v>220</v>
      </c>
      <c r="E57" s="101">
        <v>0</v>
      </c>
      <c r="F57" s="101">
        <v>0</v>
      </c>
      <c r="G57" s="61" t="s">
        <v>85</v>
      </c>
      <c r="H57" s="61" t="s">
        <v>309</v>
      </c>
    </row>
    <row r="58" spans="1:8" x14ac:dyDescent="0.25">
      <c r="A58" s="104">
        <v>45</v>
      </c>
      <c r="B58" s="104">
        <v>45</v>
      </c>
      <c r="C58" s="104">
        <v>70</v>
      </c>
      <c r="D58" s="61" t="s">
        <v>220</v>
      </c>
      <c r="E58" s="101">
        <v>0</v>
      </c>
      <c r="F58" s="101">
        <v>0</v>
      </c>
      <c r="G58" s="61" t="s">
        <v>85</v>
      </c>
      <c r="H58" s="61" t="s">
        <v>309</v>
      </c>
    </row>
    <row r="59" spans="1:8" x14ac:dyDescent="0.25">
      <c r="A59" s="104">
        <v>46</v>
      </c>
      <c r="B59" s="104">
        <v>46</v>
      </c>
      <c r="C59" s="104">
        <v>71</v>
      </c>
      <c r="D59" s="61" t="s">
        <v>220</v>
      </c>
      <c r="E59" s="101">
        <v>0</v>
      </c>
      <c r="F59" s="101">
        <v>0</v>
      </c>
      <c r="G59" s="61" t="s">
        <v>85</v>
      </c>
      <c r="H59" s="61" t="s">
        <v>309</v>
      </c>
    </row>
    <row r="60" spans="1:8" x14ac:dyDescent="0.25">
      <c r="A60" s="104">
        <v>47</v>
      </c>
      <c r="B60" s="104">
        <v>47</v>
      </c>
      <c r="C60" s="104">
        <v>72</v>
      </c>
      <c r="D60" s="61" t="s">
        <v>220</v>
      </c>
      <c r="E60" s="101">
        <v>0</v>
      </c>
      <c r="F60" s="101">
        <v>0</v>
      </c>
      <c r="G60" s="61" t="s">
        <v>85</v>
      </c>
      <c r="H60" s="61" t="s">
        <v>309</v>
      </c>
    </row>
    <row r="61" spans="1:8" x14ac:dyDescent="0.25">
      <c r="A61" s="104">
        <v>48</v>
      </c>
      <c r="B61" s="104">
        <v>48</v>
      </c>
      <c r="C61" s="104">
        <v>73</v>
      </c>
      <c r="D61" s="61" t="s">
        <v>220</v>
      </c>
      <c r="E61" s="101">
        <v>0</v>
      </c>
      <c r="F61" s="101">
        <v>0</v>
      </c>
      <c r="G61" s="61" t="s">
        <v>85</v>
      </c>
      <c r="H61" s="61" t="s">
        <v>309</v>
      </c>
    </row>
    <row r="62" spans="1:8" x14ac:dyDescent="0.25">
      <c r="A62" s="104">
        <v>49</v>
      </c>
      <c r="B62" s="104">
        <v>49</v>
      </c>
      <c r="C62" s="104">
        <v>74</v>
      </c>
      <c r="D62" s="61" t="s">
        <v>220</v>
      </c>
      <c r="E62" s="101">
        <v>0</v>
      </c>
      <c r="F62" s="101">
        <v>0</v>
      </c>
      <c r="G62" s="61" t="s">
        <v>85</v>
      </c>
      <c r="H62" s="61" t="s">
        <v>309</v>
      </c>
    </row>
    <row r="63" spans="1:8" x14ac:dyDescent="0.25">
      <c r="A63" s="104">
        <v>50</v>
      </c>
      <c r="B63" s="104">
        <v>50</v>
      </c>
      <c r="C63" s="104">
        <v>75</v>
      </c>
      <c r="D63" s="61" t="s">
        <v>220</v>
      </c>
      <c r="E63" s="101">
        <v>0</v>
      </c>
      <c r="F63" s="101">
        <v>0</v>
      </c>
      <c r="G63" s="61" t="s">
        <v>85</v>
      </c>
      <c r="H63" s="61" t="s">
        <v>309</v>
      </c>
    </row>
    <row r="64" spans="1:8" x14ac:dyDescent="0.25">
      <c r="A64" s="104">
        <v>51</v>
      </c>
      <c r="B64" s="104">
        <v>51</v>
      </c>
      <c r="C64" s="104">
        <v>76</v>
      </c>
      <c r="D64" s="61" t="s">
        <v>220</v>
      </c>
      <c r="E64" s="101">
        <v>0</v>
      </c>
      <c r="F64" s="101">
        <v>0</v>
      </c>
      <c r="G64" s="61" t="s">
        <v>85</v>
      </c>
      <c r="H64" s="61" t="s">
        <v>309</v>
      </c>
    </row>
    <row r="65" spans="1:8" x14ac:dyDescent="0.25">
      <c r="A65" s="104">
        <v>52</v>
      </c>
      <c r="B65" s="104">
        <v>52</v>
      </c>
      <c r="C65" s="104">
        <v>77</v>
      </c>
      <c r="D65" s="61" t="s">
        <v>220</v>
      </c>
      <c r="E65" s="101">
        <v>0</v>
      </c>
      <c r="F65" s="101">
        <v>0</v>
      </c>
      <c r="G65" s="61" t="s">
        <v>85</v>
      </c>
      <c r="H65" s="61" t="s">
        <v>309</v>
      </c>
    </row>
    <row r="66" spans="1:8" x14ac:dyDescent="0.25">
      <c r="A66" s="104">
        <v>53</v>
      </c>
      <c r="B66" s="104">
        <v>53</v>
      </c>
      <c r="C66" s="104">
        <v>78</v>
      </c>
      <c r="D66" s="61" t="s">
        <v>220</v>
      </c>
      <c r="E66" s="101">
        <v>0</v>
      </c>
      <c r="F66" s="101">
        <v>0</v>
      </c>
      <c r="G66" s="61" t="s">
        <v>85</v>
      </c>
      <c r="H66" s="61" t="s">
        <v>309</v>
      </c>
    </row>
    <row r="67" spans="1:8" x14ac:dyDescent="0.25">
      <c r="A67" s="104">
        <v>54</v>
      </c>
      <c r="B67" s="104">
        <v>54</v>
      </c>
      <c r="C67" s="104">
        <v>79</v>
      </c>
      <c r="D67" s="61" t="s">
        <v>220</v>
      </c>
      <c r="E67" s="101">
        <v>0</v>
      </c>
      <c r="F67" s="101">
        <v>0</v>
      </c>
      <c r="G67" s="61" t="s">
        <v>85</v>
      </c>
      <c r="H67" s="61" t="s">
        <v>309</v>
      </c>
    </row>
    <row r="68" spans="1:8" x14ac:dyDescent="0.25">
      <c r="A68" s="104">
        <v>55</v>
      </c>
      <c r="B68" s="104">
        <v>55</v>
      </c>
      <c r="C68" s="104">
        <v>80</v>
      </c>
      <c r="D68" s="61" t="s">
        <v>220</v>
      </c>
      <c r="E68" s="101">
        <v>0</v>
      </c>
      <c r="F68" s="101">
        <v>0</v>
      </c>
      <c r="G68" s="61" t="s">
        <v>85</v>
      </c>
      <c r="H68" s="61" t="s">
        <v>309</v>
      </c>
    </row>
    <row r="69" spans="1:8" x14ac:dyDescent="0.25">
      <c r="A69" s="104">
        <v>56</v>
      </c>
      <c r="B69" s="104">
        <v>56</v>
      </c>
      <c r="C69" s="104">
        <v>81</v>
      </c>
      <c r="D69" s="61" t="s">
        <v>220</v>
      </c>
      <c r="E69" s="101">
        <v>0</v>
      </c>
      <c r="F69" s="101">
        <v>0</v>
      </c>
      <c r="G69" s="61" t="s">
        <v>85</v>
      </c>
      <c r="H69" s="61" t="s">
        <v>309</v>
      </c>
    </row>
    <row r="70" spans="1:8" x14ac:dyDescent="0.25">
      <c r="A70" s="104">
        <v>57</v>
      </c>
      <c r="B70" s="104">
        <v>57</v>
      </c>
      <c r="C70" s="104">
        <v>82</v>
      </c>
      <c r="D70" s="61" t="s">
        <v>220</v>
      </c>
      <c r="E70" s="101">
        <v>0</v>
      </c>
      <c r="F70" s="101">
        <v>0</v>
      </c>
      <c r="G70" s="61" t="s">
        <v>85</v>
      </c>
      <c r="H70" s="61" t="s">
        <v>309</v>
      </c>
    </row>
    <row r="71" spans="1:8" x14ac:dyDescent="0.25">
      <c r="A71" s="104">
        <v>58</v>
      </c>
      <c r="B71" s="104">
        <v>58</v>
      </c>
      <c r="C71" s="104">
        <v>83</v>
      </c>
      <c r="D71" s="61" t="s">
        <v>220</v>
      </c>
      <c r="E71" s="101">
        <v>0</v>
      </c>
      <c r="F71" s="101">
        <v>0</v>
      </c>
      <c r="G71" s="61" t="s">
        <v>85</v>
      </c>
      <c r="H71" s="61" t="s">
        <v>309</v>
      </c>
    </row>
    <row r="72" spans="1:8" x14ac:dyDescent="0.25">
      <c r="A72" s="104">
        <v>59</v>
      </c>
      <c r="B72" s="104">
        <v>59</v>
      </c>
      <c r="C72" s="104">
        <v>84</v>
      </c>
      <c r="D72" s="61" t="s">
        <v>220</v>
      </c>
      <c r="E72" s="101">
        <v>0</v>
      </c>
      <c r="F72" s="101">
        <v>0</v>
      </c>
      <c r="G72" s="61" t="s">
        <v>85</v>
      </c>
      <c r="H72" s="61" t="s">
        <v>309</v>
      </c>
    </row>
    <row r="73" spans="1:8" x14ac:dyDescent="0.25">
      <c r="A73" s="104">
        <v>60</v>
      </c>
      <c r="B73" s="104">
        <v>60</v>
      </c>
      <c r="C73" s="104">
        <v>85</v>
      </c>
      <c r="D73" s="61" t="s">
        <v>220</v>
      </c>
      <c r="E73" s="101">
        <v>0</v>
      </c>
      <c r="F73" s="101">
        <v>0</v>
      </c>
      <c r="G73" s="61" t="s">
        <v>85</v>
      </c>
      <c r="H73" s="61" t="s">
        <v>309</v>
      </c>
    </row>
    <row r="74" spans="1:8" x14ac:dyDescent="0.25">
      <c r="A74" s="104">
        <v>61</v>
      </c>
      <c r="B74" s="104">
        <v>61</v>
      </c>
      <c r="C74" s="104">
        <v>86</v>
      </c>
      <c r="D74" s="61" t="s">
        <v>220</v>
      </c>
      <c r="E74" s="101">
        <v>0</v>
      </c>
      <c r="F74" s="101">
        <v>0</v>
      </c>
      <c r="G74" s="61" t="s">
        <v>85</v>
      </c>
      <c r="H74" s="61" t="s">
        <v>309</v>
      </c>
    </row>
    <row r="75" spans="1:8" x14ac:dyDescent="0.25">
      <c r="A75" s="104">
        <v>62</v>
      </c>
      <c r="B75" s="104">
        <v>62</v>
      </c>
      <c r="C75" s="104">
        <v>87</v>
      </c>
      <c r="D75" s="61" t="s">
        <v>220</v>
      </c>
      <c r="E75" s="101">
        <v>0</v>
      </c>
      <c r="F75" s="101">
        <v>0</v>
      </c>
      <c r="G75" s="61" t="s">
        <v>85</v>
      </c>
      <c r="H75" s="61" t="s">
        <v>309</v>
      </c>
    </row>
    <row r="76" spans="1:8" x14ac:dyDescent="0.25">
      <c r="A76" s="104">
        <v>63</v>
      </c>
      <c r="B76" s="104">
        <v>63</v>
      </c>
      <c r="C76" s="104">
        <v>88</v>
      </c>
      <c r="D76" s="61" t="s">
        <v>220</v>
      </c>
      <c r="E76" s="101">
        <v>0</v>
      </c>
      <c r="F76" s="101">
        <v>0</v>
      </c>
      <c r="G76" s="61" t="s">
        <v>85</v>
      </c>
      <c r="H76" s="61" t="s">
        <v>309</v>
      </c>
    </row>
    <row r="77" spans="1:8" x14ac:dyDescent="0.25">
      <c r="A77" s="104">
        <v>64</v>
      </c>
      <c r="B77" s="104">
        <v>64</v>
      </c>
      <c r="C77" s="104">
        <v>89</v>
      </c>
      <c r="D77" s="61" t="s">
        <v>220</v>
      </c>
      <c r="E77" s="101">
        <v>0</v>
      </c>
      <c r="F77" s="101">
        <v>0</v>
      </c>
      <c r="G77" s="61" t="s">
        <v>85</v>
      </c>
      <c r="H77" s="61" t="s">
        <v>309</v>
      </c>
    </row>
    <row r="78" spans="1:8" x14ac:dyDescent="0.25">
      <c r="A78" s="104">
        <v>65</v>
      </c>
      <c r="B78" s="104">
        <v>65</v>
      </c>
      <c r="C78" s="104">
        <v>90</v>
      </c>
      <c r="D78" s="61" t="s">
        <v>220</v>
      </c>
      <c r="E78" s="101">
        <v>0</v>
      </c>
      <c r="F78" s="101">
        <v>0</v>
      </c>
      <c r="G78" s="61" t="s">
        <v>85</v>
      </c>
      <c r="H78" s="61" t="s">
        <v>309</v>
      </c>
    </row>
    <row r="79" spans="1:8" x14ac:dyDescent="0.25">
      <c r="A79" s="104">
        <v>66</v>
      </c>
      <c r="B79" s="104">
        <v>66</v>
      </c>
      <c r="C79" s="104">
        <v>91</v>
      </c>
      <c r="D79" s="61" t="s">
        <v>220</v>
      </c>
      <c r="E79" s="101">
        <v>0</v>
      </c>
      <c r="F79" s="101">
        <v>0</v>
      </c>
      <c r="G79" s="61" t="s">
        <v>85</v>
      </c>
      <c r="H79" s="61" t="s">
        <v>309</v>
      </c>
    </row>
    <row r="80" spans="1:8" x14ac:dyDescent="0.25">
      <c r="A80" s="104">
        <v>67</v>
      </c>
      <c r="B80" s="104">
        <v>67</v>
      </c>
      <c r="C80" s="104">
        <v>92</v>
      </c>
      <c r="D80" s="61" t="s">
        <v>220</v>
      </c>
      <c r="E80" s="101">
        <v>0</v>
      </c>
      <c r="F80" s="101">
        <v>0</v>
      </c>
      <c r="G80" s="61" t="s">
        <v>85</v>
      </c>
      <c r="H80" s="61" t="s">
        <v>309</v>
      </c>
    </row>
    <row r="81" spans="1:8" x14ac:dyDescent="0.25">
      <c r="A81" s="104">
        <v>68</v>
      </c>
      <c r="B81" s="104">
        <v>68</v>
      </c>
      <c r="C81" s="104">
        <v>93</v>
      </c>
      <c r="D81" s="61" t="s">
        <v>220</v>
      </c>
      <c r="E81" s="101">
        <v>0</v>
      </c>
      <c r="F81" s="101">
        <v>0</v>
      </c>
      <c r="G81" s="61" t="s">
        <v>85</v>
      </c>
      <c r="H81" s="61" t="s">
        <v>309</v>
      </c>
    </row>
    <row r="82" spans="1:8" x14ac:dyDescent="0.25">
      <c r="A82" s="104">
        <v>69</v>
      </c>
      <c r="B82" s="104">
        <v>69</v>
      </c>
      <c r="C82" s="104">
        <v>94</v>
      </c>
      <c r="D82" s="61" t="s">
        <v>220</v>
      </c>
      <c r="E82" s="101">
        <v>0</v>
      </c>
      <c r="F82" s="101">
        <v>0</v>
      </c>
      <c r="G82" s="61" t="s">
        <v>85</v>
      </c>
      <c r="H82" s="61" t="s">
        <v>309</v>
      </c>
    </row>
    <row r="83" spans="1:8" x14ac:dyDescent="0.25">
      <c r="A83" s="104">
        <v>70</v>
      </c>
      <c r="B83" s="104">
        <v>70</v>
      </c>
      <c r="C83" s="104">
        <v>95</v>
      </c>
      <c r="D83" s="61" t="s">
        <v>220</v>
      </c>
      <c r="E83" s="101">
        <v>0</v>
      </c>
      <c r="F83" s="101">
        <v>0</v>
      </c>
      <c r="G83" s="61" t="s">
        <v>85</v>
      </c>
      <c r="H83" s="61" t="s">
        <v>309</v>
      </c>
    </row>
    <row r="84" spans="1:8" x14ac:dyDescent="0.25">
      <c r="A84" s="104">
        <v>71</v>
      </c>
      <c r="B84" s="104">
        <v>71</v>
      </c>
      <c r="C84" s="104">
        <v>96</v>
      </c>
      <c r="D84" s="61" t="s">
        <v>220</v>
      </c>
      <c r="E84" s="101">
        <v>0</v>
      </c>
      <c r="F84" s="101">
        <v>0</v>
      </c>
      <c r="G84" s="61" t="s">
        <v>85</v>
      </c>
      <c r="H84" s="61" t="s">
        <v>309</v>
      </c>
    </row>
    <row r="85" spans="1:8" x14ac:dyDescent="0.25">
      <c r="A85" s="104">
        <v>72</v>
      </c>
      <c r="B85" s="104">
        <v>72</v>
      </c>
      <c r="C85" s="104">
        <v>97</v>
      </c>
      <c r="D85" s="61" t="s">
        <v>220</v>
      </c>
      <c r="E85" s="101">
        <v>0</v>
      </c>
      <c r="F85" s="101">
        <v>0</v>
      </c>
      <c r="G85" s="61" t="s">
        <v>85</v>
      </c>
      <c r="H85" s="61" t="s">
        <v>309</v>
      </c>
    </row>
    <row r="86" spans="1:8" x14ac:dyDescent="0.25">
      <c r="A86" s="104">
        <v>73</v>
      </c>
      <c r="B86" s="104">
        <v>73</v>
      </c>
      <c r="C86" s="104">
        <v>98</v>
      </c>
      <c r="D86" s="61" t="s">
        <v>220</v>
      </c>
      <c r="E86" s="101">
        <v>0</v>
      </c>
      <c r="F86" s="101">
        <v>0</v>
      </c>
      <c r="G86" s="61" t="s">
        <v>85</v>
      </c>
      <c r="H86" s="61" t="s">
        <v>309</v>
      </c>
    </row>
    <row r="87" spans="1:8" x14ac:dyDescent="0.25">
      <c r="A87" s="104">
        <v>74</v>
      </c>
      <c r="B87" s="104">
        <v>74</v>
      </c>
      <c r="C87" s="104">
        <v>99</v>
      </c>
      <c r="D87" s="61" t="s">
        <v>220</v>
      </c>
      <c r="E87" s="101">
        <v>0</v>
      </c>
      <c r="F87" s="101">
        <v>0</v>
      </c>
      <c r="G87" s="61" t="s">
        <v>85</v>
      </c>
      <c r="H87" s="61" t="s">
        <v>309</v>
      </c>
    </row>
    <row r="88" spans="1:8" x14ac:dyDescent="0.25">
      <c r="A88" s="104">
        <v>75</v>
      </c>
      <c r="B88" s="104">
        <v>75</v>
      </c>
      <c r="C88" s="104">
        <v>100</v>
      </c>
      <c r="D88" s="61" t="s">
        <v>220</v>
      </c>
      <c r="E88" s="101">
        <v>0</v>
      </c>
      <c r="F88" s="101">
        <v>0</v>
      </c>
      <c r="G88" s="61" t="s">
        <v>85</v>
      </c>
      <c r="H88" s="61" t="s">
        <v>309</v>
      </c>
    </row>
    <row r="89" spans="1:8" x14ac:dyDescent="0.25">
      <c r="A89" s="104">
        <v>76</v>
      </c>
      <c r="B89" s="104">
        <v>76</v>
      </c>
      <c r="C89" s="104">
        <v>101</v>
      </c>
      <c r="D89" s="61" t="s">
        <v>220</v>
      </c>
      <c r="E89" s="101">
        <v>0</v>
      </c>
      <c r="F89" s="101">
        <v>0</v>
      </c>
      <c r="G89" s="61" t="s">
        <v>85</v>
      </c>
      <c r="H89" s="61" t="s">
        <v>309</v>
      </c>
    </row>
    <row r="90" spans="1:8" x14ac:dyDescent="0.25">
      <c r="A90" s="104">
        <v>77</v>
      </c>
      <c r="B90" s="104">
        <v>77</v>
      </c>
      <c r="C90" s="104">
        <v>102</v>
      </c>
      <c r="D90" s="61" t="s">
        <v>220</v>
      </c>
      <c r="E90" s="101">
        <v>0</v>
      </c>
      <c r="F90" s="101">
        <v>0</v>
      </c>
      <c r="G90" s="61" t="s">
        <v>85</v>
      </c>
      <c r="H90" s="61" t="s">
        <v>309</v>
      </c>
    </row>
    <row r="91" spans="1:8" x14ac:dyDescent="0.25">
      <c r="A91" s="104">
        <v>78</v>
      </c>
      <c r="B91" s="104">
        <v>78</v>
      </c>
      <c r="C91" s="104">
        <v>103</v>
      </c>
      <c r="D91" s="61" t="s">
        <v>220</v>
      </c>
      <c r="E91" s="101">
        <v>0</v>
      </c>
      <c r="F91" s="101">
        <v>0</v>
      </c>
      <c r="G91" s="61" t="s">
        <v>85</v>
      </c>
      <c r="H91" s="61" t="s">
        <v>309</v>
      </c>
    </row>
    <row r="92" spans="1:8" x14ac:dyDescent="0.25">
      <c r="A92" s="104">
        <v>79</v>
      </c>
      <c r="B92" s="104">
        <v>79</v>
      </c>
      <c r="C92" s="104">
        <v>104</v>
      </c>
      <c r="D92" s="61" t="s">
        <v>220</v>
      </c>
      <c r="E92" s="101">
        <v>0</v>
      </c>
      <c r="F92" s="101">
        <v>0</v>
      </c>
      <c r="G92" s="61" t="s">
        <v>85</v>
      </c>
      <c r="H92" s="61" t="s">
        <v>309</v>
      </c>
    </row>
    <row r="93" spans="1:8" x14ac:dyDescent="0.25">
      <c r="A93" s="104">
        <v>80</v>
      </c>
      <c r="B93" s="104">
        <v>80</v>
      </c>
      <c r="C93" s="104">
        <v>105</v>
      </c>
      <c r="D93" s="61" t="s">
        <v>220</v>
      </c>
      <c r="E93" s="101">
        <v>0</v>
      </c>
      <c r="F93" s="101">
        <v>0</v>
      </c>
      <c r="G93" s="61" t="s">
        <v>85</v>
      </c>
      <c r="H93" s="61" t="s">
        <v>309</v>
      </c>
    </row>
    <row r="94" spans="1:8" x14ac:dyDescent="0.25">
      <c r="A94" s="104">
        <v>81</v>
      </c>
      <c r="B94" s="104">
        <v>81</v>
      </c>
      <c r="C94" s="104">
        <v>106</v>
      </c>
      <c r="D94" s="61" t="s">
        <v>220</v>
      </c>
      <c r="E94" s="101">
        <v>0</v>
      </c>
      <c r="F94" s="101">
        <v>0</v>
      </c>
      <c r="G94" s="61" t="s">
        <v>85</v>
      </c>
      <c r="H94" s="61" t="s">
        <v>309</v>
      </c>
    </row>
    <row r="95" spans="1:8" x14ac:dyDescent="0.25">
      <c r="A95" s="104">
        <v>82</v>
      </c>
      <c r="B95" s="104">
        <v>82</v>
      </c>
      <c r="C95" s="104">
        <v>107</v>
      </c>
      <c r="D95" s="61" t="s">
        <v>220</v>
      </c>
      <c r="E95" s="101">
        <v>0</v>
      </c>
      <c r="F95" s="101">
        <v>0</v>
      </c>
      <c r="G95" s="61" t="s">
        <v>85</v>
      </c>
      <c r="H95" s="61" t="s">
        <v>309</v>
      </c>
    </row>
    <row r="96" spans="1:8" x14ac:dyDescent="0.25">
      <c r="A96" s="104">
        <v>83</v>
      </c>
      <c r="B96" s="104">
        <v>83</v>
      </c>
      <c r="C96" s="104">
        <v>108</v>
      </c>
      <c r="D96" s="61" t="s">
        <v>220</v>
      </c>
      <c r="E96" s="101">
        <v>0</v>
      </c>
      <c r="F96" s="101">
        <v>0</v>
      </c>
      <c r="G96" s="61" t="s">
        <v>85</v>
      </c>
      <c r="H96" s="61" t="s">
        <v>309</v>
      </c>
    </row>
    <row r="97" spans="1:8" x14ac:dyDescent="0.25">
      <c r="A97" s="104">
        <v>84</v>
      </c>
      <c r="B97" s="104">
        <v>84</v>
      </c>
      <c r="C97" s="104">
        <v>109</v>
      </c>
      <c r="D97" s="61" t="s">
        <v>220</v>
      </c>
      <c r="E97" s="101">
        <v>0</v>
      </c>
      <c r="F97" s="101">
        <v>0</v>
      </c>
      <c r="G97" s="61" t="s">
        <v>85</v>
      </c>
      <c r="H97" s="61" t="s">
        <v>309</v>
      </c>
    </row>
    <row r="98" spans="1:8" x14ac:dyDescent="0.25">
      <c r="A98" s="104">
        <v>85</v>
      </c>
      <c r="B98" s="104">
        <v>85</v>
      </c>
      <c r="C98" s="104">
        <v>110</v>
      </c>
      <c r="D98" s="61" t="s">
        <v>220</v>
      </c>
      <c r="E98" s="101">
        <v>0</v>
      </c>
      <c r="F98" s="101">
        <v>0</v>
      </c>
      <c r="G98" s="61" t="s">
        <v>85</v>
      </c>
      <c r="H98" s="61" t="s">
        <v>309</v>
      </c>
    </row>
    <row r="99" spans="1:8" x14ac:dyDescent="0.25">
      <c r="A99" s="104">
        <v>86</v>
      </c>
      <c r="B99" s="104">
        <v>86</v>
      </c>
      <c r="C99" s="104">
        <v>111</v>
      </c>
      <c r="D99" s="61" t="s">
        <v>220</v>
      </c>
      <c r="E99" s="101">
        <v>0</v>
      </c>
      <c r="F99" s="101">
        <v>0</v>
      </c>
      <c r="G99" s="61" t="s">
        <v>85</v>
      </c>
      <c r="H99" s="61" t="s">
        <v>309</v>
      </c>
    </row>
    <row r="100" spans="1:8" x14ac:dyDescent="0.25">
      <c r="A100" s="104">
        <v>87</v>
      </c>
      <c r="B100" s="104">
        <v>87</v>
      </c>
      <c r="C100" s="104">
        <v>112</v>
      </c>
      <c r="D100" s="61" t="s">
        <v>220</v>
      </c>
      <c r="E100" s="101">
        <v>0</v>
      </c>
      <c r="F100" s="101">
        <v>0</v>
      </c>
      <c r="G100" s="61" t="s">
        <v>85</v>
      </c>
      <c r="H100" s="61" t="s">
        <v>309</v>
      </c>
    </row>
    <row r="101" spans="1:8" x14ac:dyDescent="0.25">
      <c r="A101" s="104">
        <v>88</v>
      </c>
      <c r="B101" s="104">
        <v>88</v>
      </c>
      <c r="C101" s="104">
        <v>113</v>
      </c>
      <c r="D101" s="61" t="s">
        <v>220</v>
      </c>
      <c r="E101" s="101">
        <v>0</v>
      </c>
      <c r="F101" s="101">
        <v>0</v>
      </c>
      <c r="G101" s="61" t="s">
        <v>85</v>
      </c>
      <c r="H101" s="61" t="s">
        <v>309</v>
      </c>
    </row>
    <row r="102" spans="1:8" x14ac:dyDescent="0.25">
      <c r="A102" s="104">
        <v>89</v>
      </c>
      <c r="B102" s="104">
        <v>89</v>
      </c>
      <c r="C102" s="104">
        <v>114</v>
      </c>
      <c r="D102" s="61" t="s">
        <v>220</v>
      </c>
      <c r="E102" s="101">
        <v>0</v>
      </c>
      <c r="F102" s="101">
        <v>0</v>
      </c>
      <c r="G102" s="61" t="s">
        <v>85</v>
      </c>
      <c r="H102" s="61" t="s">
        <v>309</v>
      </c>
    </row>
    <row r="103" spans="1:8" x14ac:dyDescent="0.25">
      <c r="A103" s="104">
        <v>90</v>
      </c>
      <c r="B103" s="104">
        <v>90</v>
      </c>
      <c r="C103" s="104">
        <v>115</v>
      </c>
      <c r="D103" s="61" t="s">
        <v>220</v>
      </c>
      <c r="E103" s="101">
        <v>0</v>
      </c>
      <c r="F103" s="101">
        <v>0</v>
      </c>
      <c r="G103" s="61" t="s">
        <v>85</v>
      </c>
      <c r="H103" s="61" t="s">
        <v>309</v>
      </c>
    </row>
    <row r="104" spans="1:8" x14ac:dyDescent="0.25">
      <c r="A104" s="104">
        <v>91</v>
      </c>
      <c r="B104" s="104">
        <v>91</v>
      </c>
      <c r="C104" s="104">
        <v>116</v>
      </c>
      <c r="D104" s="61" t="s">
        <v>220</v>
      </c>
      <c r="E104" s="101">
        <v>0</v>
      </c>
      <c r="F104" s="101">
        <v>0</v>
      </c>
      <c r="G104" s="61" t="s">
        <v>85</v>
      </c>
      <c r="H104" s="61" t="s">
        <v>309</v>
      </c>
    </row>
    <row r="105" spans="1:8" x14ac:dyDescent="0.25">
      <c r="A105" s="104">
        <v>92</v>
      </c>
      <c r="B105" s="104">
        <v>92</v>
      </c>
      <c r="C105" s="104">
        <v>117</v>
      </c>
      <c r="D105" s="61" t="s">
        <v>220</v>
      </c>
      <c r="E105" s="101">
        <v>0</v>
      </c>
      <c r="F105" s="101">
        <v>0</v>
      </c>
      <c r="G105" s="61" t="s">
        <v>85</v>
      </c>
      <c r="H105" s="61" t="s">
        <v>309</v>
      </c>
    </row>
    <row r="106" spans="1:8" x14ac:dyDescent="0.25">
      <c r="A106" s="104">
        <v>93</v>
      </c>
      <c r="B106" s="104">
        <v>93</v>
      </c>
      <c r="C106" s="104">
        <v>118</v>
      </c>
      <c r="D106" s="61" t="s">
        <v>220</v>
      </c>
      <c r="E106" s="101">
        <v>0</v>
      </c>
      <c r="F106" s="101">
        <v>0</v>
      </c>
      <c r="G106" s="61" t="s">
        <v>85</v>
      </c>
      <c r="H106" s="61" t="s">
        <v>309</v>
      </c>
    </row>
    <row r="107" spans="1:8" x14ac:dyDescent="0.25">
      <c r="A107" s="104">
        <v>94</v>
      </c>
      <c r="B107" s="104">
        <v>94</v>
      </c>
      <c r="C107" s="104">
        <v>119</v>
      </c>
      <c r="D107" s="61" t="s">
        <v>220</v>
      </c>
      <c r="E107" s="101">
        <v>0</v>
      </c>
      <c r="F107" s="101">
        <v>0</v>
      </c>
      <c r="G107" s="61" t="s">
        <v>85</v>
      </c>
      <c r="H107" s="61" t="s">
        <v>309</v>
      </c>
    </row>
    <row r="108" spans="1:8" x14ac:dyDescent="0.25">
      <c r="A108" s="104">
        <v>95</v>
      </c>
      <c r="B108" s="104">
        <v>95</v>
      </c>
      <c r="C108" s="104">
        <v>120</v>
      </c>
      <c r="D108" s="61" t="s">
        <v>220</v>
      </c>
      <c r="E108" s="101">
        <v>0</v>
      </c>
      <c r="F108" s="101">
        <v>0</v>
      </c>
      <c r="G108" s="61" t="s">
        <v>85</v>
      </c>
      <c r="H108" s="61" t="s">
        <v>309</v>
      </c>
    </row>
    <row r="109" spans="1:8" x14ac:dyDescent="0.25">
      <c r="A109" s="104">
        <v>96</v>
      </c>
      <c r="B109" s="104">
        <v>96</v>
      </c>
      <c r="C109" s="104">
        <v>121</v>
      </c>
      <c r="D109" s="61" t="s">
        <v>220</v>
      </c>
      <c r="E109" s="101">
        <v>0</v>
      </c>
      <c r="F109" s="101">
        <v>0</v>
      </c>
      <c r="G109" s="61" t="s">
        <v>85</v>
      </c>
      <c r="H109" s="61" t="s">
        <v>309</v>
      </c>
    </row>
    <row r="110" spans="1:8" x14ac:dyDescent="0.25">
      <c r="A110" s="104">
        <v>97</v>
      </c>
      <c r="B110" s="104">
        <v>97</v>
      </c>
      <c r="C110" s="104">
        <v>122</v>
      </c>
      <c r="D110" s="61" t="s">
        <v>220</v>
      </c>
      <c r="E110" s="101">
        <v>0</v>
      </c>
      <c r="F110" s="101">
        <v>0</v>
      </c>
      <c r="G110" s="61" t="s">
        <v>85</v>
      </c>
      <c r="H110" s="61" t="s">
        <v>309</v>
      </c>
    </row>
    <row r="111" spans="1:8" x14ac:dyDescent="0.25">
      <c r="A111" s="104">
        <v>98</v>
      </c>
      <c r="B111" s="104">
        <v>98</v>
      </c>
      <c r="C111" s="104">
        <v>123</v>
      </c>
      <c r="D111" s="61" t="s">
        <v>220</v>
      </c>
      <c r="E111" s="101">
        <v>0</v>
      </c>
      <c r="F111" s="101">
        <v>0</v>
      </c>
      <c r="G111" s="61" t="s">
        <v>85</v>
      </c>
      <c r="H111" s="61" t="s">
        <v>309</v>
      </c>
    </row>
    <row r="112" spans="1:8" x14ac:dyDescent="0.25">
      <c r="A112" s="104">
        <v>99</v>
      </c>
      <c r="B112" s="104">
        <v>99</v>
      </c>
      <c r="C112" s="104">
        <v>124</v>
      </c>
      <c r="D112" s="61" t="s">
        <v>220</v>
      </c>
      <c r="E112" s="101">
        <v>0</v>
      </c>
      <c r="F112" s="101">
        <v>0</v>
      </c>
      <c r="G112" s="61" t="s">
        <v>85</v>
      </c>
      <c r="H112" s="61" t="s">
        <v>309</v>
      </c>
    </row>
    <row r="113" spans="1:8" x14ac:dyDescent="0.25">
      <c r="A113" s="104">
        <v>100</v>
      </c>
      <c r="B113" s="104">
        <v>100</v>
      </c>
      <c r="C113" s="104">
        <v>125</v>
      </c>
      <c r="D113" s="61" t="s">
        <v>220</v>
      </c>
      <c r="E113" s="101">
        <v>0</v>
      </c>
      <c r="F113" s="101">
        <v>0</v>
      </c>
      <c r="G113" s="61" t="s">
        <v>85</v>
      </c>
      <c r="H113" s="61" t="s">
        <v>309</v>
      </c>
    </row>
    <row r="114" spans="1:8" x14ac:dyDescent="0.25">
      <c r="A114" s="104">
        <v>101</v>
      </c>
      <c r="B114" s="104">
        <v>26</v>
      </c>
      <c r="C114" s="104">
        <v>27</v>
      </c>
      <c r="D114" s="61" t="s">
        <v>220</v>
      </c>
      <c r="E114" s="101">
        <v>0</v>
      </c>
      <c r="F114" s="101">
        <v>0</v>
      </c>
      <c r="G114" s="61" t="s">
        <v>86</v>
      </c>
      <c r="H114" s="61" t="s">
        <v>142</v>
      </c>
    </row>
    <row r="115" spans="1:8" x14ac:dyDescent="0.25">
      <c r="A115" s="104">
        <v>102</v>
      </c>
      <c r="B115" s="104">
        <v>27</v>
      </c>
      <c r="C115" s="104">
        <v>28</v>
      </c>
      <c r="D115" s="61" t="s">
        <v>220</v>
      </c>
      <c r="E115" s="101">
        <v>0</v>
      </c>
      <c r="F115" s="101">
        <v>0</v>
      </c>
      <c r="G115" s="61" t="s">
        <v>86</v>
      </c>
      <c r="H115" s="61" t="s">
        <v>142</v>
      </c>
    </row>
    <row r="116" spans="1:8" x14ac:dyDescent="0.25">
      <c r="A116" s="104">
        <v>103</v>
      </c>
      <c r="B116" s="104">
        <v>28</v>
      </c>
      <c r="C116" s="104">
        <v>29</v>
      </c>
      <c r="D116" s="61" t="s">
        <v>220</v>
      </c>
      <c r="E116" s="101">
        <v>0</v>
      </c>
      <c r="F116" s="101">
        <v>0</v>
      </c>
      <c r="G116" s="61" t="s">
        <v>86</v>
      </c>
      <c r="H116" s="61" t="s">
        <v>142</v>
      </c>
    </row>
    <row r="117" spans="1:8" x14ac:dyDescent="0.25">
      <c r="A117" s="104">
        <v>104</v>
      </c>
      <c r="B117" s="104">
        <v>29</v>
      </c>
      <c r="C117" s="104">
        <v>30</v>
      </c>
      <c r="D117" s="61" t="s">
        <v>220</v>
      </c>
      <c r="E117" s="101">
        <v>0</v>
      </c>
      <c r="F117" s="101">
        <v>0</v>
      </c>
      <c r="G117" s="61" t="s">
        <v>86</v>
      </c>
      <c r="H117" s="61" t="s">
        <v>142</v>
      </c>
    </row>
    <row r="118" spans="1:8" x14ac:dyDescent="0.25">
      <c r="A118" s="104">
        <v>105</v>
      </c>
      <c r="B118" s="104">
        <v>31</v>
      </c>
      <c r="C118" s="104">
        <v>32</v>
      </c>
      <c r="D118" s="61" t="s">
        <v>220</v>
      </c>
      <c r="E118" s="101">
        <v>0</v>
      </c>
      <c r="F118" s="101">
        <v>0</v>
      </c>
      <c r="G118" s="61" t="s">
        <v>86</v>
      </c>
      <c r="H118" s="61" t="s">
        <v>142</v>
      </c>
    </row>
    <row r="119" spans="1:8" x14ac:dyDescent="0.25">
      <c r="A119" s="104">
        <v>106</v>
      </c>
      <c r="B119" s="104">
        <v>32</v>
      </c>
      <c r="C119" s="104">
        <v>33</v>
      </c>
      <c r="D119" s="61" t="s">
        <v>220</v>
      </c>
      <c r="E119" s="101">
        <v>0</v>
      </c>
      <c r="F119" s="101">
        <v>0</v>
      </c>
      <c r="G119" s="61" t="s">
        <v>86</v>
      </c>
      <c r="H119" s="61" t="s">
        <v>142</v>
      </c>
    </row>
    <row r="120" spans="1:8" x14ac:dyDescent="0.25">
      <c r="A120" s="104">
        <v>107</v>
      </c>
      <c r="B120" s="104">
        <v>33</v>
      </c>
      <c r="C120" s="104">
        <v>34</v>
      </c>
      <c r="D120" s="61" t="s">
        <v>220</v>
      </c>
      <c r="E120" s="101">
        <v>0</v>
      </c>
      <c r="F120" s="101">
        <v>0</v>
      </c>
      <c r="G120" s="61" t="s">
        <v>86</v>
      </c>
      <c r="H120" s="61" t="s">
        <v>142</v>
      </c>
    </row>
    <row r="121" spans="1:8" x14ac:dyDescent="0.25">
      <c r="A121" s="104">
        <v>108</v>
      </c>
      <c r="B121" s="104">
        <v>34</v>
      </c>
      <c r="C121" s="104">
        <v>35</v>
      </c>
      <c r="D121" s="61" t="s">
        <v>220</v>
      </c>
      <c r="E121" s="101">
        <v>0</v>
      </c>
      <c r="F121" s="101">
        <v>0</v>
      </c>
      <c r="G121" s="61" t="s">
        <v>86</v>
      </c>
      <c r="H121" s="61" t="s">
        <v>142</v>
      </c>
    </row>
    <row r="122" spans="1:8" x14ac:dyDescent="0.25">
      <c r="A122" s="104">
        <v>109</v>
      </c>
      <c r="B122" s="104">
        <v>36</v>
      </c>
      <c r="C122" s="104">
        <v>37</v>
      </c>
      <c r="D122" s="61" t="s">
        <v>220</v>
      </c>
      <c r="E122" s="101">
        <v>0</v>
      </c>
      <c r="F122" s="101">
        <v>0</v>
      </c>
      <c r="G122" s="61" t="s">
        <v>86</v>
      </c>
      <c r="H122" s="61" t="s">
        <v>142</v>
      </c>
    </row>
    <row r="123" spans="1:8" x14ac:dyDescent="0.25">
      <c r="A123" s="104">
        <v>110</v>
      </c>
      <c r="B123" s="104">
        <v>37</v>
      </c>
      <c r="C123" s="104">
        <v>38</v>
      </c>
      <c r="D123" s="61" t="s">
        <v>220</v>
      </c>
      <c r="E123" s="101">
        <v>0</v>
      </c>
      <c r="F123" s="101">
        <v>0</v>
      </c>
      <c r="G123" s="61" t="s">
        <v>86</v>
      </c>
      <c r="H123" s="61" t="s">
        <v>142</v>
      </c>
    </row>
    <row r="124" spans="1:8" x14ac:dyDescent="0.25">
      <c r="A124" s="104">
        <v>111</v>
      </c>
      <c r="B124" s="104">
        <v>38</v>
      </c>
      <c r="C124" s="104">
        <v>39</v>
      </c>
      <c r="D124" s="61" t="s">
        <v>220</v>
      </c>
      <c r="E124" s="101">
        <v>0</v>
      </c>
      <c r="F124" s="101">
        <v>0</v>
      </c>
      <c r="G124" s="61" t="s">
        <v>86</v>
      </c>
      <c r="H124" s="61" t="s">
        <v>142</v>
      </c>
    </row>
    <row r="125" spans="1:8" x14ac:dyDescent="0.25">
      <c r="A125" s="104">
        <v>112</v>
      </c>
      <c r="B125" s="104">
        <v>39</v>
      </c>
      <c r="C125" s="104">
        <v>40</v>
      </c>
      <c r="D125" s="61" t="s">
        <v>220</v>
      </c>
      <c r="E125" s="101">
        <v>0</v>
      </c>
      <c r="F125" s="101">
        <v>0</v>
      </c>
      <c r="G125" s="61" t="s">
        <v>86</v>
      </c>
      <c r="H125" s="61" t="s">
        <v>142</v>
      </c>
    </row>
    <row r="126" spans="1:8" x14ac:dyDescent="0.25">
      <c r="A126" s="104">
        <v>113</v>
      </c>
      <c r="B126" s="104">
        <v>41</v>
      </c>
      <c r="C126" s="104">
        <v>42</v>
      </c>
      <c r="D126" s="61" t="s">
        <v>220</v>
      </c>
      <c r="E126" s="101">
        <v>0</v>
      </c>
      <c r="F126" s="101">
        <v>0</v>
      </c>
      <c r="G126" s="61" t="s">
        <v>86</v>
      </c>
      <c r="H126" s="61" t="s">
        <v>142</v>
      </c>
    </row>
    <row r="127" spans="1:8" x14ac:dyDescent="0.25">
      <c r="A127" s="104">
        <v>114</v>
      </c>
      <c r="B127" s="104">
        <v>42</v>
      </c>
      <c r="C127" s="104">
        <v>43</v>
      </c>
      <c r="D127" s="61" t="s">
        <v>220</v>
      </c>
      <c r="E127" s="101">
        <v>0</v>
      </c>
      <c r="F127" s="101">
        <v>0</v>
      </c>
      <c r="G127" s="61" t="s">
        <v>86</v>
      </c>
      <c r="H127" s="61" t="s">
        <v>142</v>
      </c>
    </row>
    <row r="128" spans="1:8" x14ac:dyDescent="0.25">
      <c r="A128" s="104">
        <v>115</v>
      </c>
      <c r="B128" s="104">
        <v>43</v>
      </c>
      <c r="C128" s="104">
        <v>44</v>
      </c>
      <c r="D128" s="61" t="s">
        <v>220</v>
      </c>
      <c r="E128" s="101">
        <v>0</v>
      </c>
      <c r="F128" s="101">
        <v>0</v>
      </c>
      <c r="G128" s="61" t="s">
        <v>86</v>
      </c>
      <c r="H128" s="61" t="s">
        <v>142</v>
      </c>
    </row>
    <row r="129" spans="1:8" x14ac:dyDescent="0.25">
      <c r="A129" s="104">
        <v>116</v>
      </c>
      <c r="B129" s="104">
        <v>44</v>
      </c>
      <c r="C129" s="104">
        <v>45</v>
      </c>
      <c r="D129" s="61" t="s">
        <v>220</v>
      </c>
      <c r="E129" s="101">
        <v>0</v>
      </c>
      <c r="F129" s="101">
        <v>0</v>
      </c>
      <c r="G129" s="61" t="s">
        <v>86</v>
      </c>
      <c r="H129" s="61" t="s">
        <v>142</v>
      </c>
    </row>
    <row r="130" spans="1:8" x14ac:dyDescent="0.25">
      <c r="A130" s="104">
        <v>117</v>
      </c>
      <c r="B130" s="104">
        <v>46</v>
      </c>
      <c r="C130" s="104">
        <v>47</v>
      </c>
      <c r="D130" s="61" t="s">
        <v>220</v>
      </c>
      <c r="E130" s="101">
        <v>0</v>
      </c>
      <c r="F130" s="101">
        <v>0</v>
      </c>
      <c r="G130" s="61" t="s">
        <v>86</v>
      </c>
      <c r="H130" s="61" t="s">
        <v>142</v>
      </c>
    </row>
    <row r="131" spans="1:8" x14ac:dyDescent="0.25">
      <c r="A131" s="104">
        <v>118</v>
      </c>
      <c r="B131" s="104">
        <v>47</v>
      </c>
      <c r="C131" s="104">
        <v>48</v>
      </c>
      <c r="D131" s="61" t="s">
        <v>220</v>
      </c>
      <c r="E131" s="101">
        <v>0</v>
      </c>
      <c r="F131" s="101">
        <v>0</v>
      </c>
      <c r="G131" s="61" t="s">
        <v>86</v>
      </c>
      <c r="H131" s="61" t="s">
        <v>142</v>
      </c>
    </row>
    <row r="132" spans="1:8" x14ac:dyDescent="0.25">
      <c r="A132" s="104">
        <v>119</v>
      </c>
      <c r="B132" s="104">
        <v>48</v>
      </c>
      <c r="C132" s="104">
        <v>49</v>
      </c>
      <c r="D132" s="61" t="s">
        <v>220</v>
      </c>
      <c r="E132" s="101">
        <v>0</v>
      </c>
      <c r="F132" s="101">
        <v>0</v>
      </c>
      <c r="G132" s="61" t="s">
        <v>86</v>
      </c>
      <c r="H132" s="61" t="s">
        <v>142</v>
      </c>
    </row>
    <row r="133" spans="1:8" x14ac:dyDescent="0.25">
      <c r="A133" s="104">
        <v>120</v>
      </c>
      <c r="B133" s="104">
        <v>49</v>
      </c>
      <c r="C133" s="104">
        <v>50</v>
      </c>
      <c r="D133" s="61" t="s">
        <v>220</v>
      </c>
      <c r="E133" s="101">
        <v>0</v>
      </c>
      <c r="F133" s="101">
        <v>0</v>
      </c>
      <c r="G133" s="61" t="s">
        <v>86</v>
      </c>
      <c r="H133" s="61" t="s">
        <v>142</v>
      </c>
    </row>
    <row r="134" spans="1:8" x14ac:dyDescent="0.25">
      <c r="A134" s="104">
        <v>121</v>
      </c>
      <c r="B134" s="104">
        <v>51</v>
      </c>
      <c r="C134" s="104">
        <v>52</v>
      </c>
      <c r="D134" s="61" t="s">
        <v>220</v>
      </c>
      <c r="E134" s="101">
        <v>0</v>
      </c>
      <c r="F134" s="101">
        <v>0</v>
      </c>
      <c r="G134" s="61" t="s">
        <v>86</v>
      </c>
      <c r="H134" s="61" t="s">
        <v>142</v>
      </c>
    </row>
    <row r="135" spans="1:8" x14ac:dyDescent="0.25">
      <c r="A135" s="104">
        <v>122</v>
      </c>
      <c r="B135" s="104">
        <v>52</v>
      </c>
      <c r="C135" s="104">
        <v>53</v>
      </c>
      <c r="D135" s="61" t="s">
        <v>220</v>
      </c>
      <c r="E135" s="101">
        <v>0</v>
      </c>
      <c r="F135" s="101">
        <v>0</v>
      </c>
      <c r="G135" s="61" t="s">
        <v>86</v>
      </c>
      <c r="H135" s="61" t="s">
        <v>142</v>
      </c>
    </row>
    <row r="136" spans="1:8" x14ac:dyDescent="0.25">
      <c r="A136" s="104">
        <v>123</v>
      </c>
      <c r="B136" s="104">
        <v>53</v>
      </c>
      <c r="C136" s="104">
        <v>54</v>
      </c>
      <c r="D136" s="61" t="s">
        <v>220</v>
      </c>
      <c r="E136" s="101">
        <v>0</v>
      </c>
      <c r="F136" s="101">
        <v>0</v>
      </c>
      <c r="G136" s="61" t="s">
        <v>86</v>
      </c>
      <c r="H136" s="61" t="s">
        <v>142</v>
      </c>
    </row>
    <row r="137" spans="1:8" x14ac:dyDescent="0.25">
      <c r="A137" s="104">
        <v>124</v>
      </c>
      <c r="B137" s="104">
        <v>54</v>
      </c>
      <c r="C137" s="104">
        <v>55</v>
      </c>
      <c r="D137" s="61" t="s">
        <v>220</v>
      </c>
      <c r="E137" s="101">
        <v>0</v>
      </c>
      <c r="F137" s="101">
        <v>0</v>
      </c>
      <c r="G137" s="61" t="s">
        <v>86</v>
      </c>
      <c r="H137" s="61" t="s">
        <v>142</v>
      </c>
    </row>
    <row r="138" spans="1:8" x14ac:dyDescent="0.25">
      <c r="A138" s="104">
        <v>125</v>
      </c>
      <c r="B138" s="104">
        <v>56</v>
      </c>
      <c r="C138" s="104">
        <v>57</v>
      </c>
      <c r="D138" s="61" t="s">
        <v>220</v>
      </c>
      <c r="E138" s="101">
        <v>0</v>
      </c>
      <c r="F138" s="101">
        <v>0</v>
      </c>
      <c r="G138" s="61" t="s">
        <v>86</v>
      </c>
      <c r="H138" s="61" t="s">
        <v>142</v>
      </c>
    </row>
    <row r="139" spans="1:8" x14ac:dyDescent="0.25">
      <c r="A139" s="104">
        <v>126</v>
      </c>
      <c r="B139" s="104">
        <v>57</v>
      </c>
      <c r="C139" s="104">
        <v>58</v>
      </c>
      <c r="D139" s="61" t="s">
        <v>220</v>
      </c>
      <c r="E139" s="101">
        <v>0</v>
      </c>
      <c r="F139" s="101">
        <v>0</v>
      </c>
      <c r="G139" s="61" t="s">
        <v>86</v>
      </c>
      <c r="H139" s="61" t="s">
        <v>142</v>
      </c>
    </row>
    <row r="140" spans="1:8" x14ac:dyDescent="0.25">
      <c r="A140" s="104">
        <v>127</v>
      </c>
      <c r="B140" s="104">
        <v>58</v>
      </c>
      <c r="C140" s="104">
        <v>59</v>
      </c>
      <c r="D140" s="61" t="s">
        <v>220</v>
      </c>
      <c r="E140" s="101">
        <v>0</v>
      </c>
      <c r="F140" s="101">
        <v>0</v>
      </c>
      <c r="G140" s="61" t="s">
        <v>86</v>
      </c>
      <c r="H140" s="61" t="s">
        <v>142</v>
      </c>
    </row>
    <row r="141" spans="1:8" x14ac:dyDescent="0.25">
      <c r="A141" s="104">
        <v>128</v>
      </c>
      <c r="B141" s="104">
        <v>59</v>
      </c>
      <c r="C141" s="104">
        <v>60</v>
      </c>
      <c r="D141" s="61" t="s">
        <v>220</v>
      </c>
      <c r="E141" s="101">
        <v>0</v>
      </c>
      <c r="F141" s="101">
        <v>0</v>
      </c>
      <c r="G141" s="61" t="s">
        <v>86</v>
      </c>
      <c r="H141" s="61" t="s">
        <v>142</v>
      </c>
    </row>
    <row r="142" spans="1:8" x14ac:dyDescent="0.25">
      <c r="A142" s="104">
        <v>129</v>
      </c>
      <c r="B142" s="104">
        <v>61</v>
      </c>
      <c r="C142" s="104">
        <v>62</v>
      </c>
      <c r="D142" s="61" t="s">
        <v>220</v>
      </c>
      <c r="E142" s="101">
        <v>0</v>
      </c>
      <c r="F142" s="101">
        <v>0</v>
      </c>
      <c r="G142" s="61" t="s">
        <v>86</v>
      </c>
      <c r="H142" s="61" t="s">
        <v>142</v>
      </c>
    </row>
    <row r="143" spans="1:8" x14ac:dyDescent="0.25">
      <c r="A143" s="104">
        <v>130</v>
      </c>
      <c r="B143" s="104">
        <v>62</v>
      </c>
      <c r="C143" s="104">
        <v>63</v>
      </c>
      <c r="D143" s="61" t="s">
        <v>220</v>
      </c>
      <c r="E143" s="101">
        <v>0</v>
      </c>
      <c r="F143" s="101">
        <v>0</v>
      </c>
      <c r="G143" s="61" t="s">
        <v>86</v>
      </c>
      <c r="H143" s="61" t="s">
        <v>142</v>
      </c>
    </row>
    <row r="144" spans="1:8" x14ac:dyDescent="0.25">
      <c r="A144" s="104">
        <v>131</v>
      </c>
      <c r="B144" s="104">
        <v>63</v>
      </c>
      <c r="C144" s="104">
        <v>64</v>
      </c>
      <c r="D144" s="61" t="s">
        <v>220</v>
      </c>
      <c r="E144" s="101">
        <v>0</v>
      </c>
      <c r="F144" s="101">
        <v>0</v>
      </c>
      <c r="G144" s="61" t="s">
        <v>86</v>
      </c>
      <c r="H144" s="61" t="s">
        <v>142</v>
      </c>
    </row>
    <row r="145" spans="1:8" x14ac:dyDescent="0.25">
      <c r="A145" s="104">
        <v>132</v>
      </c>
      <c r="B145" s="104">
        <v>64</v>
      </c>
      <c r="C145" s="104">
        <v>65</v>
      </c>
      <c r="D145" s="61" t="s">
        <v>220</v>
      </c>
      <c r="E145" s="101">
        <v>0</v>
      </c>
      <c r="F145" s="101">
        <v>0</v>
      </c>
      <c r="G145" s="61" t="s">
        <v>86</v>
      </c>
      <c r="H145" s="61" t="s">
        <v>142</v>
      </c>
    </row>
    <row r="146" spans="1:8" x14ac:dyDescent="0.25">
      <c r="A146" s="104">
        <v>133</v>
      </c>
      <c r="B146" s="104">
        <v>66</v>
      </c>
      <c r="C146" s="104">
        <v>67</v>
      </c>
      <c r="D146" s="61" t="s">
        <v>220</v>
      </c>
      <c r="E146" s="101">
        <v>0</v>
      </c>
      <c r="F146" s="101">
        <v>0</v>
      </c>
      <c r="G146" s="61" t="s">
        <v>86</v>
      </c>
      <c r="H146" s="61" t="s">
        <v>142</v>
      </c>
    </row>
    <row r="147" spans="1:8" x14ac:dyDescent="0.25">
      <c r="A147" s="104">
        <v>134</v>
      </c>
      <c r="B147" s="104">
        <v>67</v>
      </c>
      <c r="C147" s="104">
        <v>68</v>
      </c>
      <c r="D147" s="61" t="s">
        <v>220</v>
      </c>
      <c r="E147" s="101">
        <v>0</v>
      </c>
      <c r="F147" s="101">
        <v>0</v>
      </c>
      <c r="G147" s="61" t="s">
        <v>86</v>
      </c>
      <c r="H147" s="61" t="s">
        <v>142</v>
      </c>
    </row>
    <row r="148" spans="1:8" x14ac:dyDescent="0.25">
      <c r="A148" s="104">
        <v>135</v>
      </c>
      <c r="B148" s="104">
        <v>68</v>
      </c>
      <c r="C148" s="104">
        <v>69</v>
      </c>
      <c r="D148" s="61" t="s">
        <v>220</v>
      </c>
      <c r="E148" s="101">
        <v>0</v>
      </c>
      <c r="F148" s="101">
        <v>0</v>
      </c>
      <c r="G148" s="61" t="s">
        <v>86</v>
      </c>
      <c r="H148" s="61" t="s">
        <v>142</v>
      </c>
    </row>
    <row r="149" spans="1:8" x14ac:dyDescent="0.25">
      <c r="A149" s="104">
        <v>136</v>
      </c>
      <c r="B149" s="104">
        <v>69</v>
      </c>
      <c r="C149" s="104">
        <v>70</v>
      </c>
      <c r="D149" s="61" t="s">
        <v>220</v>
      </c>
      <c r="E149" s="101">
        <v>0</v>
      </c>
      <c r="F149" s="101">
        <v>0</v>
      </c>
      <c r="G149" s="61" t="s">
        <v>86</v>
      </c>
      <c r="H149" s="61" t="s">
        <v>142</v>
      </c>
    </row>
    <row r="150" spans="1:8" x14ac:dyDescent="0.25">
      <c r="A150" s="104">
        <v>137</v>
      </c>
      <c r="B150" s="104">
        <v>71</v>
      </c>
      <c r="C150" s="104">
        <v>72</v>
      </c>
      <c r="D150" s="61" t="s">
        <v>220</v>
      </c>
      <c r="E150" s="101">
        <v>0</v>
      </c>
      <c r="F150" s="101">
        <v>0</v>
      </c>
      <c r="G150" s="61" t="s">
        <v>86</v>
      </c>
      <c r="H150" s="61" t="s">
        <v>142</v>
      </c>
    </row>
    <row r="151" spans="1:8" x14ac:dyDescent="0.25">
      <c r="A151" s="104">
        <v>138</v>
      </c>
      <c r="B151" s="104">
        <v>72</v>
      </c>
      <c r="C151" s="104">
        <v>73</v>
      </c>
      <c r="D151" s="61" t="s">
        <v>220</v>
      </c>
      <c r="E151" s="101">
        <v>0</v>
      </c>
      <c r="F151" s="101">
        <v>0</v>
      </c>
      <c r="G151" s="61" t="s">
        <v>86</v>
      </c>
      <c r="H151" s="61" t="s">
        <v>142</v>
      </c>
    </row>
    <row r="152" spans="1:8" x14ac:dyDescent="0.25">
      <c r="A152" s="104">
        <v>139</v>
      </c>
      <c r="B152" s="104">
        <v>73</v>
      </c>
      <c r="C152" s="104">
        <v>74</v>
      </c>
      <c r="D152" s="61" t="s">
        <v>220</v>
      </c>
      <c r="E152" s="101">
        <v>0</v>
      </c>
      <c r="F152" s="101">
        <v>0</v>
      </c>
      <c r="G152" s="61" t="s">
        <v>86</v>
      </c>
      <c r="H152" s="61" t="s">
        <v>142</v>
      </c>
    </row>
    <row r="153" spans="1:8" x14ac:dyDescent="0.25">
      <c r="A153" s="104">
        <v>140</v>
      </c>
      <c r="B153" s="104">
        <v>74</v>
      </c>
      <c r="C153" s="104">
        <v>75</v>
      </c>
      <c r="D153" s="61" t="s">
        <v>220</v>
      </c>
      <c r="E153" s="101">
        <v>0</v>
      </c>
      <c r="F153" s="101">
        <v>0</v>
      </c>
      <c r="G153" s="61" t="s">
        <v>86</v>
      </c>
      <c r="H153" s="61" t="s">
        <v>142</v>
      </c>
    </row>
    <row r="154" spans="1:8" x14ac:dyDescent="0.25">
      <c r="A154" s="104">
        <v>141</v>
      </c>
      <c r="B154" s="104">
        <v>76</v>
      </c>
      <c r="C154" s="104">
        <v>77</v>
      </c>
      <c r="D154" s="61" t="s">
        <v>220</v>
      </c>
      <c r="E154" s="101">
        <v>0</v>
      </c>
      <c r="F154" s="101">
        <v>0</v>
      </c>
      <c r="G154" s="61" t="s">
        <v>86</v>
      </c>
      <c r="H154" s="61" t="s">
        <v>142</v>
      </c>
    </row>
    <row r="155" spans="1:8" x14ac:dyDescent="0.25">
      <c r="A155" s="104">
        <v>142</v>
      </c>
      <c r="B155" s="104">
        <v>77</v>
      </c>
      <c r="C155" s="104">
        <v>78</v>
      </c>
      <c r="D155" s="61" t="s">
        <v>220</v>
      </c>
      <c r="E155" s="101">
        <v>0</v>
      </c>
      <c r="F155" s="101">
        <v>0</v>
      </c>
      <c r="G155" s="61" t="s">
        <v>86</v>
      </c>
      <c r="H155" s="61" t="s">
        <v>142</v>
      </c>
    </row>
    <row r="156" spans="1:8" x14ac:dyDescent="0.25">
      <c r="A156" s="104">
        <v>143</v>
      </c>
      <c r="B156" s="104">
        <v>78</v>
      </c>
      <c r="C156" s="104">
        <v>79</v>
      </c>
      <c r="D156" s="61" t="s">
        <v>220</v>
      </c>
      <c r="E156" s="101">
        <v>0</v>
      </c>
      <c r="F156" s="101">
        <v>0</v>
      </c>
      <c r="G156" s="61" t="s">
        <v>86</v>
      </c>
      <c r="H156" s="61" t="s">
        <v>142</v>
      </c>
    </row>
    <row r="157" spans="1:8" x14ac:dyDescent="0.25">
      <c r="A157" s="104">
        <v>144</v>
      </c>
      <c r="B157" s="104">
        <v>79</v>
      </c>
      <c r="C157" s="104">
        <v>80</v>
      </c>
      <c r="D157" s="61" t="s">
        <v>220</v>
      </c>
      <c r="E157" s="101">
        <v>0</v>
      </c>
      <c r="F157" s="101">
        <v>0</v>
      </c>
      <c r="G157" s="61" t="s">
        <v>86</v>
      </c>
      <c r="H157" s="61" t="s">
        <v>142</v>
      </c>
    </row>
    <row r="158" spans="1:8" x14ac:dyDescent="0.25">
      <c r="A158" s="104">
        <v>145</v>
      </c>
      <c r="B158" s="104">
        <v>81</v>
      </c>
      <c r="C158" s="104">
        <v>82</v>
      </c>
      <c r="D158" s="61" t="s">
        <v>220</v>
      </c>
      <c r="E158" s="101">
        <v>0</v>
      </c>
      <c r="F158" s="101">
        <v>0</v>
      </c>
      <c r="G158" s="61" t="s">
        <v>86</v>
      </c>
      <c r="H158" s="61" t="s">
        <v>142</v>
      </c>
    </row>
    <row r="159" spans="1:8" x14ac:dyDescent="0.25">
      <c r="A159" s="104">
        <v>146</v>
      </c>
      <c r="B159" s="104">
        <v>82</v>
      </c>
      <c r="C159" s="104">
        <v>83</v>
      </c>
      <c r="D159" s="61" t="s">
        <v>220</v>
      </c>
      <c r="E159" s="101">
        <v>0</v>
      </c>
      <c r="F159" s="101">
        <v>0</v>
      </c>
      <c r="G159" s="61" t="s">
        <v>86</v>
      </c>
      <c r="H159" s="61" t="s">
        <v>142</v>
      </c>
    </row>
    <row r="160" spans="1:8" x14ac:dyDescent="0.25">
      <c r="A160" s="104">
        <v>147</v>
      </c>
      <c r="B160" s="104">
        <v>83</v>
      </c>
      <c r="C160" s="104">
        <v>84</v>
      </c>
      <c r="D160" s="61" t="s">
        <v>220</v>
      </c>
      <c r="E160" s="101">
        <v>0</v>
      </c>
      <c r="F160" s="101">
        <v>0</v>
      </c>
      <c r="G160" s="61" t="s">
        <v>86</v>
      </c>
      <c r="H160" s="61" t="s">
        <v>142</v>
      </c>
    </row>
    <row r="161" spans="1:8" x14ac:dyDescent="0.25">
      <c r="A161" s="104">
        <v>148</v>
      </c>
      <c r="B161" s="104">
        <v>84</v>
      </c>
      <c r="C161" s="104">
        <v>85</v>
      </c>
      <c r="D161" s="61" t="s">
        <v>220</v>
      </c>
      <c r="E161" s="101">
        <v>0</v>
      </c>
      <c r="F161" s="101">
        <v>0</v>
      </c>
      <c r="G161" s="61" t="s">
        <v>86</v>
      </c>
      <c r="H161" s="61" t="s">
        <v>142</v>
      </c>
    </row>
    <row r="162" spans="1:8" x14ac:dyDescent="0.25">
      <c r="A162" s="104">
        <v>149</v>
      </c>
      <c r="B162" s="104">
        <v>86</v>
      </c>
      <c r="C162" s="104">
        <v>87</v>
      </c>
      <c r="D162" s="61" t="s">
        <v>220</v>
      </c>
      <c r="E162" s="101">
        <v>0</v>
      </c>
      <c r="F162" s="101">
        <v>0</v>
      </c>
      <c r="G162" s="61" t="s">
        <v>86</v>
      </c>
      <c r="H162" s="61" t="s">
        <v>142</v>
      </c>
    </row>
    <row r="163" spans="1:8" x14ac:dyDescent="0.25">
      <c r="A163" s="104">
        <v>150</v>
      </c>
      <c r="B163" s="104">
        <v>87</v>
      </c>
      <c r="C163" s="104">
        <v>88</v>
      </c>
      <c r="D163" s="61" t="s">
        <v>220</v>
      </c>
      <c r="E163" s="101">
        <v>0</v>
      </c>
      <c r="F163" s="101">
        <v>0</v>
      </c>
      <c r="G163" s="61" t="s">
        <v>86</v>
      </c>
      <c r="H163" s="61" t="s">
        <v>142</v>
      </c>
    </row>
    <row r="164" spans="1:8" x14ac:dyDescent="0.25">
      <c r="A164" s="104">
        <v>151</v>
      </c>
      <c r="B164" s="104">
        <v>88</v>
      </c>
      <c r="C164" s="104">
        <v>89</v>
      </c>
      <c r="D164" s="61" t="s">
        <v>220</v>
      </c>
      <c r="E164" s="101">
        <v>0</v>
      </c>
      <c r="F164" s="101">
        <v>0</v>
      </c>
      <c r="G164" s="61" t="s">
        <v>86</v>
      </c>
      <c r="H164" s="61" t="s">
        <v>142</v>
      </c>
    </row>
    <row r="165" spans="1:8" x14ac:dyDescent="0.25">
      <c r="A165" s="104">
        <v>152</v>
      </c>
      <c r="B165" s="104">
        <v>89</v>
      </c>
      <c r="C165" s="104">
        <v>90</v>
      </c>
      <c r="D165" s="61" t="s">
        <v>220</v>
      </c>
      <c r="E165" s="101">
        <v>0</v>
      </c>
      <c r="F165" s="101">
        <v>0</v>
      </c>
      <c r="G165" s="61" t="s">
        <v>86</v>
      </c>
      <c r="H165" s="61" t="s">
        <v>142</v>
      </c>
    </row>
    <row r="166" spans="1:8" x14ac:dyDescent="0.25">
      <c r="A166" s="104">
        <v>153</v>
      </c>
      <c r="B166" s="104">
        <v>91</v>
      </c>
      <c r="C166" s="104">
        <v>92</v>
      </c>
      <c r="D166" s="61" t="s">
        <v>220</v>
      </c>
      <c r="E166" s="101">
        <v>0</v>
      </c>
      <c r="F166" s="101">
        <v>0</v>
      </c>
      <c r="G166" s="61" t="s">
        <v>86</v>
      </c>
      <c r="H166" s="61" t="s">
        <v>142</v>
      </c>
    </row>
    <row r="167" spans="1:8" x14ac:dyDescent="0.25">
      <c r="A167" s="104">
        <v>154</v>
      </c>
      <c r="B167" s="104">
        <v>92</v>
      </c>
      <c r="C167" s="104">
        <v>93</v>
      </c>
      <c r="D167" s="61" t="s">
        <v>220</v>
      </c>
      <c r="E167" s="101">
        <v>0</v>
      </c>
      <c r="F167" s="101">
        <v>0</v>
      </c>
      <c r="G167" s="61" t="s">
        <v>86</v>
      </c>
      <c r="H167" s="61" t="s">
        <v>142</v>
      </c>
    </row>
    <row r="168" spans="1:8" x14ac:dyDescent="0.25">
      <c r="A168" s="104">
        <v>155</v>
      </c>
      <c r="B168" s="104">
        <v>93</v>
      </c>
      <c r="C168" s="104">
        <v>94</v>
      </c>
      <c r="D168" s="61" t="s">
        <v>220</v>
      </c>
      <c r="E168" s="101">
        <v>0</v>
      </c>
      <c r="F168" s="101">
        <v>0</v>
      </c>
      <c r="G168" s="61" t="s">
        <v>86</v>
      </c>
      <c r="H168" s="61" t="s">
        <v>142</v>
      </c>
    </row>
    <row r="169" spans="1:8" x14ac:dyDescent="0.25">
      <c r="A169" s="104">
        <v>156</v>
      </c>
      <c r="B169" s="104">
        <v>94</v>
      </c>
      <c r="C169" s="104">
        <v>95</v>
      </c>
      <c r="D169" s="61" t="s">
        <v>220</v>
      </c>
      <c r="E169" s="101">
        <v>0</v>
      </c>
      <c r="F169" s="101">
        <v>0</v>
      </c>
      <c r="G169" s="61" t="s">
        <v>86</v>
      </c>
      <c r="H169" s="61" t="s">
        <v>142</v>
      </c>
    </row>
    <row r="170" spans="1:8" x14ac:dyDescent="0.25">
      <c r="A170" s="104">
        <v>157</v>
      </c>
      <c r="B170" s="104">
        <v>96</v>
      </c>
      <c r="C170" s="104">
        <v>97</v>
      </c>
      <c r="D170" s="61" t="s">
        <v>220</v>
      </c>
      <c r="E170" s="101">
        <v>0</v>
      </c>
      <c r="F170" s="101">
        <v>0</v>
      </c>
      <c r="G170" s="61" t="s">
        <v>86</v>
      </c>
      <c r="H170" s="61" t="s">
        <v>142</v>
      </c>
    </row>
    <row r="171" spans="1:8" x14ac:dyDescent="0.25">
      <c r="A171" s="104">
        <v>158</v>
      </c>
      <c r="B171" s="104">
        <v>97</v>
      </c>
      <c r="C171" s="104">
        <v>98</v>
      </c>
      <c r="D171" s="61" t="s">
        <v>220</v>
      </c>
      <c r="E171" s="101">
        <v>0</v>
      </c>
      <c r="F171" s="101">
        <v>0</v>
      </c>
      <c r="G171" s="61" t="s">
        <v>86</v>
      </c>
      <c r="H171" s="61" t="s">
        <v>142</v>
      </c>
    </row>
    <row r="172" spans="1:8" x14ac:dyDescent="0.25">
      <c r="A172" s="104">
        <v>159</v>
      </c>
      <c r="B172" s="104">
        <v>98</v>
      </c>
      <c r="C172" s="104">
        <v>99</v>
      </c>
      <c r="D172" s="61" t="s">
        <v>220</v>
      </c>
      <c r="E172" s="101">
        <v>0</v>
      </c>
      <c r="F172" s="101">
        <v>0</v>
      </c>
      <c r="G172" s="61" t="s">
        <v>86</v>
      </c>
      <c r="H172" s="61" t="s">
        <v>142</v>
      </c>
    </row>
    <row r="173" spans="1:8" x14ac:dyDescent="0.25">
      <c r="A173" s="104">
        <v>160</v>
      </c>
      <c r="B173" s="104">
        <v>99</v>
      </c>
      <c r="C173" s="104">
        <v>100</v>
      </c>
      <c r="D173" s="61" t="s">
        <v>220</v>
      </c>
      <c r="E173" s="101">
        <v>0</v>
      </c>
      <c r="F173" s="101">
        <v>0</v>
      </c>
      <c r="G173" s="61" t="s">
        <v>86</v>
      </c>
      <c r="H173" s="61" t="s">
        <v>142</v>
      </c>
    </row>
    <row r="174" spans="1:8" x14ac:dyDescent="0.25">
      <c r="A174" s="104">
        <v>161</v>
      </c>
      <c r="B174" s="104">
        <v>101</v>
      </c>
      <c r="C174" s="104">
        <v>102</v>
      </c>
      <c r="D174" s="61" t="s">
        <v>220</v>
      </c>
      <c r="E174" s="101">
        <v>0</v>
      </c>
      <c r="F174" s="101">
        <v>0</v>
      </c>
      <c r="G174" s="61" t="s">
        <v>86</v>
      </c>
      <c r="H174" s="61" t="s">
        <v>142</v>
      </c>
    </row>
    <row r="175" spans="1:8" x14ac:dyDescent="0.25">
      <c r="A175" s="104">
        <v>162</v>
      </c>
      <c r="B175" s="104">
        <v>102</v>
      </c>
      <c r="C175" s="104">
        <v>103</v>
      </c>
      <c r="D175" s="61" t="s">
        <v>220</v>
      </c>
      <c r="E175" s="101">
        <v>0</v>
      </c>
      <c r="F175" s="101">
        <v>0</v>
      </c>
      <c r="G175" s="61" t="s">
        <v>86</v>
      </c>
      <c r="H175" s="61" t="s">
        <v>142</v>
      </c>
    </row>
    <row r="176" spans="1:8" x14ac:dyDescent="0.25">
      <c r="A176" s="104">
        <v>163</v>
      </c>
      <c r="B176" s="104">
        <v>103</v>
      </c>
      <c r="C176" s="104">
        <v>104</v>
      </c>
      <c r="D176" s="61" t="s">
        <v>220</v>
      </c>
      <c r="E176" s="101">
        <v>0</v>
      </c>
      <c r="F176" s="101">
        <v>0</v>
      </c>
      <c r="G176" s="61" t="s">
        <v>86</v>
      </c>
      <c r="H176" s="61" t="s">
        <v>142</v>
      </c>
    </row>
    <row r="177" spans="1:8" x14ac:dyDescent="0.25">
      <c r="A177" s="104">
        <v>164</v>
      </c>
      <c r="B177" s="104">
        <v>104</v>
      </c>
      <c r="C177" s="104">
        <v>105</v>
      </c>
      <c r="D177" s="61" t="s">
        <v>220</v>
      </c>
      <c r="E177" s="101">
        <v>0</v>
      </c>
      <c r="F177" s="101">
        <v>0</v>
      </c>
      <c r="G177" s="61" t="s">
        <v>86</v>
      </c>
      <c r="H177" s="61" t="s">
        <v>142</v>
      </c>
    </row>
    <row r="178" spans="1:8" x14ac:dyDescent="0.25">
      <c r="A178" s="104">
        <v>165</v>
      </c>
      <c r="B178" s="104">
        <v>106</v>
      </c>
      <c r="C178" s="104">
        <v>107</v>
      </c>
      <c r="D178" s="61" t="s">
        <v>220</v>
      </c>
      <c r="E178" s="101">
        <v>0</v>
      </c>
      <c r="F178" s="101">
        <v>0</v>
      </c>
      <c r="G178" s="61" t="s">
        <v>86</v>
      </c>
      <c r="H178" s="61" t="s">
        <v>142</v>
      </c>
    </row>
    <row r="179" spans="1:8" x14ac:dyDescent="0.25">
      <c r="A179" s="104">
        <v>166</v>
      </c>
      <c r="B179" s="104">
        <v>107</v>
      </c>
      <c r="C179" s="104">
        <v>108</v>
      </c>
      <c r="D179" s="61" t="s">
        <v>220</v>
      </c>
      <c r="E179" s="101">
        <v>0</v>
      </c>
      <c r="F179" s="101">
        <v>0</v>
      </c>
      <c r="G179" s="61" t="s">
        <v>86</v>
      </c>
      <c r="H179" s="61" t="s">
        <v>142</v>
      </c>
    </row>
    <row r="180" spans="1:8" x14ac:dyDescent="0.25">
      <c r="A180" s="104">
        <v>167</v>
      </c>
      <c r="B180" s="104">
        <v>108</v>
      </c>
      <c r="C180" s="104">
        <v>109</v>
      </c>
      <c r="D180" s="61" t="s">
        <v>220</v>
      </c>
      <c r="E180" s="101">
        <v>0</v>
      </c>
      <c r="F180" s="101">
        <v>0</v>
      </c>
      <c r="G180" s="61" t="s">
        <v>86</v>
      </c>
      <c r="H180" s="61" t="s">
        <v>142</v>
      </c>
    </row>
    <row r="181" spans="1:8" x14ac:dyDescent="0.25">
      <c r="A181" s="104">
        <v>168</v>
      </c>
      <c r="B181" s="104">
        <v>109</v>
      </c>
      <c r="C181" s="104">
        <v>110</v>
      </c>
      <c r="D181" s="61" t="s">
        <v>220</v>
      </c>
      <c r="E181" s="101">
        <v>0</v>
      </c>
      <c r="F181" s="101">
        <v>0</v>
      </c>
      <c r="G181" s="61" t="s">
        <v>86</v>
      </c>
      <c r="H181" s="61" t="s">
        <v>142</v>
      </c>
    </row>
    <row r="182" spans="1:8" x14ac:dyDescent="0.25">
      <c r="A182" s="104">
        <v>169</v>
      </c>
      <c r="B182" s="104">
        <v>111</v>
      </c>
      <c r="C182" s="104">
        <v>112</v>
      </c>
      <c r="D182" s="61" t="s">
        <v>220</v>
      </c>
      <c r="E182" s="101">
        <v>0</v>
      </c>
      <c r="F182" s="101">
        <v>0</v>
      </c>
      <c r="G182" s="61" t="s">
        <v>86</v>
      </c>
      <c r="H182" s="61" t="s">
        <v>142</v>
      </c>
    </row>
    <row r="183" spans="1:8" x14ac:dyDescent="0.25">
      <c r="A183" s="104">
        <v>170</v>
      </c>
      <c r="B183" s="104">
        <v>112</v>
      </c>
      <c r="C183" s="104">
        <v>113</v>
      </c>
      <c r="D183" s="61" t="s">
        <v>220</v>
      </c>
      <c r="E183" s="101">
        <v>0</v>
      </c>
      <c r="F183" s="101">
        <v>0</v>
      </c>
      <c r="G183" s="61" t="s">
        <v>86</v>
      </c>
      <c r="H183" s="61" t="s">
        <v>142</v>
      </c>
    </row>
    <row r="184" spans="1:8" x14ac:dyDescent="0.25">
      <c r="A184" s="104">
        <v>171</v>
      </c>
      <c r="B184" s="104">
        <v>113</v>
      </c>
      <c r="C184" s="104">
        <v>114</v>
      </c>
      <c r="D184" s="61" t="s">
        <v>220</v>
      </c>
      <c r="E184" s="101">
        <v>0</v>
      </c>
      <c r="F184" s="101">
        <v>0</v>
      </c>
      <c r="G184" s="61" t="s">
        <v>86</v>
      </c>
      <c r="H184" s="61" t="s">
        <v>142</v>
      </c>
    </row>
    <row r="185" spans="1:8" x14ac:dyDescent="0.25">
      <c r="A185" s="104">
        <v>172</v>
      </c>
      <c r="B185" s="104">
        <v>114</v>
      </c>
      <c r="C185" s="104">
        <v>115</v>
      </c>
      <c r="D185" s="61" t="s">
        <v>220</v>
      </c>
      <c r="E185" s="101">
        <v>0</v>
      </c>
      <c r="F185" s="101">
        <v>0</v>
      </c>
      <c r="G185" s="61" t="s">
        <v>86</v>
      </c>
      <c r="H185" s="61" t="s">
        <v>142</v>
      </c>
    </row>
    <row r="186" spans="1:8" x14ac:dyDescent="0.25">
      <c r="A186" s="104">
        <v>173</v>
      </c>
      <c r="B186" s="104">
        <v>116</v>
      </c>
      <c r="C186" s="104">
        <v>117</v>
      </c>
      <c r="D186" s="61" t="s">
        <v>220</v>
      </c>
      <c r="E186" s="101">
        <v>0</v>
      </c>
      <c r="F186" s="101">
        <v>0</v>
      </c>
      <c r="G186" s="61" t="s">
        <v>86</v>
      </c>
      <c r="H186" s="61" t="s">
        <v>142</v>
      </c>
    </row>
    <row r="187" spans="1:8" x14ac:dyDescent="0.25">
      <c r="A187" s="104">
        <v>174</v>
      </c>
      <c r="B187" s="104">
        <v>117</v>
      </c>
      <c r="C187" s="104">
        <v>118</v>
      </c>
      <c r="D187" s="61" t="s">
        <v>220</v>
      </c>
      <c r="E187" s="101">
        <v>0</v>
      </c>
      <c r="F187" s="101">
        <v>0</v>
      </c>
      <c r="G187" s="61" t="s">
        <v>86</v>
      </c>
      <c r="H187" s="61" t="s">
        <v>142</v>
      </c>
    </row>
    <row r="188" spans="1:8" x14ac:dyDescent="0.25">
      <c r="A188" s="104">
        <v>175</v>
      </c>
      <c r="B188" s="104">
        <v>118</v>
      </c>
      <c r="C188" s="104">
        <v>119</v>
      </c>
      <c r="D188" s="61" t="s">
        <v>220</v>
      </c>
      <c r="E188" s="101">
        <v>0</v>
      </c>
      <c r="F188" s="101">
        <v>0</v>
      </c>
      <c r="G188" s="61" t="s">
        <v>86</v>
      </c>
      <c r="H188" s="61" t="s">
        <v>142</v>
      </c>
    </row>
    <row r="189" spans="1:8" x14ac:dyDescent="0.25">
      <c r="A189" s="104">
        <v>176</v>
      </c>
      <c r="B189" s="104">
        <v>119</v>
      </c>
      <c r="C189" s="104">
        <v>120</v>
      </c>
      <c r="D189" s="61" t="s">
        <v>220</v>
      </c>
      <c r="E189" s="101">
        <v>0</v>
      </c>
      <c r="F189" s="101">
        <v>0</v>
      </c>
      <c r="G189" s="61" t="s">
        <v>86</v>
      </c>
      <c r="H189" s="61" t="s">
        <v>142</v>
      </c>
    </row>
    <row r="190" spans="1:8" x14ac:dyDescent="0.25">
      <c r="A190" s="104">
        <v>177</v>
      </c>
      <c r="B190" s="104">
        <v>121</v>
      </c>
      <c r="C190" s="104">
        <v>122</v>
      </c>
      <c r="D190" s="61" t="s">
        <v>220</v>
      </c>
      <c r="E190" s="101">
        <v>0</v>
      </c>
      <c r="F190" s="101">
        <v>0</v>
      </c>
      <c r="G190" s="61" t="s">
        <v>86</v>
      </c>
      <c r="H190" s="61" t="s">
        <v>142</v>
      </c>
    </row>
    <row r="191" spans="1:8" x14ac:dyDescent="0.25">
      <c r="A191" s="104">
        <v>178</v>
      </c>
      <c r="B191" s="104">
        <v>122</v>
      </c>
      <c r="C191" s="104">
        <v>123</v>
      </c>
      <c r="D191" s="61" t="s">
        <v>220</v>
      </c>
      <c r="E191" s="101">
        <v>0</v>
      </c>
      <c r="F191" s="101">
        <v>0</v>
      </c>
      <c r="G191" s="61" t="s">
        <v>86</v>
      </c>
      <c r="H191" s="61" t="s">
        <v>142</v>
      </c>
    </row>
    <row r="192" spans="1:8" x14ac:dyDescent="0.25">
      <c r="A192" s="104">
        <v>179</v>
      </c>
      <c r="B192" s="104">
        <v>123</v>
      </c>
      <c r="C192" s="104">
        <v>124</v>
      </c>
      <c r="D192" s="61" t="s">
        <v>220</v>
      </c>
      <c r="E192" s="101">
        <v>0</v>
      </c>
      <c r="F192" s="101">
        <v>0</v>
      </c>
      <c r="G192" s="61" t="s">
        <v>86</v>
      </c>
      <c r="H192" s="61" t="s">
        <v>142</v>
      </c>
    </row>
    <row r="193" spans="1:8" x14ac:dyDescent="0.25">
      <c r="A193" s="104">
        <v>180</v>
      </c>
      <c r="B193" s="104">
        <v>124</v>
      </c>
      <c r="C193" s="104">
        <v>125</v>
      </c>
      <c r="D193" s="61" t="s">
        <v>220</v>
      </c>
      <c r="E193" s="101">
        <v>0</v>
      </c>
      <c r="F193" s="101">
        <v>0</v>
      </c>
      <c r="G193" s="61" t="s">
        <v>86</v>
      </c>
      <c r="H193" s="61" t="s">
        <v>142</v>
      </c>
    </row>
    <row r="194" spans="1:8" x14ac:dyDescent="0.25">
      <c r="A194" s="104">
        <v>181</v>
      </c>
      <c r="B194" s="104">
        <v>26</v>
      </c>
      <c r="C194" s="104">
        <v>31</v>
      </c>
      <c r="D194" s="61" t="s">
        <v>220</v>
      </c>
      <c r="E194" s="101">
        <v>0</v>
      </c>
      <c r="F194" s="101">
        <v>0</v>
      </c>
      <c r="G194" s="61" t="s">
        <v>86</v>
      </c>
      <c r="H194" s="61" t="s">
        <v>142</v>
      </c>
    </row>
    <row r="195" spans="1:8" x14ac:dyDescent="0.25">
      <c r="A195" s="104">
        <v>182</v>
      </c>
      <c r="B195" s="104">
        <v>27</v>
      </c>
      <c r="C195" s="104">
        <v>32</v>
      </c>
      <c r="D195" s="61" t="s">
        <v>220</v>
      </c>
      <c r="E195" s="101">
        <v>0</v>
      </c>
      <c r="F195" s="101">
        <v>0</v>
      </c>
      <c r="G195" s="61" t="s">
        <v>86</v>
      </c>
      <c r="H195" s="61" t="s">
        <v>142</v>
      </c>
    </row>
    <row r="196" spans="1:8" x14ac:dyDescent="0.25">
      <c r="A196" s="104">
        <v>183</v>
      </c>
      <c r="B196" s="104">
        <v>28</v>
      </c>
      <c r="C196" s="104">
        <v>33</v>
      </c>
      <c r="D196" s="61" t="s">
        <v>220</v>
      </c>
      <c r="E196" s="101">
        <v>0</v>
      </c>
      <c r="F196" s="101">
        <v>0</v>
      </c>
      <c r="G196" s="61" t="s">
        <v>86</v>
      </c>
      <c r="H196" s="61" t="s">
        <v>142</v>
      </c>
    </row>
    <row r="197" spans="1:8" x14ac:dyDescent="0.25">
      <c r="A197" s="104">
        <v>184</v>
      </c>
      <c r="B197" s="104">
        <v>29</v>
      </c>
      <c r="C197" s="104">
        <v>34</v>
      </c>
      <c r="D197" s="61" t="s">
        <v>220</v>
      </c>
      <c r="E197" s="101">
        <v>0</v>
      </c>
      <c r="F197" s="101">
        <v>0</v>
      </c>
      <c r="G197" s="61" t="s">
        <v>86</v>
      </c>
      <c r="H197" s="61" t="s">
        <v>142</v>
      </c>
    </row>
    <row r="198" spans="1:8" x14ac:dyDescent="0.25">
      <c r="A198" s="104">
        <v>185</v>
      </c>
      <c r="B198" s="104">
        <v>30</v>
      </c>
      <c r="C198" s="104">
        <v>35</v>
      </c>
      <c r="D198" s="61" t="s">
        <v>220</v>
      </c>
      <c r="E198" s="101">
        <v>0</v>
      </c>
      <c r="F198" s="101">
        <v>0</v>
      </c>
      <c r="G198" s="61" t="s">
        <v>86</v>
      </c>
      <c r="H198" s="61" t="s">
        <v>142</v>
      </c>
    </row>
    <row r="199" spans="1:8" x14ac:dyDescent="0.25">
      <c r="A199" s="104">
        <v>186</v>
      </c>
      <c r="B199" s="104">
        <v>31</v>
      </c>
      <c r="C199" s="104">
        <v>36</v>
      </c>
      <c r="D199" s="61" t="s">
        <v>220</v>
      </c>
      <c r="E199" s="101">
        <v>0</v>
      </c>
      <c r="F199" s="101">
        <v>0</v>
      </c>
      <c r="G199" s="61" t="s">
        <v>86</v>
      </c>
      <c r="H199" s="61" t="s">
        <v>142</v>
      </c>
    </row>
    <row r="200" spans="1:8" x14ac:dyDescent="0.25">
      <c r="A200" s="104">
        <v>187</v>
      </c>
      <c r="B200" s="104">
        <v>32</v>
      </c>
      <c r="C200" s="104">
        <v>37</v>
      </c>
      <c r="D200" s="61" t="s">
        <v>220</v>
      </c>
      <c r="E200" s="101">
        <v>0</v>
      </c>
      <c r="F200" s="101">
        <v>0</v>
      </c>
      <c r="G200" s="61" t="s">
        <v>86</v>
      </c>
      <c r="H200" s="61" t="s">
        <v>142</v>
      </c>
    </row>
    <row r="201" spans="1:8" x14ac:dyDescent="0.25">
      <c r="A201" s="104">
        <v>188</v>
      </c>
      <c r="B201" s="104">
        <v>33</v>
      </c>
      <c r="C201" s="104">
        <v>38</v>
      </c>
      <c r="D201" s="61" t="s">
        <v>220</v>
      </c>
      <c r="E201" s="101">
        <v>0</v>
      </c>
      <c r="F201" s="101">
        <v>0</v>
      </c>
      <c r="G201" s="61" t="s">
        <v>86</v>
      </c>
      <c r="H201" s="61" t="s">
        <v>142</v>
      </c>
    </row>
    <row r="202" spans="1:8" x14ac:dyDescent="0.25">
      <c r="A202" s="104">
        <v>189</v>
      </c>
      <c r="B202" s="104">
        <v>34</v>
      </c>
      <c r="C202" s="104">
        <v>39</v>
      </c>
      <c r="D202" s="61" t="s">
        <v>220</v>
      </c>
      <c r="E202" s="101">
        <v>0</v>
      </c>
      <c r="F202" s="101">
        <v>0</v>
      </c>
      <c r="G202" s="61" t="s">
        <v>86</v>
      </c>
      <c r="H202" s="61" t="s">
        <v>142</v>
      </c>
    </row>
    <row r="203" spans="1:8" x14ac:dyDescent="0.25">
      <c r="A203" s="104">
        <v>190</v>
      </c>
      <c r="B203" s="104">
        <v>35</v>
      </c>
      <c r="C203" s="104">
        <v>40</v>
      </c>
      <c r="D203" s="61" t="s">
        <v>220</v>
      </c>
      <c r="E203" s="101">
        <v>0</v>
      </c>
      <c r="F203" s="101">
        <v>0</v>
      </c>
      <c r="G203" s="61" t="s">
        <v>86</v>
      </c>
      <c r="H203" s="61" t="s">
        <v>142</v>
      </c>
    </row>
    <row r="204" spans="1:8" x14ac:dyDescent="0.25">
      <c r="A204" s="104">
        <v>191</v>
      </c>
      <c r="B204" s="104">
        <v>36</v>
      </c>
      <c r="C204" s="104">
        <v>41</v>
      </c>
      <c r="D204" s="61" t="s">
        <v>220</v>
      </c>
      <c r="E204" s="101">
        <v>0</v>
      </c>
      <c r="F204" s="101">
        <v>0</v>
      </c>
      <c r="G204" s="61" t="s">
        <v>86</v>
      </c>
      <c r="H204" s="61" t="s">
        <v>142</v>
      </c>
    </row>
    <row r="205" spans="1:8" x14ac:dyDescent="0.25">
      <c r="A205" s="104">
        <v>192</v>
      </c>
      <c r="B205" s="104">
        <v>37</v>
      </c>
      <c r="C205" s="104">
        <v>42</v>
      </c>
      <c r="D205" s="61" t="s">
        <v>220</v>
      </c>
      <c r="E205" s="101">
        <v>0</v>
      </c>
      <c r="F205" s="101">
        <v>0</v>
      </c>
      <c r="G205" s="61" t="s">
        <v>86</v>
      </c>
      <c r="H205" s="61" t="s">
        <v>142</v>
      </c>
    </row>
    <row r="206" spans="1:8" x14ac:dyDescent="0.25">
      <c r="A206" s="104">
        <v>193</v>
      </c>
      <c r="B206" s="104">
        <v>38</v>
      </c>
      <c r="C206" s="104">
        <v>43</v>
      </c>
      <c r="D206" s="61" t="s">
        <v>220</v>
      </c>
      <c r="E206" s="101">
        <v>0</v>
      </c>
      <c r="F206" s="101">
        <v>0</v>
      </c>
      <c r="G206" s="61" t="s">
        <v>86</v>
      </c>
      <c r="H206" s="61" t="s">
        <v>142</v>
      </c>
    </row>
    <row r="207" spans="1:8" x14ac:dyDescent="0.25">
      <c r="A207" s="104">
        <v>194</v>
      </c>
      <c r="B207" s="104">
        <v>39</v>
      </c>
      <c r="C207" s="104">
        <v>44</v>
      </c>
      <c r="D207" s="61" t="s">
        <v>220</v>
      </c>
      <c r="E207" s="101">
        <v>0</v>
      </c>
      <c r="F207" s="101">
        <v>0</v>
      </c>
      <c r="G207" s="61" t="s">
        <v>86</v>
      </c>
      <c r="H207" s="61" t="s">
        <v>142</v>
      </c>
    </row>
    <row r="208" spans="1:8" x14ac:dyDescent="0.25">
      <c r="A208" s="104">
        <v>195</v>
      </c>
      <c r="B208" s="104">
        <v>40</v>
      </c>
      <c r="C208" s="104">
        <v>45</v>
      </c>
      <c r="D208" s="61" t="s">
        <v>220</v>
      </c>
      <c r="E208" s="101">
        <v>0</v>
      </c>
      <c r="F208" s="101">
        <v>0</v>
      </c>
      <c r="G208" s="61" t="s">
        <v>86</v>
      </c>
      <c r="H208" s="61" t="s">
        <v>142</v>
      </c>
    </row>
    <row r="209" spans="1:8" x14ac:dyDescent="0.25">
      <c r="A209" s="104">
        <v>196</v>
      </c>
      <c r="B209" s="104">
        <v>41</v>
      </c>
      <c r="C209" s="104">
        <v>46</v>
      </c>
      <c r="D209" s="61" t="s">
        <v>220</v>
      </c>
      <c r="E209" s="101">
        <v>0</v>
      </c>
      <c r="F209" s="101">
        <v>0</v>
      </c>
      <c r="G209" s="61" t="s">
        <v>86</v>
      </c>
      <c r="H209" s="61" t="s">
        <v>142</v>
      </c>
    </row>
    <row r="210" spans="1:8" x14ac:dyDescent="0.25">
      <c r="A210" s="104">
        <v>197</v>
      </c>
      <c r="B210" s="104">
        <v>42</v>
      </c>
      <c r="C210" s="104">
        <v>47</v>
      </c>
      <c r="D210" s="61" t="s">
        <v>220</v>
      </c>
      <c r="E210" s="101">
        <v>0</v>
      </c>
      <c r="F210" s="101">
        <v>0</v>
      </c>
      <c r="G210" s="61" t="s">
        <v>86</v>
      </c>
      <c r="H210" s="61" t="s">
        <v>142</v>
      </c>
    </row>
    <row r="211" spans="1:8" x14ac:dyDescent="0.25">
      <c r="A211" s="104">
        <v>198</v>
      </c>
      <c r="B211" s="104">
        <v>43</v>
      </c>
      <c r="C211" s="104">
        <v>48</v>
      </c>
      <c r="D211" s="61" t="s">
        <v>220</v>
      </c>
      <c r="E211" s="101">
        <v>0</v>
      </c>
      <c r="F211" s="101">
        <v>0</v>
      </c>
      <c r="G211" s="61" t="s">
        <v>86</v>
      </c>
      <c r="H211" s="61" t="s">
        <v>142</v>
      </c>
    </row>
    <row r="212" spans="1:8" x14ac:dyDescent="0.25">
      <c r="A212" s="104">
        <v>199</v>
      </c>
      <c r="B212" s="104">
        <v>44</v>
      </c>
      <c r="C212" s="104">
        <v>49</v>
      </c>
      <c r="D212" s="61" t="s">
        <v>220</v>
      </c>
      <c r="E212" s="101">
        <v>0</v>
      </c>
      <c r="F212" s="101">
        <v>0</v>
      </c>
      <c r="G212" s="61" t="s">
        <v>86</v>
      </c>
      <c r="H212" s="61" t="s">
        <v>142</v>
      </c>
    </row>
    <row r="213" spans="1:8" x14ac:dyDescent="0.25">
      <c r="A213" s="104">
        <v>200</v>
      </c>
      <c r="B213" s="104">
        <v>45</v>
      </c>
      <c r="C213" s="104">
        <v>50</v>
      </c>
      <c r="D213" s="61" t="s">
        <v>220</v>
      </c>
      <c r="E213" s="101">
        <v>0</v>
      </c>
      <c r="F213" s="101">
        <v>0</v>
      </c>
      <c r="G213" s="61" t="s">
        <v>86</v>
      </c>
      <c r="H213" s="61" t="s">
        <v>142</v>
      </c>
    </row>
    <row r="214" spans="1:8" x14ac:dyDescent="0.25">
      <c r="A214" s="104">
        <v>201</v>
      </c>
      <c r="B214" s="104">
        <v>51</v>
      </c>
      <c r="C214" s="104">
        <v>56</v>
      </c>
      <c r="D214" s="61" t="s">
        <v>220</v>
      </c>
      <c r="E214" s="101">
        <v>0</v>
      </c>
      <c r="F214" s="101">
        <v>0</v>
      </c>
      <c r="G214" s="61" t="s">
        <v>86</v>
      </c>
      <c r="H214" s="61" t="s">
        <v>142</v>
      </c>
    </row>
    <row r="215" spans="1:8" x14ac:dyDescent="0.25">
      <c r="A215" s="104">
        <v>202</v>
      </c>
      <c r="B215" s="104">
        <v>52</v>
      </c>
      <c r="C215" s="104">
        <v>57</v>
      </c>
      <c r="D215" s="61" t="s">
        <v>220</v>
      </c>
      <c r="E215" s="101">
        <v>0</v>
      </c>
      <c r="F215" s="101">
        <v>0</v>
      </c>
      <c r="G215" s="61" t="s">
        <v>86</v>
      </c>
      <c r="H215" s="61" t="s">
        <v>142</v>
      </c>
    </row>
    <row r="216" spans="1:8" x14ac:dyDescent="0.25">
      <c r="A216" s="104">
        <v>203</v>
      </c>
      <c r="B216" s="104">
        <v>53</v>
      </c>
      <c r="C216" s="104">
        <v>58</v>
      </c>
      <c r="D216" s="61" t="s">
        <v>220</v>
      </c>
      <c r="E216" s="101">
        <v>0</v>
      </c>
      <c r="F216" s="101">
        <v>0</v>
      </c>
      <c r="G216" s="61" t="s">
        <v>86</v>
      </c>
      <c r="H216" s="61" t="s">
        <v>142</v>
      </c>
    </row>
    <row r="217" spans="1:8" x14ac:dyDescent="0.25">
      <c r="A217" s="104">
        <v>204</v>
      </c>
      <c r="B217" s="104">
        <v>54</v>
      </c>
      <c r="C217" s="104">
        <v>59</v>
      </c>
      <c r="D217" s="61" t="s">
        <v>220</v>
      </c>
      <c r="E217" s="101">
        <v>0</v>
      </c>
      <c r="F217" s="101">
        <v>0</v>
      </c>
      <c r="G217" s="61" t="s">
        <v>86</v>
      </c>
      <c r="H217" s="61" t="s">
        <v>142</v>
      </c>
    </row>
    <row r="218" spans="1:8" x14ac:dyDescent="0.25">
      <c r="A218" s="104">
        <v>205</v>
      </c>
      <c r="B218" s="104">
        <v>55</v>
      </c>
      <c r="C218" s="104">
        <v>60</v>
      </c>
      <c r="D218" s="61" t="s">
        <v>220</v>
      </c>
      <c r="E218" s="101">
        <v>0</v>
      </c>
      <c r="F218" s="101">
        <v>0</v>
      </c>
      <c r="G218" s="61" t="s">
        <v>86</v>
      </c>
      <c r="H218" s="61" t="s">
        <v>142</v>
      </c>
    </row>
    <row r="219" spans="1:8" x14ac:dyDescent="0.25">
      <c r="A219" s="104">
        <v>206</v>
      </c>
      <c r="B219" s="104">
        <v>56</v>
      </c>
      <c r="C219" s="104">
        <v>61</v>
      </c>
      <c r="D219" s="61" t="s">
        <v>220</v>
      </c>
      <c r="E219" s="101">
        <v>0</v>
      </c>
      <c r="F219" s="101">
        <v>0</v>
      </c>
      <c r="G219" s="61" t="s">
        <v>86</v>
      </c>
      <c r="H219" s="61" t="s">
        <v>142</v>
      </c>
    </row>
    <row r="220" spans="1:8" x14ac:dyDescent="0.25">
      <c r="A220" s="104">
        <v>207</v>
      </c>
      <c r="B220" s="104">
        <v>57</v>
      </c>
      <c r="C220" s="104">
        <v>62</v>
      </c>
      <c r="D220" s="61" t="s">
        <v>220</v>
      </c>
      <c r="E220" s="101">
        <v>0</v>
      </c>
      <c r="F220" s="101">
        <v>0</v>
      </c>
      <c r="G220" s="61" t="s">
        <v>86</v>
      </c>
      <c r="H220" s="61" t="s">
        <v>142</v>
      </c>
    </row>
    <row r="221" spans="1:8" x14ac:dyDescent="0.25">
      <c r="A221" s="104">
        <v>208</v>
      </c>
      <c r="B221" s="104">
        <v>58</v>
      </c>
      <c r="C221" s="104">
        <v>63</v>
      </c>
      <c r="D221" s="61" t="s">
        <v>220</v>
      </c>
      <c r="E221" s="101">
        <v>0</v>
      </c>
      <c r="F221" s="101">
        <v>0</v>
      </c>
      <c r="G221" s="61" t="s">
        <v>86</v>
      </c>
      <c r="H221" s="61" t="s">
        <v>142</v>
      </c>
    </row>
    <row r="222" spans="1:8" x14ac:dyDescent="0.25">
      <c r="A222" s="104">
        <v>209</v>
      </c>
      <c r="B222" s="104">
        <v>59</v>
      </c>
      <c r="C222" s="104">
        <v>64</v>
      </c>
      <c r="D222" s="61" t="s">
        <v>220</v>
      </c>
      <c r="E222" s="101">
        <v>0</v>
      </c>
      <c r="F222" s="101">
        <v>0</v>
      </c>
      <c r="G222" s="61" t="s">
        <v>86</v>
      </c>
      <c r="H222" s="61" t="s">
        <v>142</v>
      </c>
    </row>
    <row r="223" spans="1:8" x14ac:dyDescent="0.25">
      <c r="A223" s="104">
        <v>210</v>
      </c>
      <c r="B223" s="104">
        <v>60</v>
      </c>
      <c r="C223" s="104">
        <v>65</v>
      </c>
      <c r="D223" s="61" t="s">
        <v>220</v>
      </c>
      <c r="E223" s="101">
        <v>0</v>
      </c>
      <c r="F223" s="101">
        <v>0</v>
      </c>
      <c r="G223" s="61" t="s">
        <v>86</v>
      </c>
      <c r="H223" s="61" t="s">
        <v>142</v>
      </c>
    </row>
    <row r="224" spans="1:8" x14ac:dyDescent="0.25">
      <c r="A224" s="104">
        <v>211</v>
      </c>
      <c r="B224" s="104">
        <v>61</v>
      </c>
      <c r="C224" s="104">
        <v>66</v>
      </c>
      <c r="D224" s="61" t="s">
        <v>220</v>
      </c>
      <c r="E224" s="101">
        <v>0</v>
      </c>
      <c r="F224" s="101">
        <v>0</v>
      </c>
      <c r="G224" s="61" t="s">
        <v>86</v>
      </c>
      <c r="H224" s="61" t="s">
        <v>142</v>
      </c>
    </row>
    <row r="225" spans="1:8" x14ac:dyDescent="0.25">
      <c r="A225" s="104">
        <v>212</v>
      </c>
      <c r="B225" s="104">
        <v>62</v>
      </c>
      <c r="C225" s="104">
        <v>67</v>
      </c>
      <c r="D225" s="61" t="s">
        <v>220</v>
      </c>
      <c r="E225" s="101">
        <v>0</v>
      </c>
      <c r="F225" s="101">
        <v>0</v>
      </c>
      <c r="G225" s="61" t="s">
        <v>86</v>
      </c>
      <c r="H225" s="61" t="s">
        <v>142</v>
      </c>
    </row>
    <row r="226" spans="1:8" x14ac:dyDescent="0.25">
      <c r="A226" s="104">
        <v>213</v>
      </c>
      <c r="B226" s="104">
        <v>63</v>
      </c>
      <c r="C226" s="104">
        <v>68</v>
      </c>
      <c r="D226" s="61" t="s">
        <v>220</v>
      </c>
      <c r="E226" s="101">
        <v>0</v>
      </c>
      <c r="F226" s="101">
        <v>0</v>
      </c>
      <c r="G226" s="61" t="s">
        <v>86</v>
      </c>
      <c r="H226" s="61" t="s">
        <v>142</v>
      </c>
    </row>
    <row r="227" spans="1:8" x14ac:dyDescent="0.25">
      <c r="A227" s="104">
        <v>214</v>
      </c>
      <c r="B227" s="104">
        <v>64</v>
      </c>
      <c r="C227" s="104">
        <v>69</v>
      </c>
      <c r="D227" s="61" t="s">
        <v>220</v>
      </c>
      <c r="E227" s="101">
        <v>0</v>
      </c>
      <c r="F227" s="101">
        <v>0</v>
      </c>
      <c r="G227" s="61" t="s">
        <v>86</v>
      </c>
      <c r="H227" s="61" t="s">
        <v>142</v>
      </c>
    </row>
    <row r="228" spans="1:8" x14ac:dyDescent="0.25">
      <c r="A228" s="104">
        <v>215</v>
      </c>
      <c r="B228" s="104">
        <v>65</v>
      </c>
      <c r="C228" s="104">
        <v>70</v>
      </c>
      <c r="D228" s="61" t="s">
        <v>220</v>
      </c>
      <c r="E228" s="101">
        <v>0</v>
      </c>
      <c r="F228" s="101">
        <v>0</v>
      </c>
      <c r="G228" s="61" t="s">
        <v>86</v>
      </c>
      <c r="H228" s="61" t="s">
        <v>142</v>
      </c>
    </row>
    <row r="229" spans="1:8" x14ac:dyDescent="0.25">
      <c r="A229" s="104">
        <v>216</v>
      </c>
      <c r="B229" s="104">
        <v>66</v>
      </c>
      <c r="C229" s="104">
        <v>71</v>
      </c>
      <c r="D229" s="61" t="s">
        <v>220</v>
      </c>
      <c r="E229" s="101">
        <v>0</v>
      </c>
      <c r="F229" s="101">
        <v>0</v>
      </c>
      <c r="G229" s="61" t="s">
        <v>86</v>
      </c>
      <c r="H229" s="61" t="s">
        <v>142</v>
      </c>
    </row>
    <row r="230" spans="1:8" x14ac:dyDescent="0.25">
      <c r="A230" s="104">
        <v>217</v>
      </c>
      <c r="B230" s="104">
        <v>67</v>
      </c>
      <c r="C230" s="104">
        <v>72</v>
      </c>
      <c r="D230" s="61" t="s">
        <v>220</v>
      </c>
      <c r="E230" s="101">
        <v>0</v>
      </c>
      <c r="F230" s="101">
        <v>0</v>
      </c>
      <c r="G230" s="61" t="s">
        <v>86</v>
      </c>
      <c r="H230" s="61" t="s">
        <v>142</v>
      </c>
    </row>
    <row r="231" spans="1:8" x14ac:dyDescent="0.25">
      <c r="A231" s="104">
        <v>218</v>
      </c>
      <c r="B231" s="104">
        <v>68</v>
      </c>
      <c r="C231" s="104">
        <v>73</v>
      </c>
      <c r="D231" s="61" t="s">
        <v>220</v>
      </c>
      <c r="E231" s="101">
        <v>0</v>
      </c>
      <c r="F231" s="101">
        <v>0</v>
      </c>
      <c r="G231" s="61" t="s">
        <v>86</v>
      </c>
      <c r="H231" s="61" t="s">
        <v>142</v>
      </c>
    </row>
    <row r="232" spans="1:8" x14ac:dyDescent="0.25">
      <c r="A232" s="104">
        <v>219</v>
      </c>
      <c r="B232" s="104">
        <v>69</v>
      </c>
      <c r="C232" s="104">
        <v>74</v>
      </c>
      <c r="D232" s="61" t="s">
        <v>220</v>
      </c>
      <c r="E232" s="101">
        <v>0</v>
      </c>
      <c r="F232" s="101">
        <v>0</v>
      </c>
      <c r="G232" s="61" t="s">
        <v>86</v>
      </c>
      <c r="H232" s="61" t="s">
        <v>142</v>
      </c>
    </row>
    <row r="233" spans="1:8" x14ac:dyDescent="0.25">
      <c r="A233" s="104">
        <v>220</v>
      </c>
      <c r="B233" s="104">
        <v>70</v>
      </c>
      <c r="C233" s="104">
        <v>75</v>
      </c>
      <c r="D233" s="61" t="s">
        <v>220</v>
      </c>
      <c r="E233" s="101">
        <v>0</v>
      </c>
      <c r="F233" s="101">
        <v>0</v>
      </c>
      <c r="G233" s="61" t="s">
        <v>86</v>
      </c>
      <c r="H233" s="61" t="s">
        <v>142</v>
      </c>
    </row>
    <row r="234" spans="1:8" x14ac:dyDescent="0.25">
      <c r="A234" s="104">
        <v>221</v>
      </c>
      <c r="B234" s="104">
        <v>76</v>
      </c>
      <c r="C234" s="104">
        <v>81</v>
      </c>
      <c r="D234" s="61" t="s">
        <v>220</v>
      </c>
      <c r="E234" s="101">
        <v>0</v>
      </c>
      <c r="F234" s="101">
        <v>0</v>
      </c>
      <c r="G234" s="61" t="s">
        <v>86</v>
      </c>
      <c r="H234" s="61" t="s">
        <v>142</v>
      </c>
    </row>
    <row r="235" spans="1:8" x14ac:dyDescent="0.25">
      <c r="A235" s="104">
        <v>222</v>
      </c>
      <c r="B235" s="104">
        <v>77</v>
      </c>
      <c r="C235" s="104">
        <v>82</v>
      </c>
      <c r="D235" s="61" t="s">
        <v>220</v>
      </c>
      <c r="E235" s="101">
        <v>0</v>
      </c>
      <c r="F235" s="101">
        <v>0</v>
      </c>
      <c r="G235" s="61" t="s">
        <v>86</v>
      </c>
      <c r="H235" s="61" t="s">
        <v>142</v>
      </c>
    </row>
    <row r="236" spans="1:8" x14ac:dyDescent="0.25">
      <c r="A236" s="104">
        <v>223</v>
      </c>
      <c r="B236" s="104">
        <v>78</v>
      </c>
      <c r="C236" s="104">
        <v>83</v>
      </c>
      <c r="D236" s="61" t="s">
        <v>220</v>
      </c>
      <c r="E236" s="101">
        <v>0</v>
      </c>
      <c r="F236" s="101">
        <v>0</v>
      </c>
      <c r="G236" s="61" t="s">
        <v>86</v>
      </c>
      <c r="H236" s="61" t="s">
        <v>142</v>
      </c>
    </row>
    <row r="237" spans="1:8" x14ac:dyDescent="0.25">
      <c r="A237" s="104">
        <v>224</v>
      </c>
      <c r="B237" s="104">
        <v>79</v>
      </c>
      <c r="C237" s="104">
        <v>84</v>
      </c>
      <c r="D237" s="61" t="s">
        <v>220</v>
      </c>
      <c r="E237" s="101">
        <v>0</v>
      </c>
      <c r="F237" s="101">
        <v>0</v>
      </c>
      <c r="G237" s="61" t="s">
        <v>86</v>
      </c>
      <c r="H237" s="61" t="s">
        <v>142</v>
      </c>
    </row>
    <row r="238" spans="1:8" x14ac:dyDescent="0.25">
      <c r="A238" s="104">
        <v>225</v>
      </c>
      <c r="B238" s="104">
        <v>80</v>
      </c>
      <c r="C238" s="104">
        <v>85</v>
      </c>
      <c r="D238" s="61" t="s">
        <v>220</v>
      </c>
      <c r="E238" s="101">
        <v>0</v>
      </c>
      <c r="F238" s="101">
        <v>0</v>
      </c>
      <c r="G238" s="61" t="s">
        <v>86</v>
      </c>
      <c r="H238" s="61" t="s">
        <v>142</v>
      </c>
    </row>
    <row r="239" spans="1:8" x14ac:dyDescent="0.25">
      <c r="A239" s="104">
        <v>226</v>
      </c>
      <c r="B239" s="104">
        <v>81</v>
      </c>
      <c r="C239" s="104">
        <v>86</v>
      </c>
      <c r="D239" s="61" t="s">
        <v>220</v>
      </c>
      <c r="E239" s="101">
        <v>0</v>
      </c>
      <c r="F239" s="101">
        <v>0</v>
      </c>
      <c r="G239" s="61" t="s">
        <v>86</v>
      </c>
      <c r="H239" s="61" t="s">
        <v>142</v>
      </c>
    </row>
    <row r="240" spans="1:8" x14ac:dyDescent="0.25">
      <c r="A240" s="104">
        <v>227</v>
      </c>
      <c r="B240" s="104">
        <v>82</v>
      </c>
      <c r="C240" s="104">
        <v>87</v>
      </c>
      <c r="D240" s="61" t="s">
        <v>220</v>
      </c>
      <c r="E240" s="101">
        <v>0</v>
      </c>
      <c r="F240" s="101">
        <v>0</v>
      </c>
      <c r="G240" s="61" t="s">
        <v>86</v>
      </c>
      <c r="H240" s="61" t="s">
        <v>142</v>
      </c>
    </row>
    <row r="241" spans="1:8" x14ac:dyDescent="0.25">
      <c r="A241" s="104">
        <v>228</v>
      </c>
      <c r="B241" s="104">
        <v>83</v>
      </c>
      <c r="C241" s="104">
        <v>88</v>
      </c>
      <c r="D241" s="61" t="s">
        <v>220</v>
      </c>
      <c r="E241" s="101">
        <v>0</v>
      </c>
      <c r="F241" s="101">
        <v>0</v>
      </c>
      <c r="G241" s="61" t="s">
        <v>86</v>
      </c>
      <c r="H241" s="61" t="s">
        <v>142</v>
      </c>
    </row>
    <row r="242" spans="1:8" x14ac:dyDescent="0.25">
      <c r="A242" s="104">
        <v>229</v>
      </c>
      <c r="B242" s="104">
        <v>84</v>
      </c>
      <c r="C242" s="104">
        <v>89</v>
      </c>
      <c r="D242" s="61" t="s">
        <v>220</v>
      </c>
      <c r="E242" s="101">
        <v>0</v>
      </c>
      <c r="F242" s="101">
        <v>0</v>
      </c>
      <c r="G242" s="61" t="s">
        <v>86</v>
      </c>
      <c r="H242" s="61" t="s">
        <v>142</v>
      </c>
    </row>
    <row r="243" spans="1:8" x14ac:dyDescent="0.25">
      <c r="A243" s="104">
        <v>230</v>
      </c>
      <c r="B243" s="104">
        <v>85</v>
      </c>
      <c r="C243" s="104">
        <v>90</v>
      </c>
      <c r="D243" s="61" t="s">
        <v>220</v>
      </c>
      <c r="E243" s="101">
        <v>0</v>
      </c>
      <c r="F243" s="101">
        <v>0</v>
      </c>
      <c r="G243" s="61" t="s">
        <v>86</v>
      </c>
      <c r="H243" s="61" t="s">
        <v>142</v>
      </c>
    </row>
    <row r="244" spans="1:8" x14ac:dyDescent="0.25">
      <c r="A244" s="104">
        <v>231</v>
      </c>
      <c r="B244" s="104">
        <v>86</v>
      </c>
      <c r="C244" s="104">
        <v>91</v>
      </c>
      <c r="D244" s="61" t="s">
        <v>220</v>
      </c>
      <c r="E244" s="101">
        <v>0</v>
      </c>
      <c r="F244" s="101">
        <v>0</v>
      </c>
      <c r="G244" s="61" t="s">
        <v>86</v>
      </c>
      <c r="H244" s="61" t="s">
        <v>142</v>
      </c>
    </row>
    <row r="245" spans="1:8" x14ac:dyDescent="0.25">
      <c r="A245" s="104">
        <v>232</v>
      </c>
      <c r="B245" s="104">
        <v>87</v>
      </c>
      <c r="C245" s="104">
        <v>92</v>
      </c>
      <c r="D245" s="61" t="s">
        <v>220</v>
      </c>
      <c r="E245" s="101">
        <v>0</v>
      </c>
      <c r="F245" s="101">
        <v>0</v>
      </c>
      <c r="G245" s="61" t="s">
        <v>86</v>
      </c>
      <c r="H245" s="61" t="s">
        <v>142</v>
      </c>
    </row>
    <row r="246" spans="1:8" x14ac:dyDescent="0.25">
      <c r="A246" s="104">
        <v>233</v>
      </c>
      <c r="B246" s="104">
        <v>88</v>
      </c>
      <c r="C246" s="104">
        <v>93</v>
      </c>
      <c r="D246" s="61" t="s">
        <v>220</v>
      </c>
      <c r="E246" s="101">
        <v>0</v>
      </c>
      <c r="F246" s="101">
        <v>0</v>
      </c>
      <c r="G246" s="61" t="s">
        <v>86</v>
      </c>
      <c r="H246" s="61" t="s">
        <v>142</v>
      </c>
    </row>
    <row r="247" spans="1:8" x14ac:dyDescent="0.25">
      <c r="A247" s="104">
        <v>234</v>
      </c>
      <c r="B247" s="104">
        <v>89</v>
      </c>
      <c r="C247" s="104">
        <v>94</v>
      </c>
      <c r="D247" s="61" t="s">
        <v>220</v>
      </c>
      <c r="E247" s="101">
        <v>0</v>
      </c>
      <c r="F247" s="101">
        <v>0</v>
      </c>
      <c r="G247" s="61" t="s">
        <v>86</v>
      </c>
      <c r="H247" s="61" t="s">
        <v>142</v>
      </c>
    </row>
    <row r="248" spans="1:8" x14ac:dyDescent="0.25">
      <c r="A248" s="104">
        <v>235</v>
      </c>
      <c r="B248" s="104">
        <v>90</v>
      </c>
      <c r="C248" s="104">
        <v>95</v>
      </c>
      <c r="D248" s="61" t="s">
        <v>220</v>
      </c>
      <c r="E248" s="101">
        <v>0</v>
      </c>
      <c r="F248" s="101">
        <v>0</v>
      </c>
      <c r="G248" s="61" t="s">
        <v>86</v>
      </c>
      <c r="H248" s="61" t="s">
        <v>142</v>
      </c>
    </row>
    <row r="249" spans="1:8" x14ac:dyDescent="0.25">
      <c r="A249" s="104">
        <v>236</v>
      </c>
      <c r="B249" s="104">
        <v>91</v>
      </c>
      <c r="C249" s="104">
        <v>96</v>
      </c>
      <c r="D249" s="61" t="s">
        <v>220</v>
      </c>
      <c r="E249" s="101">
        <v>0</v>
      </c>
      <c r="F249" s="101">
        <v>0</v>
      </c>
      <c r="G249" s="61" t="s">
        <v>86</v>
      </c>
      <c r="H249" s="61" t="s">
        <v>142</v>
      </c>
    </row>
    <row r="250" spans="1:8" x14ac:dyDescent="0.25">
      <c r="A250" s="104">
        <v>237</v>
      </c>
      <c r="B250" s="104">
        <v>92</v>
      </c>
      <c r="C250" s="104">
        <v>97</v>
      </c>
      <c r="D250" s="61" t="s">
        <v>220</v>
      </c>
      <c r="E250" s="101">
        <v>0</v>
      </c>
      <c r="F250" s="101">
        <v>0</v>
      </c>
      <c r="G250" s="61" t="s">
        <v>86</v>
      </c>
      <c r="H250" s="61" t="s">
        <v>142</v>
      </c>
    </row>
    <row r="251" spans="1:8" x14ac:dyDescent="0.25">
      <c r="A251" s="104">
        <v>238</v>
      </c>
      <c r="B251" s="104">
        <v>93</v>
      </c>
      <c r="C251" s="104">
        <v>98</v>
      </c>
      <c r="D251" s="61" t="s">
        <v>220</v>
      </c>
      <c r="E251" s="101">
        <v>0</v>
      </c>
      <c r="F251" s="101">
        <v>0</v>
      </c>
      <c r="G251" s="61" t="s">
        <v>86</v>
      </c>
      <c r="H251" s="61" t="s">
        <v>142</v>
      </c>
    </row>
    <row r="252" spans="1:8" x14ac:dyDescent="0.25">
      <c r="A252" s="104">
        <v>239</v>
      </c>
      <c r="B252" s="104">
        <v>94</v>
      </c>
      <c r="C252" s="104">
        <v>99</v>
      </c>
      <c r="D252" s="61" t="s">
        <v>220</v>
      </c>
      <c r="E252" s="101">
        <v>0</v>
      </c>
      <c r="F252" s="101">
        <v>0</v>
      </c>
      <c r="G252" s="61" t="s">
        <v>86</v>
      </c>
      <c r="H252" s="61" t="s">
        <v>142</v>
      </c>
    </row>
    <row r="253" spans="1:8" x14ac:dyDescent="0.25">
      <c r="A253" s="104">
        <v>240</v>
      </c>
      <c r="B253" s="104">
        <v>95</v>
      </c>
      <c r="C253" s="104">
        <v>100</v>
      </c>
      <c r="D253" s="61" t="s">
        <v>220</v>
      </c>
      <c r="E253" s="101">
        <v>0</v>
      </c>
      <c r="F253" s="101">
        <v>0</v>
      </c>
      <c r="G253" s="61" t="s">
        <v>86</v>
      </c>
      <c r="H253" s="61" t="s">
        <v>142</v>
      </c>
    </row>
    <row r="254" spans="1:8" x14ac:dyDescent="0.25">
      <c r="A254" s="104">
        <v>241</v>
      </c>
      <c r="B254" s="104">
        <v>101</v>
      </c>
      <c r="C254" s="104">
        <v>106</v>
      </c>
      <c r="D254" s="61" t="s">
        <v>220</v>
      </c>
      <c r="E254" s="101">
        <v>0</v>
      </c>
      <c r="F254" s="101">
        <v>0</v>
      </c>
      <c r="G254" s="61" t="s">
        <v>86</v>
      </c>
      <c r="H254" s="61" t="s">
        <v>142</v>
      </c>
    </row>
    <row r="255" spans="1:8" x14ac:dyDescent="0.25">
      <c r="A255" s="104">
        <v>242</v>
      </c>
      <c r="B255" s="104">
        <v>102</v>
      </c>
      <c r="C255" s="104">
        <v>107</v>
      </c>
      <c r="D255" s="61" t="s">
        <v>220</v>
      </c>
      <c r="E255" s="101">
        <v>0</v>
      </c>
      <c r="F255" s="101">
        <v>0</v>
      </c>
      <c r="G255" s="61" t="s">
        <v>86</v>
      </c>
      <c r="H255" s="61" t="s">
        <v>142</v>
      </c>
    </row>
    <row r="256" spans="1:8" x14ac:dyDescent="0.25">
      <c r="A256" s="104">
        <v>243</v>
      </c>
      <c r="B256" s="104">
        <v>103</v>
      </c>
      <c r="C256" s="104">
        <v>108</v>
      </c>
      <c r="D256" s="61" t="s">
        <v>220</v>
      </c>
      <c r="E256" s="101">
        <v>0</v>
      </c>
      <c r="F256" s="101">
        <v>0</v>
      </c>
      <c r="G256" s="61" t="s">
        <v>86</v>
      </c>
      <c r="H256" s="61" t="s">
        <v>142</v>
      </c>
    </row>
    <row r="257" spans="1:8" x14ac:dyDescent="0.25">
      <c r="A257" s="104">
        <v>244</v>
      </c>
      <c r="B257" s="104">
        <v>104</v>
      </c>
      <c r="C257" s="104">
        <v>109</v>
      </c>
      <c r="D257" s="61" t="s">
        <v>220</v>
      </c>
      <c r="E257" s="101">
        <v>0</v>
      </c>
      <c r="F257" s="101">
        <v>0</v>
      </c>
      <c r="G257" s="61" t="s">
        <v>86</v>
      </c>
      <c r="H257" s="61" t="s">
        <v>142</v>
      </c>
    </row>
    <row r="258" spans="1:8" x14ac:dyDescent="0.25">
      <c r="A258" s="104">
        <v>245</v>
      </c>
      <c r="B258" s="104">
        <v>105</v>
      </c>
      <c r="C258" s="104">
        <v>110</v>
      </c>
      <c r="D258" s="61" t="s">
        <v>220</v>
      </c>
      <c r="E258" s="101">
        <v>0</v>
      </c>
      <c r="F258" s="101">
        <v>0</v>
      </c>
      <c r="G258" s="61" t="s">
        <v>86</v>
      </c>
      <c r="H258" s="61" t="s">
        <v>142</v>
      </c>
    </row>
    <row r="259" spans="1:8" x14ac:dyDescent="0.25">
      <c r="A259" s="104">
        <v>246</v>
      </c>
      <c r="B259" s="104">
        <v>106</v>
      </c>
      <c r="C259" s="104">
        <v>111</v>
      </c>
      <c r="D259" s="61" t="s">
        <v>220</v>
      </c>
      <c r="E259" s="101">
        <v>0</v>
      </c>
      <c r="F259" s="101">
        <v>0</v>
      </c>
      <c r="G259" s="61" t="s">
        <v>86</v>
      </c>
      <c r="H259" s="61" t="s">
        <v>142</v>
      </c>
    </row>
    <row r="260" spans="1:8" x14ac:dyDescent="0.25">
      <c r="A260" s="104">
        <v>247</v>
      </c>
      <c r="B260" s="104">
        <v>107</v>
      </c>
      <c r="C260" s="104">
        <v>112</v>
      </c>
      <c r="D260" s="61" t="s">
        <v>220</v>
      </c>
      <c r="E260" s="101">
        <v>0</v>
      </c>
      <c r="F260" s="101">
        <v>0</v>
      </c>
      <c r="G260" s="61" t="s">
        <v>86</v>
      </c>
      <c r="H260" s="61" t="s">
        <v>142</v>
      </c>
    </row>
    <row r="261" spans="1:8" x14ac:dyDescent="0.25">
      <c r="A261" s="104">
        <v>248</v>
      </c>
      <c r="B261" s="104">
        <v>108</v>
      </c>
      <c r="C261" s="104">
        <v>113</v>
      </c>
      <c r="D261" s="61" t="s">
        <v>220</v>
      </c>
      <c r="E261" s="101">
        <v>0</v>
      </c>
      <c r="F261" s="101">
        <v>0</v>
      </c>
      <c r="G261" s="61" t="s">
        <v>86</v>
      </c>
      <c r="H261" s="61" t="s">
        <v>142</v>
      </c>
    </row>
    <row r="262" spans="1:8" x14ac:dyDescent="0.25">
      <c r="A262" s="104">
        <v>249</v>
      </c>
      <c r="B262" s="104">
        <v>109</v>
      </c>
      <c r="C262" s="104">
        <v>114</v>
      </c>
      <c r="D262" s="61" t="s">
        <v>220</v>
      </c>
      <c r="E262" s="101">
        <v>0</v>
      </c>
      <c r="F262" s="101">
        <v>0</v>
      </c>
      <c r="G262" s="61" t="s">
        <v>86</v>
      </c>
      <c r="H262" s="61" t="s">
        <v>142</v>
      </c>
    </row>
    <row r="263" spans="1:8" x14ac:dyDescent="0.25">
      <c r="A263" s="104">
        <v>250</v>
      </c>
      <c r="B263" s="104">
        <v>110</v>
      </c>
      <c r="C263" s="104">
        <v>115</v>
      </c>
      <c r="D263" s="61" t="s">
        <v>220</v>
      </c>
      <c r="E263" s="101">
        <v>0</v>
      </c>
      <c r="F263" s="101">
        <v>0</v>
      </c>
      <c r="G263" s="61" t="s">
        <v>86</v>
      </c>
      <c r="H263" s="61" t="s">
        <v>142</v>
      </c>
    </row>
    <row r="264" spans="1:8" x14ac:dyDescent="0.25">
      <c r="A264" s="104">
        <v>251</v>
      </c>
      <c r="B264" s="104">
        <v>111</v>
      </c>
      <c r="C264" s="104">
        <v>116</v>
      </c>
      <c r="D264" s="61" t="s">
        <v>220</v>
      </c>
      <c r="E264" s="101">
        <v>0</v>
      </c>
      <c r="F264" s="101">
        <v>0</v>
      </c>
      <c r="G264" s="61" t="s">
        <v>86</v>
      </c>
      <c r="H264" s="61" t="s">
        <v>142</v>
      </c>
    </row>
    <row r="265" spans="1:8" x14ac:dyDescent="0.25">
      <c r="A265" s="104">
        <v>252</v>
      </c>
      <c r="B265" s="104">
        <v>112</v>
      </c>
      <c r="C265" s="104">
        <v>117</v>
      </c>
      <c r="D265" s="61" t="s">
        <v>220</v>
      </c>
      <c r="E265" s="101">
        <v>0</v>
      </c>
      <c r="F265" s="101">
        <v>0</v>
      </c>
      <c r="G265" s="61" t="s">
        <v>86</v>
      </c>
      <c r="H265" s="61" t="s">
        <v>142</v>
      </c>
    </row>
    <row r="266" spans="1:8" x14ac:dyDescent="0.25">
      <c r="A266" s="104">
        <v>253</v>
      </c>
      <c r="B266" s="104">
        <v>113</v>
      </c>
      <c r="C266" s="104">
        <v>118</v>
      </c>
      <c r="D266" s="61" t="s">
        <v>220</v>
      </c>
      <c r="E266" s="101">
        <v>0</v>
      </c>
      <c r="F266" s="101">
        <v>0</v>
      </c>
      <c r="G266" s="61" t="s">
        <v>86</v>
      </c>
      <c r="H266" s="61" t="s">
        <v>142</v>
      </c>
    </row>
    <row r="267" spans="1:8" x14ac:dyDescent="0.25">
      <c r="A267" s="104">
        <v>254</v>
      </c>
      <c r="B267" s="104">
        <v>114</v>
      </c>
      <c r="C267" s="104">
        <v>119</v>
      </c>
      <c r="D267" s="61" t="s">
        <v>220</v>
      </c>
      <c r="E267" s="101">
        <v>0</v>
      </c>
      <c r="F267" s="101">
        <v>0</v>
      </c>
      <c r="G267" s="61" t="s">
        <v>86</v>
      </c>
      <c r="H267" s="61" t="s">
        <v>142</v>
      </c>
    </row>
    <row r="268" spans="1:8" x14ac:dyDescent="0.25">
      <c r="A268" s="104">
        <v>255</v>
      </c>
      <c r="B268" s="104">
        <v>115</v>
      </c>
      <c r="C268" s="104">
        <v>120</v>
      </c>
      <c r="D268" s="61" t="s">
        <v>220</v>
      </c>
      <c r="E268" s="101">
        <v>0</v>
      </c>
      <c r="F268" s="101">
        <v>0</v>
      </c>
      <c r="G268" s="61" t="s">
        <v>86</v>
      </c>
      <c r="H268" s="61" t="s">
        <v>142</v>
      </c>
    </row>
    <row r="269" spans="1:8" x14ac:dyDescent="0.25">
      <c r="A269" s="104">
        <v>256</v>
      </c>
      <c r="B269" s="104">
        <v>116</v>
      </c>
      <c r="C269" s="104">
        <v>121</v>
      </c>
      <c r="D269" s="61" t="s">
        <v>220</v>
      </c>
      <c r="E269" s="101">
        <v>0</v>
      </c>
      <c r="F269" s="101">
        <v>0</v>
      </c>
      <c r="G269" s="61" t="s">
        <v>86</v>
      </c>
      <c r="H269" s="61" t="s">
        <v>142</v>
      </c>
    </row>
    <row r="270" spans="1:8" x14ac:dyDescent="0.25">
      <c r="A270" s="104">
        <v>257</v>
      </c>
      <c r="B270" s="104">
        <v>117</v>
      </c>
      <c r="C270" s="104">
        <v>122</v>
      </c>
      <c r="D270" s="61" t="s">
        <v>220</v>
      </c>
      <c r="E270" s="101">
        <v>0</v>
      </c>
      <c r="F270" s="101">
        <v>0</v>
      </c>
      <c r="G270" s="61" t="s">
        <v>86</v>
      </c>
      <c r="H270" s="61" t="s">
        <v>142</v>
      </c>
    </row>
    <row r="271" spans="1:8" x14ac:dyDescent="0.25">
      <c r="A271" s="104">
        <v>258</v>
      </c>
      <c r="B271" s="104">
        <v>118</v>
      </c>
      <c r="C271" s="104">
        <v>123</v>
      </c>
      <c r="D271" s="61" t="s">
        <v>220</v>
      </c>
      <c r="E271" s="101">
        <v>0</v>
      </c>
      <c r="F271" s="101">
        <v>0</v>
      </c>
      <c r="G271" s="61" t="s">
        <v>86</v>
      </c>
      <c r="H271" s="61" t="s">
        <v>142</v>
      </c>
    </row>
    <row r="272" spans="1:8" x14ac:dyDescent="0.25">
      <c r="A272" s="104">
        <v>259</v>
      </c>
      <c r="B272" s="104">
        <v>119</v>
      </c>
      <c r="C272" s="104">
        <v>124</v>
      </c>
      <c r="D272" s="61" t="s">
        <v>220</v>
      </c>
      <c r="E272" s="101">
        <v>0</v>
      </c>
      <c r="F272" s="101">
        <v>0</v>
      </c>
      <c r="G272" s="61" t="s">
        <v>86</v>
      </c>
      <c r="H272" s="61" t="s">
        <v>142</v>
      </c>
    </row>
    <row r="273" spans="1:8" x14ac:dyDescent="0.25">
      <c r="A273" s="104">
        <v>260</v>
      </c>
      <c r="B273" s="104">
        <v>120</v>
      </c>
      <c r="C273" s="104">
        <v>125</v>
      </c>
      <c r="D273" s="61" t="s">
        <v>220</v>
      </c>
      <c r="E273" s="101">
        <v>0</v>
      </c>
      <c r="F273" s="101">
        <v>0</v>
      </c>
      <c r="G273" s="61" t="s">
        <v>86</v>
      </c>
      <c r="H273" s="61" t="s">
        <v>142</v>
      </c>
    </row>
  </sheetData>
  <phoneticPr fontId="12" type="noConversion"/>
  <conditionalFormatting sqref="E14:E1048576">
    <cfRule type="expression" dxfId="1" priority="2">
      <formula>OR(D14="Auto from Connectivity")</formula>
    </cfRule>
  </conditionalFormatting>
  <conditionalFormatting sqref="F14:F1048576">
    <cfRule type="expression" dxfId="0" priority="1">
      <formula>OR(D14="Auto from Connectivity")</formula>
    </cfRule>
  </conditionalFormatting>
  <dataValidations count="6">
    <dataValidation type="list" allowBlank="1" showInputMessage="1" showErrorMessage="1" errorTitle="Invalid Input" error="Choose from the list" sqref="D14:D1048576" xr:uid="{292F2153-E1A4-4116-8FC6-530459C71CFD}">
      <formula1>"Auto from Connectivity, User specified"</formula1>
    </dataValidation>
    <dataValidation type="decimal" allowBlank="1" showInputMessage="1" showErrorMessage="1" errorTitle="Invalid Input" error="Please enter a float value only." sqref="E14:F1048576" xr:uid="{04C9CBC8-894C-4389-ABC1-FC3DDBC12E33}">
      <formula1>0</formula1>
      <formula2>1000000000000</formula2>
    </dataValidation>
    <dataValidation type="list" allowBlank="1" showInputMessage="1" showErrorMessage="1" sqref="B14:C1048576" xr:uid="{23A4FE82-C565-41AF-A5F1-1B2903F2D25E}">
      <formula1>Point_ID</formula1>
    </dataValidation>
    <dataValidation type="textLength" allowBlank="1" showInputMessage="1" showErrorMessage="1" errorTitle="Invalid Input" error="Please enter maximum 15 characters only." sqref="A14:A1048576" xr:uid="{5C403C17-AAB3-46FC-8FB3-F24BBD3E45E0}">
      <formula1>1</formula1>
      <formula2>12</formula2>
    </dataValidation>
    <dataValidation type="list" showInputMessage="1" showErrorMessage="1" errorTitle="Invalid Input" error="Choose from the list" sqref="G14:G1048576" xr:uid="{A1BC0883-745F-4F4B-B08F-81B6466820E2}">
      <formula1>Sec_Name</formula1>
    </dataValidation>
    <dataValidation type="list" showInputMessage="1" showErrorMessage="1" errorTitle="Invalid Input" error="Choose from the list" sqref="H14:H1048576" xr:uid="{CAEC77BB-5E83-41A9-92D4-7F6A5C80709A}">
      <formula1>"Yes, No"</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9065-E8C9-4242-BC46-0BDEE7F540A4}">
  <sheetPr codeName="Sheet25"/>
  <dimension ref="A1:I73"/>
  <sheetViews>
    <sheetView zoomScale="130" zoomScaleNormal="130" workbookViewId="0"/>
  </sheetViews>
  <sheetFormatPr defaultColWidth="10.85546875" defaultRowHeight="15.75" x14ac:dyDescent="0.25"/>
  <cols>
    <col min="1" max="1" width="15.7109375" style="104" customWidth="1"/>
    <col min="2" max="5" width="10.7109375" style="104" customWidth="1"/>
    <col min="6" max="9" width="10.7109375" style="61" customWidth="1"/>
    <col min="10" max="16384" width="10.85546875" style="91"/>
  </cols>
  <sheetData>
    <row r="1" spans="1:9" x14ac:dyDescent="0.25">
      <c r="A1" s="105" t="s">
        <v>192</v>
      </c>
      <c r="B1" s="88"/>
      <c r="C1" s="88"/>
      <c r="D1" s="88"/>
      <c r="E1" s="88"/>
      <c r="F1" s="89"/>
      <c r="G1" s="89"/>
      <c r="H1" s="89"/>
      <c r="I1" s="90"/>
    </row>
    <row r="2" spans="1:9" x14ac:dyDescent="0.25">
      <c r="A2" s="95" t="s">
        <v>316</v>
      </c>
      <c r="B2" s="92"/>
      <c r="C2" s="92"/>
      <c r="D2" s="92"/>
      <c r="E2" s="92"/>
      <c r="F2" s="93"/>
      <c r="G2" s="93"/>
      <c r="H2" s="93"/>
      <c r="I2" s="94"/>
    </row>
    <row r="3" spans="1:9" x14ac:dyDescent="0.25">
      <c r="A3" s="106" t="s">
        <v>211</v>
      </c>
      <c r="B3" s="92"/>
      <c r="C3" s="92"/>
      <c r="D3" s="92"/>
      <c r="E3" s="92"/>
      <c r="F3" s="93"/>
      <c r="G3" s="93"/>
      <c r="H3" s="93"/>
      <c r="I3" s="94"/>
    </row>
    <row r="4" spans="1:9" x14ac:dyDescent="0.25">
      <c r="A4" s="76" t="s">
        <v>212</v>
      </c>
      <c r="B4" s="92"/>
      <c r="C4" s="92"/>
      <c r="D4" s="92"/>
      <c r="E4" s="92"/>
      <c r="F4" s="93"/>
      <c r="G4" s="93"/>
      <c r="H4" s="93"/>
      <c r="I4" s="94"/>
    </row>
    <row r="5" spans="1:9" x14ac:dyDescent="0.25">
      <c r="A5" s="76" t="s">
        <v>213</v>
      </c>
      <c r="B5" s="92"/>
      <c r="C5" s="92"/>
      <c r="D5" s="92"/>
      <c r="E5" s="92"/>
      <c r="F5" s="93"/>
      <c r="G5" s="93"/>
      <c r="H5" s="93"/>
      <c r="I5" s="94"/>
    </row>
    <row r="6" spans="1:9" x14ac:dyDescent="0.25">
      <c r="A6" s="198" t="s">
        <v>214</v>
      </c>
      <c r="B6" s="92"/>
      <c r="C6" s="92"/>
      <c r="D6" s="92"/>
      <c r="E6" s="92"/>
      <c r="F6" s="93"/>
      <c r="G6" s="93"/>
      <c r="H6" s="93"/>
      <c r="I6" s="94"/>
    </row>
    <row r="7" spans="1:9" x14ac:dyDescent="0.25">
      <c r="A7" s="195" t="s">
        <v>324</v>
      </c>
      <c r="B7" s="98"/>
      <c r="C7" s="98"/>
      <c r="D7" s="98"/>
      <c r="E7" s="98"/>
      <c r="F7" s="107"/>
      <c r="G7" s="107"/>
      <c r="H7" s="107"/>
      <c r="I7" s="108"/>
    </row>
    <row r="8" spans="1:9" x14ac:dyDescent="0.25">
      <c r="A8" s="102"/>
      <c r="B8" s="61"/>
      <c r="C8" s="61"/>
      <c r="D8" s="61"/>
      <c r="E8" s="61"/>
      <c r="F8" s="91"/>
      <c r="G8" s="91"/>
      <c r="H8" s="91"/>
      <c r="I8" s="91"/>
    </row>
    <row r="9" spans="1:9" s="13" customFormat="1" x14ac:dyDescent="0.25">
      <c r="A9" s="85" t="s">
        <v>313</v>
      </c>
      <c r="B9" s="17" t="s">
        <v>187</v>
      </c>
      <c r="C9" s="17" t="s">
        <v>188</v>
      </c>
      <c r="D9" s="17" t="s">
        <v>189</v>
      </c>
      <c r="E9" s="17" t="s">
        <v>190</v>
      </c>
      <c r="F9" s="85" t="s">
        <v>318</v>
      </c>
      <c r="G9" s="61"/>
      <c r="H9" s="61"/>
      <c r="I9" s="61"/>
    </row>
    <row r="10" spans="1:9" x14ac:dyDescent="0.25">
      <c r="A10" s="104">
        <v>1</v>
      </c>
      <c r="B10" s="104">
        <v>101</v>
      </c>
      <c r="C10" s="104">
        <v>182</v>
      </c>
      <c r="D10" s="104">
        <v>105</v>
      </c>
      <c r="E10" s="104">
        <v>181</v>
      </c>
      <c r="F10" s="61" t="s">
        <v>106</v>
      </c>
    </row>
    <row r="11" spans="1:9" x14ac:dyDescent="0.25">
      <c r="A11" s="104">
        <v>2</v>
      </c>
      <c r="B11" s="104">
        <v>102</v>
      </c>
      <c r="C11" s="104">
        <v>183</v>
      </c>
      <c r="D11" s="104">
        <v>106</v>
      </c>
      <c r="E11" s="104">
        <v>182</v>
      </c>
      <c r="F11" s="61" t="s">
        <v>106</v>
      </c>
    </row>
    <row r="12" spans="1:9" x14ac:dyDescent="0.25">
      <c r="A12" s="104">
        <v>3</v>
      </c>
      <c r="B12" s="104">
        <v>103</v>
      </c>
      <c r="C12" s="104">
        <v>184</v>
      </c>
      <c r="D12" s="104">
        <v>107</v>
      </c>
      <c r="E12" s="104">
        <v>183</v>
      </c>
      <c r="F12" s="61" t="s">
        <v>106</v>
      </c>
    </row>
    <row r="13" spans="1:9" x14ac:dyDescent="0.25">
      <c r="A13" s="104">
        <v>4</v>
      </c>
      <c r="B13" s="104">
        <v>104</v>
      </c>
      <c r="C13" s="104">
        <v>185</v>
      </c>
      <c r="D13" s="104">
        <v>108</v>
      </c>
      <c r="E13" s="104">
        <v>184</v>
      </c>
      <c r="F13" s="61" t="s">
        <v>106</v>
      </c>
    </row>
    <row r="14" spans="1:9" x14ac:dyDescent="0.25">
      <c r="A14" s="104">
        <v>5</v>
      </c>
      <c r="B14" s="104">
        <v>105</v>
      </c>
      <c r="C14" s="104">
        <v>187</v>
      </c>
      <c r="D14" s="104">
        <v>109</v>
      </c>
      <c r="E14" s="104">
        <v>186</v>
      </c>
      <c r="F14" s="61" t="s">
        <v>106</v>
      </c>
    </row>
    <row r="15" spans="1:9" x14ac:dyDescent="0.25">
      <c r="A15" s="104">
        <v>6</v>
      </c>
      <c r="B15" s="104">
        <v>106</v>
      </c>
      <c r="C15" s="104">
        <v>188</v>
      </c>
      <c r="D15" s="104">
        <v>110</v>
      </c>
      <c r="E15" s="104">
        <v>187</v>
      </c>
      <c r="F15" s="61" t="s">
        <v>106</v>
      </c>
    </row>
    <row r="16" spans="1:9" x14ac:dyDescent="0.25">
      <c r="A16" s="104">
        <v>7</v>
      </c>
      <c r="B16" s="104">
        <v>107</v>
      </c>
      <c r="C16" s="104">
        <v>189</v>
      </c>
      <c r="D16" s="104">
        <v>111</v>
      </c>
      <c r="E16" s="104">
        <v>188</v>
      </c>
      <c r="F16" s="61" t="s">
        <v>106</v>
      </c>
    </row>
    <row r="17" spans="1:6" x14ac:dyDescent="0.25">
      <c r="A17" s="104">
        <v>8</v>
      </c>
      <c r="B17" s="104">
        <v>108</v>
      </c>
      <c r="C17" s="104">
        <v>190</v>
      </c>
      <c r="D17" s="104">
        <v>112</v>
      </c>
      <c r="E17" s="104">
        <v>189</v>
      </c>
      <c r="F17" s="61" t="s">
        <v>106</v>
      </c>
    </row>
    <row r="18" spans="1:6" x14ac:dyDescent="0.25">
      <c r="A18" s="104">
        <v>9</v>
      </c>
      <c r="B18" s="104">
        <v>109</v>
      </c>
      <c r="C18" s="104">
        <v>192</v>
      </c>
      <c r="D18" s="104">
        <v>113</v>
      </c>
      <c r="E18" s="104">
        <v>191</v>
      </c>
      <c r="F18" s="61" t="s">
        <v>106</v>
      </c>
    </row>
    <row r="19" spans="1:6" x14ac:dyDescent="0.25">
      <c r="A19" s="104">
        <v>10</v>
      </c>
      <c r="B19" s="104">
        <v>110</v>
      </c>
      <c r="C19" s="104">
        <v>193</v>
      </c>
      <c r="D19" s="104">
        <v>114</v>
      </c>
      <c r="E19" s="104">
        <v>192</v>
      </c>
      <c r="F19" s="61" t="s">
        <v>106</v>
      </c>
    </row>
    <row r="20" spans="1:6" x14ac:dyDescent="0.25">
      <c r="A20" s="104">
        <v>11</v>
      </c>
      <c r="B20" s="104">
        <v>111</v>
      </c>
      <c r="C20" s="104">
        <v>194</v>
      </c>
      <c r="D20" s="104">
        <v>115</v>
      </c>
      <c r="E20" s="104">
        <v>193</v>
      </c>
      <c r="F20" s="61" t="s">
        <v>106</v>
      </c>
    </row>
    <row r="21" spans="1:6" x14ac:dyDescent="0.25">
      <c r="A21" s="104">
        <v>12</v>
      </c>
      <c r="B21" s="104">
        <v>112</v>
      </c>
      <c r="C21" s="104">
        <v>195</v>
      </c>
      <c r="D21" s="104">
        <v>116</v>
      </c>
      <c r="E21" s="104">
        <v>194</v>
      </c>
      <c r="F21" s="61" t="s">
        <v>106</v>
      </c>
    </row>
    <row r="22" spans="1:6" x14ac:dyDescent="0.25">
      <c r="A22" s="104">
        <v>13</v>
      </c>
      <c r="B22" s="104">
        <v>113</v>
      </c>
      <c r="C22" s="104">
        <v>197</v>
      </c>
      <c r="D22" s="104">
        <v>117</v>
      </c>
      <c r="E22" s="104">
        <v>196</v>
      </c>
      <c r="F22" s="61" t="s">
        <v>106</v>
      </c>
    </row>
    <row r="23" spans="1:6" x14ac:dyDescent="0.25">
      <c r="A23" s="104">
        <v>14</v>
      </c>
      <c r="B23" s="104">
        <v>114</v>
      </c>
      <c r="C23" s="104">
        <v>198</v>
      </c>
      <c r="D23" s="104">
        <v>118</v>
      </c>
      <c r="E23" s="104">
        <v>197</v>
      </c>
      <c r="F23" s="61" t="s">
        <v>106</v>
      </c>
    </row>
    <row r="24" spans="1:6" x14ac:dyDescent="0.25">
      <c r="A24" s="104">
        <v>15</v>
      </c>
      <c r="B24" s="104">
        <v>115</v>
      </c>
      <c r="C24" s="104">
        <v>199</v>
      </c>
      <c r="D24" s="104">
        <v>119</v>
      </c>
      <c r="E24" s="104">
        <v>198</v>
      </c>
      <c r="F24" s="61" t="s">
        <v>106</v>
      </c>
    </row>
    <row r="25" spans="1:6" x14ac:dyDescent="0.25">
      <c r="A25" s="104">
        <v>16</v>
      </c>
      <c r="B25" s="104">
        <v>116</v>
      </c>
      <c r="C25" s="104">
        <v>200</v>
      </c>
      <c r="D25" s="104">
        <v>120</v>
      </c>
      <c r="E25" s="104">
        <v>199</v>
      </c>
      <c r="F25" s="61" t="s">
        <v>106</v>
      </c>
    </row>
    <row r="26" spans="1:6" x14ac:dyDescent="0.25">
      <c r="A26" s="104">
        <v>17</v>
      </c>
      <c r="B26" s="104">
        <v>121</v>
      </c>
      <c r="C26" s="104">
        <v>202</v>
      </c>
      <c r="D26" s="104">
        <v>125</v>
      </c>
      <c r="E26" s="104">
        <v>201</v>
      </c>
      <c r="F26" s="61" t="s">
        <v>106</v>
      </c>
    </row>
    <row r="27" spans="1:6" x14ac:dyDescent="0.25">
      <c r="A27" s="104">
        <v>18</v>
      </c>
      <c r="B27" s="104">
        <v>122</v>
      </c>
      <c r="C27" s="104">
        <v>203</v>
      </c>
      <c r="D27" s="104">
        <v>126</v>
      </c>
      <c r="E27" s="104">
        <v>202</v>
      </c>
      <c r="F27" s="61" t="s">
        <v>106</v>
      </c>
    </row>
    <row r="28" spans="1:6" x14ac:dyDescent="0.25">
      <c r="A28" s="104">
        <v>19</v>
      </c>
      <c r="B28" s="104">
        <v>123</v>
      </c>
      <c r="C28" s="104">
        <v>204</v>
      </c>
      <c r="D28" s="104">
        <v>127</v>
      </c>
      <c r="E28" s="104">
        <v>203</v>
      </c>
      <c r="F28" s="61" t="s">
        <v>106</v>
      </c>
    </row>
    <row r="29" spans="1:6" x14ac:dyDescent="0.25">
      <c r="A29" s="104">
        <v>20</v>
      </c>
      <c r="B29" s="104">
        <v>124</v>
      </c>
      <c r="C29" s="104">
        <v>205</v>
      </c>
      <c r="D29" s="104">
        <v>128</v>
      </c>
      <c r="E29" s="104">
        <v>204</v>
      </c>
      <c r="F29" s="61" t="s">
        <v>106</v>
      </c>
    </row>
    <row r="30" spans="1:6" x14ac:dyDescent="0.25">
      <c r="A30" s="104">
        <v>21</v>
      </c>
      <c r="B30" s="104">
        <v>125</v>
      </c>
      <c r="C30" s="104">
        <v>207</v>
      </c>
      <c r="D30" s="104">
        <v>129</v>
      </c>
      <c r="E30" s="104">
        <v>206</v>
      </c>
      <c r="F30" s="61" t="s">
        <v>106</v>
      </c>
    </row>
    <row r="31" spans="1:6" x14ac:dyDescent="0.25">
      <c r="A31" s="104">
        <v>22</v>
      </c>
      <c r="B31" s="104">
        <v>126</v>
      </c>
      <c r="C31" s="104">
        <v>208</v>
      </c>
      <c r="D31" s="104">
        <v>130</v>
      </c>
      <c r="E31" s="104">
        <v>207</v>
      </c>
      <c r="F31" s="61" t="s">
        <v>106</v>
      </c>
    </row>
    <row r="32" spans="1:6" x14ac:dyDescent="0.25">
      <c r="A32" s="104">
        <v>23</v>
      </c>
      <c r="B32" s="104">
        <v>127</v>
      </c>
      <c r="C32" s="104">
        <v>209</v>
      </c>
      <c r="D32" s="104">
        <v>131</v>
      </c>
      <c r="E32" s="104">
        <v>208</v>
      </c>
      <c r="F32" s="61" t="s">
        <v>106</v>
      </c>
    </row>
    <row r="33" spans="1:6" x14ac:dyDescent="0.25">
      <c r="A33" s="104">
        <v>24</v>
      </c>
      <c r="B33" s="104">
        <v>128</v>
      </c>
      <c r="C33" s="104">
        <v>210</v>
      </c>
      <c r="D33" s="104">
        <v>132</v>
      </c>
      <c r="E33" s="104">
        <v>209</v>
      </c>
      <c r="F33" s="61" t="s">
        <v>106</v>
      </c>
    </row>
    <row r="34" spans="1:6" x14ac:dyDescent="0.25">
      <c r="A34" s="104">
        <v>25</v>
      </c>
      <c r="B34" s="104">
        <v>129</v>
      </c>
      <c r="C34" s="104">
        <v>212</v>
      </c>
      <c r="D34" s="104">
        <v>133</v>
      </c>
      <c r="E34" s="104">
        <v>211</v>
      </c>
      <c r="F34" s="61" t="s">
        <v>106</v>
      </c>
    </row>
    <row r="35" spans="1:6" x14ac:dyDescent="0.25">
      <c r="A35" s="104">
        <v>26</v>
      </c>
      <c r="B35" s="104">
        <v>130</v>
      </c>
      <c r="C35" s="104">
        <v>213</v>
      </c>
      <c r="D35" s="104">
        <v>134</v>
      </c>
      <c r="E35" s="104">
        <v>212</v>
      </c>
      <c r="F35" s="61" t="s">
        <v>106</v>
      </c>
    </row>
    <row r="36" spans="1:6" x14ac:dyDescent="0.25">
      <c r="A36" s="104">
        <v>27</v>
      </c>
      <c r="B36" s="104">
        <v>131</v>
      </c>
      <c r="C36" s="104">
        <v>214</v>
      </c>
      <c r="D36" s="104">
        <v>135</v>
      </c>
      <c r="E36" s="104">
        <v>213</v>
      </c>
      <c r="F36" s="61" t="s">
        <v>106</v>
      </c>
    </row>
    <row r="37" spans="1:6" x14ac:dyDescent="0.25">
      <c r="A37" s="104">
        <v>28</v>
      </c>
      <c r="B37" s="104">
        <v>132</v>
      </c>
      <c r="C37" s="104">
        <v>215</v>
      </c>
      <c r="D37" s="104">
        <v>136</v>
      </c>
      <c r="E37" s="104">
        <v>214</v>
      </c>
      <c r="F37" s="61" t="s">
        <v>106</v>
      </c>
    </row>
    <row r="38" spans="1:6" x14ac:dyDescent="0.25">
      <c r="A38" s="104">
        <v>29</v>
      </c>
      <c r="B38" s="104">
        <v>133</v>
      </c>
      <c r="C38" s="104">
        <v>217</v>
      </c>
      <c r="D38" s="104">
        <v>137</v>
      </c>
      <c r="E38" s="104">
        <v>216</v>
      </c>
      <c r="F38" s="61" t="s">
        <v>106</v>
      </c>
    </row>
    <row r="39" spans="1:6" x14ac:dyDescent="0.25">
      <c r="A39" s="104">
        <v>30</v>
      </c>
      <c r="B39" s="104">
        <v>134</v>
      </c>
      <c r="C39" s="104">
        <v>218</v>
      </c>
      <c r="D39" s="104">
        <v>138</v>
      </c>
      <c r="E39" s="104">
        <v>217</v>
      </c>
      <c r="F39" s="61" t="s">
        <v>106</v>
      </c>
    </row>
    <row r="40" spans="1:6" x14ac:dyDescent="0.25">
      <c r="A40" s="104">
        <v>31</v>
      </c>
      <c r="B40" s="104">
        <v>135</v>
      </c>
      <c r="C40" s="104">
        <v>219</v>
      </c>
      <c r="D40" s="104">
        <v>139</v>
      </c>
      <c r="E40" s="104">
        <v>218</v>
      </c>
      <c r="F40" s="61" t="s">
        <v>106</v>
      </c>
    </row>
    <row r="41" spans="1:6" x14ac:dyDescent="0.25">
      <c r="A41" s="104">
        <v>32</v>
      </c>
      <c r="B41" s="104">
        <v>136</v>
      </c>
      <c r="C41" s="104">
        <v>220</v>
      </c>
      <c r="D41" s="104">
        <v>140</v>
      </c>
      <c r="E41" s="104">
        <v>219</v>
      </c>
      <c r="F41" s="61" t="s">
        <v>106</v>
      </c>
    </row>
    <row r="42" spans="1:6" x14ac:dyDescent="0.25">
      <c r="A42" s="104">
        <v>33</v>
      </c>
      <c r="B42" s="104">
        <v>141</v>
      </c>
      <c r="C42" s="104">
        <v>222</v>
      </c>
      <c r="D42" s="104">
        <v>145</v>
      </c>
      <c r="E42" s="104">
        <v>221</v>
      </c>
      <c r="F42" s="61" t="s">
        <v>106</v>
      </c>
    </row>
    <row r="43" spans="1:6" x14ac:dyDescent="0.25">
      <c r="A43" s="104">
        <v>34</v>
      </c>
      <c r="B43" s="104">
        <v>142</v>
      </c>
      <c r="C43" s="104">
        <v>223</v>
      </c>
      <c r="D43" s="104">
        <v>146</v>
      </c>
      <c r="E43" s="104">
        <v>222</v>
      </c>
      <c r="F43" s="61" t="s">
        <v>106</v>
      </c>
    </row>
    <row r="44" spans="1:6" x14ac:dyDescent="0.25">
      <c r="A44" s="104">
        <v>35</v>
      </c>
      <c r="B44" s="104">
        <v>143</v>
      </c>
      <c r="C44" s="104">
        <v>224</v>
      </c>
      <c r="D44" s="104">
        <v>147</v>
      </c>
      <c r="E44" s="104">
        <v>223</v>
      </c>
      <c r="F44" s="61" t="s">
        <v>106</v>
      </c>
    </row>
    <row r="45" spans="1:6" x14ac:dyDescent="0.25">
      <c r="A45" s="104">
        <v>36</v>
      </c>
      <c r="B45" s="104">
        <v>144</v>
      </c>
      <c r="C45" s="104">
        <v>225</v>
      </c>
      <c r="D45" s="104">
        <v>148</v>
      </c>
      <c r="E45" s="104">
        <v>224</v>
      </c>
      <c r="F45" s="61" t="s">
        <v>106</v>
      </c>
    </row>
    <row r="46" spans="1:6" x14ac:dyDescent="0.25">
      <c r="A46" s="104">
        <v>37</v>
      </c>
      <c r="B46" s="104">
        <v>145</v>
      </c>
      <c r="C46" s="104">
        <v>227</v>
      </c>
      <c r="D46" s="104">
        <v>149</v>
      </c>
      <c r="E46" s="104">
        <v>226</v>
      </c>
      <c r="F46" s="61" t="s">
        <v>106</v>
      </c>
    </row>
    <row r="47" spans="1:6" x14ac:dyDescent="0.25">
      <c r="A47" s="104">
        <v>38</v>
      </c>
      <c r="B47" s="104">
        <v>146</v>
      </c>
      <c r="C47" s="104">
        <v>228</v>
      </c>
      <c r="D47" s="104">
        <v>150</v>
      </c>
      <c r="E47" s="104">
        <v>227</v>
      </c>
      <c r="F47" s="61" t="s">
        <v>106</v>
      </c>
    </row>
    <row r="48" spans="1:6" x14ac:dyDescent="0.25">
      <c r="A48" s="104">
        <v>39</v>
      </c>
      <c r="B48" s="104">
        <v>147</v>
      </c>
      <c r="C48" s="104">
        <v>229</v>
      </c>
      <c r="D48" s="104">
        <v>151</v>
      </c>
      <c r="E48" s="104">
        <v>228</v>
      </c>
      <c r="F48" s="61" t="s">
        <v>106</v>
      </c>
    </row>
    <row r="49" spans="1:6" x14ac:dyDescent="0.25">
      <c r="A49" s="104">
        <v>40</v>
      </c>
      <c r="B49" s="104">
        <v>148</v>
      </c>
      <c r="C49" s="104">
        <v>230</v>
      </c>
      <c r="D49" s="104">
        <v>152</v>
      </c>
      <c r="E49" s="104">
        <v>229</v>
      </c>
      <c r="F49" s="61" t="s">
        <v>106</v>
      </c>
    </row>
    <row r="50" spans="1:6" x14ac:dyDescent="0.25">
      <c r="A50" s="104">
        <v>41</v>
      </c>
      <c r="B50" s="104">
        <v>149</v>
      </c>
      <c r="C50" s="104">
        <v>232</v>
      </c>
      <c r="D50" s="104">
        <v>153</v>
      </c>
      <c r="E50" s="104">
        <v>231</v>
      </c>
      <c r="F50" s="61" t="s">
        <v>106</v>
      </c>
    </row>
    <row r="51" spans="1:6" x14ac:dyDescent="0.25">
      <c r="A51" s="104">
        <v>42</v>
      </c>
      <c r="B51" s="104">
        <v>150</v>
      </c>
      <c r="C51" s="104">
        <v>233</v>
      </c>
      <c r="D51" s="104">
        <v>154</v>
      </c>
      <c r="E51" s="104">
        <v>232</v>
      </c>
      <c r="F51" s="61" t="s">
        <v>106</v>
      </c>
    </row>
    <row r="52" spans="1:6" x14ac:dyDescent="0.25">
      <c r="A52" s="104">
        <v>43</v>
      </c>
      <c r="B52" s="104">
        <v>151</v>
      </c>
      <c r="C52" s="104">
        <v>234</v>
      </c>
      <c r="D52" s="104">
        <v>155</v>
      </c>
      <c r="E52" s="104">
        <v>233</v>
      </c>
      <c r="F52" s="61" t="s">
        <v>106</v>
      </c>
    </row>
    <row r="53" spans="1:6" x14ac:dyDescent="0.25">
      <c r="A53" s="104">
        <v>44</v>
      </c>
      <c r="B53" s="104">
        <v>152</v>
      </c>
      <c r="C53" s="104">
        <v>235</v>
      </c>
      <c r="D53" s="104">
        <v>156</v>
      </c>
      <c r="E53" s="104">
        <v>234</v>
      </c>
      <c r="F53" s="61" t="s">
        <v>106</v>
      </c>
    </row>
    <row r="54" spans="1:6" x14ac:dyDescent="0.25">
      <c r="A54" s="104">
        <v>45</v>
      </c>
      <c r="B54" s="104">
        <v>153</v>
      </c>
      <c r="C54" s="104">
        <v>237</v>
      </c>
      <c r="D54" s="104">
        <v>157</v>
      </c>
      <c r="E54" s="104">
        <v>236</v>
      </c>
      <c r="F54" s="61" t="s">
        <v>106</v>
      </c>
    </row>
    <row r="55" spans="1:6" x14ac:dyDescent="0.25">
      <c r="A55" s="104">
        <v>46</v>
      </c>
      <c r="B55" s="104">
        <v>154</v>
      </c>
      <c r="C55" s="104">
        <v>238</v>
      </c>
      <c r="D55" s="104">
        <v>158</v>
      </c>
      <c r="E55" s="104">
        <v>237</v>
      </c>
      <c r="F55" s="61" t="s">
        <v>106</v>
      </c>
    </row>
    <row r="56" spans="1:6" x14ac:dyDescent="0.25">
      <c r="A56" s="104">
        <v>47</v>
      </c>
      <c r="B56" s="104">
        <v>155</v>
      </c>
      <c r="C56" s="104">
        <v>239</v>
      </c>
      <c r="D56" s="104">
        <v>159</v>
      </c>
      <c r="E56" s="104">
        <v>238</v>
      </c>
      <c r="F56" s="61" t="s">
        <v>106</v>
      </c>
    </row>
    <row r="57" spans="1:6" x14ac:dyDescent="0.25">
      <c r="A57" s="104">
        <v>48</v>
      </c>
      <c r="B57" s="104">
        <v>156</v>
      </c>
      <c r="C57" s="104">
        <v>240</v>
      </c>
      <c r="D57" s="104">
        <v>160</v>
      </c>
      <c r="E57" s="104">
        <v>239</v>
      </c>
      <c r="F57" s="61" t="s">
        <v>106</v>
      </c>
    </row>
    <row r="58" spans="1:6" x14ac:dyDescent="0.25">
      <c r="A58" s="104">
        <v>49</v>
      </c>
      <c r="B58" s="104">
        <v>161</v>
      </c>
      <c r="C58" s="104">
        <v>242</v>
      </c>
      <c r="D58" s="104">
        <v>165</v>
      </c>
      <c r="E58" s="104">
        <v>241</v>
      </c>
      <c r="F58" s="61" t="s">
        <v>106</v>
      </c>
    </row>
    <row r="59" spans="1:6" x14ac:dyDescent="0.25">
      <c r="A59" s="104">
        <v>50</v>
      </c>
      <c r="B59" s="104">
        <v>162</v>
      </c>
      <c r="C59" s="104">
        <v>243</v>
      </c>
      <c r="D59" s="104">
        <v>166</v>
      </c>
      <c r="E59" s="104">
        <v>242</v>
      </c>
      <c r="F59" s="61" t="s">
        <v>106</v>
      </c>
    </row>
    <row r="60" spans="1:6" x14ac:dyDescent="0.25">
      <c r="A60" s="104">
        <v>51</v>
      </c>
      <c r="B60" s="104">
        <v>163</v>
      </c>
      <c r="C60" s="104">
        <v>244</v>
      </c>
      <c r="D60" s="104">
        <v>167</v>
      </c>
      <c r="E60" s="104">
        <v>243</v>
      </c>
      <c r="F60" s="61" t="s">
        <v>106</v>
      </c>
    </row>
    <row r="61" spans="1:6" x14ac:dyDescent="0.25">
      <c r="A61" s="104">
        <v>52</v>
      </c>
      <c r="B61" s="104">
        <v>164</v>
      </c>
      <c r="C61" s="104">
        <v>245</v>
      </c>
      <c r="D61" s="104">
        <v>168</v>
      </c>
      <c r="E61" s="104">
        <v>244</v>
      </c>
      <c r="F61" s="61" t="s">
        <v>106</v>
      </c>
    </row>
    <row r="62" spans="1:6" x14ac:dyDescent="0.25">
      <c r="A62" s="104">
        <v>53</v>
      </c>
      <c r="B62" s="104">
        <v>165</v>
      </c>
      <c r="C62" s="104">
        <v>247</v>
      </c>
      <c r="D62" s="104">
        <v>169</v>
      </c>
      <c r="E62" s="104">
        <v>246</v>
      </c>
      <c r="F62" s="61" t="s">
        <v>106</v>
      </c>
    </row>
    <row r="63" spans="1:6" x14ac:dyDescent="0.25">
      <c r="A63" s="104">
        <v>54</v>
      </c>
      <c r="B63" s="104">
        <v>166</v>
      </c>
      <c r="C63" s="104">
        <v>248</v>
      </c>
      <c r="D63" s="104">
        <v>170</v>
      </c>
      <c r="E63" s="104">
        <v>247</v>
      </c>
      <c r="F63" s="61" t="s">
        <v>106</v>
      </c>
    </row>
    <row r="64" spans="1:6" x14ac:dyDescent="0.25">
      <c r="A64" s="104">
        <v>55</v>
      </c>
      <c r="B64" s="104">
        <v>167</v>
      </c>
      <c r="C64" s="104">
        <v>249</v>
      </c>
      <c r="D64" s="104">
        <v>171</v>
      </c>
      <c r="E64" s="104">
        <v>248</v>
      </c>
      <c r="F64" s="61" t="s">
        <v>106</v>
      </c>
    </row>
    <row r="65" spans="1:6" x14ac:dyDescent="0.25">
      <c r="A65" s="104">
        <v>56</v>
      </c>
      <c r="B65" s="104">
        <v>168</v>
      </c>
      <c r="C65" s="104">
        <v>250</v>
      </c>
      <c r="D65" s="104">
        <v>172</v>
      </c>
      <c r="E65" s="104">
        <v>249</v>
      </c>
      <c r="F65" s="61" t="s">
        <v>106</v>
      </c>
    </row>
    <row r="66" spans="1:6" x14ac:dyDescent="0.25">
      <c r="A66" s="104">
        <v>57</v>
      </c>
      <c r="B66" s="104">
        <v>169</v>
      </c>
      <c r="C66" s="104">
        <v>252</v>
      </c>
      <c r="D66" s="104">
        <v>173</v>
      </c>
      <c r="E66" s="104">
        <v>251</v>
      </c>
      <c r="F66" s="61" t="s">
        <v>106</v>
      </c>
    </row>
    <row r="67" spans="1:6" x14ac:dyDescent="0.25">
      <c r="A67" s="104">
        <v>58</v>
      </c>
      <c r="B67" s="104">
        <v>170</v>
      </c>
      <c r="C67" s="104">
        <v>253</v>
      </c>
      <c r="D67" s="104">
        <v>174</v>
      </c>
      <c r="E67" s="104">
        <v>252</v>
      </c>
      <c r="F67" s="61" t="s">
        <v>106</v>
      </c>
    </row>
    <row r="68" spans="1:6" x14ac:dyDescent="0.25">
      <c r="A68" s="104">
        <v>59</v>
      </c>
      <c r="B68" s="104">
        <v>171</v>
      </c>
      <c r="C68" s="104">
        <v>254</v>
      </c>
      <c r="D68" s="104">
        <v>175</v>
      </c>
      <c r="E68" s="104">
        <v>253</v>
      </c>
      <c r="F68" s="61" t="s">
        <v>106</v>
      </c>
    </row>
    <row r="69" spans="1:6" x14ac:dyDescent="0.25">
      <c r="A69" s="104">
        <v>60</v>
      </c>
      <c r="B69" s="104">
        <v>172</v>
      </c>
      <c r="C69" s="104">
        <v>255</v>
      </c>
      <c r="D69" s="104">
        <v>176</v>
      </c>
      <c r="E69" s="104">
        <v>254</v>
      </c>
      <c r="F69" s="61" t="s">
        <v>106</v>
      </c>
    </row>
    <row r="70" spans="1:6" x14ac:dyDescent="0.25">
      <c r="A70" s="104">
        <v>61</v>
      </c>
      <c r="B70" s="104">
        <v>173</v>
      </c>
      <c r="C70" s="104">
        <v>257</v>
      </c>
      <c r="D70" s="104">
        <v>177</v>
      </c>
      <c r="E70" s="104">
        <v>256</v>
      </c>
      <c r="F70" s="61" t="s">
        <v>106</v>
      </c>
    </row>
    <row r="71" spans="1:6" x14ac:dyDescent="0.25">
      <c r="A71" s="104">
        <v>62</v>
      </c>
      <c r="B71" s="104">
        <v>174</v>
      </c>
      <c r="C71" s="104">
        <v>258</v>
      </c>
      <c r="D71" s="104">
        <v>178</v>
      </c>
      <c r="E71" s="104">
        <v>257</v>
      </c>
      <c r="F71" s="61" t="s">
        <v>106</v>
      </c>
    </row>
    <row r="72" spans="1:6" x14ac:dyDescent="0.25">
      <c r="A72" s="104">
        <v>63</v>
      </c>
      <c r="B72" s="104">
        <v>175</v>
      </c>
      <c r="C72" s="104">
        <v>259</v>
      </c>
      <c r="D72" s="104">
        <v>179</v>
      </c>
      <c r="E72" s="104">
        <v>258</v>
      </c>
      <c r="F72" s="61" t="s">
        <v>106</v>
      </c>
    </row>
    <row r="73" spans="1:6" x14ac:dyDescent="0.25">
      <c r="A73" s="104">
        <v>64</v>
      </c>
      <c r="B73" s="104">
        <v>176</v>
      </c>
      <c r="C73" s="104">
        <v>260</v>
      </c>
      <c r="D73" s="104">
        <v>180</v>
      </c>
      <c r="E73" s="104">
        <v>259</v>
      </c>
      <c r="F73" s="61" t="s">
        <v>106</v>
      </c>
    </row>
  </sheetData>
  <dataConsolidate/>
  <phoneticPr fontId="12" type="noConversion"/>
  <dataValidations count="3">
    <dataValidation type="list" allowBlank="1" showInputMessage="1" showErrorMessage="1" sqref="B10:E1048576" xr:uid="{2D2B40EF-3959-1546-B90E-585F3B0C8E8B}">
      <formula1>Line_ID</formula1>
    </dataValidation>
    <dataValidation type="textLength" allowBlank="1" showInputMessage="1" showErrorMessage="1" errorTitle="Invalid Input" error="Please enter maximum 15 characters only." sqref="A10:A1048576" xr:uid="{6E127076-62AF-4999-82FA-49A3F9B1A689}">
      <formula1>1</formula1>
      <formula2>12</formula2>
    </dataValidation>
    <dataValidation type="list" showInputMessage="1" showErrorMessage="1" errorTitle="Invalid Input" error="Choose from the list" sqref="F10:F1048576" xr:uid="{807FD145-CB18-4AA0-A036-A79F366A0216}">
      <formula1>Slab_Sec</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9970-6793-2341-90F0-27B7AA76C867}">
  <sheetPr codeName="Sheet18"/>
  <dimension ref="A1:I35"/>
  <sheetViews>
    <sheetView zoomScale="130" zoomScaleNormal="130" workbookViewId="0">
      <selection activeCell="C20" sqref="C20"/>
    </sheetView>
  </sheetViews>
  <sheetFormatPr defaultColWidth="10.85546875" defaultRowHeight="15.75" x14ac:dyDescent="0.25"/>
  <cols>
    <col min="1" max="1" width="15.7109375" style="1" customWidth="1"/>
    <col min="2" max="7" width="10.7109375" style="1" customWidth="1"/>
    <col min="8" max="16384" width="10.85546875" style="3"/>
  </cols>
  <sheetData>
    <row r="1" spans="1:9" x14ac:dyDescent="0.25">
      <c r="A1" s="33" t="s">
        <v>192</v>
      </c>
      <c r="B1" s="39"/>
      <c r="C1" s="39"/>
      <c r="D1" s="39"/>
      <c r="E1" s="39"/>
      <c r="F1" s="39"/>
      <c r="G1" s="39"/>
      <c r="H1" s="177"/>
      <c r="I1" s="40"/>
    </row>
    <row r="2" spans="1:9" x14ac:dyDescent="0.25">
      <c r="A2" s="202" t="s">
        <v>326</v>
      </c>
      <c r="B2" s="41"/>
      <c r="C2" s="41"/>
      <c r="D2" s="41"/>
      <c r="E2" s="41"/>
      <c r="F2" s="41"/>
      <c r="G2" s="41"/>
      <c r="H2" s="176"/>
      <c r="I2" s="42"/>
    </row>
    <row r="3" spans="1:9" x14ac:dyDescent="0.25">
      <c r="A3" s="202" t="s">
        <v>327</v>
      </c>
      <c r="B3" s="41"/>
      <c r="C3" s="41"/>
      <c r="D3" s="41"/>
      <c r="E3" s="41"/>
      <c r="F3" s="41"/>
      <c r="G3" s="41"/>
      <c r="H3" s="176"/>
      <c r="I3" s="42"/>
    </row>
    <row r="4" spans="1:9" x14ac:dyDescent="0.25">
      <c r="A4" s="202" t="s">
        <v>328</v>
      </c>
      <c r="B4" s="41"/>
      <c r="C4" s="41"/>
      <c r="D4" s="41"/>
      <c r="E4" s="41"/>
      <c r="F4" s="41"/>
      <c r="G4" s="41"/>
      <c r="H4" s="176"/>
      <c r="I4" s="42"/>
    </row>
    <row r="5" spans="1:9" x14ac:dyDescent="0.25">
      <c r="A5" s="202" t="s">
        <v>329</v>
      </c>
      <c r="B5" s="41"/>
      <c r="C5" s="41"/>
      <c r="D5" s="41"/>
      <c r="E5" s="41"/>
      <c r="F5" s="41"/>
      <c r="G5" s="41"/>
      <c r="H5" s="176"/>
      <c r="I5" s="42"/>
    </row>
    <row r="6" spans="1:9" x14ac:dyDescent="0.25">
      <c r="A6" s="202" t="s">
        <v>330</v>
      </c>
      <c r="B6" s="41"/>
      <c r="C6" s="41"/>
      <c r="D6" s="41"/>
      <c r="E6" s="41"/>
      <c r="F6" s="41"/>
      <c r="G6" s="41"/>
      <c r="H6" s="176"/>
      <c r="I6" s="42"/>
    </row>
    <row r="7" spans="1:9" x14ac:dyDescent="0.25">
      <c r="A7" s="202" t="s">
        <v>331</v>
      </c>
      <c r="B7" s="41"/>
      <c r="C7" s="41"/>
      <c r="D7" s="41"/>
      <c r="E7" s="41"/>
      <c r="F7" s="41"/>
      <c r="G7" s="41"/>
      <c r="H7" s="176"/>
      <c r="I7" s="42"/>
    </row>
    <row r="8" spans="1:9" x14ac:dyDescent="0.25">
      <c r="A8" s="203" t="s">
        <v>332</v>
      </c>
      <c r="B8" s="43"/>
      <c r="C8" s="43"/>
      <c r="D8" s="43"/>
      <c r="E8" s="43"/>
      <c r="F8" s="43"/>
      <c r="G8" s="43"/>
      <c r="H8" s="178"/>
      <c r="I8" s="44"/>
    </row>
    <row r="9" spans="1:9" x14ac:dyDescent="0.25">
      <c r="A9" s="34"/>
    </row>
    <row r="10" spans="1:9" s="7" customFormat="1" x14ac:dyDescent="0.25">
      <c r="A10" s="31" t="s">
        <v>325</v>
      </c>
      <c r="B10" s="32" t="s">
        <v>115</v>
      </c>
      <c r="C10" s="32" t="s">
        <v>116</v>
      </c>
      <c r="D10" s="32" t="s">
        <v>117</v>
      </c>
      <c r="E10" s="32" t="s">
        <v>118</v>
      </c>
      <c r="F10" s="32" t="s">
        <v>119</v>
      </c>
      <c r="G10" s="32" t="s">
        <v>120</v>
      </c>
    </row>
    <row r="11" spans="1:9" x14ac:dyDescent="0.25">
      <c r="A11" s="1">
        <v>1</v>
      </c>
      <c r="B11" s="1">
        <v>1</v>
      </c>
      <c r="C11" s="1">
        <v>1</v>
      </c>
      <c r="D11" s="1">
        <v>1</v>
      </c>
      <c r="E11" s="1">
        <v>1</v>
      </c>
      <c r="F11" s="1">
        <v>1</v>
      </c>
      <c r="G11" s="1">
        <v>1</v>
      </c>
    </row>
    <row r="12" spans="1:9" x14ac:dyDescent="0.25">
      <c r="A12" s="1">
        <v>2</v>
      </c>
      <c r="B12" s="1">
        <v>1</v>
      </c>
      <c r="C12" s="1">
        <v>1</v>
      </c>
      <c r="D12" s="1">
        <v>1</v>
      </c>
      <c r="E12" s="1">
        <v>1</v>
      </c>
      <c r="F12" s="1">
        <v>1</v>
      </c>
      <c r="G12" s="1">
        <v>1</v>
      </c>
    </row>
    <row r="13" spans="1:9" x14ac:dyDescent="0.25">
      <c r="A13" s="1">
        <v>3</v>
      </c>
      <c r="B13" s="1">
        <v>1</v>
      </c>
      <c r="C13" s="1">
        <v>1</v>
      </c>
      <c r="D13" s="1">
        <v>1</v>
      </c>
      <c r="E13" s="1">
        <v>1</v>
      </c>
      <c r="F13" s="1">
        <v>1</v>
      </c>
      <c r="G13" s="1">
        <v>1</v>
      </c>
    </row>
    <row r="14" spans="1:9" x14ac:dyDescent="0.25">
      <c r="A14" s="1">
        <v>4</v>
      </c>
      <c r="B14" s="1">
        <v>1</v>
      </c>
      <c r="C14" s="1">
        <v>1</v>
      </c>
      <c r="D14" s="1">
        <v>1</v>
      </c>
      <c r="E14" s="1">
        <v>1</v>
      </c>
      <c r="F14" s="1">
        <v>1</v>
      </c>
      <c r="G14" s="1">
        <v>1</v>
      </c>
    </row>
    <row r="15" spans="1:9" x14ac:dyDescent="0.25">
      <c r="A15" s="1">
        <v>5</v>
      </c>
      <c r="B15" s="1">
        <v>1</v>
      </c>
      <c r="C15" s="1">
        <v>1</v>
      </c>
      <c r="D15" s="1">
        <v>1</v>
      </c>
      <c r="E15" s="1">
        <v>1</v>
      </c>
      <c r="F15" s="1">
        <v>1</v>
      </c>
      <c r="G15" s="1">
        <v>1</v>
      </c>
    </row>
    <row r="16" spans="1:9" x14ac:dyDescent="0.25">
      <c r="A16" s="1">
        <v>6</v>
      </c>
      <c r="B16" s="1">
        <v>1</v>
      </c>
      <c r="C16" s="1">
        <v>1</v>
      </c>
      <c r="D16" s="1">
        <v>1</v>
      </c>
      <c r="E16" s="1">
        <v>1</v>
      </c>
      <c r="F16" s="1">
        <v>1</v>
      </c>
      <c r="G16" s="1">
        <v>1</v>
      </c>
    </row>
    <row r="17" spans="1:7" x14ac:dyDescent="0.25">
      <c r="A17" s="1">
        <v>7</v>
      </c>
      <c r="B17" s="1">
        <v>1</v>
      </c>
      <c r="C17" s="1">
        <v>1</v>
      </c>
      <c r="D17" s="1">
        <v>1</v>
      </c>
      <c r="E17" s="1">
        <v>1</v>
      </c>
      <c r="F17" s="1">
        <v>1</v>
      </c>
      <c r="G17" s="1">
        <v>1</v>
      </c>
    </row>
    <row r="18" spans="1:7" x14ac:dyDescent="0.25">
      <c r="A18" s="1">
        <v>8</v>
      </c>
      <c r="B18" s="1">
        <v>1</v>
      </c>
      <c r="C18" s="1">
        <v>1</v>
      </c>
      <c r="D18" s="1">
        <v>1</v>
      </c>
      <c r="E18" s="1">
        <v>1</v>
      </c>
      <c r="F18" s="1">
        <v>1</v>
      </c>
      <c r="G18" s="1">
        <v>1</v>
      </c>
    </row>
    <row r="19" spans="1:7" x14ac:dyDescent="0.25">
      <c r="A19" s="1">
        <v>9</v>
      </c>
      <c r="B19" s="1">
        <v>1</v>
      </c>
      <c r="C19" s="1">
        <v>1</v>
      </c>
      <c r="D19" s="1">
        <v>1</v>
      </c>
      <c r="E19" s="1">
        <v>1</v>
      </c>
      <c r="F19" s="1">
        <v>1</v>
      </c>
      <c r="G19" s="1">
        <v>1</v>
      </c>
    </row>
    <row r="20" spans="1:7" x14ac:dyDescent="0.25">
      <c r="A20" s="1">
        <v>10</v>
      </c>
      <c r="B20" s="1">
        <v>1</v>
      </c>
      <c r="C20" s="1">
        <v>1</v>
      </c>
      <c r="D20" s="1">
        <v>1</v>
      </c>
      <c r="E20" s="1">
        <v>1</v>
      </c>
      <c r="F20" s="1">
        <v>1</v>
      </c>
      <c r="G20" s="1">
        <v>1</v>
      </c>
    </row>
    <row r="21" spans="1:7" x14ac:dyDescent="0.25">
      <c r="A21" s="1">
        <v>11</v>
      </c>
      <c r="B21" s="1">
        <v>1</v>
      </c>
      <c r="C21" s="1">
        <v>1</v>
      </c>
      <c r="D21" s="1">
        <v>1</v>
      </c>
      <c r="E21" s="1">
        <v>1</v>
      </c>
      <c r="F21" s="1">
        <v>1</v>
      </c>
      <c r="G21" s="1">
        <v>1</v>
      </c>
    </row>
    <row r="22" spans="1:7" x14ac:dyDescent="0.25">
      <c r="A22" s="1">
        <v>12</v>
      </c>
      <c r="B22" s="1">
        <v>1</v>
      </c>
      <c r="C22" s="1">
        <v>1</v>
      </c>
      <c r="D22" s="1">
        <v>1</v>
      </c>
      <c r="E22" s="1">
        <v>1</v>
      </c>
      <c r="F22" s="1">
        <v>1</v>
      </c>
      <c r="G22" s="1">
        <v>1</v>
      </c>
    </row>
    <row r="23" spans="1:7" x14ac:dyDescent="0.25">
      <c r="A23" s="1">
        <v>13</v>
      </c>
      <c r="B23" s="1">
        <v>1</v>
      </c>
      <c r="C23" s="1">
        <v>1</v>
      </c>
      <c r="D23" s="1">
        <v>1</v>
      </c>
      <c r="E23" s="1">
        <v>1</v>
      </c>
      <c r="F23" s="1">
        <v>1</v>
      </c>
      <c r="G23" s="1">
        <v>1</v>
      </c>
    </row>
    <row r="24" spans="1:7" x14ac:dyDescent="0.25">
      <c r="A24" s="1">
        <v>14</v>
      </c>
      <c r="B24" s="1">
        <v>1</v>
      </c>
      <c r="C24" s="1">
        <v>1</v>
      </c>
      <c r="D24" s="1">
        <v>1</v>
      </c>
      <c r="E24" s="1">
        <v>1</v>
      </c>
      <c r="F24" s="1">
        <v>1</v>
      </c>
      <c r="G24" s="1">
        <v>1</v>
      </c>
    </row>
    <row r="25" spans="1:7" x14ac:dyDescent="0.25">
      <c r="A25" s="1">
        <v>15</v>
      </c>
      <c r="B25" s="1">
        <v>1</v>
      </c>
      <c r="C25" s="1">
        <v>1</v>
      </c>
      <c r="D25" s="1">
        <v>1</v>
      </c>
      <c r="E25" s="1">
        <v>1</v>
      </c>
      <c r="F25" s="1">
        <v>1</v>
      </c>
      <c r="G25" s="1">
        <v>1</v>
      </c>
    </row>
    <row r="26" spans="1:7" x14ac:dyDescent="0.25">
      <c r="A26" s="1">
        <v>16</v>
      </c>
      <c r="B26" s="1">
        <v>1</v>
      </c>
      <c r="C26" s="1">
        <v>1</v>
      </c>
      <c r="D26" s="1">
        <v>1</v>
      </c>
      <c r="E26" s="1">
        <v>1</v>
      </c>
      <c r="F26" s="1">
        <v>1</v>
      </c>
      <c r="G26" s="1">
        <v>1</v>
      </c>
    </row>
    <row r="27" spans="1:7" x14ac:dyDescent="0.25">
      <c r="A27" s="1">
        <v>17</v>
      </c>
      <c r="B27" s="1">
        <v>1</v>
      </c>
      <c r="C27" s="1">
        <v>1</v>
      </c>
      <c r="D27" s="1">
        <v>1</v>
      </c>
      <c r="E27" s="1">
        <v>1</v>
      </c>
      <c r="F27" s="1">
        <v>1</v>
      </c>
      <c r="G27" s="1">
        <v>1</v>
      </c>
    </row>
    <row r="28" spans="1:7" x14ac:dyDescent="0.25">
      <c r="A28" s="1">
        <v>18</v>
      </c>
      <c r="B28" s="1">
        <v>1</v>
      </c>
      <c r="C28" s="1">
        <v>1</v>
      </c>
      <c r="D28" s="1">
        <v>1</v>
      </c>
      <c r="E28" s="1">
        <v>1</v>
      </c>
      <c r="F28" s="1">
        <v>1</v>
      </c>
      <c r="G28" s="1">
        <v>1</v>
      </c>
    </row>
    <row r="29" spans="1:7" x14ac:dyDescent="0.25">
      <c r="A29" s="1">
        <v>19</v>
      </c>
      <c r="B29" s="1">
        <v>1</v>
      </c>
      <c r="C29" s="1">
        <v>1</v>
      </c>
      <c r="D29" s="1">
        <v>1</v>
      </c>
      <c r="E29" s="1">
        <v>1</v>
      </c>
      <c r="F29" s="1">
        <v>1</v>
      </c>
      <c r="G29" s="1">
        <v>1</v>
      </c>
    </row>
    <row r="30" spans="1:7" x14ac:dyDescent="0.25">
      <c r="A30" s="1">
        <v>20</v>
      </c>
      <c r="B30" s="1">
        <v>1</v>
      </c>
      <c r="C30" s="1">
        <v>1</v>
      </c>
      <c r="D30" s="1">
        <v>1</v>
      </c>
      <c r="E30" s="1">
        <v>1</v>
      </c>
      <c r="F30" s="1">
        <v>1</v>
      </c>
      <c r="G30" s="1">
        <v>1</v>
      </c>
    </row>
    <row r="31" spans="1:7" x14ac:dyDescent="0.25">
      <c r="A31" s="1">
        <v>21</v>
      </c>
      <c r="B31" s="1">
        <v>1</v>
      </c>
      <c r="C31" s="1">
        <v>1</v>
      </c>
      <c r="D31" s="1">
        <v>1</v>
      </c>
      <c r="E31" s="1">
        <v>1</v>
      </c>
      <c r="F31" s="1">
        <v>1</v>
      </c>
      <c r="G31" s="1">
        <v>1</v>
      </c>
    </row>
    <row r="32" spans="1:7" x14ac:dyDescent="0.25">
      <c r="A32" s="1">
        <v>22</v>
      </c>
      <c r="B32" s="1">
        <v>1</v>
      </c>
      <c r="C32" s="1">
        <v>1</v>
      </c>
      <c r="D32" s="1">
        <v>1</v>
      </c>
      <c r="E32" s="1">
        <v>1</v>
      </c>
      <c r="F32" s="1">
        <v>1</v>
      </c>
      <c r="G32" s="1">
        <v>1</v>
      </c>
    </row>
    <row r="33" spans="1:7" x14ac:dyDescent="0.25">
      <c r="A33" s="1">
        <v>23</v>
      </c>
      <c r="B33" s="1">
        <v>1</v>
      </c>
      <c r="C33" s="1">
        <v>1</v>
      </c>
      <c r="D33" s="1">
        <v>1</v>
      </c>
      <c r="E33" s="1">
        <v>1</v>
      </c>
      <c r="F33" s="1">
        <v>1</v>
      </c>
      <c r="G33" s="1">
        <v>1</v>
      </c>
    </row>
    <row r="34" spans="1:7" x14ac:dyDescent="0.25">
      <c r="A34" s="1">
        <v>24</v>
      </c>
      <c r="B34" s="1">
        <v>1</v>
      </c>
      <c r="C34" s="1">
        <v>1</v>
      </c>
      <c r="D34" s="1">
        <v>1</v>
      </c>
      <c r="E34" s="1">
        <v>1</v>
      </c>
      <c r="F34" s="1">
        <v>1</v>
      </c>
      <c r="G34" s="1">
        <v>1</v>
      </c>
    </row>
    <row r="35" spans="1:7" x14ac:dyDescent="0.25">
      <c r="A35" s="1">
        <v>25</v>
      </c>
      <c r="B35" s="1">
        <v>1</v>
      </c>
      <c r="C35" s="1">
        <v>1</v>
      </c>
      <c r="D35" s="1">
        <v>1</v>
      </c>
      <c r="E35" s="1">
        <v>1</v>
      </c>
      <c r="F35" s="1">
        <v>1</v>
      </c>
      <c r="G35" s="1">
        <v>1</v>
      </c>
    </row>
  </sheetData>
  <dataValidations count="2">
    <dataValidation type="list" showInputMessage="1" showErrorMessage="1" errorTitle="Invalid Input" sqref="B11:G1048576" xr:uid="{B53EB0B5-C7FA-5143-A6E6-7FC2A72F9ACA}">
      <formula1>"0,1"</formula1>
    </dataValidation>
    <dataValidation type="list" showInputMessage="1" showErrorMessage="1" errorTitle="Invalid Input" error="Choose from the list" sqref="A11:A1048576" xr:uid="{B3117207-44C7-4501-B7E2-0771817857E0}">
      <formula1>Point_ID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9FACB-756A-E348-83BC-C70442772EC8}">
  <sheetPr codeName="Sheet19"/>
  <dimension ref="A1:E7"/>
  <sheetViews>
    <sheetView zoomScale="130" zoomScaleNormal="130" workbookViewId="0">
      <selection activeCell="D4" sqref="D4"/>
    </sheetView>
  </sheetViews>
  <sheetFormatPr defaultColWidth="10.85546875" defaultRowHeight="15.75" x14ac:dyDescent="0.25"/>
  <cols>
    <col min="1" max="2" width="20.85546875" style="1" customWidth="1"/>
    <col min="3" max="3" width="15.85546875" style="1" customWidth="1"/>
    <col min="4" max="4" width="10.85546875" style="4"/>
    <col min="5" max="5" width="50.85546875" style="12" customWidth="1"/>
    <col min="6" max="16384" width="10.85546875" style="3"/>
  </cols>
  <sheetData>
    <row r="1" spans="1:5" s="8" customFormat="1" x14ac:dyDescent="0.25">
      <c r="A1" s="8" t="s">
        <v>121</v>
      </c>
      <c r="B1" s="8" t="s">
        <v>71</v>
      </c>
      <c r="C1" s="8" t="s">
        <v>122</v>
      </c>
      <c r="D1" s="8" t="s">
        <v>123</v>
      </c>
      <c r="E1" s="8" t="s">
        <v>124</v>
      </c>
    </row>
    <row r="2" spans="1:5" x14ac:dyDescent="0.25">
      <c r="A2" s="1" t="s">
        <v>125</v>
      </c>
      <c r="B2" s="1" t="s">
        <v>73</v>
      </c>
      <c r="C2" s="1" t="s">
        <v>131</v>
      </c>
      <c r="D2" s="4">
        <v>0.41</v>
      </c>
      <c r="E2" s="12" t="s">
        <v>133</v>
      </c>
    </row>
    <row r="3" spans="1:5" x14ac:dyDescent="0.25">
      <c r="A3" s="1" t="s">
        <v>126</v>
      </c>
      <c r="B3" s="1" t="s">
        <v>75</v>
      </c>
      <c r="C3" s="1" t="s">
        <v>131</v>
      </c>
      <c r="D3" s="4">
        <v>0.57999999999999996</v>
      </c>
      <c r="E3" s="12" t="s">
        <v>133</v>
      </c>
    </row>
    <row r="4" spans="1:5" x14ac:dyDescent="0.25">
      <c r="A4" s="1" t="s">
        <v>127</v>
      </c>
      <c r="B4" s="1" t="s">
        <v>73</v>
      </c>
      <c r="C4" s="1" t="s">
        <v>131</v>
      </c>
      <c r="D4" s="4">
        <v>1.1100000000000001</v>
      </c>
      <c r="E4" s="12" t="s">
        <v>134</v>
      </c>
    </row>
    <row r="5" spans="1:5" x14ac:dyDescent="0.25">
      <c r="A5" s="1" t="s">
        <v>128</v>
      </c>
      <c r="B5" s="1" t="s">
        <v>74</v>
      </c>
      <c r="C5" s="1" t="s">
        <v>131</v>
      </c>
      <c r="D5" s="4">
        <v>2.69</v>
      </c>
      <c r="E5" s="12" t="s">
        <v>134</v>
      </c>
    </row>
    <row r="6" spans="1:5" x14ac:dyDescent="0.25">
      <c r="A6" s="1" t="s">
        <v>129</v>
      </c>
      <c r="B6" s="1" t="s">
        <v>73</v>
      </c>
      <c r="C6" s="1" t="s">
        <v>132</v>
      </c>
      <c r="D6" s="4">
        <v>2.41</v>
      </c>
      <c r="E6" s="12" t="s">
        <v>135</v>
      </c>
    </row>
    <row r="7" spans="1:5" x14ac:dyDescent="0.25">
      <c r="A7" s="1" t="s">
        <v>130</v>
      </c>
      <c r="B7" s="1" t="s">
        <v>73</v>
      </c>
      <c r="C7" s="1" t="s">
        <v>132</v>
      </c>
      <c r="D7" s="4">
        <v>7.04</v>
      </c>
      <c r="E7" s="12" t="s">
        <v>136</v>
      </c>
    </row>
  </sheetData>
  <dataValidations count="3">
    <dataValidation allowBlank="1" showInputMessage="1" showErrorMessage="1" prompt="User input" sqref="A2:A1048576" xr:uid="{8D31C49A-1361-E747-AFDC-4EB7237E4AEA}"/>
    <dataValidation type="list" allowBlank="1" showInputMessage="1" showErrorMessage="1" error="Choose from the list" prompt="Choose load case type" sqref="B2:B1048576" xr:uid="{2D8B3756-9C07-3644-B3CB-867181E2CBBE}">
      <formula1>LC_Type</formula1>
    </dataValidation>
    <dataValidation type="list" allowBlank="1" showInputMessage="1" showErrorMessage="1" error="Choose from the list" prompt="Choose load type" sqref="C2:C1048576" xr:uid="{3BDF7959-48CA-9444-B342-3D19379B8BC7}">
      <formula1>"Area Load, Element Load, Point Load, Nodal Load"</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B4EC-3771-8645-8C6C-01F7C95730B5}">
  <sheetPr codeName="Sheet16"/>
  <dimension ref="A1:D1001"/>
  <sheetViews>
    <sheetView zoomScale="130" zoomScaleNormal="130" workbookViewId="0">
      <selection activeCell="F19" sqref="F19"/>
    </sheetView>
  </sheetViews>
  <sheetFormatPr defaultColWidth="10.85546875" defaultRowHeight="15.75" x14ac:dyDescent="0.25"/>
  <cols>
    <col min="1" max="2" width="15.85546875" style="9" customWidth="1"/>
    <col min="3" max="4" width="15.85546875" style="11" customWidth="1"/>
    <col min="5" max="16384" width="10.85546875" style="10"/>
  </cols>
  <sheetData>
    <row r="1" spans="1:4" s="8" customFormat="1" x14ac:dyDescent="0.25">
      <c r="A1" s="8" t="s">
        <v>87</v>
      </c>
      <c r="B1" s="8" t="s">
        <v>110</v>
      </c>
      <c r="C1" s="8" t="s">
        <v>113</v>
      </c>
      <c r="D1" s="8" t="s">
        <v>114</v>
      </c>
    </row>
    <row r="2" spans="1:4" x14ac:dyDescent="0.25">
      <c r="A2" s="9" t="str">
        <f>IF('Frame Sections'!A17=0,"",'Frame Sections'!A17)</f>
        <v>C1</v>
      </c>
      <c r="B2" s="9" t="str">
        <f t="shared" ref="B2:B65" si="0">IF(OR(A2=0,A2=""),"",VLOOKUP(A2,SecDB,5,FALSE))</f>
        <v>Elastic</v>
      </c>
      <c r="C2" s="11">
        <v>0</v>
      </c>
      <c r="D2" s="11">
        <v>0.6</v>
      </c>
    </row>
    <row r="3" spans="1:4" x14ac:dyDescent="0.25">
      <c r="A3" s="9" t="str">
        <f>IF('Frame Sections'!A18=0,"",'Frame Sections'!A18)</f>
        <v>B1</v>
      </c>
      <c r="B3" s="9" t="str">
        <f t="shared" si="0"/>
        <v>Elastic</v>
      </c>
      <c r="C3" s="11">
        <v>0</v>
      </c>
      <c r="D3" s="11">
        <v>0</v>
      </c>
    </row>
    <row r="4" spans="1:4" x14ac:dyDescent="0.25">
      <c r="A4" s="9" t="str">
        <f>IF('Frame Sections'!A19=0,"",'Frame Sections'!A19)</f>
        <v/>
      </c>
      <c r="B4" s="9" t="str">
        <f t="shared" si="0"/>
        <v/>
      </c>
    </row>
    <row r="5" spans="1:4" x14ac:dyDescent="0.25">
      <c r="A5" s="9" t="str">
        <f>IF('Frame Sections'!A20=0,"",'Frame Sections'!A20)</f>
        <v/>
      </c>
      <c r="B5" s="9" t="str">
        <f t="shared" si="0"/>
        <v/>
      </c>
    </row>
    <row r="6" spans="1:4" x14ac:dyDescent="0.25">
      <c r="A6" s="9" t="str">
        <f>IF('Frame Sections'!A21=0,"",'Frame Sections'!A21)</f>
        <v/>
      </c>
      <c r="B6" s="9" t="str">
        <f t="shared" si="0"/>
        <v/>
      </c>
    </row>
    <row r="7" spans="1:4" x14ac:dyDescent="0.25">
      <c r="A7" s="9" t="str">
        <f>IF('Frame Sections'!A22=0,"",'Frame Sections'!A22)</f>
        <v/>
      </c>
      <c r="B7" s="9" t="str">
        <f t="shared" si="0"/>
        <v/>
      </c>
    </row>
    <row r="8" spans="1:4" x14ac:dyDescent="0.25">
      <c r="A8" s="9" t="str">
        <f>IF('Frame Sections'!A23=0,"",'Frame Sections'!A23)</f>
        <v/>
      </c>
      <c r="B8" s="9" t="str">
        <f t="shared" si="0"/>
        <v/>
      </c>
    </row>
    <row r="9" spans="1:4" x14ac:dyDescent="0.25">
      <c r="A9" s="9" t="str">
        <f>IF('Frame Sections'!A24=0,"",'Frame Sections'!A24)</f>
        <v/>
      </c>
      <c r="B9" s="9" t="str">
        <f t="shared" si="0"/>
        <v/>
      </c>
    </row>
    <row r="10" spans="1:4" x14ac:dyDescent="0.25">
      <c r="A10" s="9" t="str">
        <f>IF('Frame Sections'!A25=0,"",'Frame Sections'!A25)</f>
        <v/>
      </c>
      <c r="B10" s="9" t="str">
        <f t="shared" si="0"/>
        <v/>
      </c>
    </row>
    <row r="11" spans="1:4" x14ac:dyDescent="0.25">
      <c r="A11" s="9" t="str">
        <f>IF('Frame Sections'!A26=0,"",'Frame Sections'!A26)</f>
        <v/>
      </c>
      <c r="B11" s="9" t="str">
        <f t="shared" si="0"/>
        <v/>
      </c>
    </row>
    <row r="12" spans="1:4" x14ac:dyDescent="0.25">
      <c r="A12" s="9" t="str">
        <f>IF('Frame Sections'!A27=0,"",'Frame Sections'!A27)</f>
        <v/>
      </c>
      <c r="B12" s="9" t="str">
        <f t="shared" si="0"/>
        <v/>
      </c>
    </row>
    <row r="13" spans="1:4" x14ac:dyDescent="0.25">
      <c r="A13" s="9" t="str">
        <f>IF('Frame Sections'!A28=0,"",'Frame Sections'!A28)</f>
        <v/>
      </c>
      <c r="B13" s="9" t="str">
        <f t="shared" si="0"/>
        <v/>
      </c>
    </row>
    <row r="14" spans="1:4" x14ac:dyDescent="0.25">
      <c r="A14" s="9" t="str">
        <f>IF('Frame Sections'!A29=0,"",'Frame Sections'!A29)</f>
        <v/>
      </c>
      <c r="B14" s="9" t="str">
        <f t="shared" si="0"/>
        <v/>
      </c>
    </row>
    <row r="15" spans="1:4" x14ac:dyDescent="0.25">
      <c r="A15" s="9" t="str">
        <f>IF('Frame Sections'!A30=0,"",'Frame Sections'!A30)</f>
        <v/>
      </c>
      <c r="B15" s="9" t="str">
        <f t="shared" si="0"/>
        <v/>
      </c>
    </row>
    <row r="16" spans="1:4" x14ac:dyDescent="0.25">
      <c r="A16" s="9" t="str">
        <f>IF('Frame Sections'!A31=0,"",'Frame Sections'!A31)</f>
        <v/>
      </c>
      <c r="B16" s="9" t="str">
        <f t="shared" si="0"/>
        <v/>
      </c>
    </row>
    <row r="17" spans="1:2" x14ac:dyDescent="0.25">
      <c r="A17" s="9" t="str">
        <f>IF('Frame Sections'!A32=0,"",'Frame Sections'!A32)</f>
        <v/>
      </c>
      <c r="B17" s="9" t="str">
        <f t="shared" si="0"/>
        <v/>
      </c>
    </row>
    <row r="18" spans="1:2" x14ac:dyDescent="0.25">
      <c r="A18" s="9" t="str">
        <f>IF('Frame Sections'!A33=0,"",'Frame Sections'!A33)</f>
        <v/>
      </c>
      <c r="B18" s="9" t="str">
        <f t="shared" si="0"/>
        <v/>
      </c>
    </row>
    <row r="19" spans="1:2" x14ac:dyDescent="0.25">
      <c r="A19" s="9" t="str">
        <f>IF('Frame Sections'!A34=0,"",'Frame Sections'!A34)</f>
        <v/>
      </c>
      <c r="B19" s="9" t="str">
        <f t="shared" si="0"/>
        <v/>
      </c>
    </row>
    <row r="20" spans="1:2" x14ac:dyDescent="0.25">
      <c r="A20" s="9" t="str">
        <f>IF('Frame Sections'!A35=0,"",'Frame Sections'!A35)</f>
        <v/>
      </c>
      <c r="B20" s="9" t="str">
        <f t="shared" si="0"/>
        <v/>
      </c>
    </row>
    <row r="21" spans="1:2" x14ac:dyDescent="0.25">
      <c r="A21" s="9" t="str">
        <f>IF('Frame Sections'!A36=0,"",'Frame Sections'!A36)</f>
        <v/>
      </c>
      <c r="B21" s="9" t="str">
        <f t="shared" si="0"/>
        <v/>
      </c>
    </row>
    <row r="22" spans="1:2" x14ac:dyDescent="0.25">
      <c r="A22" s="9" t="str">
        <f>IF('Frame Sections'!A37=0,"",'Frame Sections'!A37)</f>
        <v/>
      </c>
      <c r="B22" s="9" t="str">
        <f t="shared" si="0"/>
        <v/>
      </c>
    </row>
    <row r="23" spans="1:2" x14ac:dyDescent="0.25">
      <c r="A23" s="9" t="str">
        <f>IF('Frame Sections'!A38=0,"",'Frame Sections'!A38)</f>
        <v/>
      </c>
      <c r="B23" s="9" t="str">
        <f t="shared" si="0"/>
        <v/>
      </c>
    </row>
    <row r="24" spans="1:2" x14ac:dyDescent="0.25">
      <c r="A24" s="9" t="str">
        <f>IF('Frame Sections'!A39=0,"",'Frame Sections'!A39)</f>
        <v/>
      </c>
      <c r="B24" s="9" t="str">
        <f t="shared" si="0"/>
        <v/>
      </c>
    </row>
    <row r="25" spans="1:2" x14ac:dyDescent="0.25">
      <c r="A25" s="9" t="str">
        <f>IF('Frame Sections'!A40=0,"",'Frame Sections'!A40)</f>
        <v/>
      </c>
      <c r="B25" s="9" t="str">
        <f t="shared" si="0"/>
        <v/>
      </c>
    </row>
    <row r="26" spans="1:2" x14ac:dyDescent="0.25">
      <c r="A26" s="9" t="str">
        <f>IF('Frame Sections'!A41=0,"",'Frame Sections'!A41)</f>
        <v/>
      </c>
      <c r="B26" s="9" t="str">
        <f t="shared" si="0"/>
        <v/>
      </c>
    </row>
    <row r="27" spans="1:2" x14ac:dyDescent="0.25">
      <c r="A27" s="9" t="str">
        <f>IF('Frame Sections'!A42=0,"",'Frame Sections'!A42)</f>
        <v/>
      </c>
      <c r="B27" s="9" t="str">
        <f t="shared" si="0"/>
        <v/>
      </c>
    </row>
    <row r="28" spans="1:2" x14ac:dyDescent="0.25">
      <c r="A28" s="9" t="str">
        <f>IF('Frame Sections'!A43=0,"",'Frame Sections'!A43)</f>
        <v/>
      </c>
      <c r="B28" s="9" t="str">
        <f t="shared" si="0"/>
        <v/>
      </c>
    </row>
    <row r="29" spans="1:2" x14ac:dyDescent="0.25">
      <c r="A29" s="9" t="str">
        <f>IF('Frame Sections'!A44=0,"",'Frame Sections'!A44)</f>
        <v/>
      </c>
      <c r="B29" s="9" t="str">
        <f t="shared" si="0"/>
        <v/>
      </c>
    </row>
    <row r="30" spans="1:2" x14ac:dyDescent="0.25">
      <c r="A30" s="9" t="str">
        <f>IF('Frame Sections'!A45=0,"",'Frame Sections'!A45)</f>
        <v/>
      </c>
      <c r="B30" s="9" t="str">
        <f t="shared" si="0"/>
        <v/>
      </c>
    </row>
    <row r="31" spans="1:2" x14ac:dyDescent="0.25">
      <c r="A31" s="9" t="str">
        <f>IF('Frame Sections'!A46=0,"",'Frame Sections'!A46)</f>
        <v/>
      </c>
      <c r="B31" s="9" t="str">
        <f t="shared" si="0"/>
        <v/>
      </c>
    </row>
    <row r="32" spans="1:2" x14ac:dyDescent="0.25">
      <c r="A32" s="9" t="str">
        <f>IF('Frame Sections'!A47=0,"",'Frame Sections'!A47)</f>
        <v/>
      </c>
      <c r="B32" s="9" t="str">
        <f t="shared" si="0"/>
        <v/>
      </c>
    </row>
    <row r="33" spans="1:2" x14ac:dyDescent="0.25">
      <c r="A33" s="9" t="str">
        <f>IF('Frame Sections'!A48=0,"",'Frame Sections'!A48)</f>
        <v/>
      </c>
      <c r="B33" s="9" t="str">
        <f t="shared" si="0"/>
        <v/>
      </c>
    </row>
    <row r="34" spans="1:2" x14ac:dyDescent="0.25">
      <c r="A34" s="9" t="str">
        <f>IF('Frame Sections'!A49=0,"",'Frame Sections'!A49)</f>
        <v/>
      </c>
      <c r="B34" s="9" t="str">
        <f t="shared" si="0"/>
        <v/>
      </c>
    </row>
    <row r="35" spans="1:2" x14ac:dyDescent="0.25">
      <c r="A35" s="9" t="str">
        <f>IF('Frame Sections'!A50=0,"",'Frame Sections'!A50)</f>
        <v/>
      </c>
      <c r="B35" s="9" t="str">
        <f t="shared" si="0"/>
        <v/>
      </c>
    </row>
    <row r="36" spans="1:2" x14ac:dyDescent="0.25">
      <c r="A36" s="9" t="str">
        <f>IF('Frame Sections'!A51=0,"",'Frame Sections'!A51)</f>
        <v/>
      </c>
      <c r="B36" s="9" t="str">
        <f t="shared" si="0"/>
        <v/>
      </c>
    </row>
    <row r="37" spans="1:2" x14ac:dyDescent="0.25">
      <c r="A37" s="9" t="str">
        <f>IF('Frame Sections'!A52=0,"",'Frame Sections'!A52)</f>
        <v/>
      </c>
      <c r="B37" s="9" t="str">
        <f t="shared" si="0"/>
        <v/>
      </c>
    </row>
    <row r="38" spans="1:2" x14ac:dyDescent="0.25">
      <c r="A38" s="9" t="str">
        <f>IF('Frame Sections'!A53=0,"",'Frame Sections'!A53)</f>
        <v/>
      </c>
      <c r="B38" s="9" t="str">
        <f t="shared" si="0"/>
        <v/>
      </c>
    </row>
    <row r="39" spans="1:2" x14ac:dyDescent="0.25">
      <c r="A39" s="9" t="str">
        <f>IF('Frame Sections'!A54=0,"",'Frame Sections'!A54)</f>
        <v/>
      </c>
      <c r="B39" s="9" t="str">
        <f t="shared" si="0"/>
        <v/>
      </c>
    </row>
    <row r="40" spans="1:2" x14ac:dyDescent="0.25">
      <c r="A40" s="9" t="str">
        <f>IF('Frame Sections'!A55=0,"",'Frame Sections'!A55)</f>
        <v/>
      </c>
      <c r="B40" s="9" t="str">
        <f t="shared" si="0"/>
        <v/>
      </c>
    </row>
    <row r="41" spans="1:2" x14ac:dyDescent="0.25">
      <c r="A41" s="9" t="str">
        <f>IF('Frame Sections'!A56=0,"",'Frame Sections'!A56)</f>
        <v/>
      </c>
      <c r="B41" s="9" t="str">
        <f t="shared" si="0"/>
        <v/>
      </c>
    </row>
    <row r="42" spans="1:2" x14ac:dyDescent="0.25">
      <c r="A42" s="9" t="str">
        <f>IF('Frame Sections'!A57=0,"",'Frame Sections'!A57)</f>
        <v/>
      </c>
      <c r="B42" s="9" t="str">
        <f t="shared" si="0"/>
        <v/>
      </c>
    </row>
    <row r="43" spans="1:2" x14ac:dyDescent="0.25">
      <c r="A43" s="9" t="str">
        <f>IF('Frame Sections'!A58=0,"",'Frame Sections'!A58)</f>
        <v/>
      </c>
      <c r="B43" s="9" t="str">
        <f t="shared" si="0"/>
        <v/>
      </c>
    </row>
    <row r="44" spans="1:2" x14ac:dyDescent="0.25">
      <c r="A44" s="9" t="str">
        <f>IF('Frame Sections'!A59=0,"",'Frame Sections'!A59)</f>
        <v/>
      </c>
      <c r="B44" s="9" t="str">
        <f t="shared" si="0"/>
        <v/>
      </c>
    </row>
    <row r="45" spans="1:2" x14ac:dyDescent="0.25">
      <c r="A45" s="9" t="str">
        <f>IF('Frame Sections'!A60=0,"",'Frame Sections'!A60)</f>
        <v/>
      </c>
      <c r="B45" s="9" t="str">
        <f t="shared" si="0"/>
        <v/>
      </c>
    </row>
    <row r="46" spans="1:2" x14ac:dyDescent="0.25">
      <c r="A46" s="9" t="str">
        <f>IF('Frame Sections'!A61=0,"",'Frame Sections'!A61)</f>
        <v/>
      </c>
      <c r="B46" s="9" t="str">
        <f t="shared" si="0"/>
        <v/>
      </c>
    </row>
    <row r="47" spans="1:2" x14ac:dyDescent="0.25">
      <c r="A47" s="9" t="str">
        <f>IF('Frame Sections'!A62=0,"",'Frame Sections'!A62)</f>
        <v/>
      </c>
      <c r="B47" s="9" t="str">
        <f t="shared" si="0"/>
        <v/>
      </c>
    </row>
    <row r="48" spans="1:2" x14ac:dyDescent="0.25">
      <c r="A48" s="9" t="str">
        <f>IF('Frame Sections'!A63=0,"",'Frame Sections'!A63)</f>
        <v/>
      </c>
      <c r="B48" s="9" t="str">
        <f t="shared" si="0"/>
        <v/>
      </c>
    </row>
    <row r="49" spans="1:2" x14ac:dyDescent="0.25">
      <c r="A49" s="9" t="str">
        <f>IF('Frame Sections'!A64=0,"",'Frame Sections'!A64)</f>
        <v/>
      </c>
      <c r="B49" s="9" t="str">
        <f t="shared" si="0"/>
        <v/>
      </c>
    </row>
    <row r="50" spans="1:2" x14ac:dyDescent="0.25">
      <c r="A50" s="9" t="str">
        <f>IF('Frame Sections'!A65=0,"",'Frame Sections'!A65)</f>
        <v/>
      </c>
      <c r="B50" s="9" t="str">
        <f t="shared" si="0"/>
        <v/>
      </c>
    </row>
    <row r="51" spans="1:2" x14ac:dyDescent="0.25">
      <c r="A51" s="9" t="str">
        <f>IF('Frame Sections'!A66=0,"",'Frame Sections'!A66)</f>
        <v/>
      </c>
      <c r="B51" s="9" t="str">
        <f t="shared" si="0"/>
        <v/>
      </c>
    </row>
    <row r="52" spans="1:2" x14ac:dyDescent="0.25">
      <c r="A52" s="9" t="str">
        <f>IF('Frame Sections'!A67=0,"",'Frame Sections'!A67)</f>
        <v/>
      </c>
      <c r="B52" s="9" t="str">
        <f t="shared" si="0"/>
        <v/>
      </c>
    </row>
    <row r="53" spans="1:2" x14ac:dyDescent="0.25">
      <c r="A53" s="9" t="str">
        <f>IF('Frame Sections'!A68=0,"",'Frame Sections'!A68)</f>
        <v/>
      </c>
      <c r="B53" s="9" t="str">
        <f t="shared" si="0"/>
        <v/>
      </c>
    </row>
    <row r="54" spans="1:2" x14ac:dyDescent="0.25">
      <c r="A54" s="9" t="str">
        <f>IF('Frame Sections'!A69=0,"",'Frame Sections'!A69)</f>
        <v/>
      </c>
      <c r="B54" s="9" t="str">
        <f t="shared" si="0"/>
        <v/>
      </c>
    </row>
    <row r="55" spans="1:2" x14ac:dyDescent="0.25">
      <c r="A55" s="9" t="str">
        <f>IF('Frame Sections'!A70=0,"",'Frame Sections'!A70)</f>
        <v/>
      </c>
      <c r="B55" s="9" t="str">
        <f t="shared" si="0"/>
        <v/>
      </c>
    </row>
    <row r="56" spans="1:2" x14ac:dyDescent="0.25">
      <c r="A56" s="9" t="str">
        <f>IF('Frame Sections'!A71=0,"",'Frame Sections'!A71)</f>
        <v/>
      </c>
      <c r="B56" s="9" t="str">
        <f t="shared" si="0"/>
        <v/>
      </c>
    </row>
    <row r="57" spans="1:2" x14ac:dyDescent="0.25">
      <c r="A57" s="9" t="str">
        <f>IF('Frame Sections'!A72=0,"",'Frame Sections'!A72)</f>
        <v/>
      </c>
      <c r="B57" s="9" t="str">
        <f t="shared" si="0"/>
        <v/>
      </c>
    </row>
    <row r="58" spans="1:2" x14ac:dyDescent="0.25">
      <c r="A58" s="9" t="str">
        <f>IF('Frame Sections'!A73=0,"",'Frame Sections'!A73)</f>
        <v/>
      </c>
      <c r="B58" s="9" t="str">
        <f t="shared" si="0"/>
        <v/>
      </c>
    </row>
    <row r="59" spans="1:2" x14ac:dyDescent="0.25">
      <c r="A59" s="9" t="str">
        <f>IF('Frame Sections'!A74=0,"",'Frame Sections'!A74)</f>
        <v/>
      </c>
      <c r="B59" s="9" t="str">
        <f t="shared" si="0"/>
        <v/>
      </c>
    </row>
    <row r="60" spans="1:2" x14ac:dyDescent="0.25">
      <c r="A60" s="9" t="str">
        <f>IF('Frame Sections'!A75=0,"",'Frame Sections'!A75)</f>
        <v/>
      </c>
      <c r="B60" s="9" t="str">
        <f t="shared" si="0"/>
        <v/>
      </c>
    </row>
    <row r="61" spans="1:2" x14ac:dyDescent="0.25">
      <c r="A61" s="9" t="str">
        <f>IF('Frame Sections'!A76=0,"",'Frame Sections'!A76)</f>
        <v/>
      </c>
      <c r="B61" s="9" t="str">
        <f t="shared" si="0"/>
        <v/>
      </c>
    </row>
    <row r="62" spans="1:2" x14ac:dyDescent="0.25">
      <c r="A62" s="9" t="str">
        <f>IF('Frame Sections'!A77=0,"",'Frame Sections'!A77)</f>
        <v/>
      </c>
      <c r="B62" s="9" t="str">
        <f t="shared" si="0"/>
        <v/>
      </c>
    </row>
    <row r="63" spans="1:2" x14ac:dyDescent="0.25">
      <c r="A63" s="9" t="str">
        <f>IF('Frame Sections'!A78=0,"",'Frame Sections'!A78)</f>
        <v/>
      </c>
      <c r="B63" s="9" t="str">
        <f t="shared" si="0"/>
        <v/>
      </c>
    </row>
    <row r="64" spans="1:2" x14ac:dyDescent="0.25">
      <c r="A64" s="9" t="str">
        <f>IF('Frame Sections'!A79=0,"",'Frame Sections'!A79)</f>
        <v/>
      </c>
      <c r="B64" s="9" t="str">
        <f t="shared" si="0"/>
        <v/>
      </c>
    </row>
    <row r="65" spans="1:2" x14ac:dyDescent="0.25">
      <c r="A65" s="9" t="str">
        <f>IF('Frame Sections'!A80=0,"",'Frame Sections'!A80)</f>
        <v/>
      </c>
      <c r="B65" s="9" t="str">
        <f t="shared" si="0"/>
        <v/>
      </c>
    </row>
    <row r="66" spans="1:2" x14ac:dyDescent="0.25">
      <c r="A66" s="9" t="str">
        <f>IF('Frame Sections'!A81=0,"",'Frame Sections'!A81)</f>
        <v/>
      </c>
      <c r="B66" s="9" t="str">
        <f t="shared" ref="B66:B129" si="1">IF(OR(A66=0,A66=""),"",VLOOKUP(A66,SecDB,5,FALSE))</f>
        <v/>
      </c>
    </row>
    <row r="67" spans="1:2" x14ac:dyDescent="0.25">
      <c r="A67" s="9" t="str">
        <f>IF('Frame Sections'!A82=0,"",'Frame Sections'!A82)</f>
        <v/>
      </c>
      <c r="B67" s="9" t="str">
        <f t="shared" si="1"/>
        <v/>
      </c>
    </row>
    <row r="68" spans="1:2" x14ac:dyDescent="0.25">
      <c r="A68" s="9" t="str">
        <f>IF('Frame Sections'!A83=0,"",'Frame Sections'!A83)</f>
        <v/>
      </c>
      <c r="B68" s="9" t="str">
        <f t="shared" si="1"/>
        <v/>
      </c>
    </row>
    <row r="69" spans="1:2" x14ac:dyDescent="0.25">
      <c r="A69" s="9" t="str">
        <f>IF('Frame Sections'!A84=0,"",'Frame Sections'!A84)</f>
        <v/>
      </c>
      <c r="B69" s="9" t="str">
        <f t="shared" si="1"/>
        <v/>
      </c>
    </row>
    <row r="70" spans="1:2" x14ac:dyDescent="0.25">
      <c r="A70" s="9" t="str">
        <f>IF('Frame Sections'!A85=0,"",'Frame Sections'!A85)</f>
        <v/>
      </c>
      <c r="B70" s="9" t="str">
        <f t="shared" si="1"/>
        <v/>
      </c>
    </row>
    <row r="71" spans="1:2" x14ac:dyDescent="0.25">
      <c r="A71" s="9" t="str">
        <f>IF('Frame Sections'!A86=0,"",'Frame Sections'!A86)</f>
        <v/>
      </c>
      <c r="B71" s="9" t="str">
        <f t="shared" si="1"/>
        <v/>
      </c>
    </row>
    <row r="72" spans="1:2" x14ac:dyDescent="0.25">
      <c r="A72" s="9" t="str">
        <f>IF('Frame Sections'!A87=0,"",'Frame Sections'!A87)</f>
        <v/>
      </c>
      <c r="B72" s="9" t="str">
        <f t="shared" si="1"/>
        <v/>
      </c>
    </row>
    <row r="73" spans="1:2" x14ac:dyDescent="0.25">
      <c r="A73" s="9" t="str">
        <f>IF('Frame Sections'!A88=0,"",'Frame Sections'!A88)</f>
        <v/>
      </c>
      <c r="B73" s="9" t="str">
        <f t="shared" si="1"/>
        <v/>
      </c>
    </row>
    <row r="74" spans="1:2" x14ac:dyDescent="0.25">
      <c r="A74" s="9" t="str">
        <f>IF('Frame Sections'!A89=0,"",'Frame Sections'!A89)</f>
        <v/>
      </c>
      <c r="B74" s="9" t="str">
        <f t="shared" si="1"/>
        <v/>
      </c>
    </row>
    <row r="75" spans="1:2" x14ac:dyDescent="0.25">
      <c r="A75" s="9" t="str">
        <f>IF('Frame Sections'!A90=0,"",'Frame Sections'!A90)</f>
        <v/>
      </c>
      <c r="B75" s="9" t="str">
        <f t="shared" si="1"/>
        <v/>
      </c>
    </row>
    <row r="76" spans="1:2" x14ac:dyDescent="0.25">
      <c r="A76" s="9" t="str">
        <f>IF('Frame Sections'!A91=0,"",'Frame Sections'!A91)</f>
        <v/>
      </c>
      <c r="B76" s="9" t="str">
        <f t="shared" si="1"/>
        <v/>
      </c>
    </row>
    <row r="77" spans="1:2" x14ac:dyDescent="0.25">
      <c r="A77" s="9" t="str">
        <f>IF('Frame Sections'!A92=0,"",'Frame Sections'!A92)</f>
        <v/>
      </c>
      <c r="B77" s="9" t="str">
        <f t="shared" si="1"/>
        <v/>
      </c>
    </row>
    <row r="78" spans="1:2" x14ac:dyDescent="0.25">
      <c r="A78" s="9" t="str">
        <f>IF('Frame Sections'!A93=0,"",'Frame Sections'!A93)</f>
        <v/>
      </c>
      <c r="B78" s="9" t="str">
        <f t="shared" si="1"/>
        <v/>
      </c>
    </row>
    <row r="79" spans="1:2" x14ac:dyDescent="0.25">
      <c r="A79" s="9" t="str">
        <f>IF('Frame Sections'!A94=0,"",'Frame Sections'!A94)</f>
        <v/>
      </c>
      <c r="B79" s="9" t="str">
        <f t="shared" si="1"/>
        <v/>
      </c>
    </row>
    <row r="80" spans="1:2" x14ac:dyDescent="0.25">
      <c r="A80" s="9" t="str">
        <f>IF('Frame Sections'!A95=0,"",'Frame Sections'!A95)</f>
        <v/>
      </c>
      <c r="B80" s="9" t="str">
        <f t="shared" si="1"/>
        <v/>
      </c>
    </row>
    <row r="81" spans="1:2" x14ac:dyDescent="0.25">
      <c r="A81" s="9" t="str">
        <f>IF('Frame Sections'!A96=0,"",'Frame Sections'!A96)</f>
        <v/>
      </c>
      <c r="B81" s="9" t="str">
        <f t="shared" si="1"/>
        <v/>
      </c>
    </row>
    <row r="82" spans="1:2" x14ac:dyDescent="0.25">
      <c r="A82" s="9" t="str">
        <f>IF('Frame Sections'!A97=0,"",'Frame Sections'!A97)</f>
        <v/>
      </c>
      <c r="B82" s="9" t="str">
        <f t="shared" si="1"/>
        <v/>
      </c>
    </row>
    <row r="83" spans="1:2" x14ac:dyDescent="0.25">
      <c r="A83" s="9" t="str">
        <f>IF('Frame Sections'!A98=0,"",'Frame Sections'!A98)</f>
        <v/>
      </c>
      <c r="B83" s="9" t="str">
        <f t="shared" si="1"/>
        <v/>
      </c>
    </row>
    <row r="84" spans="1:2" x14ac:dyDescent="0.25">
      <c r="A84" s="9" t="str">
        <f>IF('Frame Sections'!A99=0,"",'Frame Sections'!A99)</f>
        <v/>
      </c>
      <c r="B84" s="9" t="str">
        <f t="shared" si="1"/>
        <v/>
      </c>
    </row>
    <row r="85" spans="1:2" x14ac:dyDescent="0.25">
      <c r="A85" s="9" t="str">
        <f>IF('Frame Sections'!A100=0,"",'Frame Sections'!A100)</f>
        <v/>
      </c>
      <c r="B85" s="9" t="str">
        <f t="shared" si="1"/>
        <v/>
      </c>
    </row>
    <row r="86" spans="1:2" x14ac:dyDescent="0.25">
      <c r="A86" s="9" t="str">
        <f>IF('Frame Sections'!A101=0,"",'Frame Sections'!A101)</f>
        <v/>
      </c>
      <c r="B86" s="9" t="str">
        <f t="shared" si="1"/>
        <v/>
      </c>
    </row>
    <row r="87" spans="1:2" x14ac:dyDescent="0.25">
      <c r="A87" s="9" t="str">
        <f>IF('Frame Sections'!A102=0,"",'Frame Sections'!A102)</f>
        <v/>
      </c>
      <c r="B87" s="9" t="str">
        <f t="shared" si="1"/>
        <v/>
      </c>
    </row>
    <row r="88" spans="1:2" x14ac:dyDescent="0.25">
      <c r="A88" s="9" t="str">
        <f>IF('Frame Sections'!A103=0,"",'Frame Sections'!A103)</f>
        <v/>
      </c>
      <c r="B88" s="9" t="str">
        <f t="shared" si="1"/>
        <v/>
      </c>
    </row>
    <row r="89" spans="1:2" x14ac:dyDescent="0.25">
      <c r="A89" s="9" t="str">
        <f>IF('Frame Sections'!A104=0,"",'Frame Sections'!A104)</f>
        <v/>
      </c>
      <c r="B89" s="9" t="str">
        <f t="shared" si="1"/>
        <v/>
      </c>
    </row>
    <row r="90" spans="1:2" x14ac:dyDescent="0.25">
      <c r="A90" s="9" t="str">
        <f>IF('Frame Sections'!A105=0,"",'Frame Sections'!A105)</f>
        <v/>
      </c>
      <c r="B90" s="9" t="str">
        <f t="shared" si="1"/>
        <v/>
      </c>
    </row>
    <row r="91" spans="1:2" x14ac:dyDescent="0.25">
      <c r="A91" s="9" t="str">
        <f>IF('Frame Sections'!A106=0,"",'Frame Sections'!A106)</f>
        <v/>
      </c>
      <c r="B91" s="9" t="str">
        <f t="shared" si="1"/>
        <v/>
      </c>
    </row>
    <row r="92" spans="1:2" x14ac:dyDescent="0.25">
      <c r="A92" s="9" t="str">
        <f>IF('Frame Sections'!A107=0,"",'Frame Sections'!A107)</f>
        <v/>
      </c>
      <c r="B92" s="9" t="str">
        <f t="shared" si="1"/>
        <v/>
      </c>
    </row>
    <row r="93" spans="1:2" x14ac:dyDescent="0.25">
      <c r="A93" s="9" t="str">
        <f>IF('Frame Sections'!A108=0,"",'Frame Sections'!A108)</f>
        <v/>
      </c>
      <c r="B93" s="9" t="str">
        <f t="shared" si="1"/>
        <v/>
      </c>
    </row>
    <row r="94" spans="1:2" x14ac:dyDescent="0.25">
      <c r="A94" s="9" t="str">
        <f>IF('Frame Sections'!A109=0,"",'Frame Sections'!A109)</f>
        <v/>
      </c>
      <c r="B94" s="9" t="str">
        <f t="shared" si="1"/>
        <v/>
      </c>
    </row>
    <row r="95" spans="1:2" x14ac:dyDescent="0.25">
      <c r="A95" s="9" t="str">
        <f>IF('Frame Sections'!A110=0,"",'Frame Sections'!A110)</f>
        <v/>
      </c>
      <c r="B95" s="9" t="str">
        <f t="shared" si="1"/>
        <v/>
      </c>
    </row>
    <row r="96" spans="1:2" x14ac:dyDescent="0.25">
      <c r="A96" s="9" t="str">
        <f>IF('Frame Sections'!A111=0,"",'Frame Sections'!A111)</f>
        <v/>
      </c>
      <c r="B96" s="9" t="str">
        <f t="shared" si="1"/>
        <v/>
      </c>
    </row>
    <row r="97" spans="1:2" x14ac:dyDescent="0.25">
      <c r="A97" s="9" t="str">
        <f>IF('Frame Sections'!A112=0,"",'Frame Sections'!A112)</f>
        <v/>
      </c>
      <c r="B97" s="9" t="str">
        <f t="shared" si="1"/>
        <v/>
      </c>
    </row>
    <row r="98" spans="1:2" x14ac:dyDescent="0.25">
      <c r="A98" s="9" t="str">
        <f>IF('Frame Sections'!A113=0,"",'Frame Sections'!A113)</f>
        <v/>
      </c>
      <c r="B98" s="9" t="str">
        <f t="shared" si="1"/>
        <v/>
      </c>
    </row>
    <row r="99" spans="1:2" x14ac:dyDescent="0.25">
      <c r="A99" s="9" t="str">
        <f>IF('Frame Sections'!A114=0,"",'Frame Sections'!A114)</f>
        <v/>
      </c>
      <c r="B99" s="9" t="str">
        <f t="shared" si="1"/>
        <v/>
      </c>
    </row>
    <row r="100" spans="1:2" x14ac:dyDescent="0.25">
      <c r="A100" s="9" t="str">
        <f>IF('Frame Sections'!A115=0,"",'Frame Sections'!A115)</f>
        <v/>
      </c>
      <c r="B100" s="9" t="str">
        <f t="shared" si="1"/>
        <v/>
      </c>
    </row>
    <row r="101" spans="1:2" x14ac:dyDescent="0.25">
      <c r="A101" s="9" t="str">
        <f>IF('Frame Sections'!A116=0,"",'Frame Sections'!A116)</f>
        <v/>
      </c>
      <c r="B101" s="9" t="str">
        <f t="shared" si="1"/>
        <v/>
      </c>
    </row>
    <row r="102" spans="1:2" x14ac:dyDescent="0.25">
      <c r="A102" s="9" t="str">
        <f>IF('Frame Sections'!A117=0,"",'Frame Sections'!A117)</f>
        <v/>
      </c>
      <c r="B102" s="9" t="str">
        <f t="shared" si="1"/>
        <v/>
      </c>
    </row>
    <row r="103" spans="1:2" x14ac:dyDescent="0.25">
      <c r="A103" s="9" t="str">
        <f>IF('Frame Sections'!A118=0,"",'Frame Sections'!A118)</f>
        <v/>
      </c>
      <c r="B103" s="9" t="str">
        <f t="shared" si="1"/>
        <v/>
      </c>
    </row>
    <row r="104" spans="1:2" x14ac:dyDescent="0.25">
      <c r="A104" s="9" t="str">
        <f>IF('Frame Sections'!A119=0,"",'Frame Sections'!A119)</f>
        <v/>
      </c>
      <c r="B104" s="9" t="str">
        <f t="shared" si="1"/>
        <v/>
      </c>
    </row>
    <row r="105" spans="1:2" x14ac:dyDescent="0.25">
      <c r="A105" s="9" t="str">
        <f>IF('Frame Sections'!A120=0,"",'Frame Sections'!A120)</f>
        <v/>
      </c>
      <c r="B105" s="9" t="str">
        <f t="shared" si="1"/>
        <v/>
      </c>
    </row>
    <row r="106" spans="1:2" x14ac:dyDescent="0.25">
      <c r="A106" s="9" t="str">
        <f>IF('Frame Sections'!A121=0,"",'Frame Sections'!A121)</f>
        <v/>
      </c>
      <c r="B106" s="9" t="str">
        <f t="shared" si="1"/>
        <v/>
      </c>
    </row>
    <row r="107" spans="1:2" x14ac:dyDescent="0.25">
      <c r="A107" s="9" t="str">
        <f>IF('Frame Sections'!A122=0,"",'Frame Sections'!A122)</f>
        <v/>
      </c>
      <c r="B107" s="9" t="str">
        <f t="shared" si="1"/>
        <v/>
      </c>
    </row>
    <row r="108" spans="1:2" x14ac:dyDescent="0.25">
      <c r="A108" s="9" t="str">
        <f>IF('Frame Sections'!A123=0,"",'Frame Sections'!A123)</f>
        <v/>
      </c>
      <c r="B108" s="9" t="str">
        <f t="shared" si="1"/>
        <v/>
      </c>
    </row>
    <row r="109" spans="1:2" x14ac:dyDescent="0.25">
      <c r="A109" s="9" t="str">
        <f>IF('Frame Sections'!A124=0,"",'Frame Sections'!A124)</f>
        <v/>
      </c>
      <c r="B109" s="9" t="str">
        <f t="shared" si="1"/>
        <v/>
      </c>
    </row>
    <row r="110" spans="1:2" x14ac:dyDescent="0.25">
      <c r="A110" s="9" t="str">
        <f>IF('Frame Sections'!A125=0,"",'Frame Sections'!A125)</f>
        <v/>
      </c>
      <c r="B110" s="9" t="str">
        <f t="shared" si="1"/>
        <v/>
      </c>
    </row>
    <row r="111" spans="1:2" x14ac:dyDescent="0.25">
      <c r="A111" s="9" t="str">
        <f>IF('Frame Sections'!A126=0,"",'Frame Sections'!A126)</f>
        <v/>
      </c>
      <c r="B111" s="9" t="str">
        <f t="shared" si="1"/>
        <v/>
      </c>
    </row>
    <row r="112" spans="1:2" x14ac:dyDescent="0.25">
      <c r="A112" s="9" t="str">
        <f>IF('Frame Sections'!A127=0,"",'Frame Sections'!A127)</f>
        <v/>
      </c>
      <c r="B112" s="9" t="str">
        <f t="shared" si="1"/>
        <v/>
      </c>
    </row>
    <row r="113" spans="1:2" x14ac:dyDescent="0.25">
      <c r="A113" s="9" t="str">
        <f>IF('Frame Sections'!A128=0,"",'Frame Sections'!A128)</f>
        <v/>
      </c>
      <c r="B113" s="9" t="str">
        <f t="shared" si="1"/>
        <v/>
      </c>
    </row>
    <row r="114" spans="1:2" x14ac:dyDescent="0.25">
      <c r="A114" s="9" t="str">
        <f>IF('Frame Sections'!A129=0,"",'Frame Sections'!A129)</f>
        <v/>
      </c>
      <c r="B114" s="9" t="str">
        <f t="shared" si="1"/>
        <v/>
      </c>
    </row>
    <row r="115" spans="1:2" x14ac:dyDescent="0.25">
      <c r="A115" s="9" t="str">
        <f>IF('Frame Sections'!A130=0,"",'Frame Sections'!A130)</f>
        <v/>
      </c>
      <c r="B115" s="9" t="str">
        <f t="shared" si="1"/>
        <v/>
      </c>
    </row>
    <row r="116" spans="1:2" x14ac:dyDescent="0.25">
      <c r="A116" s="9" t="str">
        <f>IF('Frame Sections'!A131=0,"",'Frame Sections'!A131)</f>
        <v/>
      </c>
      <c r="B116" s="9" t="str">
        <f t="shared" si="1"/>
        <v/>
      </c>
    </row>
    <row r="117" spans="1:2" x14ac:dyDescent="0.25">
      <c r="A117" s="9" t="str">
        <f>IF('Frame Sections'!A132=0,"",'Frame Sections'!A132)</f>
        <v/>
      </c>
      <c r="B117" s="9" t="str">
        <f t="shared" si="1"/>
        <v/>
      </c>
    </row>
    <row r="118" spans="1:2" x14ac:dyDescent="0.25">
      <c r="A118" s="9" t="str">
        <f>IF('Frame Sections'!A133=0,"",'Frame Sections'!A133)</f>
        <v/>
      </c>
      <c r="B118" s="9" t="str">
        <f t="shared" si="1"/>
        <v/>
      </c>
    </row>
    <row r="119" spans="1:2" x14ac:dyDescent="0.25">
      <c r="A119" s="9" t="str">
        <f>IF('Frame Sections'!A134=0,"",'Frame Sections'!A134)</f>
        <v/>
      </c>
      <c r="B119" s="9" t="str">
        <f t="shared" si="1"/>
        <v/>
      </c>
    </row>
    <row r="120" spans="1:2" x14ac:dyDescent="0.25">
      <c r="A120" s="9" t="str">
        <f>IF('Frame Sections'!A135=0,"",'Frame Sections'!A135)</f>
        <v/>
      </c>
      <c r="B120" s="9" t="str">
        <f t="shared" si="1"/>
        <v/>
      </c>
    </row>
    <row r="121" spans="1:2" x14ac:dyDescent="0.25">
      <c r="A121" s="9" t="str">
        <f>IF('Frame Sections'!A136=0,"",'Frame Sections'!A136)</f>
        <v/>
      </c>
      <c r="B121" s="9" t="str">
        <f t="shared" si="1"/>
        <v/>
      </c>
    </row>
    <row r="122" spans="1:2" x14ac:dyDescent="0.25">
      <c r="A122" s="9" t="str">
        <f>IF('Frame Sections'!A137=0,"",'Frame Sections'!A137)</f>
        <v/>
      </c>
      <c r="B122" s="9" t="str">
        <f t="shared" si="1"/>
        <v/>
      </c>
    </row>
    <row r="123" spans="1:2" x14ac:dyDescent="0.25">
      <c r="A123" s="9" t="str">
        <f>IF('Frame Sections'!A138=0,"",'Frame Sections'!A138)</f>
        <v/>
      </c>
      <c r="B123" s="9" t="str">
        <f t="shared" si="1"/>
        <v/>
      </c>
    </row>
    <row r="124" spans="1:2" x14ac:dyDescent="0.25">
      <c r="A124" s="9" t="str">
        <f>IF('Frame Sections'!A139=0,"",'Frame Sections'!A139)</f>
        <v/>
      </c>
      <c r="B124" s="9" t="str">
        <f t="shared" si="1"/>
        <v/>
      </c>
    </row>
    <row r="125" spans="1:2" x14ac:dyDescent="0.25">
      <c r="A125" s="9" t="str">
        <f>IF('Frame Sections'!A140=0,"",'Frame Sections'!A140)</f>
        <v/>
      </c>
      <c r="B125" s="9" t="str">
        <f t="shared" si="1"/>
        <v/>
      </c>
    </row>
    <row r="126" spans="1:2" x14ac:dyDescent="0.25">
      <c r="A126" s="9" t="str">
        <f>IF('Frame Sections'!A141=0,"",'Frame Sections'!A141)</f>
        <v/>
      </c>
      <c r="B126" s="9" t="str">
        <f t="shared" si="1"/>
        <v/>
      </c>
    </row>
    <row r="127" spans="1:2" x14ac:dyDescent="0.25">
      <c r="A127" s="9" t="str">
        <f>IF('Frame Sections'!A142=0,"",'Frame Sections'!A142)</f>
        <v/>
      </c>
      <c r="B127" s="9" t="str">
        <f t="shared" si="1"/>
        <v/>
      </c>
    </row>
    <row r="128" spans="1:2" x14ac:dyDescent="0.25">
      <c r="A128" s="9" t="str">
        <f>IF('Frame Sections'!A143=0,"",'Frame Sections'!A143)</f>
        <v/>
      </c>
      <c r="B128" s="9" t="str">
        <f t="shared" si="1"/>
        <v/>
      </c>
    </row>
    <row r="129" spans="1:2" x14ac:dyDescent="0.25">
      <c r="A129" s="9" t="str">
        <f>IF('Frame Sections'!A144=0,"",'Frame Sections'!A144)</f>
        <v/>
      </c>
      <c r="B129" s="9" t="str">
        <f t="shared" si="1"/>
        <v/>
      </c>
    </row>
    <row r="130" spans="1:2" x14ac:dyDescent="0.25">
      <c r="A130" s="9" t="str">
        <f>IF('Frame Sections'!A145=0,"",'Frame Sections'!A145)</f>
        <v/>
      </c>
      <c r="B130" s="9" t="str">
        <f t="shared" ref="B130:B193" si="2">IF(OR(A130=0,A130=""),"",VLOOKUP(A130,SecDB,5,FALSE))</f>
        <v/>
      </c>
    </row>
    <row r="131" spans="1:2" x14ac:dyDescent="0.25">
      <c r="A131" s="9" t="str">
        <f>IF('Frame Sections'!A146=0,"",'Frame Sections'!A146)</f>
        <v/>
      </c>
      <c r="B131" s="9" t="str">
        <f t="shared" si="2"/>
        <v/>
      </c>
    </row>
    <row r="132" spans="1:2" x14ac:dyDescent="0.25">
      <c r="A132" s="9" t="str">
        <f>IF('Frame Sections'!A147=0,"",'Frame Sections'!A147)</f>
        <v/>
      </c>
      <c r="B132" s="9" t="str">
        <f t="shared" si="2"/>
        <v/>
      </c>
    </row>
    <row r="133" spans="1:2" x14ac:dyDescent="0.25">
      <c r="A133" s="9" t="str">
        <f>IF('Frame Sections'!A148=0,"",'Frame Sections'!A148)</f>
        <v/>
      </c>
      <c r="B133" s="9" t="str">
        <f t="shared" si="2"/>
        <v/>
      </c>
    </row>
    <row r="134" spans="1:2" x14ac:dyDescent="0.25">
      <c r="A134" s="9" t="str">
        <f>IF('Frame Sections'!A149=0,"",'Frame Sections'!A149)</f>
        <v/>
      </c>
      <c r="B134" s="9" t="str">
        <f t="shared" si="2"/>
        <v/>
      </c>
    </row>
    <row r="135" spans="1:2" x14ac:dyDescent="0.25">
      <c r="A135" s="9" t="str">
        <f>IF('Frame Sections'!A150=0,"",'Frame Sections'!A150)</f>
        <v/>
      </c>
      <c r="B135" s="9" t="str">
        <f t="shared" si="2"/>
        <v/>
      </c>
    </row>
    <row r="136" spans="1:2" x14ac:dyDescent="0.25">
      <c r="A136" s="9" t="str">
        <f>IF('Frame Sections'!A151=0,"",'Frame Sections'!A151)</f>
        <v/>
      </c>
      <c r="B136" s="9" t="str">
        <f t="shared" si="2"/>
        <v/>
      </c>
    </row>
    <row r="137" spans="1:2" x14ac:dyDescent="0.25">
      <c r="A137" s="9" t="str">
        <f>IF('Frame Sections'!A152=0,"",'Frame Sections'!A152)</f>
        <v/>
      </c>
      <c r="B137" s="9" t="str">
        <f t="shared" si="2"/>
        <v/>
      </c>
    </row>
    <row r="138" spans="1:2" x14ac:dyDescent="0.25">
      <c r="A138" s="9" t="str">
        <f>IF('Frame Sections'!A153=0,"",'Frame Sections'!A153)</f>
        <v/>
      </c>
      <c r="B138" s="9" t="str">
        <f t="shared" si="2"/>
        <v/>
      </c>
    </row>
    <row r="139" spans="1:2" x14ac:dyDescent="0.25">
      <c r="A139" s="9" t="str">
        <f>IF('Frame Sections'!A154=0,"",'Frame Sections'!A154)</f>
        <v/>
      </c>
      <c r="B139" s="9" t="str">
        <f t="shared" si="2"/>
        <v/>
      </c>
    </row>
    <row r="140" spans="1:2" x14ac:dyDescent="0.25">
      <c r="A140" s="9" t="str">
        <f>IF('Frame Sections'!A155=0,"",'Frame Sections'!A155)</f>
        <v/>
      </c>
      <c r="B140" s="9" t="str">
        <f t="shared" si="2"/>
        <v/>
      </c>
    </row>
    <row r="141" spans="1:2" x14ac:dyDescent="0.25">
      <c r="A141" s="9" t="str">
        <f>IF('Frame Sections'!A156=0,"",'Frame Sections'!A156)</f>
        <v/>
      </c>
      <c r="B141" s="9" t="str">
        <f t="shared" si="2"/>
        <v/>
      </c>
    </row>
    <row r="142" spans="1:2" x14ac:dyDescent="0.25">
      <c r="A142" s="9" t="str">
        <f>IF('Frame Sections'!A157=0,"",'Frame Sections'!A157)</f>
        <v/>
      </c>
      <c r="B142" s="9" t="str">
        <f t="shared" si="2"/>
        <v/>
      </c>
    </row>
    <row r="143" spans="1:2" x14ac:dyDescent="0.25">
      <c r="A143" s="9" t="str">
        <f>IF('Frame Sections'!A158=0,"",'Frame Sections'!A158)</f>
        <v/>
      </c>
      <c r="B143" s="9" t="str">
        <f t="shared" si="2"/>
        <v/>
      </c>
    </row>
    <row r="144" spans="1:2" x14ac:dyDescent="0.25">
      <c r="A144" s="9" t="str">
        <f>IF('Frame Sections'!A159=0,"",'Frame Sections'!A159)</f>
        <v/>
      </c>
      <c r="B144" s="9" t="str">
        <f t="shared" si="2"/>
        <v/>
      </c>
    </row>
    <row r="145" spans="1:2" x14ac:dyDescent="0.25">
      <c r="A145" s="9" t="str">
        <f>IF('Frame Sections'!A160=0,"",'Frame Sections'!A160)</f>
        <v/>
      </c>
      <c r="B145" s="9" t="str">
        <f t="shared" si="2"/>
        <v/>
      </c>
    </row>
    <row r="146" spans="1:2" x14ac:dyDescent="0.25">
      <c r="A146" s="9" t="str">
        <f>IF('Frame Sections'!A161=0,"",'Frame Sections'!A161)</f>
        <v/>
      </c>
      <c r="B146" s="9" t="str">
        <f t="shared" si="2"/>
        <v/>
      </c>
    </row>
    <row r="147" spans="1:2" x14ac:dyDescent="0.25">
      <c r="A147" s="9" t="str">
        <f>IF('Frame Sections'!A162=0,"",'Frame Sections'!A162)</f>
        <v/>
      </c>
      <c r="B147" s="9" t="str">
        <f t="shared" si="2"/>
        <v/>
      </c>
    </row>
    <row r="148" spans="1:2" x14ac:dyDescent="0.25">
      <c r="A148" s="9" t="str">
        <f>IF('Frame Sections'!A163=0,"",'Frame Sections'!A163)</f>
        <v/>
      </c>
      <c r="B148" s="9" t="str">
        <f t="shared" si="2"/>
        <v/>
      </c>
    </row>
    <row r="149" spans="1:2" x14ac:dyDescent="0.25">
      <c r="A149" s="9" t="str">
        <f>IF('Frame Sections'!A164=0,"",'Frame Sections'!A164)</f>
        <v/>
      </c>
      <c r="B149" s="9" t="str">
        <f t="shared" si="2"/>
        <v/>
      </c>
    </row>
    <row r="150" spans="1:2" x14ac:dyDescent="0.25">
      <c r="A150" s="9" t="str">
        <f>IF('Frame Sections'!A165=0,"",'Frame Sections'!A165)</f>
        <v/>
      </c>
      <c r="B150" s="9" t="str">
        <f t="shared" si="2"/>
        <v/>
      </c>
    </row>
    <row r="151" spans="1:2" x14ac:dyDescent="0.25">
      <c r="A151" s="9" t="str">
        <f>IF('Frame Sections'!A166=0,"",'Frame Sections'!A166)</f>
        <v/>
      </c>
      <c r="B151" s="9" t="str">
        <f t="shared" si="2"/>
        <v/>
      </c>
    </row>
    <row r="152" spans="1:2" x14ac:dyDescent="0.25">
      <c r="A152" s="9" t="str">
        <f>IF('Frame Sections'!A167=0,"",'Frame Sections'!A167)</f>
        <v/>
      </c>
      <c r="B152" s="9" t="str">
        <f t="shared" si="2"/>
        <v/>
      </c>
    </row>
    <row r="153" spans="1:2" x14ac:dyDescent="0.25">
      <c r="A153" s="9" t="str">
        <f>IF('Frame Sections'!A168=0,"",'Frame Sections'!A168)</f>
        <v/>
      </c>
      <c r="B153" s="9" t="str">
        <f t="shared" si="2"/>
        <v/>
      </c>
    </row>
    <row r="154" spans="1:2" x14ac:dyDescent="0.25">
      <c r="A154" s="9" t="str">
        <f>IF('Frame Sections'!A169=0,"",'Frame Sections'!A169)</f>
        <v/>
      </c>
      <c r="B154" s="9" t="str">
        <f t="shared" si="2"/>
        <v/>
      </c>
    </row>
    <row r="155" spans="1:2" x14ac:dyDescent="0.25">
      <c r="A155" s="9" t="str">
        <f>IF('Frame Sections'!A170=0,"",'Frame Sections'!A170)</f>
        <v/>
      </c>
      <c r="B155" s="9" t="str">
        <f t="shared" si="2"/>
        <v/>
      </c>
    </row>
    <row r="156" spans="1:2" x14ac:dyDescent="0.25">
      <c r="A156" s="9" t="str">
        <f>IF('Frame Sections'!A171=0,"",'Frame Sections'!A171)</f>
        <v/>
      </c>
      <c r="B156" s="9" t="str">
        <f t="shared" si="2"/>
        <v/>
      </c>
    </row>
    <row r="157" spans="1:2" x14ac:dyDescent="0.25">
      <c r="A157" s="9" t="str">
        <f>IF('Frame Sections'!A172=0,"",'Frame Sections'!A172)</f>
        <v/>
      </c>
      <c r="B157" s="9" t="str">
        <f t="shared" si="2"/>
        <v/>
      </c>
    </row>
    <row r="158" spans="1:2" x14ac:dyDescent="0.25">
      <c r="A158" s="9" t="str">
        <f>IF('Frame Sections'!A173=0,"",'Frame Sections'!A173)</f>
        <v/>
      </c>
      <c r="B158" s="9" t="str">
        <f t="shared" si="2"/>
        <v/>
      </c>
    </row>
    <row r="159" spans="1:2" x14ac:dyDescent="0.25">
      <c r="A159" s="9" t="str">
        <f>IF('Frame Sections'!A174=0,"",'Frame Sections'!A174)</f>
        <v/>
      </c>
      <c r="B159" s="9" t="str">
        <f t="shared" si="2"/>
        <v/>
      </c>
    </row>
    <row r="160" spans="1:2" x14ac:dyDescent="0.25">
      <c r="A160" s="9" t="str">
        <f>IF('Frame Sections'!A175=0,"",'Frame Sections'!A175)</f>
        <v/>
      </c>
      <c r="B160" s="9" t="str">
        <f t="shared" si="2"/>
        <v/>
      </c>
    </row>
    <row r="161" spans="1:2" x14ac:dyDescent="0.25">
      <c r="A161" s="9" t="str">
        <f>IF('Frame Sections'!A176=0,"",'Frame Sections'!A176)</f>
        <v/>
      </c>
      <c r="B161" s="9" t="str">
        <f t="shared" si="2"/>
        <v/>
      </c>
    </row>
    <row r="162" spans="1:2" x14ac:dyDescent="0.25">
      <c r="A162" s="9" t="str">
        <f>IF('Frame Sections'!A177=0,"",'Frame Sections'!A177)</f>
        <v/>
      </c>
      <c r="B162" s="9" t="str">
        <f t="shared" si="2"/>
        <v/>
      </c>
    </row>
    <row r="163" spans="1:2" x14ac:dyDescent="0.25">
      <c r="A163" s="9" t="str">
        <f>IF('Frame Sections'!A178=0,"",'Frame Sections'!A178)</f>
        <v/>
      </c>
      <c r="B163" s="9" t="str">
        <f t="shared" si="2"/>
        <v/>
      </c>
    </row>
    <row r="164" spans="1:2" x14ac:dyDescent="0.25">
      <c r="A164" s="9" t="str">
        <f>IF('Frame Sections'!A179=0,"",'Frame Sections'!A179)</f>
        <v/>
      </c>
      <c r="B164" s="9" t="str">
        <f t="shared" si="2"/>
        <v/>
      </c>
    </row>
    <row r="165" spans="1:2" x14ac:dyDescent="0.25">
      <c r="A165" s="9" t="str">
        <f>IF('Frame Sections'!A180=0,"",'Frame Sections'!A180)</f>
        <v/>
      </c>
      <c r="B165" s="9" t="str">
        <f t="shared" si="2"/>
        <v/>
      </c>
    </row>
    <row r="166" spans="1:2" x14ac:dyDescent="0.25">
      <c r="A166" s="9" t="str">
        <f>IF('Frame Sections'!A181=0,"",'Frame Sections'!A181)</f>
        <v/>
      </c>
      <c r="B166" s="9" t="str">
        <f t="shared" si="2"/>
        <v/>
      </c>
    </row>
    <row r="167" spans="1:2" x14ac:dyDescent="0.25">
      <c r="A167" s="9" t="str">
        <f>IF('Frame Sections'!A182=0,"",'Frame Sections'!A182)</f>
        <v/>
      </c>
      <c r="B167" s="9" t="str">
        <f t="shared" si="2"/>
        <v/>
      </c>
    </row>
    <row r="168" spans="1:2" x14ac:dyDescent="0.25">
      <c r="A168" s="9" t="str">
        <f>IF('Frame Sections'!A183=0,"",'Frame Sections'!A183)</f>
        <v/>
      </c>
      <c r="B168" s="9" t="str">
        <f t="shared" si="2"/>
        <v/>
      </c>
    </row>
    <row r="169" spans="1:2" x14ac:dyDescent="0.25">
      <c r="A169" s="9" t="str">
        <f>IF('Frame Sections'!A184=0,"",'Frame Sections'!A184)</f>
        <v/>
      </c>
      <c r="B169" s="9" t="str">
        <f t="shared" si="2"/>
        <v/>
      </c>
    </row>
    <row r="170" spans="1:2" x14ac:dyDescent="0.25">
      <c r="A170" s="9" t="str">
        <f>IF('Frame Sections'!A185=0,"",'Frame Sections'!A185)</f>
        <v/>
      </c>
      <c r="B170" s="9" t="str">
        <f t="shared" si="2"/>
        <v/>
      </c>
    </row>
    <row r="171" spans="1:2" x14ac:dyDescent="0.25">
      <c r="A171" s="9" t="str">
        <f>IF('Frame Sections'!A186=0,"",'Frame Sections'!A186)</f>
        <v/>
      </c>
      <c r="B171" s="9" t="str">
        <f t="shared" si="2"/>
        <v/>
      </c>
    </row>
    <row r="172" spans="1:2" x14ac:dyDescent="0.25">
      <c r="A172" s="9" t="str">
        <f>IF('Frame Sections'!A187=0,"",'Frame Sections'!A187)</f>
        <v/>
      </c>
      <c r="B172" s="9" t="str">
        <f t="shared" si="2"/>
        <v/>
      </c>
    </row>
    <row r="173" spans="1:2" x14ac:dyDescent="0.25">
      <c r="A173" s="9" t="str">
        <f>IF('Frame Sections'!A188=0,"",'Frame Sections'!A188)</f>
        <v/>
      </c>
      <c r="B173" s="9" t="str">
        <f t="shared" si="2"/>
        <v/>
      </c>
    </row>
    <row r="174" spans="1:2" x14ac:dyDescent="0.25">
      <c r="A174" s="9" t="str">
        <f>IF('Frame Sections'!A189=0,"",'Frame Sections'!A189)</f>
        <v/>
      </c>
      <c r="B174" s="9" t="str">
        <f t="shared" si="2"/>
        <v/>
      </c>
    </row>
    <row r="175" spans="1:2" x14ac:dyDescent="0.25">
      <c r="A175" s="9" t="str">
        <f>IF('Frame Sections'!A190=0,"",'Frame Sections'!A190)</f>
        <v/>
      </c>
      <c r="B175" s="9" t="str">
        <f t="shared" si="2"/>
        <v/>
      </c>
    </row>
    <row r="176" spans="1:2" x14ac:dyDescent="0.25">
      <c r="A176" s="9" t="str">
        <f>IF('Frame Sections'!A191=0,"",'Frame Sections'!A191)</f>
        <v/>
      </c>
      <c r="B176" s="9" t="str">
        <f t="shared" si="2"/>
        <v/>
      </c>
    </row>
    <row r="177" spans="1:2" x14ac:dyDescent="0.25">
      <c r="A177" s="9" t="str">
        <f>IF('Frame Sections'!A192=0,"",'Frame Sections'!A192)</f>
        <v/>
      </c>
      <c r="B177" s="9" t="str">
        <f t="shared" si="2"/>
        <v/>
      </c>
    </row>
    <row r="178" spans="1:2" x14ac:dyDescent="0.25">
      <c r="A178" s="9" t="str">
        <f>IF('Frame Sections'!A193=0,"",'Frame Sections'!A193)</f>
        <v/>
      </c>
      <c r="B178" s="9" t="str">
        <f t="shared" si="2"/>
        <v/>
      </c>
    </row>
    <row r="179" spans="1:2" x14ac:dyDescent="0.25">
      <c r="A179" s="9" t="str">
        <f>IF('Frame Sections'!A194=0,"",'Frame Sections'!A194)</f>
        <v/>
      </c>
      <c r="B179" s="9" t="str">
        <f t="shared" si="2"/>
        <v/>
      </c>
    </row>
    <row r="180" spans="1:2" x14ac:dyDescent="0.25">
      <c r="A180" s="9" t="str">
        <f>IF('Frame Sections'!A195=0,"",'Frame Sections'!A195)</f>
        <v/>
      </c>
      <c r="B180" s="9" t="str">
        <f t="shared" si="2"/>
        <v/>
      </c>
    </row>
    <row r="181" spans="1:2" x14ac:dyDescent="0.25">
      <c r="A181" s="9" t="str">
        <f>IF('Frame Sections'!A196=0,"",'Frame Sections'!A196)</f>
        <v/>
      </c>
      <c r="B181" s="9" t="str">
        <f t="shared" si="2"/>
        <v/>
      </c>
    </row>
    <row r="182" spans="1:2" x14ac:dyDescent="0.25">
      <c r="A182" s="9" t="str">
        <f>IF('Frame Sections'!A197=0,"",'Frame Sections'!A197)</f>
        <v/>
      </c>
      <c r="B182" s="9" t="str">
        <f t="shared" si="2"/>
        <v/>
      </c>
    </row>
    <row r="183" spans="1:2" x14ac:dyDescent="0.25">
      <c r="A183" s="9" t="str">
        <f>IF('Frame Sections'!A198=0,"",'Frame Sections'!A198)</f>
        <v/>
      </c>
      <c r="B183" s="9" t="str">
        <f t="shared" si="2"/>
        <v/>
      </c>
    </row>
    <row r="184" spans="1:2" x14ac:dyDescent="0.25">
      <c r="A184" s="9" t="str">
        <f>IF('Frame Sections'!A199=0,"",'Frame Sections'!A199)</f>
        <v/>
      </c>
      <c r="B184" s="9" t="str">
        <f t="shared" si="2"/>
        <v/>
      </c>
    </row>
    <row r="185" spans="1:2" x14ac:dyDescent="0.25">
      <c r="A185" s="9" t="str">
        <f>IF('Frame Sections'!A200=0,"",'Frame Sections'!A200)</f>
        <v/>
      </c>
      <c r="B185" s="9" t="str">
        <f t="shared" si="2"/>
        <v/>
      </c>
    </row>
    <row r="186" spans="1:2" x14ac:dyDescent="0.25">
      <c r="A186" s="9" t="str">
        <f>IF('Frame Sections'!A201=0,"",'Frame Sections'!A201)</f>
        <v/>
      </c>
      <c r="B186" s="9" t="str">
        <f t="shared" si="2"/>
        <v/>
      </c>
    </row>
    <row r="187" spans="1:2" x14ac:dyDescent="0.25">
      <c r="A187" s="9" t="str">
        <f>IF('Frame Sections'!A202=0,"",'Frame Sections'!A202)</f>
        <v/>
      </c>
      <c r="B187" s="9" t="str">
        <f t="shared" si="2"/>
        <v/>
      </c>
    </row>
    <row r="188" spans="1:2" x14ac:dyDescent="0.25">
      <c r="A188" s="9" t="str">
        <f>IF('Frame Sections'!A203=0,"",'Frame Sections'!A203)</f>
        <v/>
      </c>
      <c r="B188" s="9" t="str">
        <f t="shared" si="2"/>
        <v/>
      </c>
    </row>
    <row r="189" spans="1:2" x14ac:dyDescent="0.25">
      <c r="A189" s="9" t="str">
        <f>IF('Frame Sections'!A204=0,"",'Frame Sections'!A204)</f>
        <v/>
      </c>
      <c r="B189" s="9" t="str">
        <f t="shared" si="2"/>
        <v/>
      </c>
    </row>
    <row r="190" spans="1:2" x14ac:dyDescent="0.25">
      <c r="A190" s="9" t="str">
        <f>IF('Frame Sections'!A205=0,"",'Frame Sections'!A205)</f>
        <v/>
      </c>
      <c r="B190" s="9" t="str">
        <f t="shared" si="2"/>
        <v/>
      </c>
    </row>
    <row r="191" spans="1:2" x14ac:dyDescent="0.25">
      <c r="A191" s="9" t="str">
        <f>IF('Frame Sections'!A206=0,"",'Frame Sections'!A206)</f>
        <v/>
      </c>
      <c r="B191" s="9" t="str">
        <f t="shared" si="2"/>
        <v/>
      </c>
    </row>
    <row r="192" spans="1:2" x14ac:dyDescent="0.25">
      <c r="A192" s="9" t="str">
        <f>IF('Frame Sections'!A207=0,"",'Frame Sections'!A207)</f>
        <v/>
      </c>
      <c r="B192" s="9" t="str">
        <f t="shared" si="2"/>
        <v/>
      </c>
    </row>
    <row r="193" spans="1:2" x14ac:dyDescent="0.25">
      <c r="A193" s="9" t="str">
        <f>IF('Frame Sections'!A208=0,"",'Frame Sections'!A208)</f>
        <v/>
      </c>
      <c r="B193" s="9" t="str">
        <f t="shared" si="2"/>
        <v/>
      </c>
    </row>
    <row r="194" spans="1:2" x14ac:dyDescent="0.25">
      <c r="A194" s="9" t="str">
        <f>IF('Frame Sections'!A209=0,"",'Frame Sections'!A209)</f>
        <v/>
      </c>
      <c r="B194" s="9" t="str">
        <f t="shared" ref="B194:B257" si="3">IF(OR(A194=0,A194=""),"",VLOOKUP(A194,SecDB,5,FALSE))</f>
        <v/>
      </c>
    </row>
    <row r="195" spans="1:2" x14ac:dyDescent="0.25">
      <c r="A195" s="9" t="str">
        <f>IF('Frame Sections'!A210=0,"",'Frame Sections'!A210)</f>
        <v/>
      </c>
      <c r="B195" s="9" t="str">
        <f t="shared" si="3"/>
        <v/>
      </c>
    </row>
    <row r="196" spans="1:2" x14ac:dyDescent="0.25">
      <c r="A196" s="9" t="str">
        <f>IF('Frame Sections'!A211=0,"",'Frame Sections'!A211)</f>
        <v/>
      </c>
      <c r="B196" s="9" t="str">
        <f t="shared" si="3"/>
        <v/>
      </c>
    </row>
    <row r="197" spans="1:2" x14ac:dyDescent="0.25">
      <c r="A197" s="9" t="str">
        <f>IF('Frame Sections'!A212=0,"",'Frame Sections'!A212)</f>
        <v/>
      </c>
      <c r="B197" s="9" t="str">
        <f t="shared" si="3"/>
        <v/>
      </c>
    </row>
    <row r="198" spans="1:2" x14ac:dyDescent="0.25">
      <c r="A198" s="9" t="str">
        <f>IF('Frame Sections'!A213=0,"",'Frame Sections'!A213)</f>
        <v/>
      </c>
      <c r="B198" s="9" t="str">
        <f t="shared" si="3"/>
        <v/>
      </c>
    </row>
    <row r="199" spans="1:2" x14ac:dyDescent="0.25">
      <c r="A199" s="9" t="str">
        <f>IF('Frame Sections'!A214=0,"",'Frame Sections'!A214)</f>
        <v/>
      </c>
      <c r="B199" s="9" t="str">
        <f t="shared" si="3"/>
        <v/>
      </c>
    </row>
    <row r="200" spans="1:2" x14ac:dyDescent="0.25">
      <c r="A200" s="9" t="str">
        <f>IF('Frame Sections'!A215=0,"",'Frame Sections'!A215)</f>
        <v/>
      </c>
      <c r="B200" s="9" t="str">
        <f t="shared" si="3"/>
        <v/>
      </c>
    </row>
    <row r="201" spans="1:2" x14ac:dyDescent="0.25">
      <c r="A201" s="9" t="str">
        <f>IF('Frame Sections'!A216=0,"",'Frame Sections'!A216)</f>
        <v/>
      </c>
      <c r="B201" s="9" t="str">
        <f t="shared" si="3"/>
        <v/>
      </c>
    </row>
    <row r="202" spans="1:2" x14ac:dyDescent="0.25">
      <c r="A202" s="9" t="str">
        <f>IF('Frame Sections'!A217=0,"",'Frame Sections'!A217)</f>
        <v/>
      </c>
      <c r="B202" s="9" t="str">
        <f t="shared" si="3"/>
        <v/>
      </c>
    </row>
    <row r="203" spans="1:2" x14ac:dyDescent="0.25">
      <c r="A203" s="9" t="str">
        <f>IF('Frame Sections'!A218=0,"",'Frame Sections'!A218)</f>
        <v/>
      </c>
      <c r="B203" s="9" t="str">
        <f t="shared" si="3"/>
        <v/>
      </c>
    </row>
    <row r="204" spans="1:2" x14ac:dyDescent="0.25">
      <c r="A204" s="9" t="str">
        <f>IF('Frame Sections'!A219=0,"",'Frame Sections'!A219)</f>
        <v/>
      </c>
      <c r="B204" s="9" t="str">
        <f t="shared" si="3"/>
        <v/>
      </c>
    </row>
    <row r="205" spans="1:2" x14ac:dyDescent="0.25">
      <c r="A205" s="9" t="str">
        <f>IF('Frame Sections'!A220=0,"",'Frame Sections'!A220)</f>
        <v/>
      </c>
      <c r="B205" s="9" t="str">
        <f t="shared" si="3"/>
        <v/>
      </c>
    </row>
    <row r="206" spans="1:2" x14ac:dyDescent="0.25">
      <c r="A206" s="9" t="str">
        <f>IF('Frame Sections'!A221=0,"",'Frame Sections'!A221)</f>
        <v/>
      </c>
      <c r="B206" s="9" t="str">
        <f t="shared" si="3"/>
        <v/>
      </c>
    </row>
    <row r="207" spans="1:2" x14ac:dyDescent="0.25">
      <c r="A207" s="9" t="str">
        <f>IF('Frame Sections'!A222=0,"",'Frame Sections'!A222)</f>
        <v/>
      </c>
      <c r="B207" s="9" t="str">
        <f t="shared" si="3"/>
        <v/>
      </c>
    </row>
    <row r="208" spans="1:2" x14ac:dyDescent="0.25">
      <c r="A208" s="9" t="str">
        <f>IF('Frame Sections'!A223=0,"",'Frame Sections'!A223)</f>
        <v/>
      </c>
      <c r="B208" s="9" t="str">
        <f t="shared" si="3"/>
        <v/>
      </c>
    </row>
    <row r="209" spans="1:2" x14ac:dyDescent="0.25">
      <c r="A209" s="9" t="str">
        <f>IF('Frame Sections'!A224=0,"",'Frame Sections'!A224)</f>
        <v/>
      </c>
      <c r="B209" s="9" t="str">
        <f t="shared" si="3"/>
        <v/>
      </c>
    </row>
    <row r="210" spans="1:2" x14ac:dyDescent="0.25">
      <c r="A210" s="9" t="str">
        <f>IF('Frame Sections'!A225=0,"",'Frame Sections'!A225)</f>
        <v/>
      </c>
      <c r="B210" s="9" t="str">
        <f t="shared" si="3"/>
        <v/>
      </c>
    </row>
    <row r="211" spans="1:2" x14ac:dyDescent="0.25">
      <c r="A211" s="9" t="str">
        <f>IF('Frame Sections'!A226=0,"",'Frame Sections'!A226)</f>
        <v/>
      </c>
      <c r="B211" s="9" t="str">
        <f t="shared" si="3"/>
        <v/>
      </c>
    </row>
    <row r="212" spans="1:2" x14ac:dyDescent="0.25">
      <c r="A212" s="9" t="str">
        <f>IF('Frame Sections'!A227=0,"",'Frame Sections'!A227)</f>
        <v/>
      </c>
      <c r="B212" s="9" t="str">
        <f t="shared" si="3"/>
        <v/>
      </c>
    </row>
    <row r="213" spans="1:2" x14ac:dyDescent="0.25">
      <c r="A213" s="9" t="str">
        <f>IF('Frame Sections'!A228=0,"",'Frame Sections'!A228)</f>
        <v/>
      </c>
      <c r="B213" s="9" t="str">
        <f t="shared" si="3"/>
        <v/>
      </c>
    </row>
    <row r="214" spans="1:2" x14ac:dyDescent="0.25">
      <c r="A214" s="9" t="str">
        <f>IF('Frame Sections'!A229=0,"",'Frame Sections'!A229)</f>
        <v/>
      </c>
      <c r="B214" s="9" t="str">
        <f t="shared" si="3"/>
        <v/>
      </c>
    </row>
    <row r="215" spans="1:2" x14ac:dyDescent="0.25">
      <c r="A215" s="9" t="str">
        <f>IF('Frame Sections'!A230=0,"",'Frame Sections'!A230)</f>
        <v/>
      </c>
      <c r="B215" s="9" t="str">
        <f t="shared" si="3"/>
        <v/>
      </c>
    </row>
    <row r="216" spans="1:2" x14ac:dyDescent="0.25">
      <c r="A216" s="9" t="str">
        <f>IF('Frame Sections'!A231=0,"",'Frame Sections'!A231)</f>
        <v/>
      </c>
      <c r="B216" s="9" t="str">
        <f t="shared" si="3"/>
        <v/>
      </c>
    </row>
    <row r="217" spans="1:2" x14ac:dyDescent="0.25">
      <c r="A217" s="9" t="str">
        <f>IF('Frame Sections'!A232=0,"",'Frame Sections'!A232)</f>
        <v/>
      </c>
      <c r="B217" s="9" t="str">
        <f t="shared" si="3"/>
        <v/>
      </c>
    </row>
    <row r="218" spans="1:2" x14ac:dyDescent="0.25">
      <c r="A218" s="9" t="str">
        <f>IF('Frame Sections'!A233=0,"",'Frame Sections'!A233)</f>
        <v/>
      </c>
      <c r="B218" s="9" t="str">
        <f t="shared" si="3"/>
        <v/>
      </c>
    </row>
    <row r="219" spans="1:2" x14ac:dyDescent="0.25">
      <c r="A219" s="9" t="str">
        <f>IF('Frame Sections'!A234=0,"",'Frame Sections'!A234)</f>
        <v/>
      </c>
      <c r="B219" s="9" t="str">
        <f t="shared" si="3"/>
        <v/>
      </c>
    </row>
    <row r="220" spans="1:2" x14ac:dyDescent="0.25">
      <c r="A220" s="9" t="str">
        <f>IF('Frame Sections'!A235=0,"",'Frame Sections'!A235)</f>
        <v/>
      </c>
      <c r="B220" s="9" t="str">
        <f t="shared" si="3"/>
        <v/>
      </c>
    </row>
    <row r="221" spans="1:2" x14ac:dyDescent="0.25">
      <c r="A221" s="9" t="str">
        <f>IF('Frame Sections'!A236=0,"",'Frame Sections'!A236)</f>
        <v/>
      </c>
      <c r="B221" s="9" t="str">
        <f t="shared" si="3"/>
        <v/>
      </c>
    </row>
    <row r="222" spans="1:2" x14ac:dyDescent="0.25">
      <c r="A222" s="9" t="str">
        <f>IF('Frame Sections'!A237=0,"",'Frame Sections'!A237)</f>
        <v/>
      </c>
      <c r="B222" s="9" t="str">
        <f t="shared" si="3"/>
        <v/>
      </c>
    </row>
    <row r="223" spans="1:2" x14ac:dyDescent="0.25">
      <c r="A223" s="9" t="str">
        <f>IF('Frame Sections'!A238=0,"",'Frame Sections'!A238)</f>
        <v/>
      </c>
      <c r="B223" s="9" t="str">
        <f t="shared" si="3"/>
        <v/>
      </c>
    </row>
    <row r="224" spans="1:2" x14ac:dyDescent="0.25">
      <c r="A224" s="9" t="str">
        <f>IF('Frame Sections'!A239=0,"",'Frame Sections'!A239)</f>
        <v/>
      </c>
      <c r="B224" s="9" t="str">
        <f t="shared" si="3"/>
        <v/>
      </c>
    </row>
    <row r="225" spans="1:2" x14ac:dyDescent="0.25">
      <c r="A225" s="9" t="str">
        <f>IF('Frame Sections'!A240=0,"",'Frame Sections'!A240)</f>
        <v/>
      </c>
      <c r="B225" s="9" t="str">
        <f t="shared" si="3"/>
        <v/>
      </c>
    </row>
    <row r="226" spans="1:2" x14ac:dyDescent="0.25">
      <c r="A226" s="9" t="str">
        <f>IF('Frame Sections'!A241=0,"",'Frame Sections'!A241)</f>
        <v/>
      </c>
      <c r="B226" s="9" t="str">
        <f t="shared" si="3"/>
        <v/>
      </c>
    </row>
    <row r="227" spans="1:2" x14ac:dyDescent="0.25">
      <c r="A227" s="9" t="str">
        <f>IF('Frame Sections'!A242=0,"",'Frame Sections'!A242)</f>
        <v/>
      </c>
      <c r="B227" s="9" t="str">
        <f t="shared" si="3"/>
        <v/>
      </c>
    </row>
    <row r="228" spans="1:2" x14ac:dyDescent="0.25">
      <c r="A228" s="9" t="str">
        <f>IF('Frame Sections'!A243=0,"",'Frame Sections'!A243)</f>
        <v/>
      </c>
      <c r="B228" s="9" t="str">
        <f t="shared" si="3"/>
        <v/>
      </c>
    </row>
    <row r="229" spans="1:2" x14ac:dyDescent="0.25">
      <c r="A229" s="9" t="str">
        <f>IF('Frame Sections'!A244=0,"",'Frame Sections'!A244)</f>
        <v/>
      </c>
      <c r="B229" s="9" t="str">
        <f t="shared" si="3"/>
        <v/>
      </c>
    </row>
    <row r="230" spans="1:2" x14ac:dyDescent="0.25">
      <c r="A230" s="9" t="str">
        <f>IF('Frame Sections'!A245=0,"",'Frame Sections'!A245)</f>
        <v/>
      </c>
      <c r="B230" s="9" t="str">
        <f t="shared" si="3"/>
        <v/>
      </c>
    </row>
    <row r="231" spans="1:2" x14ac:dyDescent="0.25">
      <c r="A231" s="9" t="str">
        <f>IF('Frame Sections'!A246=0,"",'Frame Sections'!A246)</f>
        <v/>
      </c>
      <c r="B231" s="9" t="str">
        <f t="shared" si="3"/>
        <v/>
      </c>
    </row>
    <row r="232" spans="1:2" x14ac:dyDescent="0.25">
      <c r="A232" s="9" t="str">
        <f>IF('Frame Sections'!A247=0,"",'Frame Sections'!A247)</f>
        <v/>
      </c>
      <c r="B232" s="9" t="str">
        <f t="shared" si="3"/>
        <v/>
      </c>
    </row>
    <row r="233" spans="1:2" x14ac:dyDescent="0.25">
      <c r="A233" s="9" t="str">
        <f>IF('Frame Sections'!A248=0,"",'Frame Sections'!A248)</f>
        <v/>
      </c>
      <c r="B233" s="9" t="str">
        <f t="shared" si="3"/>
        <v/>
      </c>
    </row>
    <row r="234" spans="1:2" x14ac:dyDescent="0.25">
      <c r="A234" s="9" t="str">
        <f>IF('Frame Sections'!A249=0,"",'Frame Sections'!A249)</f>
        <v/>
      </c>
      <c r="B234" s="9" t="str">
        <f t="shared" si="3"/>
        <v/>
      </c>
    </row>
    <row r="235" spans="1:2" x14ac:dyDescent="0.25">
      <c r="A235" s="9" t="str">
        <f>IF('Frame Sections'!A250=0,"",'Frame Sections'!A250)</f>
        <v/>
      </c>
      <c r="B235" s="9" t="str">
        <f t="shared" si="3"/>
        <v/>
      </c>
    </row>
    <row r="236" spans="1:2" x14ac:dyDescent="0.25">
      <c r="A236" s="9" t="str">
        <f>IF('Frame Sections'!A251=0,"",'Frame Sections'!A251)</f>
        <v/>
      </c>
      <c r="B236" s="9" t="str">
        <f t="shared" si="3"/>
        <v/>
      </c>
    </row>
    <row r="237" spans="1:2" x14ac:dyDescent="0.25">
      <c r="A237" s="9" t="str">
        <f>IF('Frame Sections'!A252=0,"",'Frame Sections'!A252)</f>
        <v/>
      </c>
      <c r="B237" s="9" t="str">
        <f t="shared" si="3"/>
        <v/>
      </c>
    </row>
    <row r="238" spans="1:2" x14ac:dyDescent="0.25">
      <c r="A238" s="9" t="str">
        <f>IF('Frame Sections'!A253=0,"",'Frame Sections'!A253)</f>
        <v/>
      </c>
      <c r="B238" s="9" t="str">
        <f t="shared" si="3"/>
        <v/>
      </c>
    </row>
    <row r="239" spans="1:2" x14ac:dyDescent="0.25">
      <c r="A239" s="9" t="str">
        <f>IF('Frame Sections'!A254=0,"",'Frame Sections'!A254)</f>
        <v/>
      </c>
      <c r="B239" s="9" t="str">
        <f t="shared" si="3"/>
        <v/>
      </c>
    </row>
    <row r="240" spans="1:2" x14ac:dyDescent="0.25">
      <c r="A240" s="9" t="str">
        <f>IF('Frame Sections'!A255=0,"",'Frame Sections'!A255)</f>
        <v/>
      </c>
      <c r="B240" s="9" t="str">
        <f t="shared" si="3"/>
        <v/>
      </c>
    </row>
    <row r="241" spans="1:2" x14ac:dyDescent="0.25">
      <c r="A241" s="9" t="str">
        <f>IF('Frame Sections'!A256=0,"",'Frame Sections'!A256)</f>
        <v/>
      </c>
      <c r="B241" s="9" t="str">
        <f t="shared" si="3"/>
        <v/>
      </c>
    </row>
    <row r="242" spans="1:2" x14ac:dyDescent="0.25">
      <c r="A242" s="9" t="str">
        <f>IF('Frame Sections'!A257=0,"",'Frame Sections'!A257)</f>
        <v/>
      </c>
      <c r="B242" s="9" t="str">
        <f t="shared" si="3"/>
        <v/>
      </c>
    </row>
    <row r="243" spans="1:2" x14ac:dyDescent="0.25">
      <c r="A243" s="9" t="str">
        <f>IF('Frame Sections'!A258=0,"",'Frame Sections'!A258)</f>
        <v/>
      </c>
      <c r="B243" s="9" t="str">
        <f t="shared" si="3"/>
        <v/>
      </c>
    </row>
    <row r="244" spans="1:2" x14ac:dyDescent="0.25">
      <c r="A244" s="9" t="str">
        <f>IF('Frame Sections'!A259=0,"",'Frame Sections'!A259)</f>
        <v/>
      </c>
      <c r="B244" s="9" t="str">
        <f t="shared" si="3"/>
        <v/>
      </c>
    </row>
    <row r="245" spans="1:2" x14ac:dyDescent="0.25">
      <c r="A245" s="9" t="str">
        <f>IF('Frame Sections'!A260=0,"",'Frame Sections'!A260)</f>
        <v/>
      </c>
      <c r="B245" s="9" t="str">
        <f t="shared" si="3"/>
        <v/>
      </c>
    </row>
    <row r="246" spans="1:2" x14ac:dyDescent="0.25">
      <c r="A246" s="9" t="str">
        <f>IF('Frame Sections'!A261=0,"",'Frame Sections'!A261)</f>
        <v/>
      </c>
      <c r="B246" s="9" t="str">
        <f t="shared" si="3"/>
        <v/>
      </c>
    </row>
    <row r="247" spans="1:2" x14ac:dyDescent="0.25">
      <c r="A247" s="9" t="str">
        <f>IF('Frame Sections'!A262=0,"",'Frame Sections'!A262)</f>
        <v/>
      </c>
      <c r="B247" s="9" t="str">
        <f t="shared" si="3"/>
        <v/>
      </c>
    </row>
    <row r="248" spans="1:2" x14ac:dyDescent="0.25">
      <c r="A248" s="9" t="str">
        <f>IF('Frame Sections'!A263=0,"",'Frame Sections'!A263)</f>
        <v/>
      </c>
      <c r="B248" s="9" t="str">
        <f t="shared" si="3"/>
        <v/>
      </c>
    </row>
    <row r="249" spans="1:2" x14ac:dyDescent="0.25">
      <c r="A249" s="9" t="str">
        <f>IF('Frame Sections'!A264=0,"",'Frame Sections'!A264)</f>
        <v/>
      </c>
      <c r="B249" s="9" t="str">
        <f t="shared" si="3"/>
        <v/>
      </c>
    </row>
    <row r="250" spans="1:2" x14ac:dyDescent="0.25">
      <c r="A250" s="9" t="str">
        <f>IF('Frame Sections'!A265=0,"",'Frame Sections'!A265)</f>
        <v/>
      </c>
      <c r="B250" s="9" t="str">
        <f t="shared" si="3"/>
        <v/>
      </c>
    </row>
    <row r="251" spans="1:2" x14ac:dyDescent="0.25">
      <c r="A251" s="9" t="str">
        <f>IF('Frame Sections'!A266=0,"",'Frame Sections'!A266)</f>
        <v/>
      </c>
      <c r="B251" s="9" t="str">
        <f t="shared" si="3"/>
        <v/>
      </c>
    </row>
    <row r="252" spans="1:2" x14ac:dyDescent="0.25">
      <c r="A252" s="9" t="str">
        <f>IF('Frame Sections'!A267=0,"",'Frame Sections'!A267)</f>
        <v/>
      </c>
      <c r="B252" s="9" t="str">
        <f t="shared" si="3"/>
        <v/>
      </c>
    </row>
    <row r="253" spans="1:2" x14ac:dyDescent="0.25">
      <c r="A253" s="9" t="str">
        <f>IF('Frame Sections'!A268=0,"",'Frame Sections'!A268)</f>
        <v/>
      </c>
      <c r="B253" s="9" t="str">
        <f t="shared" si="3"/>
        <v/>
      </c>
    </row>
    <row r="254" spans="1:2" x14ac:dyDescent="0.25">
      <c r="A254" s="9" t="str">
        <f>IF('Frame Sections'!A269=0,"",'Frame Sections'!A269)</f>
        <v/>
      </c>
      <c r="B254" s="9" t="str">
        <f t="shared" si="3"/>
        <v/>
      </c>
    </row>
    <row r="255" spans="1:2" x14ac:dyDescent="0.25">
      <c r="A255" s="9" t="str">
        <f>IF('Frame Sections'!A270=0,"",'Frame Sections'!A270)</f>
        <v/>
      </c>
      <c r="B255" s="9" t="str">
        <f t="shared" si="3"/>
        <v/>
      </c>
    </row>
    <row r="256" spans="1:2" x14ac:dyDescent="0.25">
      <c r="A256" s="9" t="str">
        <f>IF('Frame Sections'!A271=0,"",'Frame Sections'!A271)</f>
        <v/>
      </c>
      <c r="B256" s="9" t="str">
        <f t="shared" si="3"/>
        <v/>
      </c>
    </row>
    <row r="257" spans="1:2" x14ac:dyDescent="0.25">
      <c r="A257" s="9" t="str">
        <f>IF('Frame Sections'!A272=0,"",'Frame Sections'!A272)</f>
        <v/>
      </c>
      <c r="B257" s="9" t="str">
        <f t="shared" si="3"/>
        <v/>
      </c>
    </row>
    <row r="258" spans="1:2" x14ac:dyDescent="0.25">
      <c r="A258" s="9" t="str">
        <f>IF('Frame Sections'!A273=0,"",'Frame Sections'!A273)</f>
        <v/>
      </c>
      <c r="B258" s="9" t="str">
        <f t="shared" ref="B258:B321" si="4">IF(OR(A258=0,A258=""),"",VLOOKUP(A258,SecDB,5,FALSE))</f>
        <v/>
      </c>
    </row>
    <row r="259" spans="1:2" x14ac:dyDescent="0.25">
      <c r="A259" s="9" t="str">
        <f>IF('Frame Sections'!A274=0,"",'Frame Sections'!A274)</f>
        <v/>
      </c>
      <c r="B259" s="9" t="str">
        <f t="shared" si="4"/>
        <v/>
      </c>
    </row>
    <row r="260" spans="1:2" x14ac:dyDescent="0.25">
      <c r="A260" s="9" t="str">
        <f>IF('Frame Sections'!A275=0,"",'Frame Sections'!A275)</f>
        <v/>
      </c>
      <c r="B260" s="9" t="str">
        <f t="shared" si="4"/>
        <v/>
      </c>
    </row>
    <row r="261" spans="1:2" x14ac:dyDescent="0.25">
      <c r="A261" s="9" t="str">
        <f>IF('Frame Sections'!A276=0,"",'Frame Sections'!A276)</f>
        <v/>
      </c>
      <c r="B261" s="9" t="str">
        <f t="shared" si="4"/>
        <v/>
      </c>
    </row>
    <row r="262" spans="1:2" x14ac:dyDescent="0.25">
      <c r="A262" s="9" t="str">
        <f>IF('Frame Sections'!A277=0,"",'Frame Sections'!A277)</f>
        <v/>
      </c>
      <c r="B262" s="9" t="str">
        <f t="shared" si="4"/>
        <v/>
      </c>
    </row>
    <row r="263" spans="1:2" x14ac:dyDescent="0.25">
      <c r="A263" s="9" t="str">
        <f>IF('Frame Sections'!A278=0,"",'Frame Sections'!A278)</f>
        <v/>
      </c>
      <c r="B263" s="9" t="str">
        <f t="shared" si="4"/>
        <v/>
      </c>
    </row>
    <row r="264" spans="1:2" x14ac:dyDescent="0.25">
      <c r="A264" s="9" t="str">
        <f>IF('Frame Sections'!A279=0,"",'Frame Sections'!A279)</f>
        <v/>
      </c>
      <c r="B264" s="9" t="str">
        <f t="shared" si="4"/>
        <v/>
      </c>
    </row>
    <row r="265" spans="1:2" x14ac:dyDescent="0.25">
      <c r="A265" s="9" t="str">
        <f>IF('Frame Sections'!A280=0,"",'Frame Sections'!A280)</f>
        <v/>
      </c>
      <c r="B265" s="9" t="str">
        <f t="shared" si="4"/>
        <v/>
      </c>
    </row>
    <row r="266" spans="1:2" x14ac:dyDescent="0.25">
      <c r="A266" s="9" t="str">
        <f>IF('Frame Sections'!A281=0,"",'Frame Sections'!A281)</f>
        <v/>
      </c>
      <c r="B266" s="9" t="str">
        <f t="shared" si="4"/>
        <v/>
      </c>
    </row>
    <row r="267" spans="1:2" x14ac:dyDescent="0.25">
      <c r="A267" s="9" t="str">
        <f>IF('Frame Sections'!A282=0,"",'Frame Sections'!A282)</f>
        <v/>
      </c>
      <c r="B267" s="9" t="str">
        <f t="shared" si="4"/>
        <v/>
      </c>
    </row>
    <row r="268" spans="1:2" x14ac:dyDescent="0.25">
      <c r="A268" s="9" t="str">
        <f>IF('Frame Sections'!A283=0,"",'Frame Sections'!A283)</f>
        <v/>
      </c>
      <c r="B268" s="9" t="str">
        <f t="shared" si="4"/>
        <v/>
      </c>
    </row>
    <row r="269" spans="1:2" x14ac:dyDescent="0.25">
      <c r="A269" s="9" t="str">
        <f>IF('Frame Sections'!A284=0,"",'Frame Sections'!A284)</f>
        <v/>
      </c>
      <c r="B269" s="9" t="str">
        <f t="shared" si="4"/>
        <v/>
      </c>
    </row>
    <row r="270" spans="1:2" x14ac:dyDescent="0.25">
      <c r="A270" s="9" t="str">
        <f>IF('Frame Sections'!A285=0,"",'Frame Sections'!A285)</f>
        <v/>
      </c>
      <c r="B270" s="9" t="str">
        <f t="shared" si="4"/>
        <v/>
      </c>
    </row>
    <row r="271" spans="1:2" x14ac:dyDescent="0.25">
      <c r="A271" s="9" t="str">
        <f>IF('Frame Sections'!A286=0,"",'Frame Sections'!A286)</f>
        <v/>
      </c>
      <c r="B271" s="9" t="str">
        <f t="shared" si="4"/>
        <v/>
      </c>
    </row>
    <row r="272" spans="1:2" x14ac:dyDescent="0.25">
      <c r="A272" s="9" t="str">
        <f>IF('Frame Sections'!A287=0,"",'Frame Sections'!A287)</f>
        <v/>
      </c>
      <c r="B272" s="9" t="str">
        <f t="shared" si="4"/>
        <v/>
      </c>
    </row>
    <row r="273" spans="1:2" x14ac:dyDescent="0.25">
      <c r="A273" s="9" t="str">
        <f>IF('Frame Sections'!A288=0,"",'Frame Sections'!A288)</f>
        <v/>
      </c>
      <c r="B273" s="9" t="str">
        <f t="shared" si="4"/>
        <v/>
      </c>
    </row>
    <row r="274" spans="1:2" x14ac:dyDescent="0.25">
      <c r="A274" s="9" t="str">
        <f>IF('Frame Sections'!A289=0,"",'Frame Sections'!A289)</f>
        <v/>
      </c>
      <c r="B274" s="9" t="str">
        <f t="shared" si="4"/>
        <v/>
      </c>
    </row>
    <row r="275" spans="1:2" x14ac:dyDescent="0.25">
      <c r="A275" s="9" t="str">
        <f>IF('Frame Sections'!A290=0,"",'Frame Sections'!A290)</f>
        <v/>
      </c>
      <c r="B275" s="9" t="str">
        <f t="shared" si="4"/>
        <v/>
      </c>
    </row>
    <row r="276" spans="1:2" x14ac:dyDescent="0.25">
      <c r="A276" s="9" t="str">
        <f>IF('Frame Sections'!A291=0,"",'Frame Sections'!A291)</f>
        <v/>
      </c>
      <c r="B276" s="9" t="str">
        <f t="shared" si="4"/>
        <v/>
      </c>
    </row>
    <row r="277" spans="1:2" x14ac:dyDescent="0.25">
      <c r="A277" s="9" t="str">
        <f>IF('Frame Sections'!A292=0,"",'Frame Sections'!A292)</f>
        <v/>
      </c>
      <c r="B277" s="9" t="str">
        <f t="shared" si="4"/>
        <v/>
      </c>
    </row>
    <row r="278" spans="1:2" x14ac:dyDescent="0.25">
      <c r="A278" s="9" t="str">
        <f>IF('Frame Sections'!A293=0,"",'Frame Sections'!A293)</f>
        <v/>
      </c>
      <c r="B278" s="9" t="str">
        <f t="shared" si="4"/>
        <v/>
      </c>
    </row>
    <row r="279" spans="1:2" x14ac:dyDescent="0.25">
      <c r="A279" s="9" t="str">
        <f>IF('Frame Sections'!A294=0,"",'Frame Sections'!A294)</f>
        <v/>
      </c>
      <c r="B279" s="9" t="str">
        <f t="shared" si="4"/>
        <v/>
      </c>
    </row>
    <row r="280" spans="1:2" x14ac:dyDescent="0.25">
      <c r="A280" s="9" t="str">
        <f>IF('Frame Sections'!A295=0,"",'Frame Sections'!A295)</f>
        <v/>
      </c>
      <c r="B280" s="9" t="str">
        <f t="shared" si="4"/>
        <v/>
      </c>
    </row>
    <row r="281" spans="1:2" x14ac:dyDescent="0.25">
      <c r="A281" s="9" t="str">
        <f>IF('Frame Sections'!A296=0,"",'Frame Sections'!A296)</f>
        <v/>
      </c>
      <c r="B281" s="9" t="str">
        <f t="shared" si="4"/>
        <v/>
      </c>
    </row>
    <row r="282" spans="1:2" x14ac:dyDescent="0.25">
      <c r="A282" s="9" t="str">
        <f>IF('Frame Sections'!A297=0,"",'Frame Sections'!A297)</f>
        <v/>
      </c>
      <c r="B282" s="9" t="str">
        <f t="shared" si="4"/>
        <v/>
      </c>
    </row>
    <row r="283" spans="1:2" x14ac:dyDescent="0.25">
      <c r="A283" s="9" t="str">
        <f>IF('Frame Sections'!A298=0,"",'Frame Sections'!A298)</f>
        <v/>
      </c>
      <c r="B283" s="9" t="str">
        <f t="shared" si="4"/>
        <v/>
      </c>
    </row>
    <row r="284" spans="1:2" x14ac:dyDescent="0.25">
      <c r="A284" s="9" t="str">
        <f>IF('Frame Sections'!A299=0,"",'Frame Sections'!A299)</f>
        <v/>
      </c>
      <c r="B284" s="9" t="str">
        <f t="shared" si="4"/>
        <v/>
      </c>
    </row>
    <row r="285" spans="1:2" x14ac:dyDescent="0.25">
      <c r="A285" s="9" t="str">
        <f>IF('Frame Sections'!A300=0,"",'Frame Sections'!A300)</f>
        <v/>
      </c>
      <c r="B285" s="9" t="str">
        <f t="shared" si="4"/>
        <v/>
      </c>
    </row>
    <row r="286" spans="1:2" x14ac:dyDescent="0.25">
      <c r="A286" s="9" t="str">
        <f>IF('Frame Sections'!A301=0,"",'Frame Sections'!A301)</f>
        <v/>
      </c>
      <c r="B286" s="9" t="str">
        <f t="shared" si="4"/>
        <v/>
      </c>
    </row>
    <row r="287" spans="1:2" x14ac:dyDescent="0.25">
      <c r="A287" s="9" t="str">
        <f>IF('Frame Sections'!A302=0,"",'Frame Sections'!A302)</f>
        <v/>
      </c>
      <c r="B287" s="9" t="str">
        <f t="shared" si="4"/>
        <v/>
      </c>
    </row>
    <row r="288" spans="1:2" x14ac:dyDescent="0.25">
      <c r="A288" s="9" t="str">
        <f>IF('Frame Sections'!A303=0,"",'Frame Sections'!A303)</f>
        <v/>
      </c>
      <c r="B288" s="9" t="str">
        <f t="shared" si="4"/>
        <v/>
      </c>
    </row>
    <row r="289" spans="1:2" x14ac:dyDescent="0.25">
      <c r="A289" s="9" t="str">
        <f>IF('Frame Sections'!A304=0,"",'Frame Sections'!A304)</f>
        <v/>
      </c>
      <c r="B289" s="9" t="str">
        <f t="shared" si="4"/>
        <v/>
      </c>
    </row>
    <row r="290" spans="1:2" x14ac:dyDescent="0.25">
      <c r="A290" s="9" t="str">
        <f>IF('Frame Sections'!A305=0,"",'Frame Sections'!A305)</f>
        <v/>
      </c>
      <c r="B290" s="9" t="str">
        <f t="shared" si="4"/>
        <v/>
      </c>
    </row>
    <row r="291" spans="1:2" x14ac:dyDescent="0.25">
      <c r="A291" s="9" t="str">
        <f>IF('Frame Sections'!A306=0,"",'Frame Sections'!A306)</f>
        <v/>
      </c>
      <c r="B291" s="9" t="str">
        <f t="shared" si="4"/>
        <v/>
      </c>
    </row>
    <row r="292" spans="1:2" x14ac:dyDescent="0.25">
      <c r="A292" s="9" t="str">
        <f>IF('Frame Sections'!A307=0,"",'Frame Sections'!A307)</f>
        <v/>
      </c>
      <c r="B292" s="9" t="str">
        <f t="shared" si="4"/>
        <v/>
      </c>
    </row>
    <row r="293" spans="1:2" x14ac:dyDescent="0.25">
      <c r="A293" s="9" t="str">
        <f>IF('Frame Sections'!A308=0,"",'Frame Sections'!A308)</f>
        <v/>
      </c>
      <c r="B293" s="9" t="str">
        <f t="shared" si="4"/>
        <v/>
      </c>
    </row>
    <row r="294" spans="1:2" x14ac:dyDescent="0.25">
      <c r="A294" s="9" t="str">
        <f>IF('Frame Sections'!A309=0,"",'Frame Sections'!A309)</f>
        <v/>
      </c>
      <c r="B294" s="9" t="str">
        <f t="shared" si="4"/>
        <v/>
      </c>
    </row>
    <row r="295" spans="1:2" x14ac:dyDescent="0.25">
      <c r="A295" s="9" t="str">
        <f>IF('Frame Sections'!A310=0,"",'Frame Sections'!A310)</f>
        <v/>
      </c>
      <c r="B295" s="9" t="str">
        <f t="shared" si="4"/>
        <v/>
      </c>
    </row>
    <row r="296" spans="1:2" x14ac:dyDescent="0.25">
      <c r="A296" s="9" t="str">
        <f>IF('Frame Sections'!A311=0,"",'Frame Sections'!A311)</f>
        <v/>
      </c>
      <c r="B296" s="9" t="str">
        <f t="shared" si="4"/>
        <v/>
      </c>
    </row>
    <row r="297" spans="1:2" x14ac:dyDescent="0.25">
      <c r="A297" s="9" t="str">
        <f>IF('Frame Sections'!A312=0,"",'Frame Sections'!A312)</f>
        <v/>
      </c>
      <c r="B297" s="9" t="str">
        <f t="shared" si="4"/>
        <v/>
      </c>
    </row>
    <row r="298" spans="1:2" x14ac:dyDescent="0.25">
      <c r="A298" s="9" t="str">
        <f>IF('Frame Sections'!A313=0,"",'Frame Sections'!A313)</f>
        <v/>
      </c>
      <c r="B298" s="9" t="str">
        <f t="shared" si="4"/>
        <v/>
      </c>
    </row>
    <row r="299" spans="1:2" x14ac:dyDescent="0.25">
      <c r="A299" s="9" t="str">
        <f>IF('Frame Sections'!A314=0,"",'Frame Sections'!A314)</f>
        <v/>
      </c>
      <c r="B299" s="9" t="str">
        <f t="shared" si="4"/>
        <v/>
      </c>
    </row>
    <row r="300" spans="1:2" x14ac:dyDescent="0.25">
      <c r="A300" s="9" t="str">
        <f>IF('Frame Sections'!A315=0,"",'Frame Sections'!A315)</f>
        <v/>
      </c>
      <c r="B300" s="9" t="str">
        <f t="shared" si="4"/>
        <v/>
      </c>
    </row>
    <row r="301" spans="1:2" x14ac:dyDescent="0.25">
      <c r="A301" s="9" t="str">
        <f>IF('Frame Sections'!A316=0,"",'Frame Sections'!A316)</f>
        <v/>
      </c>
      <c r="B301" s="9" t="str">
        <f t="shared" si="4"/>
        <v/>
      </c>
    </row>
    <row r="302" spans="1:2" x14ac:dyDescent="0.25">
      <c r="A302" s="9" t="str">
        <f>IF('Frame Sections'!A317=0,"",'Frame Sections'!A317)</f>
        <v/>
      </c>
      <c r="B302" s="9" t="str">
        <f t="shared" si="4"/>
        <v/>
      </c>
    </row>
    <row r="303" spans="1:2" x14ac:dyDescent="0.25">
      <c r="A303" s="9" t="str">
        <f>IF('Frame Sections'!A318=0,"",'Frame Sections'!A318)</f>
        <v/>
      </c>
      <c r="B303" s="9" t="str">
        <f t="shared" si="4"/>
        <v/>
      </c>
    </row>
    <row r="304" spans="1:2" x14ac:dyDescent="0.25">
      <c r="A304" s="9" t="str">
        <f>IF('Frame Sections'!A319=0,"",'Frame Sections'!A319)</f>
        <v/>
      </c>
      <c r="B304" s="9" t="str">
        <f t="shared" si="4"/>
        <v/>
      </c>
    </row>
    <row r="305" spans="1:2" x14ac:dyDescent="0.25">
      <c r="A305" s="9" t="str">
        <f>IF('Frame Sections'!A320=0,"",'Frame Sections'!A320)</f>
        <v/>
      </c>
      <c r="B305" s="9" t="str">
        <f t="shared" si="4"/>
        <v/>
      </c>
    </row>
    <row r="306" spans="1:2" x14ac:dyDescent="0.25">
      <c r="A306" s="9" t="str">
        <f>IF('Frame Sections'!A321=0,"",'Frame Sections'!A321)</f>
        <v/>
      </c>
      <c r="B306" s="9" t="str">
        <f t="shared" si="4"/>
        <v/>
      </c>
    </row>
    <row r="307" spans="1:2" x14ac:dyDescent="0.25">
      <c r="A307" s="9" t="str">
        <f>IF('Frame Sections'!A322=0,"",'Frame Sections'!A322)</f>
        <v/>
      </c>
      <c r="B307" s="9" t="str">
        <f t="shared" si="4"/>
        <v/>
      </c>
    </row>
    <row r="308" spans="1:2" x14ac:dyDescent="0.25">
      <c r="A308" s="9" t="str">
        <f>IF('Frame Sections'!A323=0,"",'Frame Sections'!A323)</f>
        <v/>
      </c>
      <c r="B308" s="9" t="str">
        <f t="shared" si="4"/>
        <v/>
      </c>
    </row>
    <row r="309" spans="1:2" x14ac:dyDescent="0.25">
      <c r="A309" s="9" t="str">
        <f>IF('Frame Sections'!A324=0,"",'Frame Sections'!A324)</f>
        <v/>
      </c>
      <c r="B309" s="9" t="str">
        <f t="shared" si="4"/>
        <v/>
      </c>
    </row>
    <row r="310" spans="1:2" x14ac:dyDescent="0.25">
      <c r="A310" s="9" t="str">
        <f>IF('Frame Sections'!A325=0,"",'Frame Sections'!A325)</f>
        <v/>
      </c>
      <c r="B310" s="9" t="str">
        <f t="shared" si="4"/>
        <v/>
      </c>
    </row>
    <row r="311" spans="1:2" x14ac:dyDescent="0.25">
      <c r="A311" s="9" t="str">
        <f>IF('Frame Sections'!A326=0,"",'Frame Sections'!A326)</f>
        <v/>
      </c>
      <c r="B311" s="9" t="str">
        <f t="shared" si="4"/>
        <v/>
      </c>
    </row>
    <row r="312" spans="1:2" x14ac:dyDescent="0.25">
      <c r="A312" s="9" t="str">
        <f>IF('Frame Sections'!A327=0,"",'Frame Sections'!A327)</f>
        <v/>
      </c>
      <c r="B312" s="9" t="str">
        <f t="shared" si="4"/>
        <v/>
      </c>
    </row>
    <row r="313" spans="1:2" x14ac:dyDescent="0.25">
      <c r="A313" s="9" t="str">
        <f>IF('Frame Sections'!A328=0,"",'Frame Sections'!A328)</f>
        <v/>
      </c>
      <c r="B313" s="9" t="str">
        <f t="shared" si="4"/>
        <v/>
      </c>
    </row>
    <row r="314" spans="1:2" x14ac:dyDescent="0.25">
      <c r="A314" s="9" t="str">
        <f>IF('Frame Sections'!A329=0,"",'Frame Sections'!A329)</f>
        <v/>
      </c>
      <c r="B314" s="9" t="str">
        <f t="shared" si="4"/>
        <v/>
      </c>
    </row>
    <row r="315" spans="1:2" x14ac:dyDescent="0.25">
      <c r="A315" s="9" t="str">
        <f>IF('Frame Sections'!A330=0,"",'Frame Sections'!A330)</f>
        <v/>
      </c>
      <c r="B315" s="9" t="str">
        <f t="shared" si="4"/>
        <v/>
      </c>
    </row>
    <row r="316" spans="1:2" x14ac:dyDescent="0.25">
      <c r="A316" s="9" t="str">
        <f>IF('Frame Sections'!A331=0,"",'Frame Sections'!A331)</f>
        <v/>
      </c>
      <c r="B316" s="9" t="str">
        <f t="shared" si="4"/>
        <v/>
      </c>
    </row>
    <row r="317" spans="1:2" x14ac:dyDescent="0.25">
      <c r="A317" s="9" t="str">
        <f>IF('Frame Sections'!A332=0,"",'Frame Sections'!A332)</f>
        <v/>
      </c>
      <c r="B317" s="9" t="str">
        <f t="shared" si="4"/>
        <v/>
      </c>
    </row>
    <row r="318" spans="1:2" x14ac:dyDescent="0.25">
      <c r="A318" s="9" t="str">
        <f>IF('Frame Sections'!A333=0,"",'Frame Sections'!A333)</f>
        <v/>
      </c>
      <c r="B318" s="9" t="str">
        <f t="shared" si="4"/>
        <v/>
      </c>
    </row>
    <row r="319" spans="1:2" x14ac:dyDescent="0.25">
      <c r="A319" s="9" t="str">
        <f>IF('Frame Sections'!A334=0,"",'Frame Sections'!A334)</f>
        <v/>
      </c>
      <c r="B319" s="9" t="str">
        <f t="shared" si="4"/>
        <v/>
      </c>
    </row>
    <row r="320" spans="1:2" x14ac:dyDescent="0.25">
      <c r="A320" s="9" t="str">
        <f>IF('Frame Sections'!A335=0,"",'Frame Sections'!A335)</f>
        <v/>
      </c>
      <c r="B320" s="9" t="str">
        <f t="shared" si="4"/>
        <v/>
      </c>
    </row>
    <row r="321" spans="1:2" x14ac:dyDescent="0.25">
      <c r="A321" s="9" t="str">
        <f>IF('Frame Sections'!A336=0,"",'Frame Sections'!A336)</f>
        <v/>
      </c>
      <c r="B321" s="9" t="str">
        <f t="shared" si="4"/>
        <v/>
      </c>
    </row>
    <row r="322" spans="1:2" x14ac:dyDescent="0.25">
      <c r="A322" s="9" t="str">
        <f>IF('Frame Sections'!A337=0,"",'Frame Sections'!A337)</f>
        <v/>
      </c>
      <c r="B322" s="9" t="str">
        <f t="shared" ref="B322:B385" si="5">IF(OR(A322=0,A322=""),"",VLOOKUP(A322,SecDB,5,FALSE))</f>
        <v/>
      </c>
    </row>
    <row r="323" spans="1:2" x14ac:dyDescent="0.25">
      <c r="A323" s="9" t="str">
        <f>IF('Frame Sections'!A338=0,"",'Frame Sections'!A338)</f>
        <v/>
      </c>
      <c r="B323" s="9" t="str">
        <f t="shared" si="5"/>
        <v/>
      </c>
    </row>
    <row r="324" spans="1:2" x14ac:dyDescent="0.25">
      <c r="A324" s="9" t="str">
        <f>IF('Frame Sections'!A339=0,"",'Frame Sections'!A339)</f>
        <v/>
      </c>
      <c r="B324" s="9" t="str">
        <f t="shared" si="5"/>
        <v/>
      </c>
    </row>
    <row r="325" spans="1:2" x14ac:dyDescent="0.25">
      <c r="A325" s="9" t="str">
        <f>IF('Frame Sections'!A340=0,"",'Frame Sections'!A340)</f>
        <v/>
      </c>
      <c r="B325" s="9" t="str">
        <f t="shared" si="5"/>
        <v/>
      </c>
    </row>
    <row r="326" spans="1:2" x14ac:dyDescent="0.25">
      <c r="A326" s="9" t="str">
        <f>IF('Frame Sections'!A341=0,"",'Frame Sections'!A341)</f>
        <v/>
      </c>
      <c r="B326" s="9" t="str">
        <f t="shared" si="5"/>
        <v/>
      </c>
    </row>
    <row r="327" spans="1:2" x14ac:dyDescent="0.25">
      <c r="A327" s="9" t="str">
        <f>IF('Frame Sections'!A342=0,"",'Frame Sections'!A342)</f>
        <v/>
      </c>
      <c r="B327" s="9" t="str">
        <f t="shared" si="5"/>
        <v/>
      </c>
    </row>
    <row r="328" spans="1:2" x14ac:dyDescent="0.25">
      <c r="A328" s="9" t="str">
        <f>IF('Frame Sections'!A343=0,"",'Frame Sections'!A343)</f>
        <v/>
      </c>
      <c r="B328" s="9" t="str">
        <f t="shared" si="5"/>
        <v/>
      </c>
    </row>
    <row r="329" spans="1:2" x14ac:dyDescent="0.25">
      <c r="A329" s="9" t="str">
        <f>IF('Frame Sections'!A344=0,"",'Frame Sections'!A344)</f>
        <v/>
      </c>
      <c r="B329" s="9" t="str">
        <f t="shared" si="5"/>
        <v/>
      </c>
    </row>
    <row r="330" spans="1:2" x14ac:dyDescent="0.25">
      <c r="A330" s="9" t="str">
        <f>IF('Frame Sections'!A345=0,"",'Frame Sections'!A345)</f>
        <v/>
      </c>
      <c r="B330" s="9" t="str">
        <f t="shared" si="5"/>
        <v/>
      </c>
    </row>
    <row r="331" spans="1:2" x14ac:dyDescent="0.25">
      <c r="A331" s="9" t="str">
        <f>IF('Frame Sections'!A346=0,"",'Frame Sections'!A346)</f>
        <v/>
      </c>
      <c r="B331" s="9" t="str">
        <f t="shared" si="5"/>
        <v/>
      </c>
    </row>
    <row r="332" spans="1:2" x14ac:dyDescent="0.25">
      <c r="A332" s="9" t="str">
        <f>IF('Frame Sections'!A347=0,"",'Frame Sections'!A347)</f>
        <v/>
      </c>
      <c r="B332" s="9" t="str">
        <f t="shared" si="5"/>
        <v/>
      </c>
    </row>
    <row r="333" spans="1:2" x14ac:dyDescent="0.25">
      <c r="A333" s="9" t="str">
        <f>IF('Frame Sections'!A348=0,"",'Frame Sections'!A348)</f>
        <v/>
      </c>
      <c r="B333" s="9" t="str">
        <f t="shared" si="5"/>
        <v/>
      </c>
    </row>
    <row r="334" spans="1:2" x14ac:dyDescent="0.25">
      <c r="A334" s="9" t="str">
        <f>IF('Frame Sections'!A349=0,"",'Frame Sections'!A349)</f>
        <v/>
      </c>
      <c r="B334" s="9" t="str">
        <f t="shared" si="5"/>
        <v/>
      </c>
    </row>
    <row r="335" spans="1:2" x14ac:dyDescent="0.25">
      <c r="A335" s="9" t="str">
        <f>IF('Frame Sections'!A350=0,"",'Frame Sections'!A350)</f>
        <v/>
      </c>
      <c r="B335" s="9" t="str">
        <f t="shared" si="5"/>
        <v/>
      </c>
    </row>
    <row r="336" spans="1:2" x14ac:dyDescent="0.25">
      <c r="A336" s="9" t="str">
        <f>IF('Frame Sections'!A351=0,"",'Frame Sections'!A351)</f>
        <v/>
      </c>
      <c r="B336" s="9" t="str">
        <f t="shared" si="5"/>
        <v/>
      </c>
    </row>
    <row r="337" spans="1:2" x14ac:dyDescent="0.25">
      <c r="A337" s="9" t="str">
        <f>IF('Frame Sections'!A352=0,"",'Frame Sections'!A352)</f>
        <v/>
      </c>
      <c r="B337" s="9" t="str">
        <f t="shared" si="5"/>
        <v/>
      </c>
    </row>
    <row r="338" spans="1:2" x14ac:dyDescent="0.25">
      <c r="A338" s="9" t="str">
        <f>IF('Frame Sections'!A353=0,"",'Frame Sections'!A353)</f>
        <v/>
      </c>
      <c r="B338" s="9" t="str">
        <f t="shared" si="5"/>
        <v/>
      </c>
    </row>
    <row r="339" spans="1:2" x14ac:dyDescent="0.25">
      <c r="A339" s="9" t="str">
        <f>IF('Frame Sections'!A354=0,"",'Frame Sections'!A354)</f>
        <v/>
      </c>
      <c r="B339" s="9" t="str">
        <f t="shared" si="5"/>
        <v/>
      </c>
    </row>
    <row r="340" spans="1:2" x14ac:dyDescent="0.25">
      <c r="A340" s="9" t="str">
        <f>IF('Frame Sections'!A355=0,"",'Frame Sections'!A355)</f>
        <v/>
      </c>
      <c r="B340" s="9" t="str">
        <f t="shared" si="5"/>
        <v/>
      </c>
    </row>
    <row r="341" spans="1:2" x14ac:dyDescent="0.25">
      <c r="A341" s="9" t="str">
        <f>IF('Frame Sections'!A356=0,"",'Frame Sections'!A356)</f>
        <v/>
      </c>
      <c r="B341" s="9" t="str">
        <f t="shared" si="5"/>
        <v/>
      </c>
    </row>
    <row r="342" spans="1:2" x14ac:dyDescent="0.25">
      <c r="A342" s="9" t="str">
        <f>IF('Frame Sections'!A357=0,"",'Frame Sections'!A357)</f>
        <v/>
      </c>
      <c r="B342" s="9" t="str">
        <f t="shared" si="5"/>
        <v/>
      </c>
    </row>
    <row r="343" spans="1:2" x14ac:dyDescent="0.25">
      <c r="A343" s="9" t="str">
        <f>IF('Frame Sections'!A358=0,"",'Frame Sections'!A358)</f>
        <v/>
      </c>
      <c r="B343" s="9" t="str">
        <f t="shared" si="5"/>
        <v/>
      </c>
    </row>
    <row r="344" spans="1:2" x14ac:dyDescent="0.25">
      <c r="A344" s="9" t="str">
        <f>IF('Frame Sections'!A359=0,"",'Frame Sections'!A359)</f>
        <v/>
      </c>
      <c r="B344" s="9" t="str">
        <f t="shared" si="5"/>
        <v/>
      </c>
    </row>
    <row r="345" spans="1:2" x14ac:dyDescent="0.25">
      <c r="A345" s="9" t="str">
        <f>IF('Frame Sections'!A360=0,"",'Frame Sections'!A360)</f>
        <v/>
      </c>
      <c r="B345" s="9" t="str">
        <f t="shared" si="5"/>
        <v/>
      </c>
    </row>
    <row r="346" spans="1:2" x14ac:dyDescent="0.25">
      <c r="A346" s="9" t="str">
        <f>IF('Frame Sections'!A361=0,"",'Frame Sections'!A361)</f>
        <v/>
      </c>
      <c r="B346" s="9" t="str">
        <f t="shared" si="5"/>
        <v/>
      </c>
    </row>
    <row r="347" spans="1:2" x14ac:dyDescent="0.25">
      <c r="A347" s="9" t="str">
        <f>IF('Frame Sections'!A362=0,"",'Frame Sections'!A362)</f>
        <v/>
      </c>
      <c r="B347" s="9" t="str">
        <f t="shared" si="5"/>
        <v/>
      </c>
    </row>
    <row r="348" spans="1:2" x14ac:dyDescent="0.25">
      <c r="A348" s="9" t="str">
        <f>IF('Frame Sections'!A363=0,"",'Frame Sections'!A363)</f>
        <v/>
      </c>
      <c r="B348" s="9" t="str">
        <f t="shared" si="5"/>
        <v/>
      </c>
    </row>
    <row r="349" spans="1:2" x14ac:dyDescent="0.25">
      <c r="A349" s="9" t="str">
        <f>IF('Frame Sections'!A364=0,"",'Frame Sections'!A364)</f>
        <v/>
      </c>
      <c r="B349" s="9" t="str">
        <f t="shared" si="5"/>
        <v/>
      </c>
    </row>
    <row r="350" spans="1:2" x14ac:dyDescent="0.25">
      <c r="A350" s="9" t="str">
        <f>IF('Frame Sections'!A365=0,"",'Frame Sections'!A365)</f>
        <v/>
      </c>
      <c r="B350" s="9" t="str">
        <f t="shared" si="5"/>
        <v/>
      </c>
    </row>
    <row r="351" spans="1:2" x14ac:dyDescent="0.25">
      <c r="A351" s="9" t="str">
        <f>IF('Frame Sections'!A366=0,"",'Frame Sections'!A366)</f>
        <v/>
      </c>
      <c r="B351" s="9" t="str">
        <f t="shared" si="5"/>
        <v/>
      </c>
    </row>
    <row r="352" spans="1:2" x14ac:dyDescent="0.25">
      <c r="A352" s="9" t="str">
        <f>IF('Frame Sections'!A367=0,"",'Frame Sections'!A367)</f>
        <v/>
      </c>
      <c r="B352" s="9" t="str">
        <f t="shared" si="5"/>
        <v/>
      </c>
    </row>
    <row r="353" spans="1:2" x14ac:dyDescent="0.25">
      <c r="A353" s="9" t="str">
        <f>IF('Frame Sections'!A368=0,"",'Frame Sections'!A368)</f>
        <v/>
      </c>
      <c r="B353" s="9" t="str">
        <f t="shared" si="5"/>
        <v/>
      </c>
    </row>
    <row r="354" spans="1:2" x14ac:dyDescent="0.25">
      <c r="A354" s="9" t="str">
        <f>IF('Frame Sections'!A369=0,"",'Frame Sections'!A369)</f>
        <v/>
      </c>
      <c r="B354" s="9" t="str">
        <f t="shared" si="5"/>
        <v/>
      </c>
    </row>
    <row r="355" spans="1:2" x14ac:dyDescent="0.25">
      <c r="A355" s="9" t="str">
        <f>IF('Frame Sections'!A370=0,"",'Frame Sections'!A370)</f>
        <v/>
      </c>
      <c r="B355" s="9" t="str">
        <f t="shared" si="5"/>
        <v/>
      </c>
    </row>
    <row r="356" spans="1:2" x14ac:dyDescent="0.25">
      <c r="A356" s="9" t="str">
        <f>IF('Frame Sections'!A371=0,"",'Frame Sections'!A371)</f>
        <v/>
      </c>
      <c r="B356" s="9" t="str">
        <f t="shared" si="5"/>
        <v/>
      </c>
    </row>
    <row r="357" spans="1:2" x14ac:dyDescent="0.25">
      <c r="A357" s="9" t="str">
        <f>IF('Frame Sections'!A372=0,"",'Frame Sections'!A372)</f>
        <v/>
      </c>
      <c r="B357" s="9" t="str">
        <f t="shared" si="5"/>
        <v/>
      </c>
    </row>
    <row r="358" spans="1:2" x14ac:dyDescent="0.25">
      <c r="A358" s="9" t="str">
        <f>IF('Frame Sections'!A373=0,"",'Frame Sections'!A373)</f>
        <v/>
      </c>
      <c r="B358" s="9" t="str">
        <f t="shared" si="5"/>
        <v/>
      </c>
    </row>
    <row r="359" spans="1:2" x14ac:dyDescent="0.25">
      <c r="A359" s="9" t="str">
        <f>IF('Frame Sections'!A374=0,"",'Frame Sections'!A374)</f>
        <v/>
      </c>
      <c r="B359" s="9" t="str">
        <f t="shared" si="5"/>
        <v/>
      </c>
    </row>
    <row r="360" spans="1:2" x14ac:dyDescent="0.25">
      <c r="A360" s="9" t="str">
        <f>IF('Frame Sections'!A375=0,"",'Frame Sections'!A375)</f>
        <v/>
      </c>
      <c r="B360" s="9" t="str">
        <f t="shared" si="5"/>
        <v/>
      </c>
    </row>
    <row r="361" spans="1:2" x14ac:dyDescent="0.25">
      <c r="A361" s="9" t="str">
        <f>IF('Frame Sections'!A376=0,"",'Frame Sections'!A376)</f>
        <v/>
      </c>
      <c r="B361" s="9" t="str">
        <f t="shared" si="5"/>
        <v/>
      </c>
    </row>
    <row r="362" spans="1:2" x14ac:dyDescent="0.25">
      <c r="A362" s="9" t="str">
        <f>IF('Frame Sections'!A377=0,"",'Frame Sections'!A377)</f>
        <v/>
      </c>
      <c r="B362" s="9" t="str">
        <f t="shared" si="5"/>
        <v/>
      </c>
    </row>
    <row r="363" spans="1:2" x14ac:dyDescent="0.25">
      <c r="A363" s="9" t="str">
        <f>IF('Frame Sections'!A378=0,"",'Frame Sections'!A378)</f>
        <v/>
      </c>
      <c r="B363" s="9" t="str">
        <f t="shared" si="5"/>
        <v/>
      </c>
    </row>
    <row r="364" spans="1:2" x14ac:dyDescent="0.25">
      <c r="A364" s="9" t="str">
        <f>IF('Frame Sections'!A379=0,"",'Frame Sections'!A379)</f>
        <v/>
      </c>
      <c r="B364" s="9" t="str">
        <f t="shared" si="5"/>
        <v/>
      </c>
    </row>
    <row r="365" spans="1:2" x14ac:dyDescent="0.25">
      <c r="A365" s="9" t="str">
        <f>IF('Frame Sections'!A380=0,"",'Frame Sections'!A380)</f>
        <v/>
      </c>
      <c r="B365" s="9" t="str">
        <f t="shared" si="5"/>
        <v/>
      </c>
    </row>
    <row r="366" spans="1:2" x14ac:dyDescent="0.25">
      <c r="A366" s="9" t="str">
        <f>IF('Frame Sections'!A381=0,"",'Frame Sections'!A381)</f>
        <v/>
      </c>
      <c r="B366" s="9" t="str">
        <f t="shared" si="5"/>
        <v/>
      </c>
    </row>
    <row r="367" spans="1:2" x14ac:dyDescent="0.25">
      <c r="A367" s="9" t="str">
        <f>IF('Frame Sections'!A382=0,"",'Frame Sections'!A382)</f>
        <v/>
      </c>
      <c r="B367" s="9" t="str">
        <f t="shared" si="5"/>
        <v/>
      </c>
    </row>
    <row r="368" spans="1:2" x14ac:dyDescent="0.25">
      <c r="A368" s="9" t="str">
        <f>IF('Frame Sections'!A383=0,"",'Frame Sections'!A383)</f>
        <v/>
      </c>
      <c r="B368" s="9" t="str">
        <f t="shared" si="5"/>
        <v/>
      </c>
    </row>
    <row r="369" spans="1:2" x14ac:dyDescent="0.25">
      <c r="A369" s="9" t="str">
        <f>IF('Frame Sections'!A384=0,"",'Frame Sections'!A384)</f>
        <v/>
      </c>
      <c r="B369" s="9" t="str">
        <f t="shared" si="5"/>
        <v/>
      </c>
    </row>
    <row r="370" spans="1:2" x14ac:dyDescent="0.25">
      <c r="A370" s="9" t="str">
        <f>IF('Frame Sections'!A385=0,"",'Frame Sections'!A385)</f>
        <v/>
      </c>
      <c r="B370" s="9" t="str">
        <f t="shared" si="5"/>
        <v/>
      </c>
    </row>
    <row r="371" spans="1:2" x14ac:dyDescent="0.25">
      <c r="A371" s="9" t="str">
        <f>IF('Frame Sections'!A386=0,"",'Frame Sections'!A386)</f>
        <v/>
      </c>
      <c r="B371" s="9" t="str">
        <f t="shared" si="5"/>
        <v/>
      </c>
    </row>
    <row r="372" spans="1:2" x14ac:dyDescent="0.25">
      <c r="A372" s="9" t="str">
        <f>IF('Frame Sections'!A387=0,"",'Frame Sections'!A387)</f>
        <v/>
      </c>
      <c r="B372" s="9" t="str">
        <f t="shared" si="5"/>
        <v/>
      </c>
    </row>
    <row r="373" spans="1:2" x14ac:dyDescent="0.25">
      <c r="A373" s="9" t="str">
        <f>IF('Frame Sections'!A388=0,"",'Frame Sections'!A388)</f>
        <v/>
      </c>
      <c r="B373" s="9" t="str">
        <f t="shared" si="5"/>
        <v/>
      </c>
    </row>
    <row r="374" spans="1:2" x14ac:dyDescent="0.25">
      <c r="A374" s="9" t="str">
        <f>IF('Frame Sections'!A389=0,"",'Frame Sections'!A389)</f>
        <v/>
      </c>
      <c r="B374" s="9" t="str">
        <f t="shared" si="5"/>
        <v/>
      </c>
    </row>
    <row r="375" spans="1:2" x14ac:dyDescent="0.25">
      <c r="A375" s="9" t="str">
        <f>IF('Frame Sections'!A390=0,"",'Frame Sections'!A390)</f>
        <v/>
      </c>
      <c r="B375" s="9" t="str">
        <f t="shared" si="5"/>
        <v/>
      </c>
    </row>
    <row r="376" spans="1:2" x14ac:dyDescent="0.25">
      <c r="A376" s="9" t="str">
        <f>IF('Frame Sections'!A391=0,"",'Frame Sections'!A391)</f>
        <v/>
      </c>
      <c r="B376" s="9" t="str">
        <f t="shared" si="5"/>
        <v/>
      </c>
    </row>
    <row r="377" spans="1:2" x14ac:dyDescent="0.25">
      <c r="A377" s="9" t="str">
        <f>IF('Frame Sections'!A392=0,"",'Frame Sections'!A392)</f>
        <v/>
      </c>
      <c r="B377" s="9" t="str">
        <f t="shared" si="5"/>
        <v/>
      </c>
    </row>
    <row r="378" spans="1:2" x14ac:dyDescent="0.25">
      <c r="A378" s="9" t="str">
        <f>IF('Frame Sections'!A393=0,"",'Frame Sections'!A393)</f>
        <v/>
      </c>
      <c r="B378" s="9" t="str">
        <f t="shared" si="5"/>
        <v/>
      </c>
    </row>
    <row r="379" spans="1:2" x14ac:dyDescent="0.25">
      <c r="A379" s="9" t="str">
        <f>IF('Frame Sections'!A394=0,"",'Frame Sections'!A394)</f>
        <v/>
      </c>
      <c r="B379" s="9" t="str">
        <f t="shared" si="5"/>
        <v/>
      </c>
    </row>
    <row r="380" spans="1:2" x14ac:dyDescent="0.25">
      <c r="A380" s="9" t="str">
        <f>IF('Frame Sections'!A395=0,"",'Frame Sections'!A395)</f>
        <v/>
      </c>
      <c r="B380" s="9" t="str">
        <f t="shared" si="5"/>
        <v/>
      </c>
    </row>
    <row r="381" spans="1:2" x14ac:dyDescent="0.25">
      <c r="A381" s="9" t="str">
        <f>IF('Frame Sections'!A396=0,"",'Frame Sections'!A396)</f>
        <v/>
      </c>
      <c r="B381" s="9" t="str">
        <f t="shared" si="5"/>
        <v/>
      </c>
    </row>
    <row r="382" spans="1:2" x14ac:dyDescent="0.25">
      <c r="A382" s="9" t="str">
        <f>IF('Frame Sections'!A397=0,"",'Frame Sections'!A397)</f>
        <v/>
      </c>
      <c r="B382" s="9" t="str">
        <f t="shared" si="5"/>
        <v/>
      </c>
    </row>
    <row r="383" spans="1:2" x14ac:dyDescent="0.25">
      <c r="A383" s="9" t="str">
        <f>IF('Frame Sections'!A398=0,"",'Frame Sections'!A398)</f>
        <v/>
      </c>
      <c r="B383" s="9" t="str">
        <f t="shared" si="5"/>
        <v/>
      </c>
    </row>
    <row r="384" spans="1:2" x14ac:dyDescent="0.25">
      <c r="A384" s="9" t="str">
        <f>IF('Frame Sections'!A399=0,"",'Frame Sections'!A399)</f>
        <v/>
      </c>
      <c r="B384" s="9" t="str">
        <f t="shared" si="5"/>
        <v/>
      </c>
    </row>
    <row r="385" spans="1:2" x14ac:dyDescent="0.25">
      <c r="A385" s="9" t="str">
        <f>IF('Frame Sections'!A400=0,"",'Frame Sections'!A400)</f>
        <v/>
      </c>
      <c r="B385" s="9" t="str">
        <f t="shared" si="5"/>
        <v/>
      </c>
    </row>
    <row r="386" spans="1:2" x14ac:dyDescent="0.25">
      <c r="A386" s="9" t="str">
        <f>IF('Frame Sections'!A401=0,"",'Frame Sections'!A401)</f>
        <v/>
      </c>
      <c r="B386" s="9" t="str">
        <f t="shared" ref="B386:B449" si="6">IF(OR(A386=0,A386=""),"",VLOOKUP(A386,SecDB,5,FALSE))</f>
        <v/>
      </c>
    </row>
    <row r="387" spans="1:2" x14ac:dyDescent="0.25">
      <c r="A387" s="9" t="str">
        <f>IF('Frame Sections'!A402=0,"",'Frame Sections'!A402)</f>
        <v/>
      </c>
      <c r="B387" s="9" t="str">
        <f t="shared" si="6"/>
        <v/>
      </c>
    </row>
    <row r="388" spans="1:2" x14ac:dyDescent="0.25">
      <c r="A388" s="9" t="str">
        <f>IF('Frame Sections'!A403=0,"",'Frame Sections'!A403)</f>
        <v/>
      </c>
      <c r="B388" s="9" t="str">
        <f t="shared" si="6"/>
        <v/>
      </c>
    </row>
    <row r="389" spans="1:2" x14ac:dyDescent="0.25">
      <c r="A389" s="9" t="str">
        <f>IF('Frame Sections'!A404=0,"",'Frame Sections'!A404)</f>
        <v/>
      </c>
      <c r="B389" s="9" t="str">
        <f t="shared" si="6"/>
        <v/>
      </c>
    </row>
    <row r="390" spans="1:2" x14ac:dyDescent="0.25">
      <c r="A390" s="9" t="str">
        <f>IF('Frame Sections'!A405=0,"",'Frame Sections'!A405)</f>
        <v/>
      </c>
      <c r="B390" s="9" t="str">
        <f t="shared" si="6"/>
        <v/>
      </c>
    </row>
    <row r="391" spans="1:2" x14ac:dyDescent="0.25">
      <c r="A391" s="9" t="str">
        <f>IF('Frame Sections'!A406=0,"",'Frame Sections'!A406)</f>
        <v/>
      </c>
      <c r="B391" s="9" t="str">
        <f t="shared" si="6"/>
        <v/>
      </c>
    </row>
    <row r="392" spans="1:2" x14ac:dyDescent="0.25">
      <c r="A392" s="9" t="str">
        <f>IF('Frame Sections'!A407=0,"",'Frame Sections'!A407)</f>
        <v/>
      </c>
      <c r="B392" s="9" t="str">
        <f t="shared" si="6"/>
        <v/>
      </c>
    </row>
    <row r="393" spans="1:2" x14ac:dyDescent="0.25">
      <c r="A393" s="9" t="str">
        <f>IF('Frame Sections'!A408=0,"",'Frame Sections'!A408)</f>
        <v/>
      </c>
      <c r="B393" s="9" t="str">
        <f t="shared" si="6"/>
        <v/>
      </c>
    </row>
    <row r="394" spans="1:2" x14ac:dyDescent="0.25">
      <c r="A394" s="9" t="str">
        <f>IF('Frame Sections'!A409=0,"",'Frame Sections'!A409)</f>
        <v/>
      </c>
      <c r="B394" s="9" t="str">
        <f t="shared" si="6"/>
        <v/>
      </c>
    </row>
    <row r="395" spans="1:2" x14ac:dyDescent="0.25">
      <c r="A395" s="9" t="str">
        <f>IF('Frame Sections'!A410=0,"",'Frame Sections'!A410)</f>
        <v/>
      </c>
      <c r="B395" s="9" t="str">
        <f t="shared" si="6"/>
        <v/>
      </c>
    </row>
    <row r="396" spans="1:2" x14ac:dyDescent="0.25">
      <c r="A396" s="9" t="str">
        <f>IF('Frame Sections'!A411=0,"",'Frame Sections'!A411)</f>
        <v/>
      </c>
      <c r="B396" s="9" t="str">
        <f t="shared" si="6"/>
        <v/>
      </c>
    </row>
    <row r="397" spans="1:2" x14ac:dyDescent="0.25">
      <c r="A397" s="9" t="str">
        <f>IF('Frame Sections'!A412=0,"",'Frame Sections'!A412)</f>
        <v/>
      </c>
      <c r="B397" s="9" t="str">
        <f t="shared" si="6"/>
        <v/>
      </c>
    </row>
    <row r="398" spans="1:2" x14ac:dyDescent="0.25">
      <c r="A398" s="9" t="str">
        <f>IF('Frame Sections'!A413=0,"",'Frame Sections'!A413)</f>
        <v/>
      </c>
      <c r="B398" s="9" t="str">
        <f t="shared" si="6"/>
        <v/>
      </c>
    </row>
    <row r="399" spans="1:2" x14ac:dyDescent="0.25">
      <c r="A399" s="9" t="str">
        <f>IF('Frame Sections'!A414=0,"",'Frame Sections'!A414)</f>
        <v/>
      </c>
      <c r="B399" s="9" t="str">
        <f t="shared" si="6"/>
        <v/>
      </c>
    </row>
    <row r="400" spans="1:2" x14ac:dyDescent="0.25">
      <c r="A400" s="9" t="str">
        <f>IF('Frame Sections'!A415=0,"",'Frame Sections'!A415)</f>
        <v/>
      </c>
      <c r="B400" s="9" t="str">
        <f t="shared" si="6"/>
        <v/>
      </c>
    </row>
    <row r="401" spans="1:2" x14ac:dyDescent="0.25">
      <c r="A401" s="9" t="str">
        <f>IF('Frame Sections'!A416=0,"",'Frame Sections'!A416)</f>
        <v/>
      </c>
      <c r="B401" s="9" t="str">
        <f t="shared" si="6"/>
        <v/>
      </c>
    </row>
    <row r="402" spans="1:2" x14ac:dyDescent="0.25">
      <c r="A402" s="9" t="str">
        <f>IF('Frame Sections'!A417=0,"",'Frame Sections'!A417)</f>
        <v/>
      </c>
      <c r="B402" s="9" t="str">
        <f t="shared" si="6"/>
        <v/>
      </c>
    </row>
    <row r="403" spans="1:2" x14ac:dyDescent="0.25">
      <c r="A403" s="9" t="str">
        <f>IF('Frame Sections'!A418=0,"",'Frame Sections'!A418)</f>
        <v/>
      </c>
      <c r="B403" s="9" t="str">
        <f t="shared" si="6"/>
        <v/>
      </c>
    </row>
    <row r="404" spans="1:2" x14ac:dyDescent="0.25">
      <c r="A404" s="9" t="str">
        <f>IF('Frame Sections'!A419=0,"",'Frame Sections'!A419)</f>
        <v/>
      </c>
      <c r="B404" s="9" t="str">
        <f t="shared" si="6"/>
        <v/>
      </c>
    </row>
    <row r="405" spans="1:2" x14ac:dyDescent="0.25">
      <c r="A405" s="9" t="str">
        <f>IF('Frame Sections'!A420=0,"",'Frame Sections'!A420)</f>
        <v/>
      </c>
      <c r="B405" s="9" t="str">
        <f t="shared" si="6"/>
        <v/>
      </c>
    </row>
    <row r="406" spans="1:2" x14ac:dyDescent="0.25">
      <c r="A406" s="9" t="str">
        <f>IF('Frame Sections'!A421=0,"",'Frame Sections'!A421)</f>
        <v/>
      </c>
      <c r="B406" s="9" t="str">
        <f t="shared" si="6"/>
        <v/>
      </c>
    </row>
    <row r="407" spans="1:2" x14ac:dyDescent="0.25">
      <c r="A407" s="9" t="str">
        <f>IF('Frame Sections'!A422=0,"",'Frame Sections'!A422)</f>
        <v/>
      </c>
      <c r="B407" s="9" t="str">
        <f t="shared" si="6"/>
        <v/>
      </c>
    </row>
    <row r="408" spans="1:2" x14ac:dyDescent="0.25">
      <c r="A408" s="9" t="str">
        <f>IF('Frame Sections'!A423=0,"",'Frame Sections'!A423)</f>
        <v/>
      </c>
      <c r="B408" s="9" t="str">
        <f t="shared" si="6"/>
        <v/>
      </c>
    </row>
    <row r="409" spans="1:2" x14ac:dyDescent="0.25">
      <c r="A409" s="9" t="str">
        <f>IF('Frame Sections'!A424=0,"",'Frame Sections'!A424)</f>
        <v/>
      </c>
      <c r="B409" s="9" t="str">
        <f t="shared" si="6"/>
        <v/>
      </c>
    </row>
    <row r="410" spans="1:2" x14ac:dyDescent="0.25">
      <c r="A410" s="9" t="str">
        <f>IF('Frame Sections'!A425=0,"",'Frame Sections'!A425)</f>
        <v/>
      </c>
      <c r="B410" s="9" t="str">
        <f t="shared" si="6"/>
        <v/>
      </c>
    </row>
    <row r="411" spans="1:2" x14ac:dyDescent="0.25">
      <c r="A411" s="9" t="str">
        <f>IF('Frame Sections'!A426=0,"",'Frame Sections'!A426)</f>
        <v/>
      </c>
      <c r="B411" s="9" t="str">
        <f t="shared" si="6"/>
        <v/>
      </c>
    </row>
    <row r="412" spans="1:2" x14ac:dyDescent="0.25">
      <c r="A412" s="9" t="str">
        <f>IF('Frame Sections'!A427=0,"",'Frame Sections'!A427)</f>
        <v/>
      </c>
      <c r="B412" s="9" t="str">
        <f t="shared" si="6"/>
        <v/>
      </c>
    </row>
    <row r="413" spans="1:2" x14ac:dyDescent="0.25">
      <c r="A413" s="9" t="str">
        <f>IF('Frame Sections'!A428=0,"",'Frame Sections'!A428)</f>
        <v/>
      </c>
      <c r="B413" s="9" t="str">
        <f t="shared" si="6"/>
        <v/>
      </c>
    </row>
    <row r="414" spans="1:2" x14ac:dyDescent="0.25">
      <c r="A414" s="9" t="str">
        <f>IF('Frame Sections'!A429=0,"",'Frame Sections'!A429)</f>
        <v/>
      </c>
      <c r="B414" s="9" t="str">
        <f t="shared" si="6"/>
        <v/>
      </c>
    </row>
    <row r="415" spans="1:2" x14ac:dyDescent="0.25">
      <c r="A415" s="9" t="str">
        <f>IF('Frame Sections'!A430=0,"",'Frame Sections'!A430)</f>
        <v/>
      </c>
      <c r="B415" s="9" t="str">
        <f t="shared" si="6"/>
        <v/>
      </c>
    </row>
    <row r="416" spans="1:2" x14ac:dyDescent="0.25">
      <c r="A416" s="9" t="str">
        <f>IF('Frame Sections'!A431=0,"",'Frame Sections'!A431)</f>
        <v/>
      </c>
      <c r="B416" s="9" t="str">
        <f t="shared" si="6"/>
        <v/>
      </c>
    </row>
    <row r="417" spans="1:2" x14ac:dyDescent="0.25">
      <c r="A417" s="9" t="str">
        <f>IF('Frame Sections'!A432=0,"",'Frame Sections'!A432)</f>
        <v/>
      </c>
      <c r="B417" s="9" t="str">
        <f t="shared" si="6"/>
        <v/>
      </c>
    </row>
    <row r="418" spans="1:2" x14ac:dyDescent="0.25">
      <c r="A418" s="9" t="str">
        <f>IF('Frame Sections'!A433=0,"",'Frame Sections'!A433)</f>
        <v/>
      </c>
      <c r="B418" s="9" t="str">
        <f t="shared" si="6"/>
        <v/>
      </c>
    </row>
    <row r="419" spans="1:2" x14ac:dyDescent="0.25">
      <c r="A419" s="9" t="str">
        <f>IF('Frame Sections'!A434=0,"",'Frame Sections'!A434)</f>
        <v/>
      </c>
      <c r="B419" s="9" t="str">
        <f t="shared" si="6"/>
        <v/>
      </c>
    </row>
    <row r="420" spans="1:2" x14ac:dyDescent="0.25">
      <c r="A420" s="9" t="str">
        <f>IF('Frame Sections'!A435=0,"",'Frame Sections'!A435)</f>
        <v/>
      </c>
      <c r="B420" s="9" t="str">
        <f t="shared" si="6"/>
        <v/>
      </c>
    </row>
    <row r="421" spans="1:2" x14ac:dyDescent="0.25">
      <c r="A421" s="9" t="str">
        <f>IF('Frame Sections'!A436=0,"",'Frame Sections'!A436)</f>
        <v/>
      </c>
      <c r="B421" s="9" t="str">
        <f t="shared" si="6"/>
        <v/>
      </c>
    </row>
    <row r="422" spans="1:2" x14ac:dyDescent="0.25">
      <c r="A422" s="9" t="str">
        <f>IF('Frame Sections'!A437=0,"",'Frame Sections'!A437)</f>
        <v/>
      </c>
      <c r="B422" s="9" t="str">
        <f t="shared" si="6"/>
        <v/>
      </c>
    </row>
    <row r="423" spans="1:2" x14ac:dyDescent="0.25">
      <c r="A423" s="9" t="str">
        <f>IF('Frame Sections'!A438=0,"",'Frame Sections'!A438)</f>
        <v/>
      </c>
      <c r="B423" s="9" t="str">
        <f t="shared" si="6"/>
        <v/>
      </c>
    </row>
    <row r="424" spans="1:2" x14ac:dyDescent="0.25">
      <c r="A424" s="9" t="str">
        <f>IF('Frame Sections'!A439=0,"",'Frame Sections'!A439)</f>
        <v/>
      </c>
      <c r="B424" s="9" t="str">
        <f t="shared" si="6"/>
        <v/>
      </c>
    </row>
    <row r="425" spans="1:2" x14ac:dyDescent="0.25">
      <c r="A425" s="9" t="str">
        <f>IF('Frame Sections'!A440=0,"",'Frame Sections'!A440)</f>
        <v/>
      </c>
      <c r="B425" s="9" t="str">
        <f t="shared" si="6"/>
        <v/>
      </c>
    </row>
    <row r="426" spans="1:2" x14ac:dyDescent="0.25">
      <c r="A426" s="9" t="str">
        <f>IF('Frame Sections'!A441=0,"",'Frame Sections'!A441)</f>
        <v/>
      </c>
      <c r="B426" s="9" t="str">
        <f t="shared" si="6"/>
        <v/>
      </c>
    </row>
    <row r="427" spans="1:2" x14ac:dyDescent="0.25">
      <c r="A427" s="9" t="str">
        <f>IF('Frame Sections'!A442=0,"",'Frame Sections'!A442)</f>
        <v/>
      </c>
      <c r="B427" s="9" t="str">
        <f t="shared" si="6"/>
        <v/>
      </c>
    </row>
    <row r="428" spans="1:2" x14ac:dyDescent="0.25">
      <c r="A428" s="9" t="str">
        <f>IF('Frame Sections'!A443=0,"",'Frame Sections'!A443)</f>
        <v/>
      </c>
      <c r="B428" s="9" t="str">
        <f t="shared" si="6"/>
        <v/>
      </c>
    </row>
    <row r="429" spans="1:2" x14ac:dyDescent="0.25">
      <c r="A429" s="9" t="str">
        <f>IF('Frame Sections'!A444=0,"",'Frame Sections'!A444)</f>
        <v/>
      </c>
      <c r="B429" s="9" t="str">
        <f t="shared" si="6"/>
        <v/>
      </c>
    </row>
    <row r="430" spans="1:2" x14ac:dyDescent="0.25">
      <c r="A430" s="9" t="str">
        <f>IF('Frame Sections'!A445=0,"",'Frame Sections'!A445)</f>
        <v/>
      </c>
      <c r="B430" s="9" t="str">
        <f t="shared" si="6"/>
        <v/>
      </c>
    </row>
    <row r="431" spans="1:2" x14ac:dyDescent="0.25">
      <c r="A431" s="9" t="str">
        <f>IF('Frame Sections'!A446=0,"",'Frame Sections'!A446)</f>
        <v/>
      </c>
      <c r="B431" s="9" t="str">
        <f t="shared" si="6"/>
        <v/>
      </c>
    </row>
    <row r="432" spans="1:2" x14ac:dyDescent="0.25">
      <c r="A432" s="9" t="str">
        <f>IF('Frame Sections'!A447=0,"",'Frame Sections'!A447)</f>
        <v/>
      </c>
      <c r="B432" s="9" t="str">
        <f t="shared" si="6"/>
        <v/>
      </c>
    </row>
    <row r="433" spans="1:2" x14ac:dyDescent="0.25">
      <c r="A433" s="9" t="str">
        <f>IF('Frame Sections'!A448=0,"",'Frame Sections'!A448)</f>
        <v/>
      </c>
      <c r="B433" s="9" t="str">
        <f t="shared" si="6"/>
        <v/>
      </c>
    </row>
    <row r="434" spans="1:2" x14ac:dyDescent="0.25">
      <c r="A434" s="9" t="str">
        <f>IF('Frame Sections'!A449=0,"",'Frame Sections'!A449)</f>
        <v/>
      </c>
      <c r="B434" s="9" t="str">
        <f t="shared" si="6"/>
        <v/>
      </c>
    </row>
    <row r="435" spans="1:2" x14ac:dyDescent="0.25">
      <c r="A435" s="9" t="str">
        <f>IF('Frame Sections'!A450=0,"",'Frame Sections'!A450)</f>
        <v/>
      </c>
      <c r="B435" s="9" t="str">
        <f t="shared" si="6"/>
        <v/>
      </c>
    </row>
    <row r="436" spans="1:2" x14ac:dyDescent="0.25">
      <c r="A436" s="9" t="str">
        <f>IF('Frame Sections'!A451=0,"",'Frame Sections'!A451)</f>
        <v/>
      </c>
      <c r="B436" s="9" t="str">
        <f t="shared" si="6"/>
        <v/>
      </c>
    </row>
    <row r="437" spans="1:2" x14ac:dyDescent="0.25">
      <c r="A437" s="9" t="str">
        <f>IF('Frame Sections'!A452=0,"",'Frame Sections'!A452)</f>
        <v/>
      </c>
      <c r="B437" s="9" t="str">
        <f t="shared" si="6"/>
        <v/>
      </c>
    </row>
    <row r="438" spans="1:2" x14ac:dyDescent="0.25">
      <c r="A438" s="9" t="str">
        <f>IF('Frame Sections'!A453=0,"",'Frame Sections'!A453)</f>
        <v/>
      </c>
      <c r="B438" s="9" t="str">
        <f t="shared" si="6"/>
        <v/>
      </c>
    </row>
    <row r="439" spans="1:2" x14ac:dyDescent="0.25">
      <c r="A439" s="9" t="str">
        <f>IF('Frame Sections'!A454=0,"",'Frame Sections'!A454)</f>
        <v/>
      </c>
      <c r="B439" s="9" t="str">
        <f t="shared" si="6"/>
        <v/>
      </c>
    </row>
    <row r="440" spans="1:2" x14ac:dyDescent="0.25">
      <c r="A440" s="9" t="str">
        <f>IF('Frame Sections'!A455=0,"",'Frame Sections'!A455)</f>
        <v/>
      </c>
      <c r="B440" s="9" t="str">
        <f t="shared" si="6"/>
        <v/>
      </c>
    </row>
    <row r="441" spans="1:2" x14ac:dyDescent="0.25">
      <c r="A441" s="9" t="str">
        <f>IF('Frame Sections'!A456=0,"",'Frame Sections'!A456)</f>
        <v/>
      </c>
      <c r="B441" s="9" t="str">
        <f t="shared" si="6"/>
        <v/>
      </c>
    </row>
    <row r="442" spans="1:2" x14ac:dyDescent="0.25">
      <c r="A442" s="9" t="str">
        <f>IF('Frame Sections'!A457=0,"",'Frame Sections'!A457)</f>
        <v/>
      </c>
      <c r="B442" s="9" t="str">
        <f t="shared" si="6"/>
        <v/>
      </c>
    </row>
    <row r="443" spans="1:2" x14ac:dyDescent="0.25">
      <c r="A443" s="9" t="str">
        <f>IF('Frame Sections'!A458=0,"",'Frame Sections'!A458)</f>
        <v/>
      </c>
      <c r="B443" s="9" t="str">
        <f t="shared" si="6"/>
        <v/>
      </c>
    </row>
    <row r="444" spans="1:2" x14ac:dyDescent="0.25">
      <c r="A444" s="9" t="str">
        <f>IF('Frame Sections'!A459=0,"",'Frame Sections'!A459)</f>
        <v/>
      </c>
      <c r="B444" s="9" t="str">
        <f t="shared" si="6"/>
        <v/>
      </c>
    </row>
    <row r="445" spans="1:2" x14ac:dyDescent="0.25">
      <c r="A445" s="9" t="str">
        <f>IF('Frame Sections'!A460=0,"",'Frame Sections'!A460)</f>
        <v/>
      </c>
      <c r="B445" s="9" t="str">
        <f t="shared" si="6"/>
        <v/>
      </c>
    </row>
    <row r="446" spans="1:2" x14ac:dyDescent="0.25">
      <c r="A446" s="9" t="str">
        <f>IF('Frame Sections'!A461=0,"",'Frame Sections'!A461)</f>
        <v/>
      </c>
      <c r="B446" s="9" t="str">
        <f t="shared" si="6"/>
        <v/>
      </c>
    </row>
    <row r="447" spans="1:2" x14ac:dyDescent="0.25">
      <c r="A447" s="9" t="str">
        <f>IF('Frame Sections'!A462=0,"",'Frame Sections'!A462)</f>
        <v/>
      </c>
      <c r="B447" s="9" t="str">
        <f t="shared" si="6"/>
        <v/>
      </c>
    </row>
    <row r="448" spans="1:2" x14ac:dyDescent="0.25">
      <c r="A448" s="9" t="str">
        <f>IF('Frame Sections'!A463=0,"",'Frame Sections'!A463)</f>
        <v/>
      </c>
      <c r="B448" s="9" t="str">
        <f t="shared" si="6"/>
        <v/>
      </c>
    </row>
    <row r="449" spans="1:2" x14ac:dyDescent="0.25">
      <c r="A449" s="9" t="str">
        <f>IF('Frame Sections'!A464=0,"",'Frame Sections'!A464)</f>
        <v/>
      </c>
      <c r="B449" s="9" t="str">
        <f t="shared" si="6"/>
        <v/>
      </c>
    </row>
    <row r="450" spans="1:2" x14ac:dyDescent="0.25">
      <c r="A450" s="9" t="str">
        <f>IF('Frame Sections'!A465=0,"",'Frame Sections'!A465)</f>
        <v/>
      </c>
      <c r="B450" s="9" t="str">
        <f t="shared" ref="B450:B513" si="7">IF(OR(A450=0,A450=""),"",VLOOKUP(A450,SecDB,5,FALSE))</f>
        <v/>
      </c>
    </row>
    <row r="451" spans="1:2" x14ac:dyDescent="0.25">
      <c r="A451" s="9" t="str">
        <f>IF('Frame Sections'!A466=0,"",'Frame Sections'!A466)</f>
        <v/>
      </c>
      <c r="B451" s="9" t="str">
        <f t="shared" si="7"/>
        <v/>
      </c>
    </row>
    <row r="452" spans="1:2" x14ac:dyDescent="0.25">
      <c r="A452" s="9" t="str">
        <f>IF('Frame Sections'!A467=0,"",'Frame Sections'!A467)</f>
        <v/>
      </c>
      <c r="B452" s="9" t="str">
        <f t="shared" si="7"/>
        <v/>
      </c>
    </row>
    <row r="453" spans="1:2" x14ac:dyDescent="0.25">
      <c r="A453" s="9" t="str">
        <f>IF('Frame Sections'!A468=0,"",'Frame Sections'!A468)</f>
        <v/>
      </c>
      <c r="B453" s="9" t="str">
        <f t="shared" si="7"/>
        <v/>
      </c>
    </row>
    <row r="454" spans="1:2" x14ac:dyDescent="0.25">
      <c r="A454" s="9" t="str">
        <f>IF('Frame Sections'!A469=0,"",'Frame Sections'!A469)</f>
        <v/>
      </c>
      <c r="B454" s="9" t="str">
        <f t="shared" si="7"/>
        <v/>
      </c>
    </row>
    <row r="455" spans="1:2" x14ac:dyDescent="0.25">
      <c r="A455" s="9" t="str">
        <f>IF('Frame Sections'!A470=0,"",'Frame Sections'!A470)</f>
        <v/>
      </c>
      <c r="B455" s="9" t="str">
        <f t="shared" si="7"/>
        <v/>
      </c>
    </row>
    <row r="456" spans="1:2" x14ac:dyDescent="0.25">
      <c r="A456" s="9" t="str">
        <f>IF('Frame Sections'!A471=0,"",'Frame Sections'!A471)</f>
        <v/>
      </c>
      <c r="B456" s="9" t="str">
        <f t="shared" si="7"/>
        <v/>
      </c>
    </row>
    <row r="457" spans="1:2" x14ac:dyDescent="0.25">
      <c r="A457" s="9" t="str">
        <f>IF('Frame Sections'!A472=0,"",'Frame Sections'!A472)</f>
        <v/>
      </c>
      <c r="B457" s="9" t="str">
        <f t="shared" si="7"/>
        <v/>
      </c>
    </row>
    <row r="458" spans="1:2" x14ac:dyDescent="0.25">
      <c r="A458" s="9" t="str">
        <f>IF('Frame Sections'!A473=0,"",'Frame Sections'!A473)</f>
        <v/>
      </c>
      <c r="B458" s="9" t="str">
        <f t="shared" si="7"/>
        <v/>
      </c>
    </row>
    <row r="459" spans="1:2" x14ac:dyDescent="0.25">
      <c r="A459" s="9" t="str">
        <f>IF('Frame Sections'!A474=0,"",'Frame Sections'!A474)</f>
        <v/>
      </c>
      <c r="B459" s="9" t="str">
        <f t="shared" si="7"/>
        <v/>
      </c>
    </row>
    <row r="460" spans="1:2" x14ac:dyDescent="0.25">
      <c r="A460" s="9" t="str">
        <f>IF('Frame Sections'!A475=0,"",'Frame Sections'!A475)</f>
        <v/>
      </c>
      <c r="B460" s="9" t="str">
        <f t="shared" si="7"/>
        <v/>
      </c>
    </row>
    <row r="461" spans="1:2" x14ac:dyDescent="0.25">
      <c r="A461" s="9" t="str">
        <f>IF('Frame Sections'!A476=0,"",'Frame Sections'!A476)</f>
        <v/>
      </c>
      <c r="B461" s="9" t="str">
        <f t="shared" si="7"/>
        <v/>
      </c>
    </row>
    <row r="462" spans="1:2" x14ac:dyDescent="0.25">
      <c r="A462" s="9" t="str">
        <f>IF('Frame Sections'!A477=0,"",'Frame Sections'!A477)</f>
        <v/>
      </c>
      <c r="B462" s="9" t="str">
        <f t="shared" si="7"/>
        <v/>
      </c>
    </row>
    <row r="463" spans="1:2" x14ac:dyDescent="0.25">
      <c r="A463" s="9" t="str">
        <f>IF('Frame Sections'!A478=0,"",'Frame Sections'!A478)</f>
        <v/>
      </c>
      <c r="B463" s="9" t="str">
        <f t="shared" si="7"/>
        <v/>
      </c>
    </row>
    <row r="464" spans="1:2" x14ac:dyDescent="0.25">
      <c r="A464" s="9" t="str">
        <f>IF('Frame Sections'!A479=0,"",'Frame Sections'!A479)</f>
        <v/>
      </c>
      <c r="B464" s="9" t="str">
        <f t="shared" si="7"/>
        <v/>
      </c>
    </row>
    <row r="465" spans="1:2" x14ac:dyDescent="0.25">
      <c r="A465" s="9" t="str">
        <f>IF('Frame Sections'!A480=0,"",'Frame Sections'!A480)</f>
        <v/>
      </c>
      <c r="B465" s="9" t="str">
        <f t="shared" si="7"/>
        <v/>
      </c>
    </row>
    <row r="466" spans="1:2" x14ac:dyDescent="0.25">
      <c r="A466" s="9" t="str">
        <f>IF('Frame Sections'!A481=0,"",'Frame Sections'!A481)</f>
        <v/>
      </c>
      <c r="B466" s="9" t="str">
        <f t="shared" si="7"/>
        <v/>
      </c>
    </row>
    <row r="467" spans="1:2" x14ac:dyDescent="0.25">
      <c r="A467" s="9" t="str">
        <f>IF('Frame Sections'!A482=0,"",'Frame Sections'!A482)</f>
        <v/>
      </c>
      <c r="B467" s="9" t="str">
        <f t="shared" si="7"/>
        <v/>
      </c>
    </row>
    <row r="468" spans="1:2" x14ac:dyDescent="0.25">
      <c r="A468" s="9" t="str">
        <f>IF('Frame Sections'!A483=0,"",'Frame Sections'!A483)</f>
        <v/>
      </c>
      <c r="B468" s="9" t="str">
        <f t="shared" si="7"/>
        <v/>
      </c>
    </row>
    <row r="469" spans="1:2" x14ac:dyDescent="0.25">
      <c r="A469" s="9" t="str">
        <f>IF('Frame Sections'!A484=0,"",'Frame Sections'!A484)</f>
        <v/>
      </c>
      <c r="B469" s="9" t="str">
        <f t="shared" si="7"/>
        <v/>
      </c>
    </row>
    <row r="470" spans="1:2" x14ac:dyDescent="0.25">
      <c r="A470" s="9" t="str">
        <f>IF('Frame Sections'!A485=0,"",'Frame Sections'!A485)</f>
        <v/>
      </c>
      <c r="B470" s="9" t="str">
        <f t="shared" si="7"/>
        <v/>
      </c>
    </row>
    <row r="471" spans="1:2" x14ac:dyDescent="0.25">
      <c r="A471" s="9" t="str">
        <f>IF('Frame Sections'!A486=0,"",'Frame Sections'!A486)</f>
        <v/>
      </c>
      <c r="B471" s="9" t="str">
        <f t="shared" si="7"/>
        <v/>
      </c>
    </row>
    <row r="472" spans="1:2" x14ac:dyDescent="0.25">
      <c r="A472" s="9" t="str">
        <f>IF('Frame Sections'!A487=0,"",'Frame Sections'!A487)</f>
        <v/>
      </c>
      <c r="B472" s="9" t="str">
        <f t="shared" si="7"/>
        <v/>
      </c>
    </row>
    <row r="473" spans="1:2" x14ac:dyDescent="0.25">
      <c r="A473" s="9" t="str">
        <f>IF('Frame Sections'!A488=0,"",'Frame Sections'!A488)</f>
        <v/>
      </c>
      <c r="B473" s="9" t="str">
        <f t="shared" si="7"/>
        <v/>
      </c>
    </row>
    <row r="474" spans="1:2" x14ac:dyDescent="0.25">
      <c r="A474" s="9" t="str">
        <f>IF('Frame Sections'!A489=0,"",'Frame Sections'!A489)</f>
        <v/>
      </c>
      <c r="B474" s="9" t="str">
        <f t="shared" si="7"/>
        <v/>
      </c>
    </row>
    <row r="475" spans="1:2" x14ac:dyDescent="0.25">
      <c r="A475" s="9" t="str">
        <f>IF('Frame Sections'!A490=0,"",'Frame Sections'!A490)</f>
        <v/>
      </c>
      <c r="B475" s="9" t="str">
        <f t="shared" si="7"/>
        <v/>
      </c>
    </row>
    <row r="476" spans="1:2" x14ac:dyDescent="0.25">
      <c r="A476" s="9" t="str">
        <f>IF('Frame Sections'!A491=0,"",'Frame Sections'!A491)</f>
        <v/>
      </c>
      <c r="B476" s="9" t="str">
        <f t="shared" si="7"/>
        <v/>
      </c>
    </row>
    <row r="477" spans="1:2" x14ac:dyDescent="0.25">
      <c r="A477" s="9" t="str">
        <f>IF('Frame Sections'!A492=0,"",'Frame Sections'!A492)</f>
        <v/>
      </c>
      <c r="B477" s="9" t="str">
        <f t="shared" si="7"/>
        <v/>
      </c>
    </row>
    <row r="478" spans="1:2" x14ac:dyDescent="0.25">
      <c r="A478" s="9" t="str">
        <f>IF('Frame Sections'!A493=0,"",'Frame Sections'!A493)</f>
        <v/>
      </c>
      <c r="B478" s="9" t="str">
        <f t="shared" si="7"/>
        <v/>
      </c>
    </row>
    <row r="479" spans="1:2" x14ac:dyDescent="0.25">
      <c r="A479" s="9" t="str">
        <f>IF('Frame Sections'!A494=0,"",'Frame Sections'!A494)</f>
        <v/>
      </c>
      <c r="B479" s="9" t="str">
        <f t="shared" si="7"/>
        <v/>
      </c>
    </row>
    <row r="480" spans="1:2" x14ac:dyDescent="0.25">
      <c r="A480" s="9" t="str">
        <f>IF('Frame Sections'!A495=0,"",'Frame Sections'!A495)</f>
        <v/>
      </c>
      <c r="B480" s="9" t="str">
        <f t="shared" si="7"/>
        <v/>
      </c>
    </row>
    <row r="481" spans="1:2" x14ac:dyDescent="0.25">
      <c r="A481" s="9" t="str">
        <f>IF('Frame Sections'!A496=0,"",'Frame Sections'!A496)</f>
        <v/>
      </c>
      <c r="B481" s="9" t="str">
        <f t="shared" si="7"/>
        <v/>
      </c>
    </row>
    <row r="482" spans="1:2" x14ac:dyDescent="0.25">
      <c r="A482" s="9" t="str">
        <f>IF('Frame Sections'!A497=0,"",'Frame Sections'!A497)</f>
        <v/>
      </c>
      <c r="B482" s="9" t="str">
        <f t="shared" si="7"/>
        <v/>
      </c>
    </row>
    <row r="483" spans="1:2" x14ac:dyDescent="0.25">
      <c r="A483" s="9" t="str">
        <f>IF('Frame Sections'!A498=0,"",'Frame Sections'!A498)</f>
        <v/>
      </c>
      <c r="B483" s="9" t="str">
        <f t="shared" si="7"/>
        <v/>
      </c>
    </row>
    <row r="484" spans="1:2" x14ac:dyDescent="0.25">
      <c r="A484" s="9" t="str">
        <f>IF('Frame Sections'!A499=0,"",'Frame Sections'!A499)</f>
        <v/>
      </c>
      <c r="B484" s="9" t="str">
        <f t="shared" si="7"/>
        <v/>
      </c>
    </row>
    <row r="485" spans="1:2" x14ac:dyDescent="0.25">
      <c r="A485" s="9" t="str">
        <f>IF('Frame Sections'!A500=0,"",'Frame Sections'!A500)</f>
        <v/>
      </c>
      <c r="B485" s="9" t="str">
        <f t="shared" si="7"/>
        <v/>
      </c>
    </row>
    <row r="486" spans="1:2" x14ac:dyDescent="0.25">
      <c r="A486" s="9" t="str">
        <f>IF('Frame Sections'!A501=0,"",'Frame Sections'!A501)</f>
        <v/>
      </c>
      <c r="B486" s="9" t="str">
        <f t="shared" si="7"/>
        <v/>
      </c>
    </row>
    <row r="487" spans="1:2" x14ac:dyDescent="0.25">
      <c r="A487" s="9" t="str">
        <f>IF('Frame Sections'!A502=0,"",'Frame Sections'!A502)</f>
        <v/>
      </c>
      <c r="B487" s="9" t="str">
        <f t="shared" si="7"/>
        <v/>
      </c>
    </row>
    <row r="488" spans="1:2" x14ac:dyDescent="0.25">
      <c r="A488" s="9" t="str">
        <f>IF('Frame Sections'!A503=0,"",'Frame Sections'!A503)</f>
        <v/>
      </c>
      <c r="B488" s="9" t="str">
        <f t="shared" si="7"/>
        <v/>
      </c>
    </row>
    <row r="489" spans="1:2" x14ac:dyDescent="0.25">
      <c r="A489" s="9" t="str">
        <f>IF('Frame Sections'!A504=0,"",'Frame Sections'!A504)</f>
        <v/>
      </c>
      <c r="B489" s="9" t="str">
        <f t="shared" si="7"/>
        <v/>
      </c>
    </row>
    <row r="490" spans="1:2" x14ac:dyDescent="0.25">
      <c r="A490" s="9" t="str">
        <f>IF('Frame Sections'!A505=0,"",'Frame Sections'!A505)</f>
        <v/>
      </c>
      <c r="B490" s="9" t="str">
        <f t="shared" si="7"/>
        <v/>
      </c>
    </row>
    <row r="491" spans="1:2" x14ac:dyDescent="0.25">
      <c r="A491" s="9" t="str">
        <f>IF('Frame Sections'!A506=0,"",'Frame Sections'!A506)</f>
        <v/>
      </c>
      <c r="B491" s="9" t="str">
        <f t="shared" si="7"/>
        <v/>
      </c>
    </row>
    <row r="492" spans="1:2" x14ac:dyDescent="0.25">
      <c r="A492" s="9" t="str">
        <f>IF('Frame Sections'!A507=0,"",'Frame Sections'!A507)</f>
        <v/>
      </c>
      <c r="B492" s="9" t="str">
        <f t="shared" si="7"/>
        <v/>
      </c>
    </row>
    <row r="493" spans="1:2" x14ac:dyDescent="0.25">
      <c r="A493" s="9" t="str">
        <f>IF('Frame Sections'!A508=0,"",'Frame Sections'!A508)</f>
        <v/>
      </c>
      <c r="B493" s="9" t="str">
        <f t="shared" si="7"/>
        <v/>
      </c>
    </row>
    <row r="494" spans="1:2" x14ac:dyDescent="0.25">
      <c r="A494" s="9" t="str">
        <f>IF('Frame Sections'!A509=0,"",'Frame Sections'!A509)</f>
        <v/>
      </c>
      <c r="B494" s="9" t="str">
        <f t="shared" si="7"/>
        <v/>
      </c>
    </row>
    <row r="495" spans="1:2" x14ac:dyDescent="0.25">
      <c r="A495" s="9" t="str">
        <f>IF('Frame Sections'!A510=0,"",'Frame Sections'!A510)</f>
        <v/>
      </c>
      <c r="B495" s="9" t="str">
        <f t="shared" si="7"/>
        <v/>
      </c>
    </row>
    <row r="496" spans="1:2" x14ac:dyDescent="0.25">
      <c r="A496" s="9" t="str">
        <f>IF('Frame Sections'!A511=0,"",'Frame Sections'!A511)</f>
        <v/>
      </c>
      <c r="B496" s="9" t="str">
        <f t="shared" si="7"/>
        <v/>
      </c>
    </row>
    <row r="497" spans="1:2" x14ac:dyDescent="0.25">
      <c r="A497" s="9" t="str">
        <f>IF('Frame Sections'!A512=0,"",'Frame Sections'!A512)</f>
        <v/>
      </c>
      <c r="B497" s="9" t="str">
        <f t="shared" si="7"/>
        <v/>
      </c>
    </row>
    <row r="498" spans="1:2" x14ac:dyDescent="0.25">
      <c r="A498" s="9" t="str">
        <f>IF('Frame Sections'!A513=0,"",'Frame Sections'!A513)</f>
        <v/>
      </c>
      <c r="B498" s="9" t="str">
        <f t="shared" si="7"/>
        <v/>
      </c>
    </row>
    <row r="499" spans="1:2" x14ac:dyDescent="0.25">
      <c r="A499" s="9" t="str">
        <f>IF('Frame Sections'!A514=0,"",'Frame Sections'!A514)</f>
        <v/>
      </c>
      <c r="B499" s="9" t="str">
        <f t="shared" si="7"/>
        <v/>
      </c>
    </row>
    <row r="500" spans="1:2" x14ac:dyDescent="0.25">
      <c r="A500" s="9" t="str">
        <f>IF('Frame Sections'!A515=0,"",'Frame Sections'!A515)</f>
        <v/>
      </c>
      <c r="B500" s="9" t="str">
        <f t="shared" si="7"/>
        <v/>
      </c>
    </row>
    <row r="501" spans="1:2" x14ac:dyDescent="0.25">
      <c r="A501" s="9" t="str">
        <f>IF('Frame Sections'!A516=0,"",'Frame Sections'!A516)</f>
        <v/>
      </c>
      <c r="B501" s="9" t="str">
        <f t="shared" si="7"/>
        <v/>
      </c>
    </row>
    <row r="502" spans="1:2" x14ac:dyDescent="0.25">
      <c r="A502" s="9" t="str">
        <f>IF('Frame Sections'!A517=0,"",'Frame Sections'!A517)</f>
        <v/>
      </c>
      <c r="B502" s="9" t="str">
        <f t="shared" si="7"/>
        <v/>
      </c>
    </row>
    <row r="503" spans="1:2" x14ac:dyDescent="0.25">
      <c r="A503" s="9" t="str">
        <f>IF('Frame Sections'!A518=0,"",'Frame Sections'!A518)</f>
        <v/>
      </c>
      <c r="B503" s="9" t="str">
        <f t="shared" si="7"/>
        <v/>
      </c>
    </row>
    <row r="504" spans="1:2" x14ac:dyDescent="0.25">
      <c r="A504" s="9" t="str">
        <f>IF('Frame Sections'!A519=0,"",'Frame Sections'!A519)</f>
        <v/>
      </c>
      <c r="B504" s="9" t="str">
        <f t="shared" si="7"/>
        <v/>
      </c>
    </row>
    <row r="505" spans="1:2" x14ac:dyDescent="0.25">
      <c r="A505" s="9" t="str">
        <f>IF('Frame Sections'!A520=0,"",'Frame Sections'!A520)</f>
        <v/>
      </c>
      <c r="B505" s="9" t="str">
        <f t="shared" si="7"/>
        <v/>
      </c>
    </row>
    <row r="506" spans="1:2" x14ac:dyDescent="0.25">
      <c r="A506" s="9" t="str">
        <f>IF('Frame Sections'!A521=0,"",'Frame Sections'!A521)</f>
        <v/>
      </c>
      <c r="B506" s="9" t="str">
        <f t="shared" si="7"/>
        <v/>
      </c>
    </row>
    <row r="507" spans="1:2" x14ac:dyDescent="0.25">
      <c r="A507" s="9" t="str">
        <f>IF('Frame Sections'!A522=0,"",'Frame Sections'!A522)</f>
        <v/>
      </c>
      <c r="B507" s="9" t="str">
        <f t="shared" si="7"/>
        <v/>
      </c>
    </row>
    <row r="508" spans="1:2" x14ac:dyDescent="0.25">
      <c r="A508" s="9" t="str">
        <f>IF('Frame Sections'!A523=0,"",'Frame Sections'!A523)</f>
        <v/>
      </c>
      <c r="B508" s="9" t="str">
        <f t="shared" si="7"/>
        <v/>
      </c>
    </row>
    <row r="509" spans="1:2" x14ac:dyDescent="0.25">
      <c r="A509" s="9" t="str">
        <f>IF('Frame Sections'!A524=0,"",'Frame Sections'!A524)</f>
        <v/>
      </c>
      <c r="B509" s="9" t="str">
        <f t="shared" si="7"/>
        <v/>
      </c>
    </row>
    <row r="510" spans="1:2" x14ac:dyDescent="0.25">
      <c r="A510" s="9" t="str">
        <f>IF('Frame Sections'!A525=0,"",'Frame Sections'!A525)</f>
        <v/>
      </c>
      <c r="B510" s="9" t="str">
        <f t="shared" si="7"/>
        <v/>
      </c>
    </row>
    <row r="511" spans="1:2" x14ac:dyDescent="0.25">
      <c r="A511" s="9" t="str">
        <f>IF('Frame Sections'!A526=0,"",'Frame Sections'!A526)</f>
        <v/>
      </c>
      <c r="B511" s="9" t="str">
        <f t="shared" si="7"/>
        <v/>
      </c>
    </row>
    <row r="512" spans="1:2" x14ac:dyDescent="0.25">
      <c r="A512" s="9" t="str">
        <f>IF('Frame Sections'!A527=0,"",'Frame Sections'!A527)</f>
        <v/>
      </c>
      <c r="B512" s="9" t="str">
        <f t="shared" si="7"/>
        <v/>
      </c>
    </row>
    <row r="513" spans="1:2" x14ac:dyDescent="0.25">
      <c r="A513" s="9" t="str">
        <f>IF('Frame Sections'!A528=0,"",'Frame Sections'!A528)</f>
        <v/>
      </c>
      <c r="B513" s="9" t="str">
        <f t="shared" si="7"/>
        <v/>
      </c>
    </row>
    <row r="514" spans="1:2" x14ac:dyDescent="0.25">
      <c r="A514" s="9" t="str">
        <f>IF('Frame Sections'!A529=0,"",'Frame Sections'!A529)</f>
        <v/>
      </c>
      <c r="B514" s="9" t="str">
        <f t="shared" ref="B514:B577" si="8">IF(OR(A514=0,A514=""),"",VLOOKUP(A514,SecDB,5,FALSE))</f>
        <v/>
      </c>
    </row>
    <row r="515" spans="1:2" x14ac:dyDescent="0.25">
      <c r="A515" s="9" t="str">
        <f>IF('Frame Sections'!A530=0,"",'Frame Sections'!A530)</f>
        <v/>
      </c>
      <c r="B515" s="9" t="str">
        <f t="shared" si="8"/>
        <v/>
      </c>
    </row>
    <row r="516" spans="1:2" x14ac:dyDescent="0.25">
      <c r="A516" s="9" t="str">
        <f>IF('Frame Sections'!A531=0,"",'Frame Sections'!A531)</f>
        <v/>
      </c>
      <c r="B516" s="9" t="str">
        <f t="shared" si="8"/>
        <v/>
      </c>
    </row>
    <row r="517" spans="1:2" x14ac:dyDescent="0.25">
      <c r="A517" s="9" t="str">
        <f>IF('Frame Sections'!A532=0,"",'Frame Sections'!A532)</f>
        <v/>
      </c>
      <c r="B517" s="9" t="str">
        <f t="shared" si="8"/>
        <v/>
      </c>
    </row>
    <row r="518" spans="1:2" x14ac:dyDescent="0.25">
      <c r="A518" s="9" t="str">
        <f>IF('Frame Sections'!A533=0,"",'Frame Sections'!A533)</f>
        <v/>
      </c>
      <c r="B518" s="9" t="str">
        <f t="shared" si="8"/>
        <v/>
      </c>
    </row>
    <row r="519" spans="1:2" x14ac:dyDescent="0.25">
      <c r="A519" s="9" t="str">
        <f>IF('Frame Sections'!A534=0,"",'Frame Sections'!A534)</f>
        <v/>
      </c>
      <c r="B519" s="9" t="str">
        <f t="shared" si="8"/>
        <v/>
      </c>
    </row>
    <row r="520" spans="1:2" x14ac:dyDescent="0.25">
      <c r="A520" s="9" t="str">
        <f>IF('Frame Sections'!A535=0,"",'Frame Sections'!A535)</f>
        <v/>
      </c>
      <c r="B520" s="9" t="str">
        <f t="shared" si="8"/>
        <v/>
      </c>
    </row>
    <row r="521" spans="1:2" x14ac:dyDescent="0.25">
      <c r="A521" s="9" t="str">
        <f>IF('Frame Sections'!A536=0,"",'Frame Sections'!A536)</f>
        <v/>
      </c>
      <c r="B521" s="9" t="str">
        <f t="shared" si="8"/>
        <v/>
      </c>
    </row>
    <row r="522" spans="1:2" x14ac:dyDescent="0.25">
      <c r="A522" s="9" t="str">
        <f>IF('Frame Sections'!A537=0,"",'Frame Sections'!A537)</f>
        <v/>
      </c>
      <c r="B522" s="9" t="str">
        <f t="shared" si="8"/>
        <v/>
      </c>
    </row>
    <row r="523" spans="1:2" x14ac:dyDescent="0.25">
      <c r="A523" s="9" t="str">
        <f>IF('Frame Sections'!A538=0,"",'Frame Sections'!A538)</f>
        <v/>
      </c>
      <c r="B523" s="9" t="str">
        <f t="shared" si="8"/>
        <v/>
      </c>
    </row>
    <row r="524" spans="1:2" x14ac:dyDescent="0.25">
      <c r="A524" s="9" t="str">
        <f>IF('Frame Sections'!A539=0,"",'Frame Sections'!A539)</f>
        <v/>
      </c>
      <c r="B524" s="9" t="str">
        <f t="shared" si="8"/>
        <v/>
      </c>
    </row>
    <row r="525" spans="1:2" x14ac:dyDescent="0.25">
      <c r="A525" s="9" t="str">
        <f>IF('Frame Sections'!A540=0,"",'Frame Sections'!A540)</f>
        <v/>
      </c>
      <c r="B525" s="9" t="str">
        <f t="shared" si="8"/>
        <v/>
      </c>
    </row>
    <row r="526" spans="1:2" x14ac:dyDescent="0.25">
      <c r="A526" s="9" t="str">
        <f>IF('Frame Sections'!A541=0,"",'Frame Sections'!A541)</f>
        <v/>
      </c>
      <c r="B526" s="9" t="str">
        <f t="shared" si="8"/>
        <v/>
      </c>
    </row>
    <row r="527" spans="1:2" x14ac:dyDescent="0.25">
      <c r="A527" s="9" t="str">
        <f>IF('Frame Sections'!A542=0,"",'Frame Sections'!A542)</f>
        <v/>
      </c>
      <c r="B527" s="9" t="str">
        <f t="shared" si="8"/>
        <v/>
      </c>
    </row>
    <row r="528" spans="1:2" x14ac:dyDescent="0.25">
      <c r="A528" s="9" t="str">
        <f>IF('Frame Sections'!A543=0,"",'Frame Sections'!A543)</f>
        <v/>
      </c>
      <c r="B528" s="9" t="str">
        <f t="shared" si="8"/>
        <v/>
      </c>
    </row>
    <row r="529" spans="1:2" x14ac:dyDescent="0.25">
      <c r="A529" s="9" t="str">
        <f>IF('Frame Sections'!A544=0,"",'Frame Sections'!A544)</f>
        <v/>
      </c>
      <c r="B529" s="9" t="str">
        <f t="shared" si="8"/>
        <v/>
      </c>
    </row>
    <row r="530" spans="1:2" x14ac:dyDescent="0.25">
      <c r="A530" s="9" t="str">
        <f>IF('Frame Sections'!A545=0,"",'Frame Sections'!A545)</f>
        <v/>
      </c>
      <c r="B530" s="9" t="str">
        <f t="shared" si="8"/>
        <v/>
      </c>
    </row>
    <row r="531" spans="1:2" x14ac:dyDescent="0.25">
      <c r="A531" s="9" t="str">
        <f>IF('Frame Sections'!A546=0,"",'Frame Sections'!A546)</f>
        <v/>
      </c>
      <c r="B531" s="9" t="str">
        <f t="shared" si="8"/>
        <v/>
      </c>
    </row>
    <row r="532" spans="1:2" x14ac:dyDescent="0.25">
      <c r="A532" s="9" t="str">
        <f>IF('Frame Sections'!A547=0,"",'Frame Sections'!A547)</f>
        <v/>
      </c>
      <c r="B532" s="9" t="str">
        <f t="shared" si="8"/>
        <v/>
      </c>
    </row>
    <row r="533" spans="1:2" x14ac:dyDescent="0.25">
      <c r="A533" s="9" t="str">
        <f>IF('Frame Sections'!A548=0,"",'Frame Sections'!A548)</f>
        <v/>
      </c>
      <c r="B533" s="9" t="str">
        <f t="shared" si="8"/>
        <v/>
      </c>
    </row>
    <row r="534" spans="1:2" x14ac:dyDescent="0.25">
      <c r="A534" s="9" t="str">
        <f>IF('Frame Sections'!A549=0,"",'Frame Sections'!A549)</f>
        <v/>
      </c>
      <c r="B534" s="9" t="str">
        <f t="shared" si="8"/>
        <v/>
      </c>
    </row>
    <row r="535" spans="1:2" x14ac:dyDescent="0.25">
      <c r="A535" s="9" t="str">
        <f>IF('Frame Sections'!A550=0,"",'Frame Sections'!A550)</f>
        <v/>
      </c>
      <c r="B535" s="9" t="str">
        <f t="shared" si="8"/>
        <v/>
      </c>
    </row>
    <row r="536" spans="1:2" x14ac:dyDescent="0.25">
      <c r="A536" s="9" t="str">
        <f>IF('Frame Sections'!A551=0,"",'Frame Sections'!A551)</f>
        <v/>
      </c>
      <c r="B536" s="9" t="str">
        <f t="shared" si="8"/>
        <v/>
      </c>
    </row>
    <row r="537" spans="1:2" x14ac:dyDescent="0.25">
      <c r="A537" s="9" t="str">
        <f>IF('Frame Sections'!A552=0,"",'Frame Sections'!A552)</f>
        <v/>
      </c>
      <c r="B537" s="9" t="str">
        <f t="shared" si="8"/>
        <v/>
      </c>
    </row>
    <row r="538" spans="1:2" x14ac:dyDescent="0.25">
      <c r="A538" s="9" t="str">
        <f>IF('Frame Sections'!A553=0,"",'Frame Sections'!A553)</f>
        <v/>
      </c>
      <c r="B538" s="9" t="str">
        <f t="shared" si="8"/>
        <v/>
      </c>
    </row>
    <row r="539" spans="1:2" x14ac:dyDescent="0.25">
      <c r="A539" s="9" t="str">
        <f>IF('Frame Sections'!A554=0,"",'Frame Sections'!A554)</f>
        <v/>
      </c>
      <c r="B539" s="9" t="str">
        <f t="shared" si="8"/>
        <v/>
      </c>
    </row>
    <row r="540" spans="1:2" x14ac:dyDescent="0.25">
      <c r="A540" s="9" t="str">
        <f>IF('Frame Sections'!A555=0,"",'Frame Sections'!A555)</f>
        <v/>
      </c>
      <c r="B540" s="9" t="str">
        <f t="shared" si="8"/>
        <v/>
      </c>
    </row>
    <row r="541" spans="1:2" x14ac:dyDescent="0.25">
      <c r="A541" s="9" t="str">
        <f>IF('Frame Sections'!A556=0,"",'Frame Sections'!A556)</f>
        <v/>
      </c>
      <c r="B541" s="9" t="str">
        <f t="shared" si="8"/>
        <v/>
      </c>
    </row>
    <row r="542" spans="1:2" x14ac:dyDescent="0.25">
      <c r="A542" s="9" t="str">
        <f>IF('Frame Sections'!A557=0,"",'Frame Sections'!A557)</f>
        <v/>
      </c>
      <c r="B542" s="9" t="str">
        <f t="shared" si="8"/>
        <v/>
      </c>
    </row>
    <row r="543" spans="1:2" x14ac:dyDescent="0.25">
      <c r="A543" s="9" t="str">
        <f>IF('Frame Sections'!A558=0,"",'Frame Sections'!A558)</f>
        <v/>
      </c>
      <c r="B543" s="9" t="str">
        <f t="shared" si="8"/>
        <v/>
      </c>
    </row>
    <row r="544" spans="1:2" x14ac:dyDescent="0.25">
      <c r="A544" s="9" t="str">
        <f>IF('Frame Sections'!A559=0,"",'Frame Sections'!A559)</f>
        <v/>
      </c>
      <c r="B544" s="9" t="str">
        <f t="shared" si="8"/>
        <v/>
      </c>
    </row>
    <row r="545" spans="1:2" x14ac:dyDescent="0.25">
      <c r="A545" s="9" t="str">
        <f>IF('Frame Sections'!A560=0,"",'Frame Sections'!A560)</f>
        <v/>
      </c>
      <c r="B545" s="9" t="str">
        <f t="shared" si="8"/>
        <v/>
      </c>
    </row>
    <row r="546" spans="1:2" x14ac:dyDescent="0.25">
      <c r="A546" s="9" t="str">
        <f>IF('Frame Sections'!A561=0,"",'Frame Sections'!A561)</f>
        <v/>
      </c>
      <c r="B546" s="9" t="str">
        <f t="shared" si="8"/>
        <v/>
      </c>
    </row>
    <row r="547" spans="1:2" x14ac:dyDescent="0.25">
      <c r="A547" s="9" t="str">
        <f>IF('Frame Sections'!A562=0,"",'Frame Sections'!A562)</f>
        <v/>
      </c>
      <c r="B547" s="9" t="str">
        <f t="shared" si="8"/>
        <v/>
      </c>
    </row>
    <row r="548" spans="1:2" x14ac:dyDescent="0.25">
      <c r="A548" s="9" t="str">
        <f>IF('Frame Sections'!A563=0,"",'Frame Sections'!A563)</f>
        <v/>
      </c>
      <c r="B548" s="9" t="str">
        <f t="shared" si="8"/>
        <v/>
      </c>
    </row>
    <row r="549" spans="1:2" x14ac:dyDescent="0.25">
      <c r="A549" s="9" t="str">
        <f>IF('Frame Sections'!A564=0,"",'Frame Sections'!A564)</f>
        <v/>
      </c>
      <c r="B549" s="9" t="str">
        <f t="shared" si="8"/>
        <v/>
      </c>
    </row>
    <row r="550" spans="1:2" x14ac:dyDescent="0.25">
      <c r="A550" s="9" t="str">
        <f>IF('Frame Sections'!A565=0,"",'Frame Sections'!A565)</f>
        <v/>
      </c>
      <c r="B550" s="9" t="str">
        <f t="shared" si="8"/>
        <v/>
      </c>
    </row>
    <row r="551" spans="1:2" x14ac:dyDescent="0.25">
      <c r="A551" s="9" t="str">
        <f>IF('Frame Sections'!A566=0,"",'Frame Sections'!A566)</f>
        <v/>
      </c>
      <c r="B551" s="9" t="str">
        <f t="shared" si="8"/>
        <v/>
      </c>
    </row>
    <row r="552" spans="1:2" x14ac:dyDescent="0.25">
      <c r="A552" s="9" t="str">
        <f>IF('Frame Sections'!A567=0,"",'Frame Sections'!A567)</f>
        <v/>
      </c>
      <c r="B552" s="9" t="str">
        <f t="shared" si="8"/>
        <v/>
      </c>
    </row>
    <row r="553" spans="1:2" x14ac:dyDescent="0.25">
      <c r="A553" s="9" t="str">
        <f>IF('Frame Sections'!A568=0,"",'Frame Sections'!A568)</f>
        <v/>
      </c>
      <c r="B553" s="9" t="str">
        <f t="shared" si="8"/>
        <v/>
      </c>
    </row>
    <row r="554" spans="1:2" x14ac:dyDescent="0.25">
      <c r="A554" s="9" t="str">
        <f>IF('Frame Sections'!A569=0,"",'Frame Sections'!A569)</f>
        <v/>
      </c>
      <c r="B554" s="9" t="str">
        <f t="shared" si="8"/>
        <v/>
      </c>
    </row>
    <row r="555" spans="1:2" x14ac:dyDescent="0.25">
      <c r="A555" s="9" t="str">
        <f>IF('Frame Sections'!A570=0,"",'Frame Sections'!A570)</f>
        <v/>
      </c>
      <c r="B555" s="9" t="str">
        <f t="shared" si="8"/>
        <v/>
      </c>
    </row>
    <row r="556" spans="1:2" x14ac:dyDescent="0.25">
      <c r="A556" s="9" t="str">
        <f>IF('Frame Sections'!A571=0,"",'Frame Sections'!A571)</f>
        <v/>
      </c>
      <c r="B556" s="9" t="str">
        <f t="shared" si="8"/>
        <v/>
      </c>
    </row>
    <row r="557" spans="1:2" x14ac:dyDescent="0.25">
      <c r="A557" s="9" t="str">
        <f>IF('Frame Sections'!A572=0,"",'Frame Sections'!A572)</f>
        <v/>
      </c>
      <c r="B557" s="9" t="str">
        <f t="shared" si="8"/>
        <v/>
      </c>
    </row>
    <row r="558" spans="1:2" x14ac:dyDescent="0.25">
      <c r="A558" s="9" t="str">
        <f>IF('Frame Sections'!A573=0,"",'Frame Sections'!A573)</f>
        <v/>
      </c>
      <c r="B558" s="9" t="str">
        <f t="shared" si="8"/>
        <v/>
      </c>
    </row>
    <row r="559" spans="1:2" x14ac:dyDescent="0.25">
      <c r="A559" s="9" t="str">
        <f>IF('Frame Sections'!A574=0,"",'Frame Sections'!A574)</f>
        <v/>
      </c>
      <c r="B559" s="9" t="str">
        <f t="shared" si="8"/>
        <v/>
      </c>
    </row>
    <row r="560" spans="1:2" x14ac:dyDescent="0.25">
      <c r="A560" s="9" t="str">
        <f>IF('Frame Sections'!A575=0,"",'Frame Sections'!A575)</f>
        <v/>
      </c>
      <c r="B560" s="9" t="str">
        <f t="shared" si="8"/>
        <v/>
      </c>
    </row>
    <row r="561" spans="1:2" x14ac:dyDescent="0.25">
      <c r="A561" s="9" t="str">
        <f>IF('Frame Sections'!A576=0,"",'Frame Sections'!A576)</f>
        <v/>
      </c>
      <c r="B561" s="9" t="str">
        <f t="shared" si="8"/>
        <v/>
      </c>
    </row>
    <row r="562" spans="1:2" x14ac:dyDescent="0.25">
      <c r="A562" s="9" t="str">
        <f>IF('Frame Sections'!A577=0,"",'Frame Sections'!A577)</f>
        <v/>
      </c>
      <c r="B562" s="9" t="str">
        <f t="shared" si="8"/>
        <v/>
      </c>
    </row>
    <row r="563" spans="1:2" x14ac:dyDescent="0.25">
      <c r="A563" s="9" t="str">
        <f>IF('Frame Sections'!A578=0,"",'Frame Sections'!A578)</f>
        <v/>
      </c>
      <c r="B563" s="9" t="str">
        <f t="shared" si="8"/>
        <v/>
      </c>
    </row>
    <row r="564" spans="1:2" x14ac:dyDescent="0.25">
      <c r="A564" s="9" t="str">
        <f>IF('Frame Sections'!A579=0,"",'Frame Sections'!A579)</f>
        <v/>
      </c>
      <c r="B564" s="9" t="str">
        <f t="shared" si="8"/>
        <v/>
      </c>
    </row>
    <row r="565" spans="1:2" x14ac:dyDescent="0.25">
      <c r="A565" s="9" t="str">
        <f>IF('Frame Sections'!A580=0,"",'Frame Sections'!A580)</f>
        <v/>
      </c>
      <c r="B565" s="9" t="str">
        <f t="shared" si="8"/>
        <v/>
      </c>
    </row>
    <row r="566" spans="1:2" x14ac:dyDescent="0.25">
      <c r="A566" s="9" t="str">
        <f>IF('Frame Sections'!A581=0,"",'Frame Sections'!A581)</f>
        <v/>
      </c>
      <c r="B566" s="9" t="str">
        <f t="shared" si="8"/>
        <v/>
      </c>
    </row>
    <row r="567" spans="1:2" x14ac:dyDescent="0.25">
      <c r="A567" s="9" t="str">
        <f>IF('Frame Sections'!A582=0,"",'Frame Sections'!A582)</f>
        <v/>
      </c>
      <c r="B567" s="9" t="str">
        <f t="shared" si="8"/>
        <v/>
      </c>
    </row>
    <row r="568" spans="1:2" x14ac:dyDescent="0.25">
      <c r="A568" s="9" t="str">
        <f>IF('Frame Sections'!A583=0,"",'Frame Sections'!A583)</f>
        <v/>
      </c>
      <c r="B568" s="9" t="str">
        <f t="shared" si="8"/>
        <v/>
      </c>
    </row>
    <row r="569" spans="1:2" x14ac:dyDescent="0.25">
      <c r="A569" s="9" t="str">
        <f>IF('Frame Sections'!A584=0,"",'Frame Sections'!A584)</f>
        <v/>
      </c>
      <c r="B569" s="9" t="str">
        <f t="shared" si="8"/>
        <v/>
      </c>
    </row>
    <row r="570" spans="1:2" x14ac:dyDescent="0.25">
      <c r="A570" s="9" t="str">
        <f>IF('Frame Sections'!A585=0,"",'Frame Sections'!A585)</f>
        <v/>
      </c>
      <c r="B570" s="9" t="str">
        <f t="shared" si="8"/>
        <v/>
      </c>
    </row>
    <row r="571" spans="1:2" x14ac:dyDescent="0.25">
      <c r="A571" s="9" t="str">
        <f>IF('Frame Sections'!A586=0,"",'Frame Sections'!A586)</f>
        <v/>
      </c>
      <c r="B571" s="9" t="str">
        <f t="shared" si="8"/>
        <v/>
      </c>
    </row>
    <row r="572" spans="1:2" x14ac:dyDescent="0.25">
      <c r="A572" s="9" t="str">
        <f>IF('Frame Sections'!A587=0,"",'Frame Sections'!A587)</f>
        <v/>
      </c>
      <c r="B572" s="9" t="str">
        <f t="shared" si="8"/>
        <v/>
      </c>
    </row>
    <row r="573" spans="1:2" x14ac:dyDescent="0.25">
      <c r="A573" s="9" t="str">
        <f>IF('Frame Sections'!A588=0,"",'Frame Sections'!A588)</f>
        <v/>
      </c>
      <c r="B573" s="9" t="str">
        <f t="shared" si="8"/>
        <v/>
      </c>
    </row>
    <row r="574" spans="1:2" x14ac:dyDescent="0.25">
      <c r="A574" s="9" t="str">
        <f>IF('Frame Sections'!A589=0,"",'Frame Sections'!A589)</f>
        <v/>
      </c>
      <c r="B574" s="9" t="str">
        <f t="shared" si="8"/>
        <v/>
      </c>
    </row>
    <row r="575" spans="1:2" x14ac:dyDescent="0.25">
      <c r="A575" s="9" t="str">
        <f>IF('Frame Sections'!A590=0,"",'Frame Sections'!A590)</f>
        <v/>
      </c>
      <c r="B575" s="9" t="str">
        <f t="shared" si="8"/>
        <v/>
      </c>
    </row>
    <row r="576" spans="1:2" x14ac:dyDescent="0.25">
      <c r="A576" s="9" t="str">
        <f>IF('Frame Sections'!A591=0,"",'Frame Sections'!A591)</f>
        <v/>
      </c>
      <c r="B576" s="9" t="str">
        <f t="shared" si="8"/>
        <v/>
      </c>
    </row>
    <row r="577" spans="1:2" x14ac:dyDescent="0.25">
      <c r="A577" s="9" t="str">
        <f>IF('Frame Sections'!A592=0,"",'Frame Sections'!A592)</f>
        <v/>
      </c>
      <c r="B577" s="9" t="str">
        <f t="shared" si="8"/>
        <v/>
      </c>
    </row>
    <row r="578" spans="1:2" x14ac:dyDescent="0.25">
      <c r="A578" s="9" t="str">
        <f>IF('Frame Sections'!A593=0,"",'Frame Sections'!A593)</f>
        <v/>
      </c>
      <c r="B578" s="9" t="str">
        <f t="shared" ref="B578:B641" si="9">IF(OR(A578=0,A578=""),"",VLOOKUP(A578,SecDB,5,FALSE))</f>
        <v/>
      </c>
    </row>
    <row r="579" spans="1:2" x14ac:dyDescent="0.25">
      <c r="A579" s="9" t="str">
        <f>IF('Frame Sections'!A594=0,"",'Frame Sections'!A594)</f>
        <v/>
      </c>
      <c r="B579" s="9" t="str">
        <f t="shared" si="9"/>
        <v/>
      </c>
    </row>
    <row r="580" spans="1:2" x14ac:dyDescent="0.25">
      <c r="A580" s="9" t="str">
        <f>IF('Frame Sections'!A595=0,"",'Frame Sections'!A595)</f>
        <v/>
      </c>
      <c r="B580" s="9" t="str">
        <f t="shared" si="9"/>
        <v/>
      </c>
    </row>
    <row r="581" spans="1:2" x14ac:dyDescent="0.25">
      <c r="A581" s="9" t="str">
        <f>IF('Frame Sections'!A596=0,"",'Frame Sections'!A596)</f>
        <v/>
      </c>
      <c r="B581" s="9" t="str">
        <f t="shared" si="9"/>
        <v/>
      </c>
    </row>
    <row r="582" spans="1:2" x14ac:dyDescent="0.25">
      <c r="A582" s="9" t="str">
        <f>IF('Frame Sections'!A597=0,"",'Frame Sections'!A597)</f>
        <v/>
      </c>
      <c r="B582" s="9" t="str">
        <f t="shared" si="9"/>
        <v/>
      </c>
    </row>
    <row r="583" spans="1:2" x14ac:dyDescent="0.25">
      <c r="A583" s="9" t="str">
        <f>IF('Frame Sections'!A598=0,"",'Frame Sections'!A598)</f>
        <v/>
      </c>
      <c r="B583" s="9" t="str">
        <f t="shared" si="9"/>
        <v/>
      </c>
    </row>
    <row r="584" spans="1:2" x14ac:dyDescent="0.25">
      <c r="A584" s="9" t="str">
        <f>IF('Frame Sections'!A599=0,"",'Frame Sections'!A599)</f>
        <v/>
      </c>
      <c r="B584" s="9" t="str">
        <f t="shared" si="9"/>
        <v/>
      </c>
    </row>
    <row r="585" spans="1:2" x14ac:dyDescent="0.25">
      <c r="A585" s="9" t="str">
        <f>IF('Frame Sections'!A600=0,"",'Frame Sections'!A600)</f>
        <v/>
      </c>
      <c r="B585" s="9" t="str">
        <f t="shared" si="9"/>
        <v/>
      </c>
    </row>
    <row r="586" spans="1:2" x14ac:dyDescent="0.25">
      <c r="A586" s="9" t="str">
        <f>IF('Frame Sections'!A601=0,"",'Frame Sections'!A601)</f>
        <v/>
      </c>
      <c r="B586" s="9" t="str">
        <f t="shared" si="9"/>
        <v/>
      </c>
    </row>
    <row r="587" spans="1:2" x14ac:dyDescent="0.25">
      <c r="A587" s="9" t="str">
        <f>IF('Frame Sections'!A602=0,"",'Frame Sections'!A602)</f>
        <v/>
      </c>
      <c r="B587" s="9" t="str">
        <f t="shared" si="9"/>
        <v/>
      </c>
    </row>
    <row r="588" spans="1:2" x14ac:dyDescent="0.25">
      <c r="A588" s="9" t="str">
        <f>IF('Frame Sections'!A603=0,"",'Frame Sections'!A603)</f>
        <v/>
      </c>
      <c r="B588" s="9" t="str">
        <f t="shared" si="9"/>
        <v/>
      </c>
    </row>
    <row r="589" spans="1:2" x14ac:dyDescent="0.25">
      <c r="A589" s="9" t="str">
        <f>IF('Frame Sections'!A604=0,"",'Frame Sections'!A604)</f>
        <v/>
      </c>
      <c r="B589" s="9" t="str">
        <f t="shared" si="9"/>
        <v/>
      </c>
    </row>
    <row r="590" spans="1:2" x14ac:dyDescent="0.25">
      <c r="A590" s="9" t="str">
        <f>IF('Frame Sections'!A605=0,"",'Frame Sections'!A605)</f>
        <v/>
      </c>
      <c r="B590" s="9" t="str">
        <f t="shared" si="9"/>
        <v/>
      </c>
    </row>
    <row r="591" spans="1:2" x14ac:dyDescent="0.25">
      <c r="A591" s="9" t="str">
        <f>IF('Frame Sections'!A606=0,"",'Frame Sections'!A606)</f>
        <v/>
      </c>
      <c r="B591" s="9" t="str">
        <f t="shared" si="9"/>
        <v/>
      </c>
    </row>
    <row r="592" spans="1:2" x14ac:dyDescent="0.25">
      <c r="A592" s="9" t="str">
        <f>IF('Frame Sections'!A607=0,"",'Frame Sections'!A607)</f>
        <v/>
      </c>
      <c r="B592" s="9" t="str">
        <f t="shared" si="9"/>
        <v/>
      </c>
    </row>
    <row r="593" spans="1:2" x14ac:dyDescent="0.25">
      <c r="A593" s="9" t="str">
        <f>IF('Frame Sections'!A608=0,"",'Frame Sections'!A608)</f>
        <v/>
      </c>
      <c r="B593" s="9" t="str">
        <f t="shared" si="9"/>
        <v/>
      </c>
    </row>
    <row r="594" spans="1:2" x14ac:dyDescent="0.25">
      <c r="A594" s="9" t="str">
        <f>IF('Frame Sections'!A609=0,"",'Frame Sections'!A609)</f>
        <v/>
      </c>
      <c r="B594" s="9" t="str">
        <f t="shared" si="9"/>
        <v/>
      </c>
    </row>
    <row r="595" spans="1:2" x14ac:dyDescent="0.25">
      <c r="A595" s="9" t="str">
        <f>IF('Frame Sections'!A610=0,"",'Frame Sections'!A610)</f>
        <v/>
      </c>
      <c r="B595" s="9" t="str">
        <f t="shared" si="9"/>
        <v/>
      </c>
    </row>
    <row r="596" spans="1:2" x14ac:dyDescent="0.25">
      <c r="A596" s="9" t="str">
        <f>IF('Frame Sections'!A611=0,"",'Frame Sections'!A611)</f>
        <v/>
      </c>
      <c r="B596" s="9" t="str">
        <f t="shared" si="9"/>
        <v/>
      </c>
    </row>
    <row r="597" spans="1:2" x14ac:dyDescent="0.25">
      <c r="A597" s="9" t="str">
        <f>IF('Frame Sections'!A612=0,"",'Frame Sections'!A612)</f>
        <v/>
      </c>
      <c r="B597" s="9" t="str">
        <f t="shared" si="9"/>
        <v/>
      </c>
    </row>
    <row r="598" spans="1:2" x14ac:dyDescent="0.25">
      <c r="A598" s="9" t="str">
        <f>IF('Frame Sections'!A613=0,"",'Frame Sections'!A613)</f>
        <v/>
      </c>
      <c r="B598" s="9" t="str">
        <f t="shared" si="9"/>
        <v/>
      </c>
    </row>
    <row r="599" spans="1:2" x14ac:dyDescent="0.25">
      <c r="A599" s="9" t="str">
        <f>IF('Frame Sections'!A614=0,"",'Frame Sections'!A614)</f>
        <v/>
      </c>
      <c r="B599" s="9" t="str">
        <f t="shared" si="9"/>
        <v/>
      </c>
    </row>
    <row r="600" spans="1:2" x14ac:dyDescent="0.25">
      <c r="A600" s="9" t="str">
        <f>IF('Frame Sections'!A615=0,"",'Frame Sections'!A615)</f>
        <v/>
      </c>
      <c r="B600" s="9" t="str">
        <f t="shared" si="9"/>
        <v/>
      </c>
    </row>
    <row r="601" spans="1:2" x14ac:dyDescent="0.25">
      <c r="A601" s="9" t="str">
        <f>IF('Frame Sections'!A616=0,"",'Frame Sections'!A616)</f>
        <v/>
      </c>
      <c r="B601" s="9" t="str">
        <f t="shared" si="9"/>
        <v/>
      </c>
    </row>
    <row r="602" spans="1:2" x14ac:dyDescent="0.25">
      <c r="A602" s="9" t="str">
        <f>IF('Frame Sections'!A617=0,"",'Frame Sections'!A617)</f>
        <v/>
      </c>
      <c r="B602" s="9" t="str">
        <f t="shared" si="9"/>
        <v/>
      </c>
    </row>
    <row r="603" spans="1:2" x14ac:dyDescent="0.25">
      <c r="A603" s="9" t="str">
        <f>IF('Frame Sections'!A618=0,"",'Frame Sections'!A618)</f>
        <v/>
      </c>
      <c r="B603" s="9" t="str">
        <f t="shared" si="9"/>
        <v/>
      </c>
    </row>
    <row r="604" spans="1:2" x14ac:dyDescent="0.25">
      <c r="A604" s="9" t="str">
        <f>IF('Frame Sections'!A619=0,"",'Frame Sections'!A619)</f>
        <v/>
      </c>
      <c r="B604" s="9" t="str">
        <f t="shared" si="9"/>
        <v/>
      </c>
    </row>
    <row r="605" spans="1:2" x14ac:dyDescent="0.25">
      <c r="A605" s="9" t="str">
        <f>IF('Frame Sections'!A620=0,"",'Frame Sections'!A620)</f>
        <v/>
      </c>
      <c r="B605" s="9" t="str">
        <f t="shared" si="9"/>
        <v/>
      </c>
    </row>
    <row r="606" spans="1:2" x14ac:dyDescent="0.25">
      <c r="A606" s="9" t="str">
        <f>IF('Frame Sections'!A621=0,"",'Frame Sections'!A621)</f>
        <v/>
      </c>
      <c r="B606" s="9" t="str">
        <f t="shared" si="9"/>
        <v/>
      </c>
    </row>
    <row r="607" spans="1:2" x14ac:dyDescent="0.25">
      <c r="A607" s="9" t="str">
        <f>IF('Frame Sections'!A622=0,"",'Frame Sections'!A622)</f>
        <v/>
      </c>
      <c r="B607" s="9" t="str">
        <f t="shared" si="9"/>
        <v/>
      </c>
    </row>
    <row r="608" spans="1:2" x14ac:dyDescent="0.25">
      <c r="A608" s="9" t="str">
        <f>IF('Frame Sections'!A623=0,"",'Frame Sections'!A623)</f>
        <v/>
      </c>
      <c r="B608" s="9" t="str">
        <f t="shared" si="9"/>
        <v/>
      </c>
    </row>
    <row r="609" spans="1:2" x14ac:dyDescent="0.25">
      <c r="A609" s="9" t="str">
        <f>IF('Frame Sections'!A624=0,"",'Frame Sections'!A624)</f>
        <v/>
      </c>
      <c r="B609" s="9" t="str">
        <f t="shared" si="9"/>
        <v/>
      </c>
    </row>
    <row r="610" spans="1:2" x14ac:dyDescent="0.25">
      <c r="A610" s="9" t="str">
        <f>IF('Frame Sections'!A625=0,"",'Frame Sections'!A625)</f>
        <v/>
      </c>
      <c r="B610" s="9" t="str">
        <f t="shared" si="9"/>
        <v/>
      </c>
    </row>
    <row r="611" spans="1:2" x14ac:dyDescent="0.25">
      <c r="A611" s="9" t="str">
        <f>IF('Frame Sections'!A626=0,"",'Frame Sections'!A626)</f>
        <v/>
      </c>
      <c r="B611" s="9" t="str">
        <f t="shared" si="9"/>
        <v/>
      </c>
    </row>
    <row r="612" spans="1:2" x14ac:dyDescent="0.25">
      <c r="A612" s="9" t="str">
        <f>IF('Frame Sections'!A627=0,"",'Frame Sections'!A627)</f>
        <v/>
      </c>
      <c r="B612" s="9" t="str">
        <f t="shared" si="9"/>
        <v/>
      </c>
    </row>
    <row r="613" spans="1:2" x14ac:dyDescent="0.25">
      <c r="A613" s="9" t="str">
        <f>IF('Frame Sections'!A628=0,"",'Frame Sections'!A628)</f>
        <v/>
      </c>
      <c r="B613" s="9" t="str">
        <f t="shared" si="9"/>
        <v/>
      </c>
    </row>
    <row r="614" spans="1:2" x14ac:dyDescent="0.25">
      <c r="A614" s="9" t="str">
        <f>IF('Frame Sections'!A629=0,"",'Frame Sections'!A629)</f>
        <v/>
      </c>
      <c r="B614" s="9" t="str">
        <f t="shared" si="9"/>
        <v/>
      </c>
    </row>
    <row r="615" spans="1:2" x14ac:dyDescent="0.25">
      <c r="A615" s="9" t="str">
        <f>IF('Frame Sections'!A630=0,"",'Frame Sections'!A630)</f>
        <v/>
      </c>
      <c r="B615" s="9" t="str">
        <f t="shared" si="9"/>
        <v/>
      </c>
    </row>
    <row r="616" spans="1:2" x14ac:dyDescent="0.25">
      <c r="A616" s="9" t="str">
        <f>IF('Frame Sections'!A631=0,"",'Frame Sections'!A631)</f>
        <v/>
      </c>
      <c r="B616" s="9" t="str">
        <f t="shared" si="9"/>
        <v/>
      </c>
    </row>
    <row r="617" spans="1:2" x14ac:dyDescent="0.25">
      <c r="A617" s="9" t="str">
        <f>IF('Frame Sections'!A632=0,"",'Frame Sections'!A632)</f>
        <v/>
      </c>
      <c r="B617" s="9" t="str">
        <f t="shared" si="9"/>
        <v/>
      </c>
    </row>
    <row r="618" spans="1:2" x14ac:dyDescent="0.25">
      <c r="A618" s="9" t="str">
        <f>IF('Frame Sections'!A633=0,"",'Frame Sections'!A633)</f>
        <v/>
      </c>
      <c r="B618" s="9" t="str">
        <f t="shared" si="9"/>
        <v/>
      </c>
    </row>
    <row r="619" spans="1:2" x14ac:dyDescent="0.25">
      <c r="A619" s="9" t="str">
        <f>IF('Frame Sections'!A634=0,"",'Frame Sections'!A634)</f>
        <v/>
      </c>
      <c r="B619" s="9" t="str">
        <f t="shared" si="9"/>
        <v/>
      </c>
    </row>
    <row r="620" spans="1:2" x14ac:dyDescent="0.25">
      <c r="A620" s="9" t="str">
        <f>IF('Frame Sections'!A635=0,"",'Frame Sections'!A635)</f>
        <v/>
      </c>
      <c r="B620" s="9" t="str">
        <f t="shared" si="9"/>
        <v/>
      </c>
    </row>
    <row r="621" spans="1:2" x14ac:dyDescent="0.25">
      <c r="A621" s="9" t="str">
        <f>IF('Frame Sections'!A636=0,"",'Frame Sections'!A636)</f>
        <v/>
      </c>
      <c r="B621" s="9" t="str">
        <f t="shared" si="9"/>
        <v/>
      </c>
    </row>
    <row r="622" spans="1:2" x14ac:dyDescent="0.25">
      <c r="A622" s="9" t="str">
        <f>IF('Frame Sections'!A637=0,"",'Frame Sections'!A637)</f>
        <v/>
      </c>
      <c r="B622" s="9" t="str">
        <f t="shared" si="9"/>
        <v/>
      </c>
    </row>
    <row r="623" spans="1:2" x14ac:dyDescent="0.25">
      <c r="A623" s="9" t="str">
        <f>IF('Frame Sections'!A638=0,"",'Frame Sections'!A638)</f>
        <v/>
      </c>
      <c r="B623" s="9" t="str">
        <f t="shared" si="9"/>
        <v/>
      </c>
    </row>
    <row r="624" spans="1:2" x14ac:dyDescent="0.25">
      <c r="A624" s="9" t="str">
        <f>IF('Frame Sections'!A639=0,"",'Frame Sections'!A639)</f>
        <v/>
      </c>
      <c r="B624" s="9" t="str">
        <f t="shared" si="9"/>
        <v/>
      </c>
    </row>
    <row r="625" spans="1:2" x14ac:dyDescent="0.25">
      <c r="A625" s="9" t="str">
        <f>IF('Frame Sections'!A640=0,"",'Frame Sections'!A640)</f>
        <v/>
      </c>
      <c r="B625" s="9" t="str">
        <f t="shared" si="9"/>
        <v/>
      </c>
    </row>
    <row r="626" spans="1:2" x14ac:dyDescent="0.25">
      <c r="A626" s="9" t="str">
        <f>IF('Frame Sections'!A641=0,"",'Frame Sections'!A641)</f>
        <v/>
      </c>
      <c r="B626" s="9" t="str">
        <f t="shared" si="9"/>
        <v/>
      </c>
    </row>
    <row r="627" spans="1:2" x14ac:dyDescent="0.25">
      <c r="A627" s="9" t="str">
        <f>IF('Frame Sections'!A642=0,"",'Frame Sections'!A642)</f>
        <v/>
      </c>
      <c r="B627" s="9" t="str">
        <f t="shared" si="9"/>
        <v/>
      </c>
    </row>
    <row r="628" spans="1:2" x14ac:dyDescent="0.25">
      <c r="A628" s="9" t="str">
        <f>IF('Frame Sections'!A643=0,"",'Frame Sections'!A643)</f>
        <v/>
      </c>
      <c r="B628" s="9" t="str">
        <f t="shared" si="9"/>
        <v/>
      </c>
    </row>
    <row r="629" spans="1:2" x14ac:dyDescent="0.25">
      <c r="A629" s="9" t="str">
        <f>IF('Frame Sections'!A644=0,"",'Frame Sections'!A644)</f>
        <v/>
      </c>
      <c r="B629" s="9" t="str">
        <f t="shared" si="9"/>
        <v/>
      </c>
    </row>
    <row r="630" spans="1:2" x14ac:dyDescent="0.25">
      <c r="A630" s="9" t="str">
        <f>IF('Frame Sections'!A645=0,"",'Frame Sections'!A645)</f>
        <v/>
      </c>
      <c r="B630" s="9" t="str">
        <f t="shared" si="9"/>
        <v/>
      </c>
    </row>
    <row r="631" spans="1:2" x14ac:dyDescent="0.25">
      <c r="A631" s="9" t="str">
        <f>IF('Frame Sections'!A646=0,"",'Frame Sections'!A646)</f>
        <v/>
      </c>
      <c r="B631" s="9" t="str">
        <f t="shared" si="9"/>
        <v/>
      </c>
    </row>
    <row r="632" spans="1:2" x14ac:dyDescent="0.25">
      <c r="A632" s="9" t="str">
        <f>IF('Frame Sections'!A647=0,"",'Frame Sections'!A647)</f>
        <v/>
      </c>
      <c r="B632" s="9" t="str">
        <f t="shared" si="9"/>
        <v/>
      </c>
    </row>
    <row r="633" spans="1:2" x14ac:dyDescent="0.25">
      <c r="A633" s="9" t="str">
        <f>IF('Frame Sections'!A648=0,"",'Frame Sections'!A648)</f>
        <v/>
      </c>
      <c r="B633" s="9" t="str">
        <f t="shared" si="9"/>
        <v/>
      </c>
    </row>
    <row r="634" spans="1:2" x14ac:dyDescent="0.25">
      <c r="A634" s="9" t="str">
        <f>IF('Frame Sections'!A649=0,"",'Frame Sections'!A649)</f>
        <v/>
      </c>
      <c r="B634" s="9" t="str">
        <f t="shared" si="9"/>
        <v/>
      </c>
    </row>
    <row r="635" spans="1:2" x14ac:dyDescent="0.25">
      <c r="A635" s="9" t="str">
        <f>IF('Frame Sections'!A650=0,"",'Frame Sections'!A650)</f>
        <v/>
      </c>
      <c r="B635" s="9" t="str">
        <f t="shared" si="9"/>
        <v/>
      </c>
    </row>
    <row r="636" spans="1:2" x14ac:dyDescent="0.25">
      <c r="A636" s="9" t="str">
        <f>IF('Frame Sections'!A651=0,"",'Frame Sections'!A651)</f>
        <v/>
      </c>
      <c r="B636" s="9" t="str">
        <f t="shared" si="9"/>
        <v/>
      </c>
    </row>
    <row r="637" spans="1:2" x14ac:dyDescent="0.25">
      <c r="A637" s="9" t="str">
        <f>IF('Frame Sections'!A652=0,"",'Frame Sections'!A652)</f>
        <v/>
      </c>
      <c r="B637" s="9" t="str">
        <f t="shared" si="9"/>
        <v/>
      </c>
    </row>
    <row r="638" spans="1:2" x14ac:dyDescent="0.25">
      <c r="A638" s="9" t="str">
        <f>IF('Frame Sections'!A653=0,"",'Frame Sections'!A653)</f>
        <v/>
      </c>
      <c r="B638" s="9" t="str">
        <f t="shared" si="9"/>
        <v/>
      </c>
    </row>
    <row r="639" spans="1:2" x14ac:dyDescent="0.25">
      <c r="A639" s="9" t="str">
        <f>IF('Frame Sections'!A654=0,"",'Frame Sections'!A654)</f>
        <v/>
      </c>
      <c r="B639" s="9" t="str">
        <f t="shared" si="9"/>
        <v/>
      </c>
    </row>
    <row r="640" spans="1:2" x14ac:dyDescent="0.25">
      <c r="A640" s="9" t="str">
        <f>IF('Frame Sections'!A655=0,"",'Frame Sections'!A655)</f>
        <v/>
      </c>
      <c r="B640" s="9" t="str">
        <f t="shared" si="9"/>
        <v/>
      </c>
    </row>
    <row r="641" spans="1:2" x14ac:dyDescent="0.25">
      <c r="A641" s="9" t="str">
        <f>IF('Frame Sections'!A656=0,"",'Frame Sections'!A656)</f>
        <v/>
      </c>
      <c r="B641" s="9" t="str">
        <f t="shared" si="9"/>
        <v/>
      </c>
    </row>
    <row r="642" spans="1:2" x14ac:dyDescent="0.25">
      <c r="A642" s="9" t="str">
        <f>IF('Frame Sections'!A657=0,"",'Frame Sections'!A657)</f>
        <v/>
      </c>
      <c r="B642" s="9" t="str">
        <f t="shared" ref="B642:B705" si="10">IF(OR(A642=0,A642=""),"",VLOOKUP(A642,SecDB,5,FALSE))</f>
        <v/>
      </c>
    </row>
    <row r="643" spans="1:2" x14ac:dyDescent="0.25">
      <c r="A643" s="9" t="str">
        <f>IF('Frame Sections'!A658=0,"",'Frame Sections'!A658)</f>
        <v/>
      </c>
      <c r="B643" s="9" t="str">
        <f t="shared" si="10"/>
        <v/>
      </c>
    </row>
    <row r="644" spans="1:2" x14ac:dyDescent="0.25">
      <c r="A644" s="9" t="str">
        <f>IF('Frame Sections'!A659=0,"",'Frame Sections'!A659)</f>
        <v/>
      </c>
      <c r="B644" s="9" t="str">
        <f t="shared" si="10"/>
        <v/>
      </c>
    </row>
    <row r="645" spans="1:2" x14ac:dyDescent="0.25">
      <c r="A645" s="9" t="str">
        <f>IF('Frame Sections'!A660=0,"",'Frame Sections'!A660)</f>
        <v/>
      </c>
      <c r="B645" s="9" t="str">
        <f t="shared" si="10"/>
        <v/>
      </c>
    </row>
    <row r="646" spans="1:2" x14ac:dyDescent="0.25">
      <c r="A646" s="9" t="str">
        <f>IF('Frame Sections'!A661=0,"",'Frame Sections'!A661)</f>
        <v/>
      </c>
      <c r="B646" s="9" t="str">
        <f t="shared" si="10"/>
        <v/>
      </c>
    </row>
    <row r="647" spans="1:2" x14ac:dyDescent="0.25">
      <c r="A647" s="9" t="str">
        <f>IF('Frame Sections'!A662=0,"",'Frame Sections'!A662)</f>
        <v/>
      </c>
      <c r="B647" s="9" t="str">
        <f t="shared" si="10"/>
        <v/>
      </c>
    </row>
    <row r="648" spans="1:2" x14ac:dyDescent="0.25">
      <c r="A648" s="9" t="str">
        <f>IF('Frame Sections'!A663=0,"",'Frame Sections'!A663)</f>
        <v/>
      </c>
      <c r="B648" s="9" t="str">
        <f t="shared" si="10"/>
        <v/>
      </c>
    </row>
    <row r="649" spans="1:2" x14ac:dyDescent="0.25">
      <c r="A649" s="9" t="str">
        <f>IF('Frame Sections'!A664=0,"",'Frame Sections'!A664)</f>
        <v/>
      </c>
      <c r="B649" s="9" t="str">
        <f t="shared" si="10"/>
        <v/>
      </c>
    </row>
    <row r="650" spans="1:2" x14ac:dyDescent="0.25">
      <c r="A650" s="9" t="str">
        <f>IF('Frame Sections'!A665=0,"",'Frame Sections'!A665)</f>
        <v/>
      </c>
      <c r="B650" s="9" t="str">
        <f t="shared" si="10"/>
        <v/>
      </c>
    </row>
    <row r="651" spans="1:2" x14ac:dyDescent="0.25">
      <c r="A651" s="9" t="str">
        <f>IF('Frame Sections'!A666=0,"",'Frame Sections'!A666)</f>
        <v/>
      </c>
      <c r="B651" s="9" t="str">
        <f t="shared" si="10"/>
        <v/>
      </c>
    </row>
    <row r="652" spans="1:2" x14ac:dyDescent="0.25">
      <c r="A652" s="9" t="str">
        <f>IF('Frame Sections'!A667=0,"",'Frame Sections'!A667)</f>
        <v/>
      </c>
      <c r="B652" s="9" t="str">
        <f t="shared" si="10"/>
        <v/>
      </c>
    </row>
    <row r="653" spans="1:2" x14ac:dyDescent="0.25">
      <c r="A653" s="9" t="str">
        <f>IF('Frame Sections'!A668=0,"",'Frame Sections'!A668)</f>
        <v/>
      </c>
      <c r="B653" s="9" t="str">
        <f t="shared" si="10"/>
        <v/>
      </c>
    </row>
    <row r="654" spans="1:2" x14ac:dyDescent="0.25">
      <c r="A654" s="9" t="str">
        <f>IF('Frame Sections'!A669=0,"",'Frame Sections'!A669)</f>
        <v/>
      </c>
      <c r="B654" s="9" t="str">
        <f t="shared" si="10"/>
        <v/>
      </c>
    </row>
    <row r="655" spans="1:2" x14ac:dyDescent="0.25">
      <c r="A655" s="9" t="str">
        <f>IF('Frame Sections'!A670=0,"",'Frame Sections'!A670)</f>
        <v/>
      </c>
      <c r="B655" s="9" t="str">
        <f t="shared" si="10"/>
        <v/>
      </c>
    </row>
    <row r="656" spans="1:2" x14ac:dyDescent="0.25">
      <c r="A656" s="9" t="str">
        <f>IF('Frame Sections'!A671=0,"",'Frame Sections'!A671)</f>
        <v/>
      </c>
      <c r="B656" s="9" t="str">
        <f t="shared" si="10"/>
        <v/>
      </c>
    </row>
    <row r="657" spans="1:2" x14ac:dyDescent="0.25">
      <c r="A657" s="9" t="str">
        <f>IF('Frame Sections'!A672=0,"",'Frame Sections'!A672)</f>
        <v/>
      </c>
      <c r="B657" s="9" t="str">
        <f t="shared" si="10"/>
        <v/>
      </c>
    </row>
    <row r="658" spans="1:2" x14ac:dyDescent="0.25">
      <c r="A658" s="9" t="str">
        <f>IF('Frame Sections'!A673=0,"",'Frame Sections'!A673)</f>
        <v/>
      </c>
      <c r="B658" s="9" t="str">
        <f t="shared" si="10"/>
        <v/>
      </c>
    </row>
    <row r="659" spans="1:2" x14ac:dyDescent="0.25">
      <c r="A659" s="9" t="str">
        <f>IF('Frame Sections'!A674=0,"",'Frame Sections'!A674)</f>
        <v/>
      </c>
      <c r="B659" s="9" t="str">
        <f t="shared" si="10"/>
        <v/>
      </c>
    </row>
    <row r="660" spans="1:2" x14ac:dyDescent="0.25">
      <c r="A660" s="9" t="str">
        <f>IF('Frame Sections'!A675=0,"",'Frame Sections'!A675)</f>
        <v/>
      </c>
      <c r="B660" s="9" t="str">
        <f t="shared" si="10"/>
        <v/>
      </c>
    </row>
    <row r="661" spans="1:2" x14ac:dyDescent="0.25">
      <c r="A661" s="9" t="str">
        <f>IF('Frame Sections'!A676=0,"",'Frame Sections'!A676)</f>
        <v/>
      </c>
      <c r="B661" s="9" t="str">
        <f t="shared" si="10"/>
        <v/>
      </c>
    </row>
    <row r="662" spans="1:2" x14ac:dyDescent="0.25">
      <c r="A662" s="9" t="str">
        <f>IF('Frame Sections'!A677=0,"",'Frame Sections'!A677)</f>
        <v/>
      </c>
      <c r="B662" s="9" t="str">
        <f t="shared" si="10"/>
        <v/>
      </c>
    </row>
    <row r="663" spans="1:2" x14ac:dyDescent="0.25">
      <c r="A663" s="9" t="str">
        <f>IF('Frame Sections'!A678=0,"",'Frame Sections'!A678)</f>
        <v/>
      </c>
      <c r="B663" s="9" t="str">
        <f t="shared" si="10"/>
        <v/>
      </c>
    </row>
    <row r="664" spans="1:2" x14ac:dyDescent="0.25">
      <c r="A664" s="9" t="str">
        <f>IF('Frame Sections'!A679=0,"",'Frame Sections'!A679)</f>
        <v/>
      </c>
      <c r="B664" s="9" t="str">
        <f t="shared" si="10"/>
        <v/>
      </c>
    </row>
    <row r="665" spans="1:2" x14ac:dyDescent="0.25">
      <c r="A665" s="9" t="str">
        <f>IF('Frame Sections'!A680=0,"",'Frame Sections'!A680)</f>
        <v/>
      </c>
      <c r="B665" s="9" t="str">
        <f t="shared" si="10"/>
        <v/>
      </c>
    </row>
    <row r="666" spans="1:2" x14ac:dyDescent="0.25">
      <c r="A666" s="9" t="str">
        <f>IF('Frame Sections'!A681=0,"",'Frame Sections'!A681)</f>
        <v/>
      </c>
      <c r="B666" s="9" t="str">
        <f t="shared" si="10"/>
        <v/>
      </c>
    </row>
    <row r="667" spans="1:2" x14ac:dyDescent="0.25">
      <c r="A667" s="9" t="str">
        <f>IF('Frame Sections'!A682=0,"",'Frame Sections'!A682)</f>
        <v/>
      </c>
      <c r="B667" s="9" t="str">
        <f t="shared" si="10"/>
        <v/>
      </c>
    </row>
    <row r="668" spans="1:2" x14ac:dyDescent="0.25">
      <c r="A668" s="9" t="str">
        <f>IF('Frame Sections'!A683=0,"",'Frame Sections'!A683)</f>
        <v/>
      </c>
      <c r="B668" s="9" t="str">
        <f t="shared" si="10"/>
        <v/>
      </c>
    </row>
    <row r="669" spans="1:2" x14ac:dyDescent="0.25">
      <c r="A669" s="9" t="str">
        <f>IF('Frame Sections'!A684=0,"",'Frame Sections'!A684)</f>
        <v/>
      </c>
      <c r="B669" s="9" t="str">
        <f t="shared" si="10"/>
        <v/>
      </c>
    </row>
    <row r="670" spans="1:2" x14ac:dyDescent="0.25">
      <c r="A670" s="9" t="str">
        <f>IF('Frame Sections'!A685=0,"",'Frame Sections'!A685)</f>
        <v/>
      </c>
      <c r="B670" s="9" t="str">
        <f t="shared" si="10"/>
        <v/>
      </c>
    </row>
    <row r="671" spans="1:2" x14ac:dyDescent="0.25">
      <c r="A671" s="9" t="str">
        <f>IF('Frame Sections'!A686=0,"",'Frame Sections'!A686)</f>
        <v/>
      </c>
      <c r="B671" s="9" t="str">
        <f t="shared" si="10"/>
        <v/>
      </c>
    </row>
    <row r="672" spans="1:2" x14ac:dyDescent="0.25">
      <c r="A672" s="9" t="str">
        <f>IF('Frame Sections'!A687=0,"",'Frame Sections'!A687)</f>
        <v/>
      </c>
      <c r="B672" s="9" t="str">
        <f t="shared" si="10"/>
        <v/>
      </c>
    </row>
    <row r="673" spans="1:2" x14ac:dyDescent="0.25">
      <c r="A673" s="9" t="str">
        <f>IF('Frame Sections'!A688=0,"",'Frame Sections'!A688)</f>
        <v/>
      </c>
      <c r="B673" s="9" t="str">
        <f t="shared" si="10"/>
        <v/>
      </c>
    </row>
    <row r="674" spans="1:2" x14ac:dyDescent="0.25">
      <c r="A674" s="9" t="str">
        <f>IF('Frame Sections'!A689=0,"",'Frame Sections'!A689)</f>
        <v/>
      </c>
      <c r="B674" s="9" t="str">
        <f t="shared" si="10"/>
        <v/>
      </c>
    </row>
    <row r="675" spans="1:2" x14ac:dyDescent="0.25">
      <c r="A675" s="9" t="str">
        <f>IF('Frame Sections'!A690=0,"",'Frame Sections'!A690)</f>
        <v/>
      </c>
      <c r="B675" s="9" t="str">
        <f t="shared" si="10"/>
        <v/>
      </c>
    </row>
    <row r="676" spans="1:2" x14ac:dyDescent="0.25">
      <c r="A676" s="9" t="str">
        <f>IF('Frame Sections'!A691=0,"",'Frame Sections'!A691)</f>
        <v/>
      </c>
      <c r="B676" s="9" t="str">
        <f t="shared" si="10"/>
        <v/>
      </c>
    </row>
    <row r="677" spans="1:2" x14ac:dyDescent="0.25">
      <c r="A677" s="9" t="str">
        <f>IF('Frame Sections'!A692=0,"",'Frame Sections'!A692)</f>
        <v/>
      </c>
      <c r="B677" s="9" t="str">
        <f t="shared" si="10"/>
        <v/>
      </c>
    </row>
    <row r="678" spans="1:2" x14ac:dyDescent="0.25">
      <c r="A678" s="9" t="str">
        <f>IF('Frame Sections'!A693=0,"",'Frame Sections'!A693)</f>
        <v/>
      </c>
      <c r="B678" s="9" t="str">
        <f t="shared" si="10"/>
        <v/>
      </c>
    </row>
    <row r="679" spans="1:2" x14ac:dyDescent="0.25">
      <c r="A679" s="9" t="str">
        <f>IF('Frame Sections'!A694=0,"",'Frame Sections'!A694)</f>
        <v/>
      </c>
      <c r="B679" s="9" t="str">
        <f t="shared" si="10"/>
        <v/>
      </c>
    </row>
    <row r="680" spans="1:2" x14ac:dyDescent="0.25">
      <c r="A680" s="9" t="str">
        <f>IF('Frame Sections'!A695=0,"",'Frame Sections'!A695)</f>
        <v/>
      </c>
      <c r="B680" s="9" t="str">
        <f t="shared" si="10"/>
        <v/>
      </c>
    </row>
    <row r="681" spans="1:2" x14ac:dyDescent="0.25">
      <c r="A681" s="9" t="str">
        <f>IF('Frame Sections'!A696=0,"",'Frame Sections'!A696)</f>
        <v/>
      </c>
      <c r="B681" s="9" t="str">
        <f t="shared" si="10"/>
        <v/>
      </c>
    </row>
    <row r="682" spans="1:2" x14ac:dyDescent="0.25">
      <c r="A682" s="9" t="str">
        <f>IF('Frame Sections'!A697=0,"",'Frame Sections'!A697)</f>
        <v/>
      </c>
      <c r="B682" s="9" t="str">
        <f t="shared" si="10"/>
        <v/>
      </c>
    </row>
    <row r="683" spans="1:2" x14ac:dyDescent="0.25">
      <c r="A683" s="9" t="str">
        <f>IF('Frame Sections'!A698=0,"",'Frame Sections'!A698)</f>
        <v/>
      </c>
      <c r="B683" s="9" t="str">
        <f t="shared" si="10"/>
        <v/>
      </c>
    </row>
    <row r="684" spans="1:2" x14ac:dyDescent="0.25">
      <c r="A684" s="9" t="str">
        <f>IF('Frame Sections'!A699=0,"",'Frame Sections'!A699)</f>
        <v/>
      </c>
      <c r="B684" s="9" t="str">
        <f t="shared" si="10"/>
        <v/>
      </c>
    </row>
    <row r="685" spans="1:2" x14ac:dyDescent="0.25">
      <c r="A685" s="9" t="str">
        <f>IF('Frame Sections'!A700=0,"",'Frame Sections'!A700)</f>
        <v/>
      </c>
      <c r="B685" s="9" t="str">
        <f t="shared" si="10"/>
        <v/>
      </c>
    </row>
    <row r="686" spans="1:2" x14ac:dyDescent="0.25">
      <c r="A686" s="9" t="str">
        <f>IF('Frame Sections'!A701=0,"",'Frame Sections'!A701)</f>
        <v/>
      </c>
      <c r="B686" s="9" t="str">
        <f t="shared" si="10"/>
        <v/>
      </c>
    </row>
    <row r="687" spans="1:2" x14ac:dyDescent="0.25">
      <c r="A687" s="9" t="str">
        <f>IF('Frame Sections'!A702=0,"",'Frame Sections'!A702)</f>
        <v/>
      </c>
      <c r="B687" s="9" t="str">
        <f t="shared" si="10"/>
        <v/>
      </c>
    </row>
    <row r="688" spans="1:2" x14ac:dyDescent="0.25">
      <c r="A688" s="9" t="str">
        <f>IF('Frame Sections'!A703=0,"",'Frame Sections'!A703)</f>
        <v/>
      </c>
      <c r="B688" s="9" t="str">
        <f t="shared" si="10"/>
        <v/>
      </c>
    </row>
    <row r="689" spans="1:2" x14ac:dyDescent="0.25">
      <c r="A689" s="9" t="str">
        <f>IF('Frame Sections'!A704=0,"",'Frame Sections'!A704)</f>
        <v/>
      </c>
      <c r="B689" s="9" t="str">
        <f t="shared" si="10"/>
        <v/>
      </c>
    </row>
    <row r="690" spans="1:2" x14ac:dyDescent="0.25">
      <c r="A690" s="9" t="str">
        <f>IF('Frame Sections'!A705=0,"",'Frame Sections'!A705)</f>
        <v/>
      </c>
      <c r="B690" s="9" t="str">
        <f t="shared" si="10"/>
        <v/>
      </c>
    </row>
    <row r="691" spans="1:2" x14ac:dyDescent="0.25">
      <c r="A691" s="9" t="str">
        <f>IF('Frame Sections'!A706=0,"",'Frame Sections'!A706)</f>
        <v/>
      </c>
      <c r="B691" s="9" t="str">
        <f t="shared" si="10"/>
        <v/>
      </c>
    </row>
    <row r="692" spans="1:2" x14ac:dyDescent="0.25">
      <c r="A692" s="9" t="str">
        <f>IF('Frame Sections'!A707=0,"",'Frame Sections'!A707)</f>
        <v/>
      </c>
      <c r="B692" s="9" t="str">
        <f t="shared" si="10"/>
        <v/>
      </c>
    </row>
    <row r="693" spans="1:2" x14ac:dyDescent="0.25">
      <c r="A693" s="9" t="str">
        <f>IF('Frame Sections'!A708=0,"",'Frame Sections'!A708)</f>
        <v/>
      </c>
      <c r="B693" s="9" t="str">
        <f t="shared" si="10"/>
        <v/>
      </c>
    </row>
    <row r="694" spans="1:2" x14ac:dyDescent="0.25">
      <c r="A694" s="9" t="str">
        <f>IF('Frame Sections'!A709=0,"",'Frame Sections'!A709)</f>
        <v/>
      </c>
      <c r="B694" s="9" t="str">
        <f t="shared" si="10"/>
        <v/>
      </c>
    </row>
    <row r="695" spans="1:2" x14ac:dyDescent="0.25">
      <c r="A695" s="9" t="str">
        <f>IF('Frame Sections'!A710=0,"",'Frame Sections'!A710)</f>
        <v/>
      </c>
      <c r="B695" s="9" t="str">
        <f t="shared" si="10"/>
        <v/>
      </c>
    </row>
    <row r="696" spans="1:2" x14ac:dyDescent="0.25">
      <c r="A696" s="9" t="str">
        <f>IF('Frame Sections'!A711=0,"",'Frame Sections'!A711)</f>
        <v/>
      </c>
      <c r="B696" s="9" t="str">
        <f t="shared" si="10"/>
        <v/>
      </c>
    </row>
    <row r="697" spans="1:2" x14ac:dyDescent="0.25">
      <c r="A697" s="9" t="str">
        <f>IF('Frame Sections'!A712=0,"",'Frame Sections'!A712)</f>
        <v/>
      </c>
      <c r="B697" s="9" t="str">
        <f t="shared" si="10"/>
        <v/>
      </c>
    </row>
    <row r="698" spans="1:2" x14ac:dyDescent="0.25">
      <c r="A698" s="9" t="str">
        <f>IF('Frame Sections'!A713=0,"",'Frame Sections'!A713)</f>
        <v/>
      </c>
      <c r="B698" s="9" t="str">
        <f t="shared" si="10"/>
        <v/>
      </c>
    </row>
    <row r="699" spans="1:2" x14ac:dyDescent="0.25">
      <c r="A699" s="9" t="str">
        <f>IF('Frame Sections'!A714=0,"",'Frame Sections'!A714)</f>
        <v/>
      </c>
      <c r="B699" s="9" t="str">
        <f t="shared" si="10"/>
        <v/>
      </c>
    </row>
    <row r="700" spans="1:2" x14ac:dyDescent="0.25">
      <c r="A700" s="9" t="str">
        <f>IF('Frame Sections'!A715=0,"",'Frame Sections'!A715)</f>
        <v/>
      </c>
      <c r="B700" s="9" t="str">
        <f t="shared" si="10"/>
        <v/>
      </c>
    </row>
    <row r="701" spans="1:2" x14ac:dyDescent="0.25">
      <c r="A701" s="9" t="str">
        <f>IF('Frame Sections'!A716=0,"",'Frame Sections'!A716)</f>
        <v/>
      </c>
      <c r="B701" s="9" t="str">
        <f t="shared" si="10"/>
        <v/>
      </c>
    </row>
    <row r="702" spans="1:2" x14ac:dyDescent="0.25">
      <c r="A702" s="9" t="str">
        <f>IF('Frame Sections'!A717=0,"",'Frame Sections'!A717)</f>
        <v/>
      </c>
      <c r="B702" s="9" t="str">
        <f t="shared" si="10"/>
        <v/>
      </c>
    </row>
    <row r="703" spans="1:2" x14ac:dyDescent="0.25">
      <c r="A703" s="9" t="str">
        <f>IF('Frame Sections'!A718=0,"",'Frame Sections'!A718)</f>
        <v/>
      </c>
      <c r="B703" s="9" t="str">
        <f t="shared" si="10"/>
        <v/>
      </c>
    </row>
    <row r="704" spans="1:2" x14ac:dyDescent="0.25">
      <c r="A704" s="9" t="str">
        <f>IF('Frame Sections'!A719=0,"",'Frame Sections'!A719)</f>
        <v/>
      </c>
      <c r="B704" s="9" t="str">
        <f t="shared" si="10"/>
        <v/>
      </c>
    </row>
    <row r="705" spans="1:2" x14ac:dyDescent="0.25">
      <c r="A705" s="9" t="str">
        <f>IF('Frame Sections'!A720=0,"",'Frame Sections'!A720)</f>
        <v/>
      </c>
      <c r="B705" s="9" t="str">
        <f t="shared" si="10"/>
        <v/>
      </c>
    </row>
    <row r="706" spans="1:2" x14ac:dyDescent="0.25">
      <c r="A706" s="9" t="str">
        <f>IF('Frame Sections'!A721=0,"",'Frame Sections'!A721)</f>
        <v/>
      </c>
      <c r="B706" s="9" t="str">
        <f t="shared" ref="B706:B769" si="11">IF(OR(A706=0,A706=""),"",VLOOKUP(A706,SecDB,5,FALSE))</f>
        <v/>
      </c>
    </row>
    <row r="707" spans="1:2" x14ac:dyDescent="0.25">
      <c r="A707" s="9" t="str">
        <f>IF('Frame Sections'!A722=0,"",'Frame Sections'!A722)</f>
        <v/>
      </c>
      <c r="B707" s="9" t="str">
        <f t="shared" si="11"/>
        <v/>
      </c>
    </row>
    <row r="708" spans="1:2" x14ac:dyDescent="0.25">
      <c r="A708" s="9" t="str">
        <f>IF('Frame Sections'!A723=0,"",'Frame Sections'!A723)</f>
        <v/>
      </c>
      <c r="B708" s="9" t="str">
        <f t="shared" si="11"/>
        <v/>
      </c>
    </row>
    <row r="709" spans="1:2" x14ac:dyDescent="0.25">
      <c r="A709" s="9" t="str">
        <f>IF('Frame Sections'!A724=0,"",'Frame Sections'!A724)</f>
        <v/>
      </c>
      <c r="B709" s="9" t="str">
        <f t="shared" si="11"/>
        <v/>
      </c>
    </row>
    <row r="710" spans="1:2" x14ac:dyDescent="0.25">
      <c r="A710" s="9" t="str">
        <f>IF('Frame Sections'!A725=0,"",'Frame Sections'!A725)</f>
        <v/>
      </c>
      <c r="B710" s="9" t="str">
        <f t="shared" si="11"/>
        <v/>
      </c>
    </row>
    <row r="711" spans="1:2" x14ac:dyDescent="0.25">
      <c r="A711" s="9" t="str">
        <f>IF('Frame Sections'!A726=0,"",'Frame Sections'!A726)</f>
        <v/>
      </c>
      <c r="B711" s="9" t="str">
        <f t="shared" si="11"/>
        <v/>
      </c>
    </row>
    <row r="712" spans="1:2" x14ac:dyDescent="0.25">
      <c r="A712" s="9" t="str">
        <f>IF('Frame Sections'!A727=0,"",'Frame Sections'!A727)</f>
        <v/>
      </c>
      <c r="B712" s="9" t="str">
        <f t="shared" si="11"/>
        <v/>
      </c>
    </row>
    <row r="713" spans="1:2" x14ac:dyDescent="0.25">
      <c r="A713" s="9" t="str">
        <f>IF('Frame Sections'!A728=0,"",'Frame Sections'!A728)</f>
        <v/>
      </c>
      <c r="B713" s="9" t="str">
        <f t="shared" si="11"/>
        <v/>
      </c>
    </row>
    <row r="714" spans="1:2" x14ac:dyDescent="0.25">
      <c r="A714" s="9" t="str">
        <f>IF('Frame Sections'!A729=0,"",'Frame Sections'!A729)</f>
        <v/>
      </c>
      <c r="B714" s="9" t="str">
        <f t="shared" si="11"/>
        <v/>
      </c>
    </row>
    <row r="715" spans="1:2" x14ac:dyDescent="0.25">
      <c r="A715" s="9" t="str">
        <f>IF('Frame Sections'!A730=0,"",'Frame Sections'!A730)</f>
        <v/>
      </c>
      <c r="B715" s="9" t="str">
        <f t="shared" si="11"/>
        <v/>
      </c>
    </row>
    <row r="716" spans="1:2" x14ac:dyDescent="0.25">
      <c r="A716" s="9" t="str">
        <f>IF('Frame Sections'!A731=0,"",'Frame Sections'!A731)</f>
        <v/>
      </c>
      <c r="B716" s="9" t="str">
        <f t="shared" si="11"/>
        <v/>
      </c>
    </row>
    <row r="717" spans="1:2" x14ac:dyDescent="0.25">
      <c r="A717" s="9" t="str">
        <f>IF('Frame Sections'!A732=0,"",'Frame Sections'!A732)</f>
        <v/>
      </c>
      <c r="B717" s="9" t="str">
        <f t="shared" si="11"/>
        <v/>
      </c>
    </row>
    <row r="718" spans="1:2" x14ac:dyDescent="0.25">
      <c r="A718" s="9" t="str">
        <f>IF('Frame Sections'!A733=0,"",'Frame Sections'!A733)</f>
        <v/>
      </c>
      <c r="B718" s="9" t="str">
        <f t="shared" si="11"/>
        <v/>
      </c>
    </row>
    <row r="719" spans="1:2" x14ac:dyDescent="0.25">
      <c r="A719" s="9" t="str">
        <f>IF('Frame Sections'!A734=0,"",'Frame Sections'!A734)</f>
        <v/>
      </c>
      <c r="B719" s="9" t="str">
        <f t="shared" si="11"/>
        <v/>
      </c>
    </row>
    <row r="720" spans="1:2" x14ac:dyDescent="0.25">
      <c r="A720" s="9" t="str">
        <f>IF('Frame Sections'!A735=0,"",'Frame Sections'!A735)</f>
        <v/>
      </c>
      <c r="B720" s="9" t="str">
        <f t="shared" si="11"/>
        <v/>
      </c>
    </row>
    <row r="721" spans="1:2" x14ac:dyDescent="0.25">
      <c r="A721" s="9" t="str">
        <f>IF('Frame Sections'!A736=0,"",'Frame Sections'!A736)</f>
        <v/>
      </c>
      <c r="B721" s="9" t="str">
        <f t="shared" si="11"/>
        <v/>
      </c>
    </row>
    <row r="722" spans="1:2" x14ac:dyDescent="0.25">
      <c r="A722" s="9" t="str">
        <f>IF('Frame Sections'!A737=0,"",'Frame Sections'!A737)</f>
        <v/>
      </c>
      <c r="B722" s="9" t="str">
        <f t="shared" si="11"/>
        <v/>
      </c>
    </row>
    <row r="723" spans="1:2" x14ac:dyDescent="0.25">
      <c r="A723" s="9" t="str">
        <f>IF('Frame Sections'!A738=0,"",'Frame Sections'!A738)</f>
        <v/>
      </c>
      <c r="B723" s="9" t="str">
        <f t="shared" si="11"/>
        <v/>
      </c>
    </row>
    <row r="724" spans="1:2" x14ac:dyDescent="0.25">
      <c r="A724" s="9" t="str">
        <f>IF('Frame Sections'!A739=0,"",'Frame Sections'!A739)</f>
        <v/>
      </c>
      <c r="B724" s="9" t="str">
        <f t="shared" si="11"/>
        <v/>
      </c>
    </row>
    <row r="725" spans="1:2" x14ac:dyDescent="0.25">
      <c r="A725" s="9" t="str">
        <f>IF('Frame Sections'!A740=0,"",'Frame Sections'!A740)</f>
        <v/>
      </c>
      <c r="B725" s="9" t="str">
        <f t="shared" si="11"/>
        <v/>
      </c>
    </row>
    <row r="726" spans="1:2" x14ac:dyDescent="0.25">
      <c r="A726" s="9" t="str">
        <f>IF('Frame Sections'!A741=0,"",'Frame Sections'!A741)</f>
        <v/>
      </c>
      <c r="B726" s="9" t="str">
        <f t="shared" si="11"/>
        <v/>
      </c>
    </row>
    <row r="727" spans="1:2" x14ac:dyDescent="0.25">
      <c r="A727" s="9" t="str">
        <f>IF('Frame Sections'!A742=0,"",'Frame Sections'!A742)</f>
        <v/>
      </c>
      <c r="B727" s="9" t="str">
        <f t="shared" si="11"/>
        <v/>
      </c>
    </row>
    <row r="728" spans="1:2" x14ac:dyDescent="0.25">
      <c r="A728" s="9" t="str">
        <f>IF('Frame Sections'!A743=0,"",'Frame Sections'!A743)</f>
        <v/>
      </c>
      <c r="B728" s="9" t="str">
        <f t="shared" si="11"/>
        <v/>
      </c>
    </row>
    <row r="729" spans="1:2" x14ac:dyDescent="0.25">
      <c r="A729" s="9" t="str">
        <f>IF('Frame Sections'!A744=0,"",'Frame Sections'!A744)</f>
        <v/>
      </c>
      <c r="B729" s="9" t="str">
        <f t="shared" si="11"/>
        <v/>
      </c>
    </row>
    <row r="730" spans="1:2" x14ac:dyDescent="0.25">
      <c r="A730" s="9" t="str">
        <f>IF('Frame Sections'!A745=0,"",'Frame Sections'!A745)</f>
        <v/>
      </c>
      <c r="B730" s="9" t="str">
        <f t="shared" si="11"/>
        <v/>
      </c>
    </row>
    <row r="731" spans="1:2" x14ac:dyDescent="0.25">
      <c r="A731" s="9" t="str">
        <f>IF('Frame Sections'!A746=0,"",'Frame Sections'!A746)</f>
        <v/>
      </c>
      <c r="B731" s="9" t="str">
        <f t="shared" si="11"/>
        <v/>
      </c>
    </row>
    <row r="732" spans="1:2" x14ac:dyDescent="0.25">
      <c r="A732" s="9" t="str">
        <f>IF('Frame Sections'!A747=0,"",'Frame Sections'!A747)</f>
        <v/>
      </c>
      <c r="B732" s="9" t="str">
        <f t="shared" si="11"/>
        <v/>
      </c>
    </row>
    <row r="733" spans="1:2" x14ac:dyDescent="0.25">
      <c r="A733" s="9" t="str">
        <f>IF('Frame Sections'!A748=0,"",'Frame Sections'!A748)</f>
        <v/>
      </c>
      <c r="B733" s="9" t="str">
        <f t="shared" si="11"/>
        <v/>
      </c>
    </row>
    <row r="734" spans="1:2" x14ac:dyDescent="0.25">
      <c r="A734" s="9" t="str">
        <f>IF('Frame Sections'!A749=0,"",'Frame Sections'!A749)</f>
        <v/>
      </c>
      <c r="B734" s="9" t="str">
        <f t="shared" si="11"/>
        <v/>
      </c>
    </row>
    <row r="735" spans="1:2" x14ac:dyDescent="0.25">
      <c r="A735" s="9" t="str">
        <f>IF('Frame Sections'!A750=0,"",'Frame Sections'!A750)</f>
        <v/>
      </c>
      <c r="B735" s="9" t="str">
        <f t="shared" si="11"/>
        <v/>
      </c>
    </row>
    <row r="736" spans="1:2" x14ac:dyDescent="0.25">
      <c r="A736" s="9" t="str">
        <f>IF('Frame Sections'!A751=0,"",'Frame Sections'!A751)</f>
        <v/>
      </c>
      <c r="B736" s="9" t="str">
        <f t="shared" si="11"/>
        <v/>
      </c>
    </row>
    <row r="737" spans="1:2" x14ac:dyDescent="0.25">
      <c r="A737" s="9" t="str">
        <f>IF('Frame Sections'!A752=0,"",'Frame Sections'!A752)</f>
        <v/>
      </c>
      <c r="B737" s="9" t="str">
        <f t="shared" si="11"/>
        <v/>
      </c>
    </row>
    <row r="738" spans="1:2" x14ac:dyDescent="0.25">
      <c r="A738" s="9" t="str">
        <f>IF('Frame Sections'!A753=0,"",'Frame Sections'!A753)</f>
        <v/>
      </c>
      <c r="B738" s="9" t="str">
        <f t="shared" si="11"/>
        <v/>
      </c>
    </row>
    <row r="739" spans="1:2" x14ac:dyDescent="0.25">
      <c r="A739" s="9" t="str">
        <f>IF('Frame Sections'!A754=0,"",'Frame Sections'!A754)</f>
        <v/>
      </c>
      <c r="B739" s="9" t="str">
        <f t="shared" si="11"/>
        <v/>
      </c>
    </row>
    <row r="740" spans="1:2" x14ac:dyDescent="0.25">
      <c r="A740" s="9" t="str">
        <f>IF('Frame Sections'!A755=0,"",'Frame Sections'!A755)</f>
        <v/>
      </c>
      <c r="B740" s="9" t="str">
        <f t="shared" si="11"/>
        <v/>
      </c>
    </row>
    <row r="741" spans="1:2" x14ac:dyDescent="0.25">
      <c r="A741" s="9" t="str">
        <f>IF('Frame Sections'!A756=0,"",'Frame Sections'!A756)</f>
        <v/>
      </c>
      <c r="B741" s="9" t="str">
        <f t="shared" si="11"/>
        <v/>
      </c>
    </row>
    <row r="742" spans="1:2" x14ac:dyDescent="0.25">
      <c r="A742" s="9" t="str">
        <f>IF('Frame Sections'!A757=0,"",'Frame Sections'!A757)</f>
        <v/>
      </c>
      <c r="B742" s="9" t="str">
        <f t="shared" si="11"/>
        <v/>
      </c>
    </row>
    <row r="743" spans="1:2" x14ac:dyDescent="0.25">
      <c r="A743" s="9" t="str">
        <f>IF('Frame Sections'!A758=0,"",'Frame Sections'!A758)</f>
        <v/>
      </c>
      <c r="B743" s="9" t="str">
        <f t="shared" si="11"/>
        <v/>
      </c>
    </row>
    <row r="744" spans="1:2" x14ac:dyDescent="0.25">
      <c r="A744" s="9" t="str">
        <f>IF('Frame Sections'!A759=0,"",'Frame Sections'!A759)</f>
        <v/>
      </c>
      <c r="B744" s="9" t="str">
        <f t="shared" si="11"/>
        <v/>
      </c>
    </row>
    <row r="745" spans="1:2" x14ac:dyDescent="0.25">
      <c r="A745" s="9" t="str">
        <f>IF('Frame Sections'!A760=0,"",'Frame Sections'!A760)</f>
        <v/>
      </c>
      <c r="B745" s="9" t="str">
        <f t="shared" si="11"/>
        <v/>
      </c>
    </row>
    <row r="746" spans="1:2" x14ac:dyDescent="0.25">
      <c r="A746" s="9" t="str">
        <f>IF('Frame Sections'!A761=0,"",'Frame Sections'!A761)</f>
        <v/>
      </c>
      <c r="B746" s="9" t="str">
        <f t="shared" si="11"/>
        <v/>
      </c>
    </row>
    <row r="747" spans="1:2" x14ac:dyDescent="0.25">
      <c r="A747" s="9" t="str">
        <f>IF('Frame Sections'!A762=0,"",'Frame Sections'!A762)</f>
        <v/>
      </c>
      <c r="B747" s="9" t="str">
        <f t="shared" si="11"/>
        <v/>
      </c>
    </row>
    <row r="748" spans="1:2" x14ac:dyDescent="0.25">
      <c r="A748" s="9" t="str">
        <f>IF('Frame Sections'!A763=0,"",'Frame Sections'!A763)</f>
        <v/>
      </c>
      <c r="B748" s="9" t="str">
        <f t="shared" si="11"/>
        <v/>
      </c>
    </row>
    <row r="749" spans="1:2" x14ac:dyDescent="0.25">
      <c r="A749" s="9" t="str">
        <f>IF('Frame Sections'!A764=0,"",'Frame Sections'!A764)</f>
        <v/>
      </c>
      <c r="B749" s="9" t="str">
        <f t="shared" si="11"/>
        <v/>
      </c>
    </row>
    <row r="750" spans="1:2" x14ac:dyDescent="0.25">
      <c r="A750" s="9" t="str">
        <f>IF('Frame Sections'!A765=0,"",'Frame Sections'!A765)</f>
        <v/>
      </c>
      <c r="B750" s="9" t="str">
        <f t="shared" si="11"/>
        <v/>
      </c>
    </row>
    <row r="751" spans="1:2" x14ac:dyDescent="0.25">
      <c r="A751" s="9" t="str">
        <f>IF('Frame Sections'!A766=0,"",'Frame Sections'!A766)</f>
        <v/>
      </c>
      <c r="B751" s="9" t="str">
        <f t="shared" si="11"/>
        <v/>
      </c>
    </row>
    <row r="752" spans="1:2" x14ac:dyDescent="0.25">
      <c r="A752" s="9" t="str">
        <f>IF('Frame Sections'!A767=0,"",'Frame Sections'!A767)</f>
        <v/>
      </c>
      <c r="B752" s="9" t="str">
        <f t="shared" si="11"/>
        <v/>
      </c>
    </row>
    <row r="753" spans="1:2" x14ac:dyDescent="0.25">
      <c r="A753" s="9" t="str">
        <f>IF('Frame Sections'!A768=0,"",'Frame Sections'!A768)</f>
        <v/>
      </c>
      <c r="B753" s="9" t="str">
        <f t="shared" si="11"/>
        <v/>
      </c>
    </row>
    <row r="754" spans="1:2" x14ac:dyDescent="0.25">
      <c r="A754" s="9" t="str">
        <f>IF('Frame Sections'!A769=0,"",'Frame Sections'!A769)</f>
        <v/>
      </c>
      <c r="B754" s="9" t="str">
        <f t="shared" si="11"/>
        <v/>
      </c>
    </row>
    <row r="755" spans="1:2" x14ac:dyDescent="0.25">
      <c r="A755" s="9" t="str">
        <f>IF('Frame Sections'!A770=0,"",'Frame Sections'!A770)</f>
        <v/>
      </c>
      <c r="B755" s="9" t="str">
        <f t="shared" si="11"/>
        <v/>
      </c>
    </row>
    <row r="756" spans="1:2" x14ac:dyDescent="0.25">
      <c r="A756" s="9" t="str">
        <f>IF('Frame Sections'!A771=0,"",'Frame Sections'!A771)</f>
        <v/>
      </c>
      <c r="B756" s="9" t="str">
        <f t="shared" si="11"/>
        <v/>
      </c>
    </row>
    <row r="757" spans="1:2" x14ac:dyDescent="0.25">
      <c r="A757" s="9" t="str">
        <f>IF('Frame Sections'!A772=0,"",'Frame Sections'!A772)</f>
        <v/>
      </c>
      <c r="B757" s="9" t="str">
        <f t="shared" si="11"/>
        <v/>
      </c>
    </row>
    <row r="758" spans="1:2" x14ac:dyDescent="0.25">
      <c r="A758" s="9" t="str">
        <f>IF('Frame Sections'!A773=0,"",'Frame Sections'!A773)</f>
        <v/>
      </c>
      <c r="B758" s="9" t="str">
        <f t="shared" si="11"/>
        <v/>
      </c>
    </row>
    <row r="759" spans="1:2" x14ac:dyDescent="0.25">
      <c r="A759" s="9" t="str">
        <f>IF('Frame Sections'!A774=0,"",'Frame Sections'!A774)</f>
        <v/>
      </c>
      <c r="B759" s="9" t="str">
        <f t="shared" si="11"/>
        <v/>
      </c>
    </row>
    <row r="760" spans="1:2" x14ac:dyDescent="0.25">
      <c r="A760" s="9" t="str">
        <f>IF('Frame Sections'!A775=0,"",'Frame Sections'!A775)</f>
        <v/>
      </c>
      <c r="B760" s="9" t="str">
        <f t="shared" si="11"/>
        <v/>
      </c>
    </row>
    <row r="761" spans="1:2" x14ac:dyDescent="0.25">
      <c r="A761" s="9" t="str">
        <f>IF('Frame Sections'!A776=0,"",'Frame Sections'!A776)</f>
        <v/>
      </c>
      <c r="B761" s="9" t="str">
        <f t="shared" si="11"/>
        <v/>
      </c>
    </row>
    <row r="762" spans="1:2" x14ac:dyDescent="0.25">
      <c r="A762" s="9" t="str">
        <f>IF('Frame Sections'!A777=0,"",'Frame Sections'!A777)</f>
        <v/>
      </c>
      <c r="B762" s="9" t="str">
        <f t="shared" si="11"/>
        <v/>
      </c>
    </row>
    <row r="763" spans="1:2" x14ac:dyDescent="0.25">
      <c r="A763" s="9" t="str">
        <f>IF('Frame Sections'!A778=0,"",'Frame Sections'!A778)</f>
        <v/>
      </c>
      <c r="B763" s="9" t="str">
        <f t="shared" si="11"/>
        <v/>
      </c>
    </row>
    <row r="764" spans="1:2" x14ac:dyDescent="0.25">
      <c r="A764" s="9" t="str">
        <f>IF('Frame Sections'!A779=0,"",'Frame Sections'!A779)</f>
        <v/>
      </c>
      <c r="B764" s="9" t="str">
        <f t="shared" si="11"/>
        <v/>
      </c>
    </row>
    <row r="765" spans="1:2" x14ac:dyDescent="0.25">
      <c r="A765" s="9" t="str">
        <f>IF('Frame Sections'!A780=0,"",'Frame Sections'!A780)</f>
        <v/>
      </c>
      <c r="B765" s="9" t="str">
        <f t="shared" si="11"/>
        <v/>
      </c>
    </row>
    <row r="766" spans="1:2" x14ac:dyDescent="0.25">
      <c r="A766" s="9" t="str">
        <f>IF('Frame Sections'!A781=0,"",'Frame Sections'!A781)</f>
        <v/>
      </c>
      <c r="B766" s="9" t="str">
        <f t="shared" si="11"/>
        <v/>
      </c>
    </row>
    <row r="767" spans="1:2" x14ac:dyDescent="0.25">
      <c r="A767" s="9" t="str">
        <f>IF('Frame Sections'!A782=0,"",'Frame Sections'!A782)</f>
        <v/>
      </c>
      <c r="B767" s="9" t="str">
        <f t="shared" si="11"/>
        <v/>
      </c>
    </row>
    <row r="768" spans="1:2" x14ac:dyDescent="0.25">
      <c r="A768" s="9" t="str">
        <f>IF('Frame Sections'!A783=0,"",'Frame Sections'!A783)</f>
        <v/>
      </c>
      <c r="B768" s="9" t="str">
        <f t="shared" si="11"/>
        <v/>
      </c>
    </row>
    <row r="769" spans="1:2" x14ac:dyDescent="0.25">
      <c r="A769" s="9" t="str">
        <f>IF('Frame Sections'!A784=0,"",'Frame Sections'!A784)</f>
        <v/>
      </c>
      <c r="B769" s="9" t="str">
        <f t="shared" si="11"/>
        <v/>
      </c>
    </row>
    <row r="770" spans="1:2" x14ac:dyDescent="0.25">
      <c r="A770" s="9" t="str">
        <f>IF('Frame Sections'!A785=0,"",'Frame Sections'!A785)</f>
        <v/>
      </c>
      <c r="B770" s="9" t="str">
        <f t="shared" ref="B770:B833" si="12">IF(OR(A770=0,A770=""),"",VLOOKUP(A770,SecDB,5,FALSE))</f>
        <v/>
      </c>
    </row>
    <row r="771" spans="1:2" x14ac:dyDescent="0.25">
      <c r="A771" s="9" t="str">
        <f>IF('Frame Sections'!A786=0,"",'Frame Sections'!A786)</f>
        <v/>
      </c>
      <c r="B771" s="9" t="str">
        <f t="shared" si="12"/>
        <v/>
      </c>
    </row>
    <row r="772" spans="1:2" x14ac:dyDescent="0.25">
      <c r="A772" s="9" t="str">
        <f>IF('Frame Sections'!A787=0,"",'Frame Sections'!A787)</f>
        <v/>
      </c>
      <c r="B772" s="9" t="str">
        <f t="shared" si="12"/>
        <v/>
      </c>
    </row>
    <row r="773" spans="1:2" x14ac:dyDescent="0.25">
      <c r="A773" s="9" t="str">
        <f>IF('Frame Sections'!A788=0,"",'Frame Sections'!A788)</f>
        <v/>
      </c>
      <c r="B773" s="9" t="str">
        <f t="shared" si="12"/>
        <v/>
      </c>
    </row>
    <row r="774" spans="1:2" x14ac:dyDescent="0.25">
      <c r="A774" s="9" t="str">
        <f>IF('Frame Sections'!A789=0,"",'Frame Sections'!A789)</f>
        <v/>
      </c>
      <c r="B774" s="9" t="str">
        <f t="shared" si="12"/>
        <v/>
      </c>
    </row>
    <row r="775" spans="1:2" x14ac:dyDescent="0.25">
      <c r="A775" s="9" t="str">
        <f>IF('Frame Sections'!A790=0,"",'Frame Sections'!A790)</f>
        <v/>
      </c>
      <c r="B775" s="9" t="str">
        <f t="shared" si="12"/>
        <v/>
      </c>
    </row>
    <row r="776" spans="1:2" x14ac:dyDescent="0.25">
      <c r="A776" s="9" t="str">
        <f>IF('Frame Sections'!A791=0,"",'Frame Sections'!A791)</f>
        <v/>
      </c>
      <c r="B776" s="9" t="str">
        <f t="shared" si="12"/>
        <v/>
      </c>
    </row>
    <row r="777" spans="1:2" x14ac:dyDescent="0.25">
      <c r="A777" s="9" t="str">
        <f>IF('Frame Sections'!A792=0,"",'Frame Sections'!A792)</f>
        <v/>
      </c>
      <c r="B777" s="9" t="str">
        <f t="shared" si="12"/>
        <v/>
      </c>
    </row>
    <row r="778" spans="1:2" x14ac:dyDescent="0.25">
      <c r="A778" s="9" t="str">
        <f>IF('Frame Sections'!A793=0,"",'Frame Sections'!A793)</f>
        <v/>
      </c>
      <c r="B778" s="9" t="str">
        <f t="shared" si="12"/>
        <v/>
      </c>
    </row>
    <row r="779" spans="1:2" x14ac:dyDescent="0.25">
      <c r="A779" s="9" t="str">
        <f>IF('Frame Sections'!A794=0,"",'Frame Sections'!A794)</f>
        <v/>
      </c>
      <c r="B779" s="9" t="str">
        <f t="shared" si="12"/>
        <v/>
      </c>
    </row>
    <row r="780" spans="1:2" x14ac:dyDescent="0.25">
      <c r="A780" s="9" t="str">
        <f>IF('Frame Sections'!A795=0,"",'Frame Sections'!A795)</f>
        <v/>
      </c>
      <c r="B780" s="9" t="str">
        <f t="shared" si="12"/>
        <v/>
      </c>
    </row>
    <row r="781" spans="1:2" x14ac:dyDescent="0.25">
      <c r="A781" s="9" t="str">
        <f>IF('Frame Sections'!A796=0,"",'Frame Sections'!A796)</f>
        <v/>
      </c>
      <c r="B781" s="9" t="str">
        <f t="shared" si="12"/>
        <v/>
      </c>
    </row>
    <row r="782" spans="1:2" x14ac:dyDescent="0.25">
      <c r="A782" s="9" t="str">
        <f>IF('Frame Sections'!A797=0,"",'Frame Sections'!A797)</f>
        <v/>
      </c>
      <c r="B782" s="9" t="str">
        <f t="shared" si="12"/>
        <v/>
      </c>
    </row>
    <row r="783" spans="1:2" x14ac:dyDescent="0.25">
      <c r="A783" s="9" t="str">
        <f>IF('Frame Sections'!A798=0,"",'Frame Sections'!A798)</f>
        <v/>
      </c>
      <c r="B783" s="9" t="str">
        <f t="shared" si="12"/>
        <v/>
      </c>
    </row>
    <row r="784" spans="1:2" x14ac:dyDescent="0.25">
      <c r="A784" s="9" t="str">
        <f>IF('Frame Sections'!A799=0,"",'Frame Sections'!A799)</f>
        <v/>
      </c>
      <c r="B784" s="9" t="str">
        <f t="shared" si="12"/>
        <v/>
      </c>
    </row>
    <row r="785" spans="1:2" x14ac:dyDescent="0.25">
      <c r="A785" s="9" t="str">
        <f>IF('Frame Sections'!A800=0,"",'Frame Sections'!A800)</f>
        <v/>
      </c>
      <c r="B785" s="9" t="str">
        <f t="shared" si="12"/>
        <v/>
      </c>
    </row>
    <row r="786" spans="1:2" x14ac:dyDescent="0.25">
      <c r="A786" s="9" t="str">
        <f>IF('Frame Sections'!A801=0,"",'Frame Sections'!A801)</f>
        <v/>
      </c>
      <c r="B786" s="9" t="str">
        <f t="shared" si="12"/>
        <v/>
      </c>
    </row>
    <row r="787" spans="1:2" x14ac:dyDescent="0.25">
      <c r="A787" s="9" t="str">
        <f>IF('Frame Sections'!A802=0,"",'Frame Sections'!A802)</f>
        <v/>
      </c>
      <c r="B787" s="9" t="str">
        <f t="shared" si="12"/>
        <v/>
      </c>
    </row>
    <row r="788" spans="1:2" x14ac:dyDescent="0.25">
      <c r="A788" s="9" t="str">
        <f>IF('Frame Sections'!A803=0,"",'Frame Sections'!A803)</f>
        <v/>
      </c>
      <c r="B788" s="9" t="str">
        <f t="shared" si="12"/>
        <v/>
      </c>
    </row>
    <row r="789" spans="1:2" x14ac:dyDescent="0.25">
      <c r="A789" s="9" t="str">
        <f>IF('Frame Sections'!A804=0,"",'Frame Sections'!A804)</f>
        <v/>
      </c>
      <c r="B789" s="9" t="str">
        <f t="shared" si="12"/>
        <v/>
      </c>
    </row>
    <row r="790" spans="1:2" x14ac:dyDescent="0.25">
      <c r="A790" s="9" t="str">
        <f>IF('Frame Sections'!A805=0,"",'Frame Sections'!A805)</f>
        <v/>
      </c>
      <c r="B790" s="9" t="str">
        <f t="shared" si="12"/>
        <v/>
      </c>
    </row>
    <row r="791" spans="1:2" x14ac:dyDescent="0.25">
      <c r="A791" s="9" t="str">
        <f>IF('Frame Sections'!A806=0,"",'Frame Sections'!A806)</f>
        <v/>
      </c>
      <c r="B791" s="9" t="str">
        <f t="shared" si="12"/>
        <v/>
      </c>
    </row>
    <row r="792" spans="1:2" x14ac:dyDescent="0.25">
      <c r="A792" s="9" t="str">
        <f>IF('Frame Sections'!A807=0,"",'Frame Sections'!A807)</f>
        <v/>
      </c>
      <c r="B792" s="9" t="str">
        <f t="shared" si="12"/>
        <v/>
      </c>
    </row>
    <row r="793" spans="1:2" x14ac:dyDescent="0.25">
      <c r="A793" s="9" t="str">
        <f>IF('Frame Sections'!A808=0,"",'Frame Sections'!A808)</f>
        <v/>
      </c>
      <c r="B793" s="9" t="str">
        <f t="shared" si="12"/>
        <v/>
      </c>
    </row>
    <row r="794" spans="1:2" x14ac:dyDescent="0.25">
      <c r="A794" s="9" t="str">
        <f>IF('Frame Sections'!A809=0,"",'Frame Sections'!A809)</f>
        <v/>
      </c>
      <c r="B794" s="9" t="str">
        <f t="shared" si="12"/>
        <v/>
      </c>
    </row>
    <row r="795" spans="1:2" x14ac:dyDescent="0.25">
      <c r="A795" s="9" t="str">
        <f>IF('Frame Sections'!A810=0,"",'Frame Sections'!A810)</f>
        <v/>
      </c>
      <c r="B795" s="9" t="str">
        <f t="shared" si="12"/>
        <v/>
      </c>
    </row>
    <row r="796" spans="1:2" x14ac:dyDescent="0.25">
      <c r="A796" s="9" t="str">
        <f>IF('Frame Sections'!A811=0,"",'Frame Sections'!A811)</f>
        <v/>
      </c>
      <c r="B796" s="9" t="str">
        <f t="shared" si="12"/>
        <v/>
      </c>
    </row>
    <row r="797" spans="1:2" x14ac:dyDescent="0.25">
      <c r="A797" s="9" t="str">
        <f>IF('Frame Sections'!A812=0,"",'Frame Sections'!A812)</f>
        <v/>
      </c>
      <c r="B797" s="9" t="str">
        <f t="shared" si="12"/>
        <v/>
      </c>
    </row>
    <row r="798" spans="1:2" x14ac:dyDescent="0.25">
      <c r="A798" s="9" t="str">
        <f>IF('Frame Sections'!A813=0,"",'Frame Sections'!A813)</f>
        <v/>
      </c>
      <c r="B798" s="9" t="str">
        <f t="shared" si="12"/>
        <v/>
      </c>
    </row>
    <row r="799" spans="1:2" x14ac:dyDescent="0.25">
      <c r="A799" s="9" t="str">
        <f>IF('Frame Sections'!A814=0,"",'Frame Sections'!A814)</f>
        <v/>
      </c>
      <c r="B799" s="9" t="str">
        <f t="shared" si="12"/>
        <v/>
      </c>
    </row>
    <row r="800" spans="1:2" x14ac:dyDescent="0.25">
      <c r="A800" s="9" t="str">
        <f>IF('Frame Sections'!A815=0,"",'Frame Sections'!A815)</f>
        <v/>
      </c>
      <c r="B800" s="9" t="str">
        <f t="shared" si="12"/>
        <v/>
      </c>
    </row>
    <row r="801" spans="1:2" x14ac:dyDescent="0.25">
      <c r="A801" s="9" t="str">
        <f>IF('Frame Sections'!A816=0,"",'Frame Sections'!A816)</f>
        <v/>
      </c>
      <c r="B801" s="9" t="str">
        <f t="shared" si="12"/>
        <v/>
      </c>
    </row>
    <row r="802" spans="1:2" x14ac:dyDescent="0.25">
      <c r="A802" s="9" t="str">
        <f>IF('Frame Sections'!A817=0,"",'Frame Sections'!A817)</f>
        <v/>
      </c>
      <c r="B802" s="9" t="str">
        <f t="shared" si="12"/>
        <v/>
      </c>
    </row>
    <row r="803" spans="1:2" x14ac:dyDescent="0.25">
      <c r="A803" s="9" t="str">
        <f>IF('Frame Sections'!A818=0,"",'Frame Sections'!A818)</f>
        <v/>
      </c>
      <c r="B803" s="9" t="str">
        <f t="shared" si="12"/>
        <v/>
      </c>
    </row>
    <row r="804" spans="1:2" x14ac:dyDescent="0.25">
      <c r="A804" s="9" t="str">
        <f>IF('Frame Sections'!A819=0,"",'Frame Sections'!A819)</f>
        <v/>
      </c>
      <c r="B804" s="9" t="str">
        <f t="shared" si="12"/>
        <v/>
      </c>
    </row>
    <row r="805" spans="1:2" x14ac:dyDescent="0.25">
      <c r="A805" s="9" t="str">
        <f>IF('Frame Sections'!A820=0,"",'Frame Sections'!A820)</f>
        <v/>
      </c>
      <c r="B805" s="9" t="str">
        <f t="shared" si="12"/>
        <v/>
      </c>
    </row>
    <row r="806" spans="1:2" x14ac:dyDescent="0.25">
      <c r="A806" s="9" t="str">
        <f>IF('Frame Sections'!A821=0,"",'Frame Sections'!A821)</f>
        <v/>
      </c>
      <c r="B806" s="9" t="str">
        <f t="shared" si="12"/>
        <v/>
      </c>
    </row>
    <row r="807" spans="1:2" x14ac:dyDescent="0.25">
      <c r="A807" s="9" t="str">
        <f>IF('Frame Sections'!A822=0,"",'Frame Sections'!A822)</f>
        <v/>
      </c>
      <c r="B807" s="9" t="str">
        <f t="shared" si="12"/>
        <v/>
      </c>
    </row>
    <row r="808" spans="1:2" x14ac:dyDescent="0.25">
      <c r="A808" s="9" t="str">
        <f>IF('Frame Sections'!A823=0,"",'Frame Sections'!A823)</f>
        <v/>
      </c>
      <c r="B808" s="9" t="str">
        <f t="shared" si="12"/>
        <v/>
      </c>
    </row>
    <row r="809" spans="1:2" x14ac:dyDescent="0.25">
      <c r="A809" s="9" t="str">
        <f>IF('Frame Sections'!A824=0,"",'Frame Sections'!A824)</f>
        <v/>
      </c>
      <c r="B809" s="9" t="str">
        <f t="shared" si="12"/>
        <v/>
      </c>
    </row>
    <row r="810" spans="1:2" x14ac:dyDescent="0.25">
      <c r="A810" s="9" t="str">
        <f>IF('Frame Sections'!A825=0,"",'Frame Sections'!A825)</f>
        <v/>
      </c>
      <c r="B810" s="9" t="str">
        <f t="shared" si="12"/>
        <v/>
      </c>
    </row>
    <row r="811" spans="1:2" x14ac:dyDescent="0.25">
      <c r="A811" s="9" t="str">
        <f>IF('Frame Sections'!A826=0,"",'Frame Sections'!A826)</f>
        <v/>
      </c>
      <c r="B811" s="9" t="str">
        <f t="shared" si="12"/>
        <v/>
      </c>
    </row>
    <row r="812" spans="1:2" x14ac:dyDescent="0.25">
      <c r="A812" s="9" t="str">
        <f>IF('Frame Sections'!A827=0,"",'Frame Sections'!A827)</f>
        <v/>
      </c>
      <c r="B812" s="9" t="str">
        <f t="shared" si="12"/>
        <v/>
      </c>
    </row>
    <row r="813" spans="1:2" x14ac:dyDescent="0.25">
      <c r="A813" s="9" t="str">
        <f>IF('Frame Sections'!A828=0,"",'Frame Sections'!A828)</f>
        <v/>
      </c>
      <c r="B813" s="9" t="str">
        <f t="shared" si="12"/>
        <v/>
      </c>
    </row>
    <row r="814" spans="1:2" x14ac:dyDescent="0.25">
      <c r="A814" s="9" t="str">
        <f>IF('Frame Sections'!A829=0,"",'Frame Sections'!A829)</f>
        <v/>
      </c>
      <c r="B814" s="9" t="str">
        <f t="shared" si="12"/>
        <v/>
      </c>
    </row>
    <row r="815" spans="1:2" x14ac:dyDescent="0.25">
      <c r="A815" s="9" t="str">
        <f>IF('Frame Sections'!A830=0,"",'Frame Sections'!A830)</f>
        <v/>
      </c>
      <c r="B815" s="9" t="str">
        <f t="shared" si="12"/>
        <v/>
      </c>
    </row>
    <row r="816" spans="1:2" x14ac:dyDescent="0.25">
      <c r="A816" s="9" t="str">
        <f>IF('Frame Sections'!A831=0,"",'Frame Sections'!A831)</f>
        <v/>
      </c>
      <c r="B816" s="9" t="str">
        <f t="shared" si="12"/>
        <v/>
      </c>
    </row>
    <row r="817" spans="1:2" x14ac:dyDescent="0.25">
      <c r="A817" s="9" t="str">
        <f>IF('Frame Sections'!A832=0,"",'Frame Sections'!A832)</f>
        <v/>
      </c>
      <c r="B817" s="9" t="str">
        <f t="shared" si="12"/>
        <v/>
      </c>
    </row>
    <row r="818" spans="1:2" x14ac:dyDescent="0.25">
      <c r="A818" s="9" t="str">
        <f>IF('Frame Sections'!A833=0,"",'Frame Sections'!A833)</f>
        <v/>
      </c>
      <c r="B818" s="9" t="str">
        <f t="shared" si="12"/>
        <v/>
      </c>
    </row>
    <row r="819" spans="1:2" x14ac:dyDescent="0.25">
      <c r="A819" s="9" t="str">
        <f>IF('Frame Sections'!A834=0,"",'Frame Sections'!A834)</f>
        <v/>
      </c>
      <c r="B819" s="9" t="str">
        <f t="shared" si="12"/>
        <v/>
      </c>
    </row>
    <row r="820" spans="1:2" x14ac:dyDescent="0.25">
      <c r="A820" s="9" t="str">
        <f>IF('Frame Sections'!A835=0,"",'Frame Sections'!A835)</f>
        <v/>
      </c>
      <c r="B820" s="9" t="str">
        <f t="shared" si="12"/>
        <v/>
      </c>
    </row>
    <row r="821" spans="1:2" x14ac:dyDescent="0.25">
      <c r="A821" s="9" t="str">
        <f>IF('Frame Sections'!A836=0,"",'Frame Sections'!A836)</f>
        <v/>
      </c>
      <c r="B821" s="9" t="str">
        <f t="shared" si="12"/>
        <v/>
      </c>
    </row>
    <row r="822" spans="1:2" x14ac:dyDescent="0.25">
      <c r="A822" s="9" t="str">
        <f>IF('Frame Sections'!A837=0,"",'Frame Sections'!A837)</f>
        <v/>
      </c>
      <c r="B822" s="9" t="str">
        <f t="shared" si="12"/>
        <v/>
      </c>
    </row>
    <row r="823" spans="1:2" x14ac:dyDescent="0.25">
      <c r="A823" s="9" t="str">
        <f>IF('Frame Sections'!A838=0,"",'Frame Sections'!A838)</f>
        <v/>
      </c>
      <c r="B823" s="9" t="str">
        <f t="shared" si="12"/>
        <v/>
      </c>
    </row>
    <row r="824" spans="1:2" x14ac:dyDescent="0.25">
      <c r="A824" s="9" t="str">
        <f>IF('Frame Sections'!A839=0,"",'Frame Sections'!A839)</f>
        <v/>
      </c>
      <c r="B824" s="9" t="str">
        <f t="shared" si="12"/>
        <v/>
      </c>
    </row>
    <row r="825" spans="1:2" x14ac:dyDescent="0.25">
      <c r="A825" s="9" t="str">
        <f>IF('Frame Sections'!A840=0,"",'Frame Sections'!A840)</f>
        <v/>
      </c>
      <c r="B825" s="9" t="str">
        <f t="shared" si="12"/>
        <v/>
      </c>
    </row>
    <row r="826" spans="1:2" x14ac:dyDescent="0.25">
      <c r="A826" s="9" t="str">
        <f>IF('Frame Sections'!A841=0,"",'Frame Sections'!A841)</f>
        <v/>
      </c>
      <c r="B826" s="9" t="str">
        <f t="shared" si="12"/>
        <v/>
      </c>
    </row>
    <row r="827" spans="1:2" x14ac:dyDescent="0.25">
      <c r="A827" s="9" t="str">
        <f>IF('Frame Sections'!A842=0,"",'Frame Sections'!A842)</f>
        <v/>
      </c>
      <c r="B827" s="9" t="str">
        <f t="shared" si="12"/>
        <v/>
      </c>
    </row>
    <row r="828" spans="1:2" x14ac:dyDescent="0.25">
      <c r="A828" s="9" t="str">
        <f>IF('Frame Sections'!A843=0,"",'Frame Sections'!A843)</f>
        <v/>
      </c>
      <c r="B828" s="9" t="str">
        <f t="shared" si="12"/>
        <v/>
      </c>
    </row>
    <row r="829" spans="1:2" x14ac:dyDescent="0.25">
      <c r="A829" s="9" t="str">
        <f>IF('Frame Sections'!A844=0,"",'Frame Sections'!A844)</f>
        <v/>
      </c>
      <c r="B829" s="9" t="str">
        <f t="shared" si="12"/>
        <v/>
      </c>
    </row>
    <row r="830" spans="1:2" x14ac:dyDescent="0.25">
      <c r="A830" s="9" t="str">
        <f>IF('Frame Sections'!A845=0,"",'Frame Sections'!A845)</f>
        <v/>
      </c>
      <c r="B830" s="9" t="str">
        <f t="shared" si="12"/>
        <v/>
      </c>
    </row>
    <row r="831" spans="1:2" x14ac:dyDescent="0.25">
      <c r="A831" s="9" t="str">
        <f>IF('Frame Sections'!A846=0,"",'Frame Sections'!A846)</f>
        <v/>
      </c>
      <c r="B831" s="9" t="str">
        <f t="shared" si="12"/>
        <v/>
      </c>
    </row>
    <row r="832" spans="1:2" x14ac:dyDescent="0.25">
      <c r="A832" s="9" t="str">
        <f>IF('Frame Sections'!A847=0,"",'Frame Sections'!A847)</f>
        <v/>
      </c>
      <c r="B832" s="9" t="str">
        <f t="shared" si="12"/>
        <v/>
      </c>
    </row>
    <row r="833" spans="1:2" x14ac:dyDescent="0.25">
      <c r="A833" s="9" t="str">
        <f>IF('Frame Sections'!A848=0,"",'Frame Sections'!A848)</f>
        <v/>
      </c>
      <c r="B833" s="9" t="str">
        <f t="shared" si="12"/>
        <v/>
      </c>
    </row>
    <row r="834" spans="1:2" x14ac:dyDescent="0.25">
      <c r="A834" s="9" t="str">
        <f>IF('Frame Sections'!A849=0,"",'Frame Sections'!A849)</f>
        <v/>
      </c>
      <c r="B834" s="9" t="str">
        <f t="shared" ref="B834:B897" si="13">IF(OR(A834=0,A834=""),"",VLOOKUP(A834,SecDB,5,FALSE))</f>
        <v/>
      </c>
    </row>
    <row r="835" spans="1:2" x14ac:dyDescent="0.25">
      <c r="A835" s="9" t="str">
        <f>IF('Frame Sections'!A850=0,"",'Frame Sections'!A850)</f>
        <v/>
      </c>
      <c r="B835" s="9" t="str">
        <f t="shared" si="13"/>
        <v/>
      </c>
    </row>
    <row r="836" spans="1:2" x14ac:dyDescent="0.25">
      <c r="A836" s="9" t="str">
        <f>IF('Frame Sections'!A851=0,"",'Frame Sections'!A851)</f>
        <v/>
      </c>
      <c r="B836" s="9" t="str">
        <f t="shared" si="13"/>
        <v/>
      </c>
    </row>
    <row r="837" spans="1:2" x14ac:dyDescent="0.25">
      <c r="A837" s="9" t="str">
        <f>IF('Frame Sections'!A852=0,"",'Frame Sections'!A852)</f>
        <v/>
      </c>
      <c r="B837" s="9" t="str">
        <f t="shared" si="13"/>
        <v/>
      </c>
    </row>
    <row r="838" spans="1:2" x14ac:dyDescent="0.25">
      <c r="A838" s="9" t="str">
        <f>IF('Frame Sections'!A853=0,"",'Frame Sections'!A853)</f>
        <v/>
      </c>
      <c r="B838" s="9" t="str">
        <f t="shared" si="13"/>
        <v/>
      </c>
    </row>
    <row r="839" spans="1:2" x14ac:dyDescent="0.25">
      <c r="A839" s="9" t="str">
        <f>IF('Frame Sections'!A854=0,"",'Frame Sections'!A854)</f>
        <v/>
      </c>
      <c r="B839" s="9" t="str">
        <f t="shared" si="13"/>
        <v/>
      </c>
    </row>
    <row r="840" spans="1:2" x14ac:dyDescent="0.25">
      <c r="A840" s="9" t="str">
        <f>IF('Frame Sections'!A855=0,"",'Frame Sections'!A855)</f>
        <v/>
      </c>
      <c r="B840" s="9" t="str">
        <f t="shared" si="13"/>
        <v/>
      </c>
    </row>
    <row r="841" spans="1:2" x14ac:dyDescent="0.25">
      <c r="A841" s="9" t="str">
        <f>IF('Frame Sections'!A856=0,"",'Frame Sections'!A856)</f>
        <v/>
      </c>
      <c r="B841" s="9" t="str">
        <f t="shared" si="13"/>
        <v/>
      </c>
    </row>
    <row r="842" spans="1:2" x14ac:dyDescent="0.25">
      <c r="A842" s="9" t="str">
        <f>IF('Frame Sections'!A857=0,"",'Frame Sections'!A857)</f>
        <v/>
      </c>
      <c r="B842" s="9" t="str">
        <f t="shared" si="13"/>
        <v/>
      </c>
    </row>
    <row r="843" spans="1:2" x14ac:dyDescent="0.25">
      <c r="A843" s="9" t="str">
        <f>IF('Frame Sections'!A858=0,"",'Frame Sections'!A858)</f>
        <v/>
      </c>
      <c r="B843" s="9" t="str">
        <f t="shared" si="13"/>
        <v/>
      </c>
    </row>
    <row r="844" spans="1:2" x14ac:dyDescent="0.25">
      <c r="A844" s="9" t="str">
        <f>IF('Frame Sections'!A859=0,"",'Frame Sections'!A859)</f>
        <v/>
      </c>
      <c r="B844" s="9" t="str">
        <f t="shared" si="13"/>
        <v/>
      </c>
    </row>
    <row r="845" spans="1:2" x14ac:dyDescent="0.25">
      <c r="A845" s="9" t="str">
        <f>IF('Frame Sections'!A860=0,"",'Frame Sections'!A860)</f>
        <v/>
      </c>
      <c r="B845" s="9" t="str">
        <f t="shared" si="13"/>
        <v/>
      </c>
    </row>
    <row r="846" spans="1:2" x14ac:dyDescent="0.25">
      <c r="A846" s="9" t="str">
        <f>IF('Frame Sections'!A861=0,"",'Frame Sections'!A861)</f>
        <v/>
      </c>
      <c r="B846" s="9" t="str">
        <f t="shared" si="13"/>
        <v/>
      </c>
    </row>
    <row r="847" spans="1:2" x14ac:dyDescent="0.25">
      <c r="A847" s="9" t="str">
        <f>IF('Frame Sections'!A862=0,"",'Frame Sections'!A862)</f>
        <v/>
      </c>
      <c r="B847" s="9" t="str">
        <f t="shared" si="13"/>
        <v/>
      </c>
    </row>
    <row r="848" spans="1:2" x14ac:dyDescent="0.25">
      <c r="A848" s="9" t="str">
        <f>IF('Frame Sections'!A863=0,"",'Frame Sections'!A863)</f>
        <v/>
      </c>
      <c r="B848" s="9" t="str">
        <f t="shared" si="13"/>
        <v/>
      </c>
    </row>
    <row r="849" spans="1:2" x14ac:dyDescent="0.25">
      <c r="A849" s="9" t="str">
        <f>IF('Frame Sections'!A864=0,"",'Frame Sections'!A864)</f>
        <v/>
      </c>
      <c r="B849" s="9" t="str">
        <f t="shared" si="13"/>
        <v/>
      </c>
    </row>
    <row r="850" spans="1:2" x14ac:dyDescent="0.25">
      <c r="A850" s="9" t="str">
        <f>IF('Frame Sections'!A865=0,"",'Frame Sections'!A865)</f>
        <v/>
      </c>
      <c r="B850" s="9" t="str">
        <f t="shared" si="13"/>
        <v/>
      </c>
    </row>
    <row r="851" spans="1:2" x14ac:dyDescent="0.25">
      <c r="A851" s="9" t="str">
        <f>IF('Frame Sections'!A866=0,"",'Frame Sections'!A866)</f>
        <v/>
      </c>
      <c r="B851" s="9" t="str">
        <f t="shared" si="13"/>
        <v/>
      </c>
    </row>
    <row r="852" spans="1:2" x14ac:dyDescent="0.25">
      <c r="A852" s="9" t="str">
        <f>IF('Frame Sections'!A867=0,"",'Frame Sections'!A867)</f>
        <v/>
      </c>
      <c r="B852" s="9" t="str">
        <f t="shared" si="13"/>
        <v/>
      </c>
    </row>
    <row r="853" spans="1:2" x14ac:dyDescent="0.25">
      <c r="A853" s="9" t="str">
        <f>IF('Frame Sections'!A868=0,"",'Frame Sections'!A868)</f>
        <v/>
      </c>
      <c r="B853" s="9" t="str">
        <f t="shared" si="13"/>
        <v/>
      </c>
    </row>
    <row r="854" spans="1:2" x14ac:dyDescent="0.25">
      <c r="A854" s="9" t="str">
        <f>IF('Frame Sections'!A869=0,"",'Frame Sections'!A869)</f>
        <v/>
      </c>
      <c r="B854" s="9" t="str">
        <f t="shared" si="13"/>
        <v/>
      </c>
    </row>
    <row r="855" spans="1:2" x14ac:dyDescent="0.25">
      <c r="A855" s="9" t="str">
        <f>IF('Frame Sections'!A870=0,"",'Frame Sections'!A870)</f>
        <v/>
      </c>
      <c r="B855" s="9" t="str">
        <f t="shared" si="13"/>
        <v/>
      </c>
    </row>
    <row r="856" spans="1:2" x14ac:dyDescent="0.25">
      <c r="A856" s="9" t="str">
        <f>IF('Frame Sections'!A871=0,"",'Frame Sections'!A871)</f>
        <v/>
      </c>
      <c r="B856" s="9" t="str">
        <f t="shared" si="13"/>
        <v/>
      </c>
    </row>
    <row r="857" spans="1:2" x14ac:dyDescent="0.25">
      <c r="A857" s="9" t="str">
        <f>IF('Frame Sections'!A872=0,"",'Frame Sections'!A872)</f>
        <v/>
      </c>
      <c r="B857" s="9" t="str">
        <f t="shared" si="13"/>
        <v/>
      </c>
    </row>
    <row r="858" spans="1:2" x14ac:dyDescent="0.25">
      <c r="A858" s="9" t="str">
        <f>IF('Frame Sections'!A873=0,"",'Frame Sections'!A873)</f>
        <v/>
      </c>
      <c r="B858" s="9" t="str">
        <f t="shared" si="13"/>
        <v/>
      </c>
    </row>
    <row r="859" spans="1:2" x14ac:dyDescent="0.25">
      <c r="A859" s="9" t="str">
        <f>IF('Frame Sections'!A874=0,"",'Frame Sections'!A874)</f>
        <v/>
      </c>
      <c r="B859" s="9" t="str">
        <f t="shared" si="13"/>
        <v/>
      </c>
    </row>
    <row r="860" spans="1:2" x14ac:dyDescent="0.25">
      <c r="A860" s="9" t="str">
        <f>IF('Frame Sections'!A875=0,"",'Frame Sections'!A875)</f>
        <v/>
      </c>
      <c r="B860" s="9" t="str">
        <f t="shared" si="13"/>
        <v/>
      </c>
    </row>
    <row r="861" spans="1:2" x14ac:dyDescent="0.25">
      <c r="A861" s="9" t="str">
        <f>IF('Frame Sections'!A876=0,"",'Frame Sections'!A876)</f>
        <v/>
      </c>
      <c r="B861" s="9" t="str">
        <f t="shared" si="13"/>
        <v/>
      </c>
    </row>
    <row r="862" spans="1:2" x14ac:dyDescent="0.25">
      <c r="A862" s="9" t="str">
        <f>IF('Frame Sections'!A877=0,"",'Frame Sections'!A877)</f>
        <v/>
      </c>
      <c r="B862" s="9" t="str">
        <f t="shared" si="13"/>
        <v/>
      </c>
    </row>
    <row r="863" spans="1:2" x14ac:dyDescent="0.25">
      <c r="A863" s="9" t="str">
        <f>IF('Frame Sections'!A878=0,"",'Frame Sections'!A878)</f>
        <v/>
      </c>
      <c r="B863" s="9" t="str">
        <f t="shared" si="13"/>
        <v/>
      </c>
    </row>
    <row r="864" spans="1:2" x14ac:dyDescent="0.25">
      <c r="A864" s="9" t="str">
        <f>IF('Frame Sections'!A879=0,"",'Frame Sections'!A879)</f>
        <v/>
      </c>
      <c r="B864" s="9" t="str">
        <f t="shared" si="13"/>
        <v/>
      </c>
    </row>
    <row r="865" spans="1:2" x14ac:dyDescent="0.25">
      <c r="A865" s="9" t="str">
        <f>IF('Frame Sections'!A880=0,"",'Frame Sections'!A880)</f>
        <v/>
      </c>
      <c r="B865" s="9" t="str">
        <f t="shared" si="13"/>
        <v/>
      </c>
    </row>
    <row r="866" spans="1:2" x14ac:dyDescent="0.25">
      <c r="A866" s="9" t="str">
        <f>IF('Frame Sections'!A881=0,"",'Frame Sections'!A881)</f>
        <v/>
      </c>
      <c r="B866" s="9" t="str">
        <f t="shared" si="13"/>
        <v/>
      </c>
    </row>
    <row r="867" spans="1:2" x14ac:dyDescent="0.25">
      <c r="A867" s="9" t="str">
        <f>IF('Frame Sections'!A882=0,"",'Frame Sections'!A882)</f>
        <v/>
      </c>
      <c r="B867" s="9" t="str">
        <f t="shared" si="13"/>
        <v/>
      </c>
    </row>
    <row r="868" spans="1:2" x14ac:dyDescent="0.25">
      <c r="A868" s="9" t="str">
        <f>IF('Frame Sections'!A883=0,"",'Frame Sections'!A883)</f>
        <v/>
      </c>
      <c r="B868" s="9" t="str">
        <f t="shared" si="13"/>
        <v/>
      </c>
    </row>
    <row r="869" spans="1:2" x14ac:dyDescent="0.25">
      <c r="A869" s="9" t="str">
        <f>IF('Frame Sections'!A884=0,"",'Frame Sections'!A884)</f>
        <v/>
      </c>
      <c r="B869" s="9" t="str">
        <f t="shared" si="13"/>
        <v/>
      </c>
    </row>
    <row r="870" spans="1:2" x14ac:dyDescent="0.25">
      <c r="A870" s="9" t="str">
        <f>IF('Frame Sections'!A885=0,"",'Frame Sections'!A885)</f>
        <v/>
      </c>
      <c r="B870" s="9" t="str">
        <f t="shared" si="13"/>
        <v/>
      </c>
    </row>
    <row r="871" spans="1:2" x14ac:dyDescent="0.25">
      <c r="A871" s="9" t="str">
        <f>IF('Frame Sections'!A886=0,"",'Frame Sections'!A886)</f>
        <v/>
      </c>
      <c r="B871" s="9" t="str">
        <f t="shared" si="13"/>
        <v/>
      </c>
    </row>
    <row r="872" spans="1:2" x14ac:dyDescent="0.25">
      <c r="A872" s="9" t="str">
        <f>IF('Frame Sections'!A887=0,"",'Frame Sections'!A887)</f>
        <v/>
      </c>
      <c r="B872" s="9" t="str">
        <f t="shared" si="13"/>
        <v/>
      </c>
    </row>
    <row r="873" spans="1:2" x14ac:dyDescent="0.25">
      <c r="A873" s="9" t="str">
        <f>IF('Frame Sections'!A888=0,"",'Frame Sections'!A888)</f>
        <v/>
      </c>
      <c r="B873" s="9" t="str">
        <f t="shared" si="13"/>
        <v/>
      </c>
    </row>
    <row r="874" spans="1:2" x14ac:dyDescent="0.25">
      <c r="A874" s="9" t="str">
        <f>IF('Frame Sections'!A889=0,"",'Frame Sections'!A889)</f>
        <v/>
      </c>
      <c r="B874" s="9" t="str">
        <f t="shared" si="13"/>
        <v/>
      </c>
    </row>
    <row r="875" spans="1:2" x14ac:dyDescent="0.25">
      <c r="A875" s="9" t="str">
        <f>IF('Frame Sections'!A890=0,"",'Frame Sections'!A890)</f>
        <v/>
      </c>
      <c r="B875" s="9" t="str">
        <f t="shared" si="13"/>
        <v/>
      </c>
    </row>
    <row r="876" spans="1:2" x14ac:dyDescent="0.25">
      <c r="A876" s="9" t="str">
        <f>IF('Frame Sections'!A891=0,"",'Frame Sections'!A891)</f>
        <v/>
      </c>
      <c r="B876" s="9" t="str">
        <f t="shared" si="13"/>
        <v/>
      </c>
    </row>
    <row r="877" spans="1:2" x14ac:dyDescent="0.25">
      <c r="A877" s="9" t="str">
        <f>IF('Frame Sections'!A892=0,"",'Frame Sections'!A892)</f>
        <v/>
      </c>
      <c r="B877" s="9" t="str">
        <f t="shared" si="13"/>
        <v/>
      </c>
    </row>
    <row r="878" spans="1:2" x14ac:dyDescent="0.25">
      <c r="A878" s="9" t="str">
        <f>IF('Frame Sections'!A893=0,"",'Frame Sections'!A893)</f>
        <v/>
      </c>
      <c r="B878" s="9" t="str">
        <f t="shared" si="13"/>
        <v/>
      </c>
    </row>
    <row r="879" spans="1:2" x14ac:dyDescent="0.25">
      <c r="A879" s="9" t="str">
        <f>IF('Frame Sections'!A894=0,"",'Frame Sections'!A894)</f>
        <v/>
      </c>
      <c r="B879" s="9" t="str">
        <f t="shared" si="13"/>
        <v/>
      </c>
    </row>
    <row r="880" spans="1:2" x14ac:dyDescent="0.25">
      <c r="A880" s="9" t="str">
        <f>IF('Frame Sections'!A895=0,"",'Frame Sections'!A895)</f>
        <v/>
      </c>
      <c r="B880" s="9" t="str">
        <f t="shared" si="13"/>
        <v/>
      </c>
    </row>
    <row r="881" spans="1:2" x14ac:dyDescent="0.25">
      <c r="A881" s="9" t="str">
        <f>IF('Frame Sections'!A896=0,"",'Frame Sections'!A896)</f>
        <v/>
      </c>
      <c r="B881" s="9" t="str">
        <f t="shared" si="13"/>
        <v/>
      </c>
    </row>
    <row r="882" spans="1:2" x14ac:dyDescent="0.25">
      <c r="A882" s="9" t="str">
        <f>IF('Frame Sections'!A897=0,"",'Frame Sections'!A897)</f>
        <v/>
      </c>
      <c r="B882" s="9" t="str">
        <f t="shared" si="13"/>
        <v/>
      </c>
    </row>
    <row r="883" spans="1:2" x14ac:dyDescent="0.25">
      <c r="A883" s="9" t="str">
        <f>IF('Frame Sections'!A898=0,"",'Frame Sections'!A898)</f>
        <v/>
      </c>
      <c r="B883" s="9" t="str">
        <f t="shared" si="13"/>
        <v/>
      </c>
    </row>
    <row r="884" spans="1:2" x14ac:dyDescent="0.25">
      <c r="A884" s="9" t="str">
        <f>IF('Frame Sections'!A899=0,"",'Frame Sections'!A899)</f>
        <v/>
      </c>
      <c r="B884" s="9" t="str">
        <f t="shared" si="13"/>
        <v/>
      </c>
    </row>
    <row r="885" spans="1:2" x14ac:dyDescent="0.25">
      <c r="A885" s="9" t="str">
        <f>IF('Frame Sections'!A900=0,"",'Frame Sections'!A900)</f>
        <v/>
      </c>
      <c r="B885" s="9" t="str">
        <f t="shared" si="13"/>
        <v/>
      </c>
    </row>
    <row r="886" spans="1:2" x14ac:dyDescent="0.25">
      <c r="A886" s="9" t="str">
        <f>IF('Frame Sections'!A901=0,"",'Frame Sections'!A901)</f>
        <v/>
      </c>
      <c r="B886" s="9" t="str">
        <f t="shared" si="13"/>
        <v/>
      </c>
    </row>
    <row r="887" spans="1:2" x14ac:dyDescent="0.25">
      <c r="A887" s="9" t="str">
        <f>IF('Frame Sections'!A902=0,"",'Frame Sections'!A902)</f>
        <v/>
      </c>
      <c r="B887" s="9" t="str">
        <f t="shared" si="13"/>
        <v/>
      </c>
    </row>
    <row r="888" spans="1:2" x14ac:dyDescent="0.25">
      <c r="A888" s="9" t="str">
        <f>IF('Frame Sections'!A903=0,"",'Frame Sections'!A903)</f>
        <v/>
      </c>
      <c r="B888" s="9" t="str">
        <f t="shared" si="13"/>
        <v/>
      </c>
    </row>
    <row r="889" spans="1:2" x14ac:dyDescent="0.25">
      <c r="A889" s="9" t="str">
        <f>IF('Frame Sections'!A904=0,"",'Frame Sections'!A904)</f>
        <v/>
      </c>
      <c r="B889" s="9" t="str">
        <f t="shared" si="13"/>
        <v/>
      </c>
    </row>
    <row r="890" spans="1:2" x14ac:dyDescent="0.25">
      <c r="A890" s="9" t="str">
        <f>IF('Frame Sections'!A905=0,"",'Frame Sections'!A905)</f>
        <v/>
      </c>
      <c r="B890" s="9" t="str">
        <f t="shared" si="13"/>
        <v/>
      </c>
    </row>
    <row r="891" spans="1:2" x14ac:dyDescent="0.25">
      <c r="A891" s="9" t="str">
        <f>IF('Frame Sections'!A906=0,"",'Frame Sections'!A906)</f>
        <v/>
      </c>
      <c r="B891" s="9" t="str">
        <f t="shared" si="13"/>
        <v/>
      </c>
    </row>
    <row r="892" spans="1:2" x14ac:dyDescent="0.25">
      <c r="A892" s="9" t="str">
        <f>IF('Frame Sections'!A907=0,"",'Frame Sections'!A907)</f>
        <v/>
      </c>
      <c r="B892" s="9" t="str">
        <f t="shared" si="13"/>
        <v/>
      </c>
    </row>
    <row r="893" spans="1:2" x14ac:dyDescent="0.25">
      <c r="A893" s="9" t="str">
        <f>IF('Frame Sections'!A908=0,"",'Frame Sections'!A908)</f>
        <v/>
      </c>
      <c r="B893" s="9" t="str">
        <f t="shared" si="13"/>
        <v/>
      </c>
    </row>
    <row r="894" spans="1:2" x14ac:dyDescent="0.25">
      <c r="A894" s="9" t="str">
        <f>IF('Frame Sections'!A909=0,"",'Frame Sections'!A909)</f>
        <v/>
      </c>
      <c r="B894" s="9" t="str">
        <f t="shared" si="13"/>
        <v/>
      </c>
    </row>
    <row r="895" spans="1:2" x14ac:dyDescent="0.25">
      <c r="A895" s="9" t="str">
        <f>IF('Frame Sections'!A910=0,"",'Frame Sections'!A910)</f>
        <v/>
      </c>
      <c r="B895" s="9" t="str">
        <f t="shared" si="13"/>
        <v/>
      </c>
    </row>
    <row r="896" spans="1:2" x14ac:dyDescent="0.25">
      <c r="A896" s="9" t="str">
        <f>IF('Frame Sections'!A911=0,"",'Frame Sections'!A911)</f>
        <v/>
      </c>
      <c r="B896" s="9" t="str">
        <f t="shared" si="13"/>
        <v/>
      </c>
    </row>
    <row r="897" spans="1:2" x14ac:dyDescent="0.25">
      <c r="A897" s="9" t="str">
        <f>IF('Frame Sections'!A912=0,"",'Frame Sections'!A912)</f>
        <v/>
      </c>
      <c r="B897" s="9" t="str">
        <f t="shared" si="13"/>
        <v/>
      </c>
    </row>
    <row r="898" spans="1:2" x14ac:dyDescent="0.25">
      <c r="A898" s="9" t="str">
        <f>IF('Frame Sections'!A913=0,"",'Frame Sections'!A913)</f>
        <v/>
      </c>
      <c r="B898" s="9" t="str">
        <f t="shared" ref="B898:B961" si="14">IF(OR(A898=0,A898=""),"",VLOOKUP(A898,SecDB,5,FALSE))</f>
        <v/>
      </c>
    </row>
    <row r="899" spans="1:2" x14ac:dyDescent="0.25">
      <c r="A899" s="9" t="str">
        <f>IF('Frame Sections'!A914=0,"",'Frame Sections'!A914)</f>
        <v/>
      </c>
      <c r="B899" s="9" t="str">
        <f t="shared" si="14"/>
        <v/>
      </c>
    </row>
    <row r="900" spans="1:2" x14ac:dyDescent="0.25">
      <c r="A900" s="9" t="str">
        <f>IF('Frame Sections'!A915=0,"",'Frame Sections'!A915)</f>
        <v/>
      </c>
      <c r="B900" s="9" t="str">
        <f t="shared" si="14"/>
        <v/>
      </c>
    </row>
    <row r="901" spans="1:2" x14ac:dyDescent="0.25">
      <c r="A901" s="9" t="str">
        <f>IF('Frame Sections'!A916=0,"",'Frame Sections'!A916)</f>
        <v/>
      </c>
      <c r="B901" s="9" t="str">
        <f t="shared" si="14"/>
        <v/>
      </c>
    </row>
    <row r="902" spans="1:2" x14ac:dyDescent="0.25">
      <c r="A902" s="9" t="str">
        <f>IF('Frame Sections'!A917=0,"",'Frame Sections'!A917)</f>
        <v/>
      </c>
      <c r="B902" s="9" t="str">
        <f t="shared" si="14"/>
        <v/>
      </c>
    </row>
    <row r="903" spans="1:2" x14ac:dyDescent="0.25">
      <c r="A903" s="9" t="str">
        <f>IF('Frame Sections'!A918=0,"",'Frame Sections'!A918)</f>
        <v/>
      </c>
      <c r="B903" s="9" t="str">
        <f t="shared" si="14"/>
        <v/>
      </c>
    </row>
    <row r="904" spans="1:2" x14ac:dyDescent="0.25">
      <c r="A904" s="9" t="str">
        <f>IF('Frame Sections'!A919=0,"",'Frame Sections'!A919)</f>
        <v/>
      </c>
      <c r="B904" s="9" t="str">
        <f t="shared" si="14"/>
        <v/>
      </c>
    </row>
    <row r="905" spans="1:2" x14ac:dyDescent="0.25">
      <c r="A905" s="9" t="str">
        <f>IF('Frame Sections'!A920=0,"",'Frame Sections'!A920)</f>
        <v/>
      </c>
      <c r="B905" s="9" t="str">
        <f t="shared" si="14"/>
        <v/>
      </c>
    </row>
    <row r="906" spans="1:2" x14ac:dyDescent="0.25">
      <c r="A906" s="9" t="str">
        <f>IF('Frame Sections'!A921=0,"",'Frame Sections'!A921)</f>
        <v/>
      </c>
      <c r="B906" s="9" t="str">
        <f t="shared" si="14"/>
        <v/>
      </c>
    </row>
    <row r="907" spans="1:2" x14ac:dyDescent="0.25">
      <c r="A907" s="9" t="str">
        <f>IF('Frame Sections'!A922=0,"",'Frame Sections'!A922)</f>
        <v/>
      </c>
      <c r="B907" s="9" t="str">
        <f t="shared" si="14"/>
        <v/>
      </c>
    </row>
    <row r="908" spans="1:2" x14ac:dyDescent="0.25">
      <c r="A908" s="9" t="str">
        <f>IF('Frame Sections'!A923=0,"",'Frame Sections'!A923)</f>
        <v/>
      </c>
      <c r="B908" s="9" t="str">
        <f t="shared" si="14"/>
        <v/>
      </c>
    </row>
    <row r="909" spans="1:2" x14ac:dyDescent="0.25">
      <c r="A909" s="9" t="str">
        <f>IF('Frame Sections'!A924=0,"",'Frame Sections'!A924)</f>
        <v/>
      </c>
      <c r="B909" s="9" t="str">
        <f t="shared" si="14"/>
        <v/>
      </c>
    </row>
    <row r="910" spans="1:2" x14ac:dyDescent="0.25">
      <c r="A910" s="9" t="str">
        <f>IF('Frame Sections'!A925=0,"",'Frame Sections'!A925)</f>
        <v/>
      </c>
      <c r="B910" s="9" t="str">
        <f t="shared" si="14"/>
        <v/>
      </c>
    </row>
    <row r="911" spans="1:2" x14ac:dyDescent="0.25">
      <c r="A911" s="9" t="str">
        <f>IF('Frame Sections'!A926=0,"",'Frame Sections'!A926)</f>
        <v/>
      </c>
      <c r="B911" s="9" t="str">
        <f t="shared" si="14"/>
        <v/>
      </c>
    </row>
    <row r="912" spans="1:2" x14ac:dyDescent="0.25">
      <c r="A912" s="9" t="str">
        <f>IF('Frame Sections'!A927=0,"",'Frame Sections'!A927)</f>
        <v/>
      </c>
      <c r="B912" s="9" t="str">
        <f t="shared" si="14"/>
        <v/>
      </c>
    </row>
    <row r="913" spans="1:2" x14ac:dyDescent="0.25">
      <c r="A913" s="9" t="str">
        <f>IF('Frame Sections'!A928=0,"",'Frame Sections'!A928)</f>
        <v/>
      </c>
      <c r="B913" s="9" t="str">
        <f t="shared" si="14"/>
        <v/>
      </c>
    </row>
    <row r="914" spans="1:2" x14ac:dyDescent="0.25">
      <c r="A914" s="9" t="str">
        <f>IF('Frame Sections'!A929=0,"",'Frame Sections'!A929)</f>
        <v/>
      </c>
      <c r="B914" s="9" t="str">
        <f t="shared" si="14"/>
        <v/>
      </c>
    </row>
    <row r="915" spans="1:2" x14ac:dyDescent="0.25">
      <c r="A915" s="9" t="str">
        <f>IF('Frame Sections'!A930=0,"",'Frame Sections'!A930)</f>
        <v/>
      </c>
      <c r="B915" s="9" t="str">
        <f t="shared" si="14"/>
        <v/>
      </c>
    </row>
    <row r="916" spans="1:2" x14ac:dyDescent="0.25">
      <c r="A916" s="9" t="str">
        <f>IF('Frame Sections'!A931=0,"",'Frame Sections'!A931)</f>
        <v/>
      </c>
      <c r="B916" s="9" t="str">
        <f t="shared" si="14"/>
        <v/>
      </c>
    </row>
    <row r="917" spans="1:2" x14ac:dyDescent="0.25">
      <c r="A917" s="9" t="str">
        <f>IF('Frame Sections'!A932=0,"",'Frame Sections'!A932)</f>
        <v/>
      </c>
      <c r="B917" s="9" t="str">
        <f t="shared" si="14"/>
        <v/>
      </c>
    </row>
    <row r="918" spans="1:2" x14ac:dyDescent="0.25">
      <c r="A918" s="9" t="str">
        <f>IF('Frame Sections'!A933=0,"",'Frame Sections'!A933)</f>
        <v/>
      </c>
      <c r="B918" s="9" t="str">
        <f t="shared" si="14"/>
        <v/>
      </c>
    </row>
    <row r="919" spans="1:2" x14ac:dyDescent="0.25">
      <c r="A919" s="9" t="str">
        <f>IF('Frame Sections'!A934=0,"",'Frame Sections'!A934)</f>
        <v/>
      </c>
      <c r="B919" s="9" t="str">
        <f t="shared" si="14"/>
        <v/>
      </c>
    </row>
    <row r="920" spans="1:2" x14ac:dyDescent="0.25">
      <c r="A920" s="9" t="str">
        <f>IF('Frame Sections'!A935=0,"",'Frame Sections'!A935)</f>
        <v/>
      </c>
      <c r="B920" s="9" t="str">
        <f t="shared" si="14"/>
        <v/>
      </c>
    </row>
    <row r="921" spans="1:2" x14ac:dyDescent="0.25">
      <c r="A921" s="9" t="str">
        <f>IF('Frame Sections'!A936=0,"",'Frame Sections'!A936)</f>
        <v/>
      </c>
      <c r="B921" s="9" t="str">
        <f t="shared" si="14"/>
        <v/>
      </c>
    </row>
    <row r="922" spans="1:2" x14ac:dyDescent="0.25">
      <c r="A922" s="9" t="str">
        <f>IF('Frame Sections'!A937=0,"",'Frame Sections'!A937)</f>
        <v/>
      </c>
      <c r="B922" s="9" t="str">
        <f t="shared" si="14"/>
        <v/>
      </c>
    </row>
    <row r="923" spans="1:2" x14ac:dyDescent="0.25">
      <c r="A923" s="9" t="str">
        <f>IF('Frame Sections'!A938=0,"",'Frame Sections'!A938)</f>
        <v/>
      </c>
      <c r="B923" s="9" t="str">
        <f t="shared" si="14"/>
        <v/>
      </c>
    </row>
    <row r="924" spans="1:2" x14ac:dyDescent="0.25">
      <c r="A924" s="9" t="str">
        <f>IF('Frame Sections'!A939=0,"",'Frame Sections'!A939)</f>
        <v/>
      </c>
      <c r="B924" s="9" t="str">
        <f t="shared" si="14"/>
        <v/>
      </c>
    </row>
    <row r="925" spans="1:2" x14ac:dyDescent="0.25">
      <c r="A925" s="9" t="str">
        <f>IF('Frame Sections'!A940=0,"",'Frame Sections'!A940)</f>
        <v/>
      </c>
      <c r="B925" s="9" t="str">
        <f t="shared" si="14"/>
        <v/>
      </c>
    </row>
    <row r="926" spans="1:2" x14ac:dyDescent="0.25">
      <c r="A926" s="9" t="str">
        <f>IF('Frame Sections'!A941=0,"",'Frame Sections'!A941)</f>
        <v/>
      </c>
      <c r="B926" s="9" t="str">
        <f t="shared" si="14"/>
        <v/>
      </c>
    </row>
    <row r="927" spans="1:2" x14ac:dyDescent="0.25">
      <c r="A927" s="9" t="str">
        <f>IF('Frame Sections'!A942=0,"",'Frame Sections'!A942)</f>
        <v/>
      </c>
      <c r="B927" s="9" t="str">
        <f t="shared" si="14"/>
        <v/>
      </c>
    </row>
    <row r="928" spans="1:2" x14ac:dyDescent="0.25">
      <c r="A928" s="9" t="str">
        <f>IF('Frame Sections'!A943=0,"",'Frame Sections'!A943)</f>
        <v/>
      </c>
      <c r="B928" s="9" t="str">
        <f t="shared" si="14"/>
        <v/>
      </c>
    </row>
    <row r="929" spans="1:2" x14ac:dyDescent="0.25">
      <c r="A929" s="9" t="str">
        <f>IF('Frame Sections'!A944=0,"",'Frame Sections'!A944)</f>
        <v/>
      </c>
      <c r="B929" s="9" t="str">
        <f t="shared" si="14"/>
        <v/>
      </c>
    </row>
    <row r="930" spans="1:2" x14ac:dyDescent="0.25">
      <c r="A930" s="9" t="str">
        <f>IF('Frame Sections'!A945=0,"",'Frame Sections'!A945)</f>
        <v/>
      </c>
      <c r="B930" s="9" t="str">
        <f t="shared" si="14"/>
        <v/>
      </c>
    </row>
    <row r="931" spans="1:2" x14ac:dyDescent="0.25">
      <c r="A931" s="9" t="str">
        <f>IF('Frame Sections'!A946=0,"",'Frame Sections'!A946)</f>
        <v/>
      </c>
      <c r="B931" s="9" t="str">
        <f t="shared" si="14"/>
        <v/>
      </c>
    </row>
    <row r="932" spans="1:2" x14ac:dyDescent="0.25">
      <c r="A932" s="9" t="str">
        <f>IF('Frame Sections'!A947=0,"",'Frame Sections'!A947)</f>
        <v/>
      </c>
      <c r="B932" s="9" t="str">
        <f t="shared" si="14"/>
        <v/>
      </c>
    </row>
    <row r="933" spans="1:2" x14ac:dyDescent="0.25">
      <c r="A933" s="9" t="str">
        <f>IF('Frame Sections'!A948=0,"",'Frame Sections'!A948)</f>
        <v/>
      </c>
      <c r="B933" s="9" t="str">
        <f t="shared" si="14"/>
        <v/>
      </c>
    </row>
    <row r="934" spans="1:2" x14ac:dyDescent="0.25">
      <c r="A934" s="9" t="str">
        <f>IF('Frame Sections'!A949=0,"",'Frame Sections'!A949)</f>
        <v/>
      </c>
      <c r="B934" s="9" t="str">
        <f t="shared" si="14"/>
        <v/>
      </c>
    </row>
    <row r="935" spans="1:2" x14ac:dyDescent="0.25">
      <c r="A935" s="9" t="str">
        <f>IF('Frame Sections'!A950=0,"",'Frame Sections'!A950)</f>
        <v/>
      </c>
      <c r="B935" s="9" t="str">
        <f t="shared" si="14"/>
        <v/>
      </c>
    </row>
    <row r="936" spans="1:2" x14ac:dyDescent="0.25">
      <c r="A936" s="9" t="str">
        <f>IF('Frame Sections'!A951=0,"",'Frame Sections'!A951)</f>
        <v/>
      </c>
      <c r="B936" s="9" t="str">
        <f t="shared" si="14"/>
        <v/>
      </c>
    </row>
    <row r="937" spans="1:2" x14ac:dyDescent="0.25">
      <c r="A937" s="9" t="str">
        <f>IF('Frame Sections'!A952=0,"",'Frame Sections'!A952)</f>
        <v/>
      </c>
      <c r="B937" s="9" t="str">
        <f t="shared" si="14"/>
        <v/>
      </c>
    </row>
    <row r="938" spans="1:2" x14ac:dyDescent="0.25">
      <c r="A938" s="9" t="str">
        <f>IF('Frame Sections'!A953=0,"",'Frame Sections'!A953)</f>
        <v/>
      </c>
      <c r="B938" s="9" t="str">
        <f t="shared" si="14"/>
        <v/>
      </c>
    </row>
    <row r="939" spans="1:2" x14ac:dyDescent="0.25">
      <c r="A939" s="9" t="str">
        <f>IF('Frame Sections'!A954=0,"",'Frame Sections'!A954)</f>
        <v/>
      </c>
      <c r="B939" s="9" t="str">
        <f t="shared" si="14"/>
        <v/>
      </c>
    </row>
    <row r="940" spans="1:2" x14ac:dyDescent="0.25">
      <c r="A940" s="9" t="str">
        <f>IF('Frame Sections'!A955=0,"",'Frame Sections'!A955)</f>
        <v/>
      </c>
      <c r="B940" s="9" t="str">
        <f t="shared" si="14"/>
        <v/>
      </c>
    </row>
    <row r="941" spans="1:2" x14ac:dyDescent="0.25">
      <c r="A941" s="9" t="str">
        <f>IF('Frame Sections'!A956=0,"",'Frame Sections'!A956)</f>
        <v/>
      </c>
      <c r="B941" s="9" t="str">
        <f t="shared" si="14"/>
        <v/>
      </c>
    </row>
    <row r="942" spans="1:2" x14ac:dyDescent="0.25">
      <c r="A942" s="9" t="str">
        <f>IF('Frame Sections'!A957=0,"",'Frame Sections'!A957)</f>
        <v/>
      </c>
      <c r="B942" s="9" t="str">
        <f t="shared" si="14"/>
        <v/>
      </c>
    </row>
    <row r="943" spans="1:2" x14ac:dyDescent="0.25">
      <c r="A943" s="9" t="str">
        <f>IF('Frame Sections'!A958=0,"",'Frame Sections'!A958)</f>
        <v/>
      </c>
      <c r="B943" s="9" t="str">
        <f t="shared" si="14"/>
        <v/>
      </c>
    </row>
    <row r="944" spans="1:2" x14ac:dyDescent="0.25">
      <c r="A944" s="9" t="str">
        <f>IF('Frame Sections'!A959=0,"",'Frame Sections'!A959)</f>
        <v/>
      </c>
      <c r="B944" s="9" t="str">
        <f t="shared" si="14"/>
        <v/>
      </c>
    </row>
    <row r="945" spans="1:2" x14ac:dyDescent="0.25">
      <c r="A945" s="9" t="str">
        <f>IF('Frame Sections'!A960=0,"",'Frame Sections'!A960)</f>
        <v/>
      </c>
      <c r="B945" s="9" t="str">
        <f t="shared" si="14"/>
        <v/>
      </c>
    </row>
    <row r="946" spans="1:2" x14ac:dyDescent="0.25">
      <c r="A946" s="9" t="str">
        <f>IF('Frame Sections'!A961=0,"",'Frame Sections'!A961)</f>
        <v/>
      </c>
      <c r="B946" s="9" t="str">
        <f t="shared" si="14"/>
        <v/>
      </c>
    </row>
    <row r="947" spans="1:2" x14ac:dyDescent="0.25">
      <c r="A947" s="9" t="str">
        <f>IF('Frame Sections'!A962=0,"",'Frame Sections'!A962)</f>
        <v/>
      </c>
      <c r="B947" s="9" t="str">
        <f t="shared" si="14"/>
        <v/>
      </c>
    </row>
    <row r="948" spans="1:2" x14ac:dyDescent="0.25">
      <c r="A948" s="9" t="str">
        <f>IF('Frame Sections'!A963=0,"",'Frame Sections'!A963)</f>
        <v/>
      </c>
      <c r="B948" s="9" t="str">
        <f t="shared" si="14"/>
        <v/>
      </c>
    </row>
    <row r="949" spans="1:2" x14ac:dyDescent="0.25">
      <c r="A949" s="9" t="str">
        <f>IF('Frame Sections'!A964=0,"",'Frame Sections'!A964)</f>
        <v/>
      </c>
      <c r="B949" s="9" t="str">
        <f t="shared" si="14"/>
        <v/>
      </c>
    </row>
    <row r="950" spans="1:2" x14ac:dyDescent="0.25">
      <c r="A950" s="9" t="str">
        <f>IF('Frame Sections'!A965=0,"",'Frame Sections'!A965)</f>
        <v/>
      </c>
      <c r="B950" s="9" t="str">
        <f t="shared" si="14"/>
        <v/>
      </c>
    </row>
    <row r="951" spans="1:2" x14ac:dyDescent="0.25">
      <c r="A951" s="9" t="str">
        <f>IF('Frame Sections'!A966=0,"",'Frame Sections'!A966)</f>
        <v/>
      </c>
      <c r="B951" s="9" t="str">
        <f t="shared" si="14"/>
        <v/>
      </c>
    </row>
    <row r="952" spans="1:2" x14ac:dyDescent="0.25">
      <c r="A952" s="9" t="str">
        <f>IF('Frame Sections'!A967=0,"",'Frame Sections'!A967)</f>
        <v/>
      </c>
      <c r="B952" s="9" t="str">
        <f t="shared" si="14"/>
        <v/>
      </c>
    </row>
    <row r="953" spans="1:2" x14ac:dyDescent="0.25">
      <c r="A953" s="9" t="str">
        <f>IF('Frame Sections'!A968=0,"",'Frame Sections'!A968)</f>
        <v/>
      </c>
      <c r="B953" s="9" t="str">
        <f t="shared" si="14"/>
        <v/>
      </c>
    </row>
    <row r="954" spans="1:2" x14ac:dyDescent="0.25">
      <c r="A954" s="9" t="str">
        <f>IF('Frame Sections'!A969=0,"",'Frame Sections'!A969)</f>
        <v/>
      </c>
      <c r="B954" s="9" t="str">
        <f t="shared" si="14"/>
        <v/>
      </c>
    </row>
    <row r="955" spans="1:2" x14ac:dyDescent="0.25">
      <c r="A955" s="9" t="str">
        <f>IF('Frame Sections'!A970=0,"",'Frame Sections'!A970)</f>
        <v/>
      </c>
      <c r="B955" s="9" t="str">
        <f t="shared" si="14"/>
        <v/>
      </c>
    </row>
    <row r="956" spans="1:2" x14ac:dyDescent="0.25">
      <c r="A956" s="9" t="str">
        <f>IF('Frame Sections'!A971=0,"",'Frame Sections'!A971)</f>
        <v/>
      </c>
      <c r="B956" s="9" t="str">
        <f t="shared" si="14"/>
        <v/>
      </c>
    </row>
    <row r="957" spans="1:2" x14ac:dyDescent="0.25">
      <c r="A957" s="9" t="str">
        <f>IF('Frame Sections'!A972=0,"",'Frame Sections'!A972)</f>
        <v/>
      </c>
      <c r="B957" s="9" t="str">
        <f t="shared" si="14"/>
        <v/>
      </c>
    </row>
    <row r="958" spans="1:2" x14ac:dyDescent="0.25">
      <c r="A958" s="9" t="str">
        <f>IF('Frame Sections'!A973=0,"",'Frame Sections'!A973)</f>
        <v/>
      </c>
      <c r="B958" s="9" t="str">
        <f t="shared" si="14"/>
        <v/>
      </c>
    </row>
    <row r="959" spans="1:2" x14ac:dyDescent="0.25">
      <c r="A959" s="9" t="str">
        <f>IF('Frame Sections'!A974=0,"",'Frame Sections'!A974)</f>
        <v/>
      </c>
      <c r="B959" s="9" t="str">
        <f t="shared" si="14"/>
        <v/>
      </c>
    </row>
    <row r="960" spans="1:2" x14ac:dyDescent="0.25">
      <c r="A960" s="9" t="str">
        <f>IF('Frame Sections'!A975=0,"",'Frame Sections'!A975)</f>
        <v/>
      </c>
      <c r="B960" s="9" t="str">
        <f t="shared" si="14"/>
        <v/>
      </c>
    </row>
    <row r="961" spans="1:2" x14ac:dyDescent="0.25">
      <c r="A961" s="9" t="str">
        <f>IF('Frame Sections'!A976=0,"",'Frame Sections'!A976)</f>
        <v/>
      </c>
      <c r="B961" s="9" t="str">
        <f t="shared" si="14"/>
        <v/>
      </c>
    </row>
    <row r="962" spans="1:2" x14ac:dyDescent="0.25">
      <c r="A962" s="9" t="str">
        <f>IF('Frame Sections'!A977=0,"",'Frame Sections'!A977)</f>
        <v/>
      </c>
      <c r="B962" s="9" t="str">
        <f t="shared" ref="B962:B1001" si="15">IF(OR(A962=0,A962=""),"",VLOOKUP(A962,SecDB,5,FALSE))</f>
        <v/>
      </c>
    </row>
    <row r="963" spans="1:2" x14ac:dyDescent="0.25">
      <c r="A963" s="9" t="str">
        <f>IF('Frame Sections'!A978=0,"",'Frame Sections'!A978)</f>
        <v/>
      </c>
      <c r="B963" s="9" t="str">
        <f t="shared" si="15"/>
        <v/>
      </c>
    </row>
    <row r="964" spans="1:2" x14ac:dyDescent="0.25">
      <c r="A964" s="9" t="str">
        <f>IF('Frame Sections'!A979=0,"",'Frame Sections'!A979)</f>
        <v/>
      </c>
      <c r="B964" s="9" t="str">
        <f t="shared" si="15"/>
        <v/>
      </c>
    </row>
    <row r="965" spans="1:2" x14ac:dyDescent="0.25">
      <c r="A965" s="9" t="str">
        <f>IF('Frame Sections'!A980=0,"",'Frame Sections'!A980)</f>
        <v/>
      </c>
      <c r="B965" s="9" t="str">
        <f t="shared" si="15"/>
        <v/>
      </c>
    </row>
    <row r="966" spans="1:2" x14ac:dyDescent="0.25">
      <c r="A966" s="9" t="str">
        <f>IF('Frame Sections'!A981=0,"",'Frame Sections'!A981)</f>
        <v/>
      </c>
      <c r="B966" s="9" t="str">
        <f t="shared" si="15"/>
        <v/>
      </c>
    </row>
    <row r="967" spans="1:2" x14ac:dyDescent="0.25">
      <c r="A967" s="9" t="str">
        <f>IF('Frame Sections'!A982=0,"",'Frame Sections'!A982)</f>
        <v/>
      </c>
      <c r="B967" s="9" t="str">
        <f t="shared" si="15"/>
        <v/>
      </c>
    </row>
    <row r="968" spans="1:2" x14ac:dyDescent="0.25">
      <c r="A968" s="9" t="str">
        <f>IF('Frame Sections'!A983=0,"",'Frame Sections'!A983)</f>
        <v/>
      </c>
      <c r="B968" s="9" t="str">
        <f t="shared" si="15"/>
        <v/>
      </c>
    </row>
    <row r="969" spans="1:2" x14ac:dyDescent="0.25">
      <c r="A969" s="9" t="str">
        <f>IF('Frame Sections'!A984=0,"",'Frame Sections'!A984)</f>
        <v/>
      </c>
      <c r="B969" s="9" t="str">
        <f t="shared" si="15"/>
        <v/>
      </c>
    </row>
    <row r="970" spans="1:2" x14ac:dyDescent="0.25">
      <c r="A970" s="9" t="str">
        <f>IF('Frame Sections'!A985=0,"",'Frame Sections'!A985)</f>
        <v/>
      </c>
      <c r="B970" s="9" t="str">
        <f t="shared" si="15"/>
        <v/>
      </c>
    </row>
    <row r="971" spans="1:2" x14ac:dyDescent="0.25">
      <c r="A971" s="9" t="str">
        <f>IF('Frame Sections'!A986=0,"",'Frame Sections'!A986)</f>
        <v/>
      </c>
      <c r="B971" s="9" t="str">
        <f t="shared" si="15"/>
        <v/>
      </c>
    </row>
    <row r="972" spans="1:2" x14ac:dyDescent="0.25">
      <c r="A972" s="9" t="str">
        <f>IF('Frame Sections'!A987=0,"",'Frame Sections'!A987)</f>
        <v/>
      </c>
      <c r="B972" s="9" t="str">
        <f t="shared" si="15"/>
        <v/>
      </c>
    </row>
    <row r="973" spans="1:2" x14ac:dyDescent="0.25">
      <c r="A973" s="9" t="str">
        <f>IF('Frame Sections'!A988=0,"",'Frame Sections'!A988)</f>
        <v/>
      </c>
      <c r="B973" s="9" t="str">
        <f t="shared" si="15"/>
        <v/>
      </c>
    </row>
    <row r="974" spans="1:2" x14ac:dyDescent="0.25">
      <c r="A974" s="9" t="str">
        <f>IF('Frame Sections'!A989=0,"",'Frame Sections'!A989)</f>
        <v/>
      </c>
      <c r="B974" s="9" t="str">
        <f t="shared" si="15"/>
        <v/>
      </c>
    </row>
    <row r="975" spans="1:2" x14ac:dyDescent="0.25">
      <c r="A975" s="9" t="str">
        <f>IF('Frame Sections'!A990=0,"",'Frame Sections'!A990)</f>
        <v/>
      </c>
      <c r="B975" s="9" t="str">
        <f t="shared" si="15"/>
        <v/>
      </c>
    </row>
    <row r="976" spans="1:2" x14ac:dyDescent="0.25">
      <c r="A976" s="9" t="str">
        <f>IF('Frame Sections'!A991=0,"",'Frame Sections'!A991)</f>
        <v/>
      </c>
      <c r="B976" s="9" t="str">
        <f t="shared" si="15"/>
        <v/>
      </c>
    </row>
    <row r="977" spans="1:2" x14ac:dyDescent="0.25">
      <c r="A977" s="9" t="str">
        <f>IF('Frame Sections'!A992=0,"",'Frame Sections'!A992)</f>
        <v/>
      </c>
      <c r="B977" s="9" t="str">
        <f t="shared" si="15"/>
        <v/>
      </c>
    </row>
    <row r="978" spans="1:2" x14ac:dyDescent="0.25">
      <c r="A978" s="9" t="str">
        <f>IF('Frame Sections'!A993=0,"",'Frame Sections'!A993)</f>
        <v/>
      </c>
      <c r="B978" s="9" t="str">
        <f t="shared" si="15"/>
        <v/>
      </c>
    </row>
    <row r="979" spans="1:2" x14ac:dyDescent="0.25">
      <c r="A979" s="9" t="str">
        <f>IF('Frame Sections'!A994=0,"",'Frame Sections'!A994)</f>
        <v/>
      </c>
      <c r="B979" s="9" t="str">
        <f t="shared" si="15"/>
        <v/>
      </c>
    </row>
    <row r="980" spans="1:2" x14ac:dyDescent="0.25">
      <c r="A980" s="9" t="str">
        <f>IF('Frame Sections'!A995=0,"",'Frame Sections'!A995)</f>
        <v/>
      </c>
      <c r="B980" s="9" t="str">
        <f t="shared" si="15"/>
        <v/>
      </c>
    </row>
    <row r="981" spans="1:2" x14ac:dyDescent="0.25">
      <c r="A981" s="9" t="str">
        <f>IF('Frame Sections'!A996=0,"",'Frame Sections'!A996)</f>
        <v/>
      </c>
      <c r="B981" s="9" t="str">
        <f t="shared" si="15"/>
        <v/>
      </c>
    </row>
    <row r="982" spans="1:2" x14ac:dyDescent="0.25">
      <c r="A982" s="9" t="str">
        <f>IF('Frame Sections'!A997=0,"",'Frame Sections'!A997)</f>
        <v/>
      </c>
      <c r="B982" s="9" t="str">
        <f t="shared" si="15"/>
        <v/>
      </c>
    </row>
    <row r="983" spans="1:2" x14ac:dyDescent="0.25">
      <c r="A983" s="9" t="str">
        <f>IF('Frame Sections'!A998=0,"",'Frame Sections'!A998)</f>
        <v/>
      </c>
      <c r="B983" s="9" t="str">
        <f t="shared" si="15"/>
        <v/>
      </c>
    </row>
    <row r="984" spans="1:2" x14ac:dyDescent="0.25">
      <c r="A984" s="9" t="str">
        <f>IF('Frame Sections'!A999=0,"",'Frame Sections'!A999)</f>
        <v/>
      </c>
      <c r="B984" s="9" t="str">
        <f t="shared" si="15"/>
        <v/>
      </c>
    </row>
    <row r="985" spans="1:2" x14ac:dyDescent="0.25">
      <c r="A985" s="9" t="str">
        <f>IF('Frame Sections'!A1000=0,"",'Frame Sections'!A1000)</f>
        <v/>
      </c>
      <c r="B985" s="9" t="str">
        <f t="shared" si="15"/>
        <v/>
      </c>
    </row>
    <row r="986" spans="1:2" x14ac:dyDescent="0.25">
      <c r="A986" s="9" t="str">
        <f>IF('Frame Sections'!A1001=0,"",'Frame Sections'!A1001)</f>
        <v/>
      </c>
      <c r="B986" s="9" t="str">
        <f t="shared" si="15"/>
        <v/>
      </c>
    </row>
    <row r="987" spans="1:2" x14ac:dyDescent="0.25">
      <c r="A987" s="9" t="str">
        <f>IF('Frame Sections'!A1002=0,"",'Frame Sections'!A1002)</f>
        <v/>
      </c>
      <c r="B987" s="9" t="str">
        <f t="shared" si="15"/>
        <v/>
      </c>
    </row>
    <row r="988" spans="1:2" x14ac:dyDescent="0.25">
      <c r="A988" s="9" t="str">
        <f>IF('Frame Sections'!A1003=0,"",'Frame Sections'!A1003)</f>
        <v/>
      </c>
      <c r="B988" s="9" t="str">
        <f t="shared" si="15"/>
        <v/>
      </c>
    </row>
    <row r="989" spans="1:2" x14ac:dyDescent="0.25">
      <c r="A989" s="9" t="str">
        <f>IF('Frame Sections'!A1004=0,"",'Frame Sections'!A1004)</f>
        <v/>
      </c>
      <c r="B989" s="9" t="str">
        <f t="shared" si="15"/>
        <v/>
      </c>
    </row>
    <row r="990" spans="1:2" x14ac:dyDescent="0.25">
      <c r="A990" s="9" t="str">
        <f>IF('Frame Sections'!A1005=0,"",'Frame Sections'!A1005)</f>
        <v/>
      </c>
      <c r="B990" s="9" t="str">
        <f t="shared" si="15"/>
        <v/>
      </c>
    </row>
    <row r="991" spans="1:2" x14ac:dyDescent="0.25">
      <c r="A991" s="9" t="str">
        <f>IF('Frame Sections'!A1006=0,"",'Frame Sections'!A1006)</f>
        <v/>
      </c>
      <c r="B991" s="9" t="str">
        <f t="shared" si="15"/>
        <v/>
      </c>
    </row>
    <row r="992" spans="1:2" x14ac:dyDescent="0.25">
      <c r="A992" s="9" t="str">
        <f>IF('Frame Sections'!A1007=0,"",'Frame Sections'!A1007)</f>
        <v/>
      </c>
      <c r="B992" s="9" t="str">
        <f t="shared" si="15"/>
        <v/>
      </c>
    </row>
    <row r="993" spans="1:2" x14ac:dyDescent="0.25">
      <c r="A993" s="9" t="str">
        <f>IF('Frame Sections'!A1008=0,"",'Frame Sections'!A1008)</f>
        <v/>
      </c>
      <c r="B993" s="9" t="str">
        <f t="shared" si="15"/>
        <v/>
      </c>
    </row>
    <row r="994" spans="1:2" x14ac:dyDescent="0.25">
      <c r="A994" s="9" t="str">
        <f>IF('Frame Sections'!A1009=0,"",'Frame Sections'!A1009)</f>
        <v/>
      </c>
      <c r="B994" s="9" t="str">
        <f t="shared" si="15"/>
        <v/>
      </c>
    </row>
    <row r="995" spans="1:2" x14ac:dyDescent="0.25">
      <c r="A995" s="9" t="str">
        <f>IF('Frame Sections'!A1010=0,"",'Frame Sections'!A1010)</f>
        <v/>
      </c>
      <c r="B995" s="9" t="str">
        <f t="shared" si="15"/>
        <v/>
      </c>
    </row>
    <row r="996" spans="1:2" x14ac:dyDescent="0.25">
      <c r="A996" s="9" t="str">
        <f>IF('Frame Sections'!A1011=0,"",'Frame Sections'!A1011)</f>
        <v/>
      </c>
      <c r="B996" s="9" t="str">
        <f t="shared" si="15"/>
        <v/>
      </c>
    </row>
    <row r="997" spans="1:2" x14ac:dyDescent="0.25">
      <c r="A997" s="9" t="str">
        <f>IF('Frame Sections'!A1012=0,"",'Frame Sections'!A1012)</f>
        <v/>
      </c>
      <c r="B997" s="9" t="str">
        <f t="shared" si="15"/>
        <v/>
      </c>
    </row>
    <row r="998" spans="1:2" x14ac:dyDescent="0.25">
      <c r="A998" s="9" t="str">
        <f>IF('Frame Sections'!A1013=0,"",'Frame Sections'!A1013)</f>
        <v/>
      </c>
      <c r="B998" s="9" t="str">
        <f t="shared" si="15"/>
        <v/>
      </c>
    </row>
    <row r="999" spans="1:2" x14ac:dyDescent="0.25">
      <c r="A999" s="9" t="str">
        <f>IF('Frame Sections'!A1014=0,"",'Frame Sections'!A1014)</f>
        <v/>
      </c>
      <c r="B999" s="9" t="str">
        <f t="shared" si="15"/>
        <v/>
      </c>
    </row>
    <row r="1000" spans="1:2" x14ac:dyDescent="0.25">
      <c r="A1000" s="9" t="str">
        <f>IF('Frame Sections'!A1015=0,"",'Frame Sections'!A1015)</f>
        <v/>
      </c>
      <c r="B1000" s="9" t="str">
        <f t="shared" si="15"/>
        <v/>
      </c>
    </row>
    <row r="1001" spans="1:2" x14ac:dyDescent="0.25">
      <c r="A1001" s="9" t="str">
        <f>IF('Frame Sections'!A1016=0,"",'Frame Sections'!A1016)</f>
        <v/>
      </c>
      <c r="B1001" s="9" t="str">
        <f t="shared" si="15"/>
        <v/>
      </c>
    </row>
  </sheetData>
  <dataValidations count="4">
    <dataValidation allowBlank="1" showInputMessage="1" showErrorMessage="1" prompt="Element type. Automatically filled based on choosen base section" sqref="B2:B1048576" xr:uid="{971C0DD9-B9AA-4A44-A9E7-F494160C4DFB}"/>
    <dataValidation allowBlank="1" showInputMessage="1" showErrorMessage="1" prompt="Offset length at i-end_x000a__x000a_Notes:_x000a_1. Fill 0.0 value if there is no offset_x000a_2. Value should follow Default Units_x000a_" sqref="C2:C1048576" xr:uid="{14C3AE76-DB15-0544-8BB1-5F27DE6B3050}"/>
    <dataValidation allowBlank="1" showInputMessage="1" showErrorMessage="1" prompt="Offset length at j-end_x000a__x000a_Notes:_x000a_1. Fill 0.0 value if there is no offset_x000a_2. Value should follow Default Units_x000a__x000a_" sqref="D2:D1048576" xr:uid="{4BF4698C-AD81-BA43-95FC-3C01373B8910}"/>
    <dataValidation allowBlank="1" showInputMessage="1" showErrorMessage="1" prompt="Base section. Automatically filled based on frame section input" sqref="A2:A1048576" xr:uid="{FFBF2BF7-24E5-7348-B7A3-B92447ACCC5A}"/>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25</vt:i4>
      </vt:variant>
    </vt:vector>
  </HeadingPairs>
  <TitlesOfParts>
    <vt:vector size="46" baseType="lpstr">
      <vt:lpstr>Design Preferences</vt:lpstr>
      <vt:lpstr>ListDB</vt:lpstr>
      <vt:lpstr>Instructions</vt:lpstr>
      <vt:lpstr>Project Information</vt:lpstr>
      <vt:lpstr>User Defined Units</vt:lpstr>
      <vt:lpstr>Analysis Preferences</vt:lpstr>
      <vt:lpstr>Materials</vt:lpstr>
      <vt:lpstr>Mat_Concrete04</vt:lpstr>
      <vt:lpstr>Mat_Steel02</vt:lpstr>
      <vt:lpstr>Mat_MinMax</vt:lpstr>
      <vt:lpstr>Mat_IMK</vt:lpstr>
      <vt:lpstr>Frame Sections</vt:lpstr>
      <vt:lpstr>Sec_Fiber</vt:lpstr>
      <vt:lpstr>Sec_Aggregator</vt:lpstr>
      <vt:lpstr>Slab Sections</vt:lpstr>
      <vt:lpstr>Point Objects</vt:lpstr>
      <vt:lpstr>Line Objects</vt:lpstr>
      <vt:lpstr>Surface Objects</vt:lpstr>
      <vt:lpstr>Restraints</vt:lpstr>
      <vt:lpstr>Loads</vt:lpstr>
      <vt:lpstr>Element Offset</vt:lpstr>
      <vt:lpstr>Base_Mat</vt:lpstr>
      <vt:lpstr>Base_Mat_Conc</vt:lpstr>
      <vt:lpstr>Base_Mat_Steel</vt:lpstr>
      <vt:lpstr>Base_Sec</vt:lpstr>
      <vt:lpstr>Int_Type_Con</vt:lpstr>
      <vt:lpstr>Int_Type_Dist</vt:lpstr>
      <vt:lpstr>LC_Type</vt:lpstr>
      <vt:lpstr>Line_ID</vt:lpstr>
      <vt:lpstr>Mat_Name</vt:lpstr>
      <vt:lpstr>Mat_Type</vt:lpstr>
      <vt:lpstr>MatDB</vt:lpstr>
      <vt:lpstr>NL_Mat_Name</vt:lpstr>
      <vt:lpstr>Point_ID</vt:lpstr>
      <vt:lpstr>Sec_Name</vt:lpstr>
      <vt:lpstr>Sec_Shape</vt:lpstr>
      <vt:lpstr>SecDB</vt:lpstr>
      <vt:lpstr>SecFiberDB</vt:lpstr>
      <vt:lpstr>Slab_Sec</vt:lpstr>
      <vt:lpstr>Surface_ID</vt:lpstr>
      <vt:lpstr>Unit_Angle</vt:lpstr>
      <vt:lpstr>Unit_Force</vt:lpstr>
      <vt:lpstr>Unit_Length</vt:lpstr>
      <vt:lpstr>Unit_Mass</vt:lpstr>
      <vt:lpstr>Unit_Stress</vt:lpstr>
      <vt:lpstr>Unit_Time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Input file for modelling Revision 0.1</dc:title>
  <dc:creator>Wiciardo, Julian</dc:creator>
  <cp:keywords/>
  <cp:lastModifiedBy>Julian Wiciardo</cp:lastModifiedBy>
  <dcterms:created xsi:type="dcterms:W3CDTF">2026-05-20T13:34:35Z</dcterms:created>
  <dcterms:modified xsi:type="dcterms:W3CDTF">2026-07-15T19:06:15Z</dcterms:modified>
</cp:coreProperties>
</file>