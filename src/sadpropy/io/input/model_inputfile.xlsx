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wiciardo/Projects/SadProPy/src/sadpropy/io/input/"/>
    </mc:Choice>
  </mc:AlternateContent>
  <xr:revisionPtr revIDLastSave="0" documentId="13_ncr:1_{536CA0AF-77B4-7641-92E5-D5135C5C8ACA}" xr6:coauthVersionLast="47" xr6:coauthVersionMax="47" xr10:uidLastSave="{00000000-0000-0000-0000-000000000000}"/>
  <bookViews>
    <workbookView xWindow="0" yWindow="0" windowWidth="33600" windowHeight="21000" activeTab="4" xr2:uid="{59A5497E-26E6-41F2-97A3-F930024339A4}"/>
  </bookViews>
  <sheets>
    <sheet name="ListDB" sheetId="1" r:id="rId1"/>
    <sheet name="Design Preferences" sheetId="25" r:id="rId2"/>
    <sheet name="Instructions" sheetId="30" r:id="rId3"/>
    <sheet name="UnitweightDB" sheetId="2" r:id="rId4"/>
    <sheet name="Project Information" sheetId="20" r:id="rId5"/>
    <sheet name="System Units" sheetId="27" r:id="rId6"/>
    <sheet name="Analysis Preferences" sheetId="24" r:id="rId7"/>
    <sheet name="Point Objects" sheetId="26" r:id="rId8"/>
    <sheet name="Line Objects" sheetId="28" r:id="rId9"/>
    <sheet name="Surface Objects" sheetId="29" r:id="rId10"/>
    <sheet name="Materials" sheetId="5" r:id="rId11"/>
    <sheet name="Mat_Concrete04" sheetId="6" r:id="rId12"/>
    <sheet name="Mat_Steel02" sheetId="7" r:id="rId13"/>
    <sheet name="Mat_MinMax" sheetId="8" r:id="rId14"/>
    <sheet name="Mat_IMK" sheetId="9" r:id="rId15"/>
    <sheet name="Frame Sections" sheetId="10" r:id="rId16"/>
    <sheet name="Sec_Fiber" sheetId="11" r:id="rId17"/>
    <sheet name="Sec_Aggregator" sheetId="12" r:id="rId18"/>
    <sheet name="Slab Sections" sheetId="13" r:id="rId19"/>
    <sheet name="Element Offset" sheetId="16" r:id="rId20"/>
    <sheet name="Slabs" sheetId="17" r:id="rId21"/>
    <sheet name="Restraints" sheetId="18" r:id="rId22"/>
    <sheet name="Loads" sheetId="19" r:id="rId23"/>
  </sheets>
  <definedNames>
    <definedName name="Base_Mat">Materials!$A$2:$A$1001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Materials!$A$2:$E$1001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  <definedName name="Unitweight">UnitweightDB!$A$2:$B$1001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" i="5" l="1"/>
  <c r="C2" i="5"/>
  <c r="H3" i="5"/>
  <c r="G3" i="5"/>
  <c r="F3" i="5"/>
  <c r="H2" i="5"/>
  <c r="G2" i="5"/>
  <c r="F2" i="5"/>
  <c r="D2" i="1" l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2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E3" i="6"/>
  <c r="E2" i="6"/>
  <c r="I3" i="6" s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2" i="6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H2" i="7"/>
  <c r="H2" i="6"/>
  <c r="B3" i="2"/>
  <c r="E3" i="5" s="1"/>
  <c r="H3" i="6" l="1"/>
  <c r="C2" i="8" a="1"/>
  <c r="C2" i="8" s="1"/>
  <c r="I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<sst xmlns="http://schemas.openxmlformats.org/spreadsheetml/2006/main" count="394" uniqueCount="240">
  <si>
    <t>SI (N-m)</t>
  </si>
  <si>
    <t>Material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</si>
  <si>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</si>
  <si>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</si>
  <si>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</si>
  <si>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</si>
  <si>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</si>
  <si>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</si>
  <si>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</si>
  <si>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</si>
  <si>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</si>
  <si>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</si>
  <si>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</si>
  <si>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</si>
  <si>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</si>
  <si>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</si>
  <si>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</si>
  <si>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</si>
  <si>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</si>
  <si>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</si>
  <si>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</si>
  <si>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</si>
  <si>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</si>
  <si>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</si>
  <si>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</si>
  <si>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</si>
  <si>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</si>
  <si>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</si>
  <si>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</si>
  <si>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</si>
  <si>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</si>
  <si>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</si>
  <si>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</si>
  <si>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</si>
  <si>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</si>
  <si>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</si>
  <si>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</si>
  <si>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</si>
  <si>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</si>
  <si>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</si>
  <si>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</si>
  <si>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</si>
  <si>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</si>
  <si>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</si>
  <si>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</si>
  <si>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</si>
  <si>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</si>
  <si>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</si>
  <si>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</si>
  <si>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</si>
  <si>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</si>
  <si>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</si>
  <si>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</si>
  <si>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</si>
  <si>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</si>
  <si>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</si>
  <si>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</si>
  <si>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</si>
  <si>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</si>
  <si>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</si>
  <si>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</si>
  <si>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</si>
  <si>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</si>
  <si>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</si>
  <si>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</si>
  <si>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</si>
  <si>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</si>
  <si>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</si>
  <si>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</si>
  <si>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</si>
  <si>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</si>
  <si>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</si>
  <si>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</si>
  <si>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</si>
  <si>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</si>
  <si>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</si>
  <si>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</si>
  <si>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</si>
  <si>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</si>
  <si>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</si>
  <si>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</si>
  <si>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</si>
  <si>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</si>
  <si>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</si>
  <si>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</si>
  <si>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</si>
  <si>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</si>
  <si>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</si>
  <si>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</si>
  <si>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</si>
  <si>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</si>
  <si>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</si>
  <si>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</si>
  <si>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</si>
  <si>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</si>
  <si>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</si>
  <si>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</si>
  <si>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</si>
  <si>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</si>
  <si>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</si>
  <si>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</si>
  <si>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</si>
  <si>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</si>
  <si>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</si>
  <si>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</si>
  <si>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</si>
  <si>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</si>
  <si>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</si>
  <si>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</si>
  <si>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</si>
  <si>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</si>
  <si>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</si>
  <si>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</si>
  <si>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</si>
  <si>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</si>
  <si>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</si>
  <si>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</si>
  <si>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</si>
  <si>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</si>
  <si>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</si>
  <si>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</si>
  <si>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</si>
  <si>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</si>
  <si>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</si>
  <si>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</si>
  <si>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</si>
  <si>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</si>
  <si>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</si>
  <si>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</si>
  <si>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</si>
  <si>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</si>
  <si>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</si>
  <si>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</si>
  <si>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</si>
  <si>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</si>
  <si>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</si>
  <si>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</si>
  <si>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</si>
  <si>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</si>
  <si>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</si>
  <si>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</si>
  <si>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</si>
  <si>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</si>
  <si>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</si>
  <si>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</si>
  <si>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</si>
  <si>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</si>
  <si>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</si>
  <si>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</si>
  <si>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</si>
  <si>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</si>
  <si>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</si>
  <si>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</si>
  <si>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</si>
  <si>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</si>
  <si>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</si>
  <si>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</si>
  <si>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</si>
  <si>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</si>
  <si>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</si>
  <si>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</si>
  <si>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</si>
  <si>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</si>
  <si>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</si>
  <si>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</si>
  <si>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</si>
  <si>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</si>
  <si>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</si>
  <si>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</si>
  <si>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</si>
  <si>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</si>
  <si>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</si>
  <si>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</si>
  <si>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</si>
  <si>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</si>
  <si>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</si>
  <si>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</si>
  <si>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</si>
  <si>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</si>
  <si>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</si>
  <si>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</si>
  <si>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</si>
  <si>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</si>
  <si>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</si>
  <si>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</si>
  <si>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</si>
  <si>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</si>
  <si>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</si>
  <si>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</si>
  <si>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</si>
  <si>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</si>
  <si>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</si>
  <si>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</si>
  <si>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</si>
  <si>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</si>
  <si>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</si>
  <si>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</si>
  <si>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Name</t>
  </si>
  <si>
    <t>Type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</si>
  <si>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</si>
  <si>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</si>
  <si>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</si>
  <si>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</si>
  <si>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</si>
  <si>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</si>
  <si>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</si>
  <si>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</si>
  <si>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</si>
  <si>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</si>
  <si>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- Add material name and its unitweight in "Material" and "Unitweight" column, respectively</t>
  </si>
  <si>
    <t>- Value of unitweight should consistent with unit used in "System Units" sheet</t>
  </si>
  <si>
    <t>For adding unitweight of material that is unavailable in "UnitweightDB" sheet should follow this rule: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</si>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</sst>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0.0000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93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6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5" fillId="0" borderId="0" xfId="1" applyNumberFormat="1" applyFont="1"/>
    <xf numFmtId="0" fontId="5" fillId="0" borderId="0" xfId="0" applyFont="1"/>
    <xf numFmtId="2" fontId="5" fillId="0" borderId="0" xfId="0" applyNumberFormat="1" applyFont="1"/>
    <xf numFmtId="166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7" fontId="10" fillId="0" borderId="0" xfId="0" applyNumberFormat="1" applyFont="1"/>
    <xf numFmtId="49" fontId="5" fillId="0" borderId="0" xfId="0" applyNumberFormat="1" applyFont="1"/>
    <xf numFmtId="0" fontId="9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3" fillId="0" borderId="0" xfId="0" applyFont="1"/>
    <xf numFmtId="0" fontId="3" fillId="0" borderId="0" xfId="0" applyFont="1" applyAlignment="1">
      <alignment horizontal="center"/>
    </xf>
    <xf numFmtId="49" fontId="4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4" fillId="2" borderId="3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3" fillId="2" borderId="6" xfId="0" quotePrefix="1" applyFont="1" applyFill="1" applyBorder="1" applyAlignment="1">
      <alignment vertical="top"/>
    </xf>
    <xf numFmtId="0" fontId="4" fillId="2" borderId="7" xfId="0" applyFont="1" applyFill="1" applyBorder="1" applyAlignment="1">
      <alignment vertical="top"/>
    </xf>
    <xf numFmtId="0" fontId="3" fillId="0" borderId="1" xfId="0" applyFont="1" applyBorder="1" applyAlignment="1" applyProtection="1">
      <alignment vertical="top"/>
      <protection locked="0"/>
    </xf>
    <xf numFmtId="0" fontId="3" fillId="0" borderId="1" xfId="0" applyFont="1" applyBorder="1" applyAlignment="1" applyProtection="1">
      <alignment vertical="top" wrapText="1"/>
      <protection locked="0"/>
    </xf>
    <xf numFmtId="0" fontId="3" fillId="0" borderId="0" xfId="0" applyFont="1" applyAlignment="1">
      <alignment horizontal="left"/>
    </xf>
    <xf numFmtId="0" fontId="3" fillId="2" borderId="1" xfId="0" applyFont="1" applyFill="1" applyBorder="1" applyAlignment="1">
      <alignment vertical="top"/>
    </xf>
    <xf numFmtId="0" fontId="3" fillId="2" borderId="1" xfId="0" applyFont="1" applyFill="1" applyBorder="1"/>
    <xf numFmtId="49" fontId="4" fillId="0" borderId="1" xfId="0" applyNumberFormat="1" applyFont="1" applyBorder="1" applyAlignment="1" applyProtection="1">
      <alignment horizontal="center" vertical="top"/>
      <protection locked="0"/>
    </xf>
    <xf numFmtId="49" fontId="5" fillId="0" borderId="1" xfId="0" applyNumberFormat="1" applyFont="1" applyBorder="1" applyAlignment="1" applyProtection="1">
      <alignment horizontal="center"/>
      <protection locked="0"/>
    </xf>
    <xf numFmtId="0" fontId="3" fillId="2" borderId="4" xfId="0" quotePrefix="1" applyFont="1" applyFill="1" applyBorder="1" applyAlignment="1">
      <alignment vertical="top"/>
    </xf>
    <xf numFmtId="0" fontId="5" fillId="2" borderId="1" xfId="0" applyFont="1" applyFill="1" applyBorder="1"/>
    <xf numFmtId="0" fontId="5" fillId="0" borderId="1" xfId="0" applyFont="1" applyBorder="1" applyAlignment="1">
      <alignment horizontal="center"/>
    </xf>
    <xf numFmtId="2" fontId="5" fillId="0" borderId="1" xfId="1" applyNumberFormat="1" applyFont="1" applyBorder="1"/>
    <xf numFmtId="0" fontId="8" fillId="2" borderId="1" xfId="0" applyFont="1" applyFill="1" applyBorder="1" applyAlignment="1">
      <alignment horizontal="center"/>
    </xf>
    <xf numFmtId="0" fontId="8" fillId="2" borderId="1" xfId="1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3" fillId="0" borderId="0" xfId="0" quotePrefix="1" applyFont="1"/>
    <xf numFmtId="0" fontId="5" fillId="0" borderId="1" xfId="0" applyFont="1" applyBorder="1" applyAlignment="1" applyProtection="1">
      <alignment horizontal="center"/>
      <protection locked="0"/>
    </xf>
    <xf numFmtId="2" fontId="5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7" fontId="10" fillId="2" borderId="8" xfId="0" applyNumberFormat="1" applyFont="1" applyFill="1" applyBorder="1"/>
    <xf numFmtId="0" fontId="3" fillId="2" borderId="4" xfId="0" quotePrefix="1" applyFont="1" applyFill="1" applyBorder="1" applyAlignment="1">
      <alignment horizontal="left"/>
    </xf>
    <xf numFmtId="0" fontId="3" fillId="2" borderId="6" xfId="0" quotePrefix="1" applyFont="1" applyFill="1" applyBorder="1" applyAlignment="1">
      <alignment horizontal="left"/>
    </xf>
    <xf numFmtId="167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7" fontId="10" fillId="0" borderId="0" xfId="0" applyNumberFormat="1" applyFont="1" applyProtection="1">
      <protection locked="0"/>
    </xf>
    <xf numFmtId="0" fontId="5" fillId="0" borderId="0" xfId="0" applyFont="1" applyAlignment="1">
      <alignment horizontal="left"/>
    </xf>
    <xf numFmtId="167" fontId="10" fillId="2" borderId="0" xfId="0" applyNumberFormat="1" applyFont="1" applyFill="1"/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4" fillId="2" borderId="0" xfId="0" applyNumberFormat="1" applyFont="1" applyFill="1" applyAlignment="1">
      <alignment vertical="top"/>
    </xf>
    <xf numFmtId="0" fontId="4" fillId="2" borderId="0" xfId="0" applyFont="1" applyFill="1" applyAlignment="1">
      <alignment vertical="top"/>
    </xf>
    <xf numFmtId="49" fontId="4" fillId="2" borderId="8" xfId="0" applyNumberFormat="1" applyFont="1" applyFill="1" applyBorder="1" applyAlignment="1">
      <alignment vertical="top"/>
    </xf>
    <xf numFmtId="0" fontId="4" fillId="2" borderId="8" xfId="0" applyFont="1" applyFill="1" applyBorder="1" applyAlignment="1">
      <alignment vertical="top"/>
    </xf>
    <xf numFmtId="49" fontId="4" fillId="2" borderId="9" xfId="0" applyNumberFormat="1" applyFont="1" applyFill="1" applyBorder="1" applyAlignment="1">
      <alignment vertical="top"/>
    </xf>
    <xf numFmtId="0" fontId="4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5" fillId="2" borderId="8" xfId="0" applyFont="1" applyFill="1" applyBorder="1" applyAlignment="1">
      <alignment horizontal="center"/>
    </xf>
    <xf numFmtId="0" fontId="5" fillId="2" borderId="8" xfId="0" applyFont="1" applyFill="1" applyBorder="1"/>
    <xf numFmtId="0" fontId="5" fillId="2" borderId="3" xfId="0" applyFont="1" applyFill="1" applyBorder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5" xfId="0" applyFont="1" applyFill="1" applyBorder="1"/>
    <xf numFmtId="0" fontId="5" fillId="2" borderId="9" xfId="0" applyFont="1" applyFill="1" applyBorder="1" applyAlignment="1">
      <alignment horizontal="center"/>
    </xf>
    <xf numFmtId="0" fontId="5" fillId="2" borderId="9" xfId="0" applyFont="1" applyFill="1" applyBorder="1"/>
    <xf numFmtId="0" fontId="5" fillId="2" borderId="7" xfId="0" applyFont="1" applyFill="1" applyBorder="1"/>
    <xf numFmtId="0" fontId="5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2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4" xfId="0" quotePrefix="1" applyFont="1" applyFill="1" applyBorder="1" applyAlignment="1">
      <alignment horizontal="left"/>
    </xf>
    <xf numFmtId="0" fontId="1" fillId="2" borderId="6" xfId="0" quotePrefix="1" applyFont="1" applyFill="1" applyBorder="1" applyAlignment="1">
      <alignment horizontal="left"/>
    </xf>
    <xf numFmtId="0" fontId="10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zoomScale="130" zoomScaleNormal="130" workbookViewId="0">
      <selection activeCell="I19" sqref="I19"/>
    </sheetView>
  </sheetViews>
  <sheetFormatPr baseColWidth="10" defaultColWidth="9.1640625" defaultRowHeight="16" x14ac:dyDescent="0.2"/>
  <cols>
    <col min="1" max="1" width="20.83203125" style="8" customWidth="1"/>
    <col min="2" max="16" width="20.6640625" style="8" customWidth="1"/>
    <col min="17" max="16384" width="9.1640625" style="8"/>
  </cols>
  <sheetData>
    <row r="1" spans="1:16" s="7" customFormat="1" ht="51" x14ac:dyDescent="0.2">
      <c r="A1" s="5" t="s">
        <v>9</v>
      </c>
      <c r="B1" s="5" t="s">
        <v>11</v>
      </c>
      <c r="C1" s="5" t="s">
        <v>154</v>
      </c>
      <c r="D1" s="5" t="s">
        <v>155</v>
      </c>
      <c r="E1" s="5" t="s">
        <v>34</v>
      </c>
      <c r="F1" s="6" t="s">
        <v>69</v>
      </c>
      <c r="G1" s="6" t="s">
        <v>70</v>
      </c>
      <c r="H1" s="5" t="s">
        <v>73</v>
      </c>
      <c r="I1" s="5" t="s">
        <v>74</v>
      </c>
      <c r="J1" s="5" t="s">
        <v>75</v>
      </c>
      <c r="K1" s="5" t="s">
        <v>163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</row>
    <row r="2" spans="1:16" x14ac:dyDescent="0.2">
      <c r="A2" s="8" t="s">
        <v>3</v>
      </c>
      <c r="B2" s="8" t="str" cm="1">
        <f t="array" ref="B2:B7">_xlfn.LET(_xlpm.data, _xlfn.VSTACK(Materials!$A$2:$A$1001,Mat_Concrete04!$A$2:$A$1001,Mat_Steel02!$A$2:$A$1001,Mat_IMK!$A$2:$A$1001), _xlfn._xlws.FILTER(_xlpm.data, _xlpm.data&lt;&gt;""))</f>
        <v>RC30</v>
      </c>
      <c r="C2" s="8" t="str" cm="1">
        <f t="array" ref="C2">_xlfn._xlws.FILTER(Materials!A2:A1001,(Materials!B2:B1001="Concrete")*(Materials!A2:A1001&lt;&gt;""))</f>
        <v>RC30</v>
      </c>
      <c r="D2" s="8" t="str" cm="1">
        <f t="array" ref="D2">_xlfn._xlws.FILTER(Materials!A2:A1001,((Materials!B2:B1001="Rebar")+(Materials!B2:B1001="Steel"))*(Materials!A2:A1001&lt;&gt;""))</f>
        <v>Rebar420</v>
      </c>
      <c r="E2" s="8" t="str" cm="1">
        <f t="array" ref="E2:E4">_xlfn.LET(_xlpm.data, _xlfn.VSTACK(Mat_Concrete04!$A$2:$A$1001,Mat_Steel02!$A$2:$A$1001), _xlfn._xlws.FILTER(_xlpm.data, _xlpm.data&lt;&gt;""))</f>
        <v>RC Unconfined</v>
      </c>
      <c r="F2" s="8" t="s">
        <v>71</v>
      </c>
      <c r="G2" s="8" t="s">
        <v>72</v>
      </c>
      <c r="H2" s="8" t="s">
        <v>76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77</v>
      </c>
      <c r="K2" s="27" t="s">
        <v>169</v>
      </c>
      <c r="L2" s="27" t="s">
        <v>176</v>
      </c>
      <c r="M2" s="27" t="s">
        <v>181</v>
      </c>
      <c r="N2" s="27" t="s">
        <v>186</v>
      </c>
      <c r="O2" s="27" t="s">
        <v>194</v>
      </c>
      <c r="P2" s="27" t="s">
        <v>195</v>
      </c>
    </row>
    <row r="3" spans="1:16" x14ac:dyDescent="0.2">
      <c r="A3" s="8" t="s">
        <v>4</v>
      </c>
      <c r="B3" s="8" t="str">
        <v>Rebar420</v>
      </c>
      <c r="E3" s="8" t="str">
        <v>RC Confined</v>
      </c>
      <c r="I3" s="8" t="str">
        <v>B1</v>
      </c>
      <c r="J3" s="8" t="s">
        <v>78</v>
      </c>
      <c r="K3" s="27" t="s">
        <v>170</v>
      </c>
      <c r="L3" s="27" t="s">
        <v>177</v>
      </c>
      <c r="M3" s="27" t="s">
        <v>182</v>
      </c>
      <c r="N3" s="27" t="s">
        <v>187</v>
      </c>
      <c r="O3" s="27" t="s">
        <v>208</v>
      </c>
      <c r="P3" s="27" t="s">
        <v>196</v>
      </c>
    </row>
    <row r="4" spans="1:16" x14ac:dyDescent="0.2">
      <c r="A4" s="8" t="s">
        <v>10</v>
      </c>
      <c r="B4" s="8" t="str">
        <v>RC Unconfined</v>
      </c>
      <c r="E4" s="8" t="str">
        <v>Rebar420NL</v>
      </c>
      <c r="I4" s="8" t="str">
        <v>C1_Fiber</v>
      </c>
      <c r="J4" s="8" t="s">
        <v>79</v>
      </c>
      <c r="K4" s="27" t="s">
        <v>171</v>
      </c>
      <c r="L4" s="27" t="s">
        <v>178</v>
      </c>
      <c r="M4" s="27" t="s">
        <v>183</v>
      </c>
      <c r="N4" s="27" t="s">
        <v>188</v>
      </c>
    </row>
    <row r="5" spans="1:16" x14ac:dyDescent="0.2">
      <c r="B5" s="8" t="str">
        <v>RC Confined</v>
      </c>
      <c r="I5" s="8" t="str">
        <v>C1_Fiber_Agg</v>
      </c>
      <c r="J5" s="8" t="s">
        <v>15</v>
      </c>
      <c r="K5" s="27" t="s">
        <v>172</v>
      </c>
      <c r="L5" s="27" t="s">
        <v>179</v>
      </c>
      <c r="M5" s="27" t="s">
        <v>184</v>
      </c>
      <c r="N5" s="27" t="s">
        <v>189</v>
      </c>
    </row>
    <row r="6" spans="1:16" x14ac:dyDescent="0.2">
      <c r="B6" s="8" t="str">
        <v>Rebar420NL</v>
      </c>
      <c r="J6" s="8" t="s">
        <v>80</v>
      </c>
      <c r="K6" s="27" t="s">
        <v>173</v>
      </c>
      <c r="L6" s="27" t="s">
        <v>180</v>
      </c>
      <c r="M6" s="27" t="s">
        <v>185</v>
      </c>
      <c r="N6" s="27" t="s">
        <v>190</v>
      </c>
    </row>
    <row r="7" spans="1:16" x14ac:dyDescent="0.2">
      <c r="B7" s="8" t="str">
        <v>Beam Hinge</v>
      </c>
      <c r="K7" s="27" t="s">
        <v>174</v>
      </c>
      <c r="N7" s="27" t="s">
        <v>191</v>
      </c>
    </row>
    <row r="8" spans="1:16" x14ac:dyDescent="0.2">
      <c r="K8" s="27" t="s">
        <v>175</v>
      </c>
      <c r="N8" s="27" t="s">
        <v>192</v>
      </c>
    </row>
    <row r="9" spans="1:16" x14ac:dyDescent="0.2">
      <c r="N9" s="27" t="s">
        <v>193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baseColWidth="10" defaultColWidth="10.83203125" defaultRowHeight="16" x14ac:dyDescent="0.2"/>
  <cols>
    <col min="1" max="1" width="20.83203125" style="24" customWidth="1"/>
    <col min="2" max="2" width="50.83203125" style="24" customWidth="1"/>
    <col min="3" max="16384" width="10.83203125" style="24"/>
  </cols>
  <sheetData>
    <row r="1" spans="1:2" s="23" customFormat="1" x14ac:dyDescent="0.2">
      <c r="A1" s="23" t="s">
        <v>147</v>
      </c>
      <c r="B1" s="23" t="s">
        <v>6</v>
      </c>
    </row>
    <row r="2" spans="1:2" x14ac:dyDescent="0.2">
      <c r="A2" s="24" t="s">
        <v>148</v>
      </c>
      <c r="B2" s="24" t="s">
        <v>150</v>
      </c>
    </row>
    <row r="3" spans="1:2" ht="50" customHeight="1" x14ac:dyDescent="0.2">
      <c r="A3" s="24" t="s">
        <v>149</v>
      </c>
      <c r="B3" s="25" t="s">
        <v>151</v>
      </c>
    </row>
    <row r="4" spans="1:2" x14ac:dyDescent="0.2">
      <c r="A4" s="24" t="s">
        <v>5</v>
      </c>
      <c r="B4" s="24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I12" sqref="I12"/>
    </sheetView>
  </sheetViews>
  <sheetFormatPr baseColWidth="10" defaultColWidth="9.1640625" defaultRowHeight="16" x14ac:dyDescent="0.2"/>
  <cols>
    <col min="1" max="1" width="4.6640625" style="27" customWidth="1"/>
    <col min="2" max="16384" width="9.1640625" style="26"/>
  </cols>
  <sheetData>
    <row r="1" spans="1:2" x14ac:dyDescent="0.2">
      <c r="A1" s="38" t="s">
        <v>203</v>
      </c>
    </row>
    <row r="2" spans="1:2" x14ac:dyDescent="0.2">
      <c r="A2" s="27">
        <v>1</v>
      </c>
      <c r="B2" s="26" t="s">
        <v>205</v>
      </c>
    </row>
    <row r="3" spans="1:2" x14ac:dyDescent="0.2">
      <c r="A3" s="27">
        <v>2</v>
      </c>
      <c r="B3" s="26" t="s">
        <v>206</v>
      </c>
    </row>
    <row r="4" spans="1:2" x14ac:dyDescent="0.2">
      <c r="A4" s="27">
        <v>3</v>
      </c>
      <c r="B4" s="26" t="s">
        <v>207</v>
      </c>
    </row>
    <row r="5" spans="1:2" x14ac:dyDescent="0.2">
      <c r="A5" s="27">
        <v>4</v>
      </c>
      <c r="B5" s="26" t="s">
        <v>211</v>
      </c>
    </row>
    <row r="6" spans="1:2" x14ac:dyDescent="0.2">
      <c r="B6" s="50" t="s">
        <v>209</v>
      </c>
    </row>
    <row r="7" spans="1:2" x14ac:dyDescent="0.2">
      <c r="B7" s="50" t="s">
        <v>210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3C3E-5796-45F9-AA1A-3C3B1E61E297}">
  <sheetPr codeName="Sheet2"/>
  <dimension ref="A1:B31"/>
  <sheetViews>
    <sheetView zoomScale="130" zoomScaleNormal="130" workbookViewId="0">
      <selection activeCell="A26" sqref="A26"/>
    </sheetView>
  </sheetViews>
  <sheetFormatPr baseColWidth="10" defaultColWidth="8.83203125" defaultRowHeight="16" x14ac:dyDescent="0.2"/>
  <cols>
    <col min="1" max="1" width="25.6640625" style="8" customWidth="1"/>
    <col min="2" max="2" width="15.6640625" style="10" customWidth="1"/>
    <col min="3" max="16384" width="8.83203125" style="11"/>
  </cols>
  <sheetData>
    <row r="1" spans="1:2" s="8" customFormat="1" x14ac:dyDescent="0.2">
      <c r="A1" s="47" t="s">
        <v>1</v>
      </c>
      <c r="B1" s="48" t="s">
        <v>2</v>
      </c>
    </row>
    <row r="2" spans="1:2" x14ac:dyDescent="0.2">
      <c r="A2" s="49" t="s">
        <v>3</v>
      </c>
      <c r="B2" s="46">
        <v>23.6</v>
      </c>
    </row>
    <row r="3" spans="1:2" x14ac:dyDescent="0.2">
      <c r="A3" s="49" t="s">
        <v>4</v>
      </c>
      <c r="B3" s="46">
        <f>7850*9.80665/1000</f>
        <v>76.9822025</v>
      </c>
    </row>
    <row r="4" spans="1:2" x14ac:dyDescent="0.2">
      <c r="A4" s="45"/>
      <c r="B4" s="46"/>
    </row>
    <row r="5" spans="1:2" x14ac:dyDescent="0.2">
      <c r="A5" s="45"/>
      <c r="B5" s="46"/>
    </row>
    <row r="6" spans="1:2" x14ac:dyDescent="0.2">
      <c r="A6" s="45"/>
      <c r="B6" s="46"/>
    </row>
    <row r="7" spans="1:2" x14ac:dyDescent="0.2">
      <c r="A7" s="45"/>
      <c r="B7" s="46"/>
    </row>
    <row r="8" spans="1:2" x14ac:dyDescent="0.2">
      <c r="A8" s="45"/>
      <c r="B8" s="46"/>
    </row>
    <row r="9" spans="1:2" x14ac:dyDescent="0.2">
      <c r="A9" s="45"/>
      <c r="B9" s="46"/>
    </row>
    <row r="10" spans="1:2" x14ac:dyDescent="0.2">
      <c r="A10" s="45"/>
      <c r="B10" s="46"/>
    </row>
    <row r="11" spans="1:2" x14ac:dyDescent="0.2">
      <c r="A11" s="45"/>
      <c r="B11" s="46"/>
    </row>
    <row r="12" spans="1:2" x14ac:dyDescent="0.2">
      <c r="A12" s="45"/>
      <c r="B12" s="46"/>
    </row>
    <row r="13" spans="1:2" x14ac:dyDescent="0.2">
      <c r="A13" s="45"/>
      <c r="B13" s="46"/>
    </row>
    <row r="14" spans="1:2" x14ac:dyDescent="0.2">
      <c r="A14" s="45"/>
      <c r="B14" s="46"/>
    </row>
    <row r="15" spans="1:2" x14ac:dyDescent="0.2">
      <c r="A15" s="45"/>
      <c r="B15" s="46"/>
    </row>
    <row r="16" spans="1:2" x14ac:dyDescent="0.2">
      <c r="A16" s="45"/>
      <c r="B16" s="46"/>
    </row>
    <row r="17" spans="1:2" x14ac:dyDescent="0.2">
      <c r="A17" s="45"/>
      <c r="B17" s="46"/>
    </row>
    <row r="18" spans="1:2" x14ac:dyDescent="0.2">
      <c r="A18" s="45"/>
      <c r="B18" s="46"/>
    </row>
    <row r="19" spans="1:2" x14ac:dyDescent="0.2">
      <c r="A19" s="45"/>
      <c r="B19" s="46"/>
    </row>
    <row r="20" spans="1:2" x14ac:dyDescent="0.2">
      <c r="A20" s="45"/>
      <c r="B20" s="46"/>
    </row>
    <row r="21" spans="1:2" x14ac:dyDescent="0.2">
      <c r="A21" s="45"/>
      <c r="B21" s="46"/>
    </row>
    <row r="22" spans="1:2" x14ac:dyDescent="0.2">
      <c r="A22" s="45"/>
      <c r="B22" s="46"/>
    </row>
    <row r="23" spans="1:2" x14ac:dyDescent="0.2">
      <c r="A23" s="45"/>
      <c r="B23" s="46"/>
    </row>
    <row r="24" spans="1:2" x14ac:dyDescent="0.2">
      <c r="A24" s="45"/>
      <c r="B24" s="46"/>
    </row>
    <row r="25" spans="1:2" x14ac:dyDescent="0.2">
      <c r="A25" s="45"/>
      <c r="B25" s="46"/>
    </row>
    <row r="26" spans="1:2" x14ac:dyDescent="0.2">
      <c r="A26" s="45"/>
      <c r="B26" s="46"/>
    </row>
    <row r="27" spans="1:2" x14ac:dyDescent="0.2">
      <c r="A27" s="45"/>
      <c r="B27" s="46"/>
    </row>
    <row r="28" spans="1:2" x14ac:dyDescent="0.2">
      <c r="A28" s="45"/>
      <c r="B28" s="46"/>
    </row>
    <row r="29" spans="1:2" x14ac:dyDescent="0.2">
      <c r="A29" s="45"/>
      <c r="B29" s="46"/>
    </row>
    <row r="30" spans="1:2" x14ac:dyDescent="0.2">
      <c r="A30" s="45"/>
      <c r="B30" s="46"/>
    </row>
    <row r="31" spans="1:2" x14ac:dyDescent="0.2">
      <c r="A31" s="45"/>
      <c r="B31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tabSelected="1" zoomScale="130" zoomScaleNormal="130" workbookViewId="0">
      <selection activeCell="B7" sqref="B7"/>
    </sheetView>
  </sheetViews>
  <sheetFormatPr baseColWidth="10" defaultColWidth="10.83203125" defaultRowHeight="16" x14ac:dyDescent="0.2"/>
  <cols>
    <col min="1" max="1" width="30.6640625" style="24" customWidth="1"/>
    <col min="2" max="2" width="50.6640625" style="24" customWidth="1"/>
    <col min="3" max="16384" width="10.83203125" style="24"/>
  </cols>
  <sheetData>
    <row r="1" spans="1:2" x14ac:dyDescent="0.2">
      <c r="A1" s="31" t="s">
        <v>204</v>
      </c>
      <c r="B1" s="32"/>
    </row>
    <row r="2" spans="1:2" x14ac:dyDescent="0.2">
      <c r="A2" s="43" t="s">
        <v>222</v>
      </c>
      <c r="B2" s="33"/>
    </row>
    <row r="3" spans="1:2" x14ac:dyDescent="0.2">
      <c r="A3" s="34" t="s">
        <v>223</v>
      </c>
      <c r="B3" s="35"/>
    </row>
    <row r="5" spans="1:2" s="23" customFormat="1" x14ac:dyDescent="0.2">
      <c r="A5" s="29" t="s">
        <v>156</v>
      </c>
      <c r="B5" s="29" t="s">
        <v>6</v>
      </c>
    </row>
    <row r="6" spans="1:2" x14ac:dyDescent="0.2">
      <c r="A6" s="30" t="s">
        <v>148</v>
      </c>
      <c r="B6" s="36" t="s">
        <v>150</v>
      </c>
    </row>
    <row r="7" spans="1:2" ht="50" customHeight="1" x14ac:dyDescent="0.2">
      <c r="A7" s="39" t="s">
        <v>149</v>
      </c>
      <c r="B7" s="37" t="s">
        <v>151</v>
      </c>
    </row>
  </sheetData>
  <sheetProtection algorithmName="SHA-512" hashValue="zPx7MeZ2b8Ld9SA52kpgh1NpGwaiXeig5rs6Hq+RDAAAIVfCd06QpbdjEw1qbqPIAmw8v2KSclBkbujhFzP+KA==" saltValue="FGLtVEEkJtUPhVgnQTvccg==" spinCount="100000" sheet="1" objects="1" scenarios="1"/>
  <dataValidations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D15"/>
  <sheetViews>
    <sheetView zoomScale="130" zoomScaleNormal="130" workbookViewId="0">
      <selection activeCell="B26" sqref="B26"/>
    </sheetView>
  </sheetViews>
  <sheetFormatPr baseColWidth="10" defaultColWidth="10.83203125" defaultRowHeight="16" x14ac:dyDescent="0.2"/>
  <cols>
    <col min="1" max="1" width="30.6640625" style="24" customWidth="1"/>
    <col min="2" max="2" width="10.6640625" style="28" customWidth="1"/>
    <col min="3" max="16384" width="10.83203125" style="24"/>
  </cols>
  <sheetData>
    <row r="1" spans="1:4" x14ac:dyDescent="0.2">
      <c r="A1" s="31" t="s">
        <v>204</v>
      </c>
      <c r="B1" s="69"/>
      <c r="C1" s="70"/>
      <c r="D1" s="32"/>
    </row>
    <row r="2" spans="1:4" x14ac:dyDescent="0.2">
      <c r="A2" s="43" t="s">
        <v>214</v>
      </c>
      <c r="B2" s="67"/>
      <c r="C2" s="68"/>
      <c r="D2" s="33"/>
    </row>
    <row r="3" spans="1:4" x14ac:dyDescent="0.2">
      <c r="A3" s="43" t="s">
        <v>215</v>
      </c>
      <c r="B3" s="67"/>
      <c r="C3" s="68"/>
      <c r="D3" s="33"/>
    </row>
    <row r="4" spans="1:4" x14ac:dyDescent="0.2">
      <c r="A4" s="43" t="s">
        <v>216</v>
      </c>
      <c r="B4" s="67"/>
      <c r="C4" s="68"/>
      <c r="D4" s="33"/>
    </row>
    <row r="5" spans="1:4" x14ac:dyDescent="0.2">
      <c r="A5" s="43" t="s">
        <v>217</v>
      </c>
      <c r="B5" s="67"/>
      <c r="C5" s="68"/>
      <c r="D5" s="33"/>
    </row>
    <row r="6" spans="1:4" x14ac:dyDescent="0.2">
      <c r="A6" s="43" t="s">
        <v>218</v>
      </c>
      <c r="B6" s="67"/>
      <c r="C6" s="68"/>
      <c r="D6" s="33"/>
    </row>
    <row r="7" spans="1:4" x14ac:dyDescent="0.2">
      <c r="A7" s="34" t="s">
        <v>219</v>
      </c>
      <c r="B7" s="71"/>
      <c r="C7" s="72"/>
      <c r="D7" s="35"/>
    </row>
    <row r="9" spans="1:4" s="23" customFormat="1" x14ac:dyDescent="0.2">
      <c r="A9" s="29" t="s">
        <v>156</v>
      </c>
      <c r="B9" s="29" t="s">
        <v>6</v>
      </c>
    </row>
    <row r="10" spans="1:4" x14ac:dyDescent="0.2">
      <c r="A10" s="39" t="s">
        <v>157</v>
      </c>
      <c r="B10" s="41" t="s">
        <v>170</v>
      </c>
    </row>
    <row r="11" spans="1:4" x14ac:dyDescent="0.2">
      <c r="A11" s="40" t="s">
        <v>158</v>
      </c>
      <c r="B11" s="42" t="s">
        <v>176</v>
      </c>
    </row>
    <row r="12" spans="1:4" x14ac:dyDescent="0.2">
      <c r="A12" s="39" t="s">
        <v>159</v>
      </c>
      <c r="B12" s="41" t="s">
        <v>181</v>
      </c>
    </row>
    <row r="13" spans="1:4" x14ac:dyDescent="0.2">
      <c r="A13" s="39" t="s">
        <v>160</v>
      </c>
      <c r="B13" s="41" t="s">
        <v>188</v>
      </c>
    </row>
    <row r="14" spans="1:4" x14ac:dyDescent="0.2">
      <c r="A14" s="39" t="s">
        <v>161</v>
      </c>
      <c r="B14" s="41" t="s">
        <v>194</v>
      </c>
    </row>
    <row r="15" spans="1:4" x14ac:dyDescent="0.2">
      <c r="A15" s="39" t="s">
        <v>162</v>
      </c>
      <c r="B15" s="41" t="s">
        <v>195</v>
      </c>
    </row>
  </sheetData>
  <sheetProtection algorithmName="SHA-512" hashValue="UUMMmK1uEkkMvXVIrqiBx9YY1UgIn9WwhqYNrXcY3n2qkJdy9VBGo1YxU2mTLpYRax/94PW/rkrZhXdCU9MRug==" saltValue="tn+JywnTZbGG2lrlSoxCzQ==" spinCount="100000" sheet="1" objects="1" scenarios="1"/>
  <dataValidations count="6">
    <dataValidation type="list" allowBlank="1" showInputMessage="1" showErrorMessage="1" error="Choose from the list" sqref="B11" xr:uid="{3BF2FAD2-37CF-DC4C-B720-2E3955E2CAE3}">
      <formula1>Unit_Length</formula1>
    </dataValidation>
    <dataValidation type="list" allowBlank="1" showInputMessage="1" showErrorMessage="1" error="Choose from the list" sqref="B10" xr:uid="{259C4A1C-5B1C-A44C-86F3-031113FC5BE1}">
      <formula1>Unit_Force</formula1>
    </dataValidation>
    <dataValidation type="list" allowBlank="1" showInputMessage="1" showErrorMessage="1" error="Choose from the list" sqref="B12" xr:uid="{B21DDB7C-EA9F-F14B-974F-DE7FE91D51EA}">
      <formula1>Unit_Mass</formula1>
    </dataValidation>
    <dataValidation type="list" allowBlank="1" showInputMessage="1" showErrorMessage="1" error="Choose from the list" sqref="B13" xr:uid="{6AC22124-E482-8744-B0B8-B06BA60EBE34}">
      <formula1>Unit_Stress</formula1>
    </dataValidation>
    <dataValidation type="list" allowBlank="1" showInputMessage="1" showErrorMessage="1" error="Choose from the list" sqref="B14" xr:uid="{4411A7DB-7B40-5C4D-80C0-3149645923B6}">
      <formula1>Unit_Time</formula1>
    </dataValidation>
    <dataValidation type="list" allowBlank="1" showInputMessage="1" showErrorMessage="1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C9"/>
  <sheetViews>
    <sheetView zoomScale="130" zoomScaleNormal="130" workbookViewId="0">
      <selection activeCell="D15" sqref="D15"/>
    </sheetView>
  </sheetViews>
  <sheetFormatPr baseColWidth="10" defaultColWidth="10.83203125" defaultRowHeight="16" x14ac:dyDescent="0.2"/>
  <cols>
    <col min="1" max="1" width="60.6640625" style="24" customWidth="1"/>
    <col min="2" max="2" width="10.6640625" style="24" customWidth="1"/>
    <col min="3" max="16384" width="10.83203125" style="24"/>
  </cols>
  <sheetData>
    <row r="1" spans="1:3" x14ac:dyDescent="0.2">
      <c r="A1" s="31" t="s">
        <v>204</v>
      </c>
      <c r="B1" s="70"/>
      <c r="C1" s="32"/>
    </row>
    <row r="2" spans="1:3" x14ac:dyDescent="0.2">
      <c r="A2" s="43" t="s">
        <v>220</v>
      </c>
      <c r="B2" s="68"/>
      <c r="C2" s="33"/>
    </row>
    <row r="3" spans="1:3" x14ac:dyDescent="0.2">
      <c r="A3" s="43" t="s">
        <v>221</v>
      </c>
      <c r="B3" s="68"/>
      <c r="C3" s="33"/>
    </row>
    <row r="4" spans="1:3" x14ac:dyDescent="0.2">
      <c r="A4" s="34" t="s">
        <v>224</v>
      </c>
      <c r="B4" s="72"/>
      <c r="C4" s="35"/>
    </row>
    <row r="6" spans="1:3" s="23" customFormat="1" x14ac:dyDescent="0.2">
      <c r="A6" s="29" t="s">
        <v>156</v>
      </c>
      <c r="B6" s="29" t="s">
        <v>6</v>
      </c>
    </row>
    <row r="7" spans="1:3" x14ac:dyDescent="0.2">
      <c r="A7" s="44" t="s">
        <v>7</v>
      </c>
      <c r="B7" s="51" t="s">
        <v>152</v>
      </c>
    </row>
    <row r="8" spans="1:3" x14ac:dyDescent="0.2">
      <c r="A8" s="44" t="s">
        <v>8</v>
      </c>
      <c r="B8" s="51" t="s">
        <v>152</v>
      </c>
    </row>
    <row r="9" spans="1:3" x14ac:dyDescent="0.2">
      <c r="A9" s="40" t="s">
        <v>153</v>
      </c>
      <c r="B9" s="52">
        <v>0.25</v>
      </c>
    </row>
  </sheetData>
  <sheetProtection algorithmName="SHA-512" hashValue="0vQEJyKkVyQzuz8U2VKQiUmXWOp1BFjc7z2hmp3pwdntHR/ez8qF7hJN5NSu1xkQrhzJot+VcLa/Tg8kZJVkqA==" saltValue="OtF+lwoMRjtWNl/NjsD4wQ==" spinCount="100000" sheet="1" objects="1" scenarios="1"/>
  <dataValidations count="2">
    <dataValidation type="list" allowBlank="1" showInputMessage="1" showErrorMessage="1" error="Choose from the list" sqref="B7:B8" xr:uid="{0CF423F5-1F59-1540-9653-D931C08D98DA}">
      <formula1>"Yes, No"</formula1>
    </dataValidation>
    <dataValidation type="decimal" allowBlank="1" showInputMessage="1" showErrorMessage="1" errorTitle="Invalid Input" error="Please enter a float value only. (Range 0.0 - 1.0)" sqref="B9" xr:uid="{CB3462E3-41F9-46DE-BF41-E93FB5F95F7C}">
      <formula1>0</formula1>
      <formula2>1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F132"/>
  <sheetViews>
    <sheetView zoomScale="130" zoomScaleNormal="130" workbookViewId="0">
      <selection activeCell="G9" sqref="G9"/>
    </sheetView>
  </sheetViews>
  <sheetFormatPr baseColWidth="10" defaultColWidth="10.83203125" defaultRowHeight="16" x14ac:dyDescent="0.2"/>
  <cols>
    <col min="1" max="1" width="15.6640625" style="60" customWidth="1"/>
    <col min="2" max="4" width="10.6640625" style="61" customWidth="1"/>
    <col min="5" max="6" width="10.6640625" style="18" customWidth="1"/>
    <col min="7" max="16384" width="10.83203125" style="19"/>
  </cols>
  <sheetData>
    <row r="1" spans="1:6" x14ac:dyDescent="0.2">
      <c r="A1" s="55" t="s">
        <v>204</v>
      </c>
      <c r="B1" s="56"/>
      <c r="C1" s="56"/>
      <c r="D1" s="56"/>
      <c r="E1" s="73"/>
      <c r="F1" s="64"/>
    </row>
    <row r="2" spans="1:6" x14ac:dyDescent="0.2">
      <c r="A2" s="90" t="s">
        <v>234</v>
      </c>
      <c r="B2" s="63"/>
      <c r="C2" s="63"/>
      <c r="D2" s="63"/>
      <c r="E2" s="92"/>
      <c r="F2" s="65"/>
    </row>
    <row r="3" spans="1:6" x14ac:dyDescent="0.2">
      <c r="A3" s="57" t="s">
        <v>225</v>
      </c>
      <c r="B3" s="63"/>
      <c r="C3" s="63"/>
      <c r="D3" s="63"/>
      <c r="E3" s="92"/>
      <c r="F3" s="65"/>
    </row>
    <row r="4" spans="1:6" x14ac:dyDescent="0.2">
      <c r="A4" s="57" t="s">
        <v>226</v>
      </c>
      <c r="B4" s="63"/>
      <c r="C4" s="63"/>
      <c r="D4" s="63"/>
      <c r="E4" s="92"/>
      <c r="F4" s="65"/>
    </row>
    <row r="5" spans="1:6" x14ac:dyDescent="0.2">
      <c r="A5" s="58" t="s">
        <v>227</v>
      </c>
      <c r="B5" s="59"/>
      <c r="C5" s="59"/>
      <c r="D5" s="59"/>
      <c r="E5" s="74"/>
      <c r="F5" s="66"/>
    </row>
    <row r="6" spans="1:6" x14ac:dyDescent="0.2">
      <c r="A6" s="53"/>
      <c r="B6" s="21"/>
      <c r="C6" s="21"/>
      <c r="D6" s="21"/>
      <c r="E6" s="19"/>
      <c r="F6" s="19"/>
    </row>
    <row r="7" spans="1:6" s="89" customFormat="1" x14ac:dyDescent="0.2">
      <c r="A7" s="87" t="s">
        <v>231</v>
      </c>
      <c r="B7" s="88" t="s">
        <v>112</v>
      </c>
      <c r="C7" s="88" t="s">
        <v>113</v>
      </c>
      <c r="D7" s="88" t="s">
        <v>114</v>
      </c>
      <c r="E7" s="18"/>
      <c r="F7" s="18"/>
    </row>
    <row r="8" spans="1:6" x14ac:dyDescent="0.2">
      <c r="A8" s="60">
        <v>1</v>
      </c>
      <c r="B8" s="61">
        <v>0</v>
      </c>
      <c r="C8" s="61">
        <v>0</v>
      </c>
      <c r="D8" s="61">
        <v>0</v>
      </c>
    </row>
    <row r="9" spans="1:6" x14ac:dyDescent="0.2">
      <c r="A9" s="60">
        <v>2</v>
      </c>
      <c r="B9" s="61">
        <v>8</v>
      </c>
      <c r="C9" s="61">
        <v>0</v>
      </c>
      <c r="D9" s="61">
        <v>0</v>
      </c>
    </row>
    <row r="10" spans="1:6" x14ac:dyDescent="0.2">
      <c r="A10" s="60">
        <v>3</v>
      </c>
      <c r="B10" s="61">
        <v>16</v>
      </c>
      <c r="C10" s="61">
        <v>0</v>
      </c>
      <c r="D10" s="61">
        <v>0</v>
      </c>
    </row>
    <row r="11" spans="1:6" x14ac:dyDescent="0.2">
      <c r="A11" s="60">
        <v>4</v>
      </c>
      <c r="B11" s="61">
        <v>24</v>
      </c>
      <c r="C11" s="61">
        <v>0</v>
      </c>
      <c r="D11" s="61">
        <v>0</v>
      </c>
    </row>
    <row r="12" spans="1:6" x14ac:dyDescent="0.2">
      <c r="A12" s="60">
        <v>5</v>
      </c>
      <c r="B12" s="61">
        <v>32</v>
      </c>
      <c r="C12" s="61">
        <v>0</v>
      </c>
      <c r="D12" s="61">
        <v>0</v>
      </c>
    </row>
    <row r="13" spans="1:6" x14ac:dyDescent="0.2">
      <c r="A13" s="60">
        <v>6</v>
      </c>
      <c r="B13" s="61">
        <v>0</v>
      </c>
      <c r="C13" s="61">
        <v>8</v>
      </c>
      <c r="D13" s="61">
        <v>0</v>
      </c>
    </row>
    <row r="14" spans="1:6" x14ac:dyDescent="0.2">
      <c r="A14" s="60">
        <v>7</v>
      </c>
      <c r="B14" s="61">
        <v>8</v>
      </c>
      <c r="C14" s="61">
        <v>8</v>
      </c>
      <c r="D14" s="61">
        <v>0</v>
      </c>
    </row>
    <row r="15" spans="1:6" x14ac:dyDescent="0.2">
      <c r="A15" s="60">
        <v>8</v>
      </c>
      <c r="B15" s="61">
        <v>16</v>
      </c>
      <c r="C15" s="61">
        <v>8</v>
      </c>
      <c r="D15" s="61">
        <v>0</v>
      </c>
    </row>
    <row r="16" spans="1:6" x14ac:dyDescent="0.2">
      <c r="A16" s="60">
        <v>9</v>
      </c>
      <c r="B16" s="61">
        <v>24</v>
      </c>
      <c r="C16" s="61">
        <v>8</v>
      </c>
      <c r="D16" s="61">
        <v>0</v>
      </c>
    </row>
    <row r="17" spans="1:4" x14ac:dyDescent="0.2">
      <c r="A17" s="60">
        <v>10</v>
      </c>
      <c r="B17" s="61">
        <v>32</v>
      </c>
      <c r="C17" s="61">
        <v>8</v>
      </c>
      <c r="D17" s="61">
        <v>0</v>
      </c>
    </row>
    <row r="18" spans="1:4" x14ac:dyDescent="0.2">
      <c r="A18" s="60">
        <v>11</v>
      </c>
      <c r="B18" s="61">
        <v>0</v>
      </c>
      <c r="C18" s="61">
        <v>16</v>
      </c>
      <c r="D18" s="61">
        <v>0</v>
      </c>
    </row>
    <row r="19" spans="1:4" x14ac:dyDescent="0.2">
      <c r="A19" s="60">
        <v>12</v>
      </c>
      <c r="B19" s="61">
        <v>8</v>
      </c>
      <c r="C19" s="61">
        <v>16</v>
      </c>
      <c r="D19" s="61">
        <v>0</v>
      </c>
    </row>
    <row r="20" spans="1:4" x14ac:dyDescent="0.2">
      <c r="A20" s="60">
        <v>13</v>
      </c>
      <c r="B20" s="61">
        <v>16</v>
      </c>
      <c r="C20" s="61">
        <v>16</v>
      </c>
      <c r="D20" s="61">
        <v>0</v>
      </c>
    </row>
    <row r="21" spans="1:4" x14ac:dyDescent="0.2">
      <c r="A21" s="60">
        <v>14</v>
      </c>
      <c r="B21" s="61">
        <v>24</v>
      </c>
      <c r="C21" s="61">
        <v>16</v>
      </c>
      <c r="D21" s="61">
        <v>0</v>
      </c>
    </row>
    <row r="22" spans="1:4" x14ac:dyDescent="0.2">
      <c r="A22" s="60">
        <v>15</v>
      </c>
      <c r="B22" s="61">
        <v>32</v>
      </c>
      <c r="C22" s="61">
        <v>16</v>
      </c>
      <c r="D22" s="61">
        <v>0</v>
      </c>
    </row>
    <row r="23" spans="1:4" x14ac:dyDescent="0.2">
      <c r="A23" s="60">
        <v>16</v>
      </c>
      <c r="B23" s="61">
        <v>0</v>
      </c>
      <c r="C23" s="61">
        <v>24</v>
      </c>
      <c r="D23" s="61">
        <v>0</v>
      </c>
    </row>
    <row r="24" spans="1:4" x14ac:dyDescent="0.2">
      <c r="A24" s="60">
        <v>17</v>
      </c>
      <c r="B24" s="61">
        <v>8</v>
      </c>
      <c r="C24" s="61">
        <v>24</v>
      </c>
      <c r="D24" s="61">
        <v>0</v>
      </c>
    </row>
    <row r="25" spans="1:4" x14ac:dyDescent="0.2">
      <c r="A25" s="60">
        <v>18</v>
      </c>
      <c r="B25" s="61">
        <v>16</v>
      </c>
      <c r="C25" s="61">
        <v>24</v>
      </c>
      <c r="D25" s="61">
        <v>0</v>
      </c>
    </row>
    <row r="26" spans="1:4" x14ac:dyDescent="0.2">
      <c r="A26" s="60">
        <v>19</v>
      </c>
      <c r="B26" s="61">
        <v>24</v>
      </c>
      <c r="C26" s="61">
        <v>24</v>
      </c>
      <c r="D26" s="61">
        <v>0</v>
      </c>
    </row>
    <row r="27" spans="1:4" x14ac:dyDescent="0.2">
      <c r="A27" s="60">
        <v>20</v>
      </c>
      <c r="B27" s="61">
        <v>32</v>
      </c>
      <c r="C27" s="61">
        <v>24</v>
      </c>
      <c r="D27" s="61">
        <v>0</v>
      </c>
    </row>
    <row r="28" spans="1:4" x14ac:dyDescent="0.2">
      <c r="A28" s="60">
        <v>21</v>
      </c>
      <c r="B28" s="61">
        <v>0</v>
      </c>
      <c r="C28" s="61">
        <v>32</v>
      </c>
      <c r="D28" s="61">
        <v>0</v>
      </c>
    </row>
    <row r="29" spans="1:4" x14ac:dyDescent="0.2">
      <c r="A29" s="60">
        <v>22</v>
      </c>
      <c r="B29" s="61">
        <v>8</v>
      </c>
      <c r="C29" s="61">
        <v>32</v>
      </c>
      <c r="D29" s="61">
        <v>0</v>
      </c>
    </row>
    <row r="30" spans="1:4" x14ac:dyDescent="0.2">
      <c r="A30" s="60">
        <v>23</v>
      </c>
      <c r="B30" s="61">
        <v>16</v>
      </c>
      <c r="C30" s="61">
        <v>32</v>
      </c>
      <c r="D30" s="61">
        <v>0</v>
      </c>
    </row>
    <row r="31" spans="1:4" x14ac:dyDescent="0.2">
      <c r="A31" s="60">
        <v>24</v>
      </c>
      <c r="B31" s="61">
        <v>24</v>
      </c>
      <c r="C31" s="61">
        <v>32</v>
      </c>
      <c r="D31" s="61">
        <v>0</v>
      </c>
    </row>
    <row r="32" spans="1:4" x14ac:dyDescent="0.2">
      <c r="A32" s="60">
        <v>25</v>
      </c>
      <c r="B32" s="61">
        <v>32</v>
      </c>
      <c r="C32" s="61">
        <v>32</v>
      </c>
      <c r="D32" s="61">
        <v>0</v>
      </c>
    </row>
    <row r="33" spans="1:4" x14ac:dyDescent="0.2">
      <c r="A33" s="60">
        <v>26</v>
      </c>
      <c r="B33" s="61">
        <v>0</v>
      </c>
      <c r="C33" s="61">
        <v>0</v>
      </c>
      <c r="D33" s="61">
        <v>4</v>
      </c>
    </row>
    <row r="34" spans="1:4" x14ac:dyDescent="0.2">
      <c r="A34" s="60">
        <v>27</v>
      </c>
      <c r="B34" s="61">
        <v>8</v>
      </c>
      <c r="C34" s="61">
        <v>0</v>
      </c>
      <c r="D34" s="61">
        <v>4</v>
      </c>
    </row>
    <row r="35" spans="1:4" x14ac:dyDescent="0.2">
      <c r="A35" s="60">
        <v>28</v>
      </c>
      <c r="B35" s="61">
        <v>16</v>
      </c>
      <c r="C35" s="61">
        <v>0</v>
      </c>
      <c r="D35" s="61">
        <v>4</v>
      </c>
    </row>
    <row r="36" spans="1:4" x14ac:dyDescent="0.2">
      <c r="A36" s="60">
        <v>29</v>
      </c>
      <c r="B36" s="61">
        <v>24</v>
      </c>
      <c r="C36" s="61">
        <v>0</v>
      </c>
      <c r="D36" s="61">
        <v>4</v>
      </c>
    </row>
    <row r="37" spans="1:4" x14ac:dyDescent="0.2">
      <c r="A37" s="60">
        <v>30</v>
      </c>
      <c r="B37" s="61">
        <v>32</v>
      </c>
      <c r="C37" s="61">
        <v>0</v>
      </c>
      <c r="D37" s="61">
        <v>4</v>
      </c>
    </row>
    <row r="38" spans="1:4" x14ac:dyDescent="0.2">
      <c r="A38" s="60">
        <v>31</v>
      </c>
      <c r="B38" s="61">
        <v>0</v>
      </c>
      <c r="C38" s="61">
        <v>8</v>
      </c>
      <c r="D38" s="61">
        <v>4</v>
      </c>
    </row>
    <row r="39" spans="1:4" x14ac:dyDescent="0.2">
      <c r="A39" s="60">
        <v>32</v>
      </c>
      <c r="B39" s="61">
        <v>8</v>
      </c>
      <c r="C39" s="61">
        <v>8</v>
      </c>
      <c r="D39" s="61">
        <v>4</v>
      </c>
    </row>
    <row r="40" spans="1:4" x14ac:dyDescent="0.2">
      <c r="A40" s="60">
        <v>33</v>
      </c>
      <c r="B40" s="61">
        <v>16</v>
      </c>
      <c r="C40" s="61">
        <v>8</v>
      </c>
      <c r="D40" s="61">
        <v>4</v>
      </c>
    </row>
    <row r="41" spans="1:4" x14ac:dyDescent="0.2">
      <c r="A41" s="60">
        <v>34</v>
      </c>
      <c r="B41" s="61">
        <v>24</v>
      </c>
      <c r="C41" s="61">
        <v>8</v>
      </c>
      <c r="D41" s="61">
        <v>4</v>
      </c>
    </row>
    <row r="42" spans="1:4" x14ac:dyDescent="0.2">
      <c r="A42" s="60">
        <v>35</v>
      </c>
      <c r="B42" s="61">
        <v>32</v>
      </c>
      <c r="C42" s="61">
        <v>8</v>
      </c>
      <c r="D42" s="61">
        <v>4</v>
      </c>
    </row>
    <row r="43" spans="1:4" x14ac:dyDescent="0.2">
      <c r="A43" s="60">
        <v>36</v>
      </c>
      <c r="B43" s="61">
        <v>0</v>
      </c>
      <c r="C43" s="61">
        <v>16</v>
      </c>
      <c r="D43" s="61">
        <v>4</v>
      </c>
    </row>
    <row r="44" spans="1:4" x14ac:dyDescent="0.2">
      <c r="A44" s="60">
        <v>37</v>
      </c>
      <c r="B44" s="61">
        <v>8</v>
      </c>
      <c r="C44" s="61">
        <v>16</v>
      </c>
      <c r="D44" s="61">
        <v>4</v>
      </c>
    </row>
    <row r="45" spans="1:4" x14ac:dyDescent="0.2">
      <c r="A45" s="60">
        <v>38</v>
      </c>
      <c r="B45" s="61">
        <v>16</v>
      </c>
      <c r="C45" s="61">
        <v>16</v>
      </c>
      <c r="D45" s="61">
        <v>4</v>
      </c>
    </row>
    <row r="46" spans="1:4" x14ac:dyDescent="0.2">
      <c r="A46" s="60">
        <v>39</v>
      </c>
      <c r="B46" s="61">
        <v>24</v>
      </c>
      <c r="C46" s="61">
        <v>16</v>
      </c>
      <c r="D46" s="61">
        <v>4</v>
      </c>
    </row>
    <row r="47" spans="1:4" x14ac:dyDescent="0.2">
      <c r="A47" s="60">
        <v>40</v>
      </c>
      <c r="B47" s="61">
        <v>32</v>
      </c>
      <c r="C47" s="61">
        <v>16</v>
      </c>
      <c r="D47" s="61">
        <v>4</v>
      </c>
    </row>
    <row r="48" spans="1:4" x14ac:dyDescent="0.2">
      <c r="A48" s="60">
        <v>41</v>
      </c>
      <c r="B48" s="61">
        <v>0</v>
      </c>
      <c r="C48" s="61">
        <v>24</v>
      </c>
      <c r="D48" s="61">
        <v>4</v>
      </c>
    </row>
    <row r="49" spans="1:4" x14ac:dyDescent="0.2">
      <c r="A49" s="60">
        <v>42</v>
      </c>
      <c r="B49" s="61">
        <v>8</v>
      </c>
      <c r="C49" s="61">
        <v>24</v>
      </c>
      <c r="D49" s="61">
        <v>4</v>
      </c>
    </row>
    <row r="50" spans="1:4" x14ac:dyDescent="0.2">
      <c r="A50" s="60">
        <v>43</v>
      </c>
      <c r="B50" s="61">
        <v>16</v>
      </c>
      <c r="C50" s="61">
        <v>24</v>
      </c>
      <c r="D50" s="61">
        <v>4</v>
      </c>
    </row>
    <row r="51" spans="1:4" x14ac:dyDescent="0.2">
      <c r="A51" s="60">
        <v>44</v>
      </c>
      <c r="B51" s="61">
        <v>24</v>
      </c>
      <c r="C51" s="61">
        <v>24</v>
      </c>
      <c r="D51" s="61">
        <v>4</v>
      </c>
    </row>
    <row r="52" spans="1:4" x14ac:dyDescent="0.2">
      <c r="A52" s="60">
        <v>45</v>
      </c>
      <c r="B52" s="61">
        <v>32</v>
      </c>
      <c r="C52" s="61">
        <v>24</v>
      </c>
      <c r="D52" s="61">
        <v>4</v>
      </c>
    </row>
    <row r="53" spans="1:4" x14ac:dyDescent="0.2">
      <c r="A53" s="60">
        <v>46</v>
      </c>
      <c r="B53" s="61">
        <v>0</v>
      </c>
      <c r="C53" s="61">
        <v>32</v>
      </c>
      <c r="D53" s="61">
        <v>4</v>
      </c>
    </row>
    <row r="54" spans="1:4" x14ac:dyDescent="0.2">
      <c r="A54" s="60">
        <v>47</v>
      </c>
      <c r="B54" s="61">
        <v>8</v>
      </c>
      <c r="C54" s="61">
        <v>32</v>
      </c>
      <c r="D54" s="61">
        <v>4</v>
      </c>
    </row>
    <row r="55" spans="1:4" x14ac:dyDescent="0.2">
      <c r="A55" s="60">
        <v>48</v>
      </c>
      <c r="B55" s="61">
        <v>16</v>
      </c>
      <c r="C55" s="61">
        <v>32</v>
      </c>
      <c r="D55" s="61">
        <v>4</v>
      </c>
    </row>
    <row r="56" spans="1:4" x14ac:dyDescent="0.2">
      <c r="A56" s="60">
        <v>49</v>
      </c>
      <c r="B56" s="61">
        <v>24</v>
      </c>
      <c r="C56" s="61">
        <v>32</v>
      </c>
      <c r="D56" s="61">
        <v>4</v>
      </c>
    </row>
    <row r="57" spans="1:4" x14ac:dyDescent="0.2">
      <c r="A57" s="60">
        <v>50</v>
      </c>
      <c r="B57" s="61">
        <v>32</v>
      </c>
      <c r="C57" s="61">
        <v>32</v>
      </c>
      <c r="D57" s="61">
        <v>4</v>
      </c>
    </row>
    <row r="58" spans="1:4" x14ac:dyDescent="0.2">
      <c r="A58" s="60">
        <v>51</v>
      </c>
      <c r="B58" s="61">
        <v>0</v>
      </c>
      <c r="C58" s="61">
        <v>0</v>
      </c>
      <c r="D58" s="61">
        <v>7.5</v>
      </c>
    </row>
    <row r="59" spans="1:4" x14ac:dyDescent="0.2">
      <c r="A59" s="60">
        <v>52</v>
      </c>
      <c r="B59" s="61">
        <v>8</v>
      </c>
      <c r="C59" s="61">
        <v>0</v>
      </c>
      <c r="D59" s="61">
        <v>7.5</v>
      </c>
    </row>
    <row r="60" spans="1:4" x14ac:dyDescent="0.2">
      <c r="A60" s="60">
        <v>53</v>
      </c>
      <c r="B60" s="61">
        <v>16</v>
      </c>
      <c r="C60" s="61">
        <v>0</v>
      </c>
      <c r="D60" s="61">
        <v>7.5</v>
      </c>
    </row>
    <row r="61" spans="1:4" x14ac:dyDescent="0.2">
      <c r="A61" s="60">
        <v>54</v>
      </c>
      <c r="B61" s="61">
        <v>24</v>
      </c>
      <c r="C61" s="61">
        <v>0</v>
      </c>
      <c r="D61" s="61">
        <v>7.5</v>
      </c>
    </row>
    <row r="62" spans="1:4" x14ac:dyDescent="0.2">
      <c r="A62" s="60">
        <v>55</v>
      </c>
      <c r="B62" s="61">
        <v>32</v>
      </c>
      <c r="C62" s="61">
        <v>0</v>
      </c>
      <c r="D62" s="61">
        <v>7.5</v>
      </c>
    </row>
    <row r="63" spans="1:4" x14ac:dyDescent="0.2">
      <c r="A63" s="60">
        <v>56</v>
      </c>
      <c r="B63" s="61">
        <v>0</v>
      </c>
      <c r="C63" s="61">
        <v>8</v>
      </c>
      <c r="D63" s="61">
        <v>7.5</v>
      </c>
    </row>
    <row r="64" spans="1:4" x14ac:dyDescent="0.2">
      <c r="A64" s="60">
        <v>57</v>
      </c>
      <c r="B64" s="61">
        <v>8</v>
      </c>
      <c r="C64" s="61">
        <v>8</v>
      </c>
      <c r="D64" s="61">
        <v>7.5</v>
      </c>
    </row>
    <row r="65" spans="1:4" x14ac:dyDescent="0.2">
      <c r="A65" s="60">
        <v>58</v>
      </c>
      <c r="B65" s="61">
        <v>16</v>
      </c>
      <c r="C65" s="61">
        <v>8</v>
      </c>
      <c r="D65" s="61">
        <v>7.5</v>
      </c>
    </row>
    <row r="66" spans="1:4" x14ac:dyDescent="0.2">
      <c r="A66" s="60">
        <v>59</v>
      </c>
      <c r="B66" s="61">
        <v>24</v>
      </c>
      <c r="C66" s="61">
        <v>8</v>
      </c>
      <c r="D66" s="61">
        <v>7.5</v>
      </c>
    </row>
    <row r="67" spans="1:4" x14ac:dyDescent="0.2">
      <c r="A67" s="60">
        <v>60</v>
      </c>
      <c r="B67" s="61">
        <v>32</v>
      </c>
      <c r="C67" s="61">
        <v>8</v>
      </c>
      <c r="D67" s="61">
        <v>7.5</v>
      </c>
    </row>
    <row r="68" spans="1:4" x14ac:dyDescent="0.2">
      <c r="A68" s="60">
        <v>61</v>
      </c>
      <c r="B68" s="61">
        <v>0</v>
      </c>
      <c r="C68" s="61">
        <v>16</v>
      </c>
      <c r="D68" s="61">
        <v>7.5</v>
      </c>
    </row>
    <row r="69" spans="1:4" x14ac:dyDescent="0.2">
      <c r="A69" s="60">
        <v>62</v>
      </c>
      <c r="B69" s="61">
        <v>8</v>
      </c>
      <c r="C69" s="61">
        <v>16</v>
      </c>
      <c r="D69" s="61">
        <v>7.5</v>
      </c>
    </row>
    <row r="70" spans="1:4" x14ac:dyDescent="0.2">
      <c r="A70" s="60">
        <v>63</v>
      </c>
      <c r="B70" s="61">
        <v>16</v>
      </c>
      <c r="C70" s="61">
        <v>16</v>
      </c>
      <c r="D70" s="61">
        <v>7.5</v>
      </c>
    </row>
    <row r="71" spans="1:4" x14ac:dyDescent="0.2">
      <c r="A71" s="60">
        <v>64</v>
      </c>
      <c r="B71" s="61">
        <v>24</v>
      </c>
      <c r="C71" s="61">
        <v>16</v>
      </c>
      <c r="D71" s="61">
        <v>7.5</v>
      </c>
    </row>
    <row r="72" spans="1:4" x14ac:dyDescent="0.2">
      <c r="A72" s="60">
        <v>65</v>
      </c>
      <c r="B72" s="61">
        <v>32</v>
      </c>
      <c r="C72" s="61">
        <v>16</v>
      </c>
      <c r="D72" s="61">
        <v>7.5</v>
      </c>
    </row>
    <row r="73" spans="1:4" x14ac:dyDescent="0.2">
      <c r="A73" s="60">
        <v>66</v>
      </c>
      <c r="B73" s="61">
        <v>0</v>
      </c>
      <c r="C73" s="61">
        <v>24</v>
      </c>
      <c r="D73" s="61">
        <v>7.5</v>
      </c>
    </row>
    <row r="74" spans="1:4" x14ac:dyDescent="0.2">
      <c r="A74" s="60">
        <v>67</v>
      </c>
      <c r="B74" s="61">
        <v>8</v>
      </c>
      <c r="C74" s="61">
        <v>24</v>
      </c>
      <c r="D74" s="61">
        <v>7.5</v>
      </c>
    </row>
    <row r="75" spans="1:4" x14ac:dyDescent="0.2">
      <c r="A75" s="60">
        <v>68</v>
      </c>
      <c r="B75" s="61">
        <v>16</v>
      </c>
      <c r="C75" s="61">
        <v>24</v>
      </c>
      <c r="D75" s="61">
        <v>7.5</v>
      </c>
    </row>
    <row r="76" spans="1:4" x14ac:dyDescent="0.2">
      <c r="A76" s="60">
        <v>69</v>
      </c>
      <c r="B76" s="61">
        <v>24</v>
      </c>
      <c r="C76" s="61">
        <v>24</v>
      </c>
      <c r="D76" s="61">
        <v>7.5</v>
      </c>
    </row>
    <row r="77" spans="1:4" x14ac:dyDescent="0.2">
      <c r="A77" s="60">
        <v>70</v>
      </c>
      <c r="B77" s="61">
        <v>32</v>
      </c>
      <c r="C77" s="61">
        <v>24</v>
      </c>
      <c r="D77" s="61">
        <v>7.5</v>
      </c>
    </row>
    <row r="78" spans="1:4" x14ac:dyDescent="0.2">
      <c r="A78" s="60">
        <v>71</v>
      </c>
      <c r="B78" s="61">
        <v>0</v>
      </c>
      <c r="C78" s="61">
        <v>32</v>
      </c>
      <c r="D78" s="61">
        <v>7.5</v>
      </c>
    </row>
    <row r="79" spans="1:4" x14ac:dyDescent="0.2">
      <c r="A79" s="60">
        <v>72</v>
      </c>
      <c r="B79" s="61">
        <v>8</v>
      </c>
      <c r="C79" s="61">
        <v>32</v>
      </c>
      <c r="D79" s="61">
        <v>7.5</v>
      </c>
    </row>
    <row r="80" spans="1:4" x14ac:dyDescent="0.2">
      <c r="A80" s="60">
        <v>73</v>
      </c>
      <c r="B80" s="61">
        <v>16</v>
      </c>
      <c r="C80" s="61">
        <v>32</v>
      </c>
      <c r="D80" s="61">
        <v>7.5</v>
      </c>
    </row>
    <row r="81" spans="1:4" x14ac:dyDescent="0.2">
      <c r="A81" s="60">
        <v>74</v>
      </c>
      <c r="B81" s="61">
        <v>24</v>
      </c>
      <c r="C81" s="61">
        <v>32</v>
      </c>
      <c r="D81" s="61">
        <v>7.5</v>
      </c>
    </row>
    <row r="82" spans="1:4" x14ac:dyDescent="0.2">
      <c r="A82" s="60">
        <v>75</v>
      </c>
      <c r="B82" s="61">
        <v>32</v>
      </c>
      <c r="C82" s="61">
        <v>32</v>
      </c>
      <c r="D82" s="61">
        <v>7.5</v>
      </c>
    </row>
    <row r="83" spans="1:4" x14ac:dyDescent="0.2">
      <c r="A83" s="60">
        <v>76</v>
      </c>
      <c r="B83" s="61">
        <v>0</v>
      </c>
      <c r="C83" s="61">
        <v>0</v>
      </c>
      <c r="D83" s="61">
        <v>11</v>
      </c>
    </row>
    <row r="84" spans="1:4" x14ac:dyDescent="0.2">
      <c r="A84" s="60">
        <v>77</v>
      </c>
      <c r="B84" s="61">
        <v>8</v>
      </c>
      <c r="C84" s="61">
        <v>0</v>
      </c>
      <c r="D84" s="61">
        <v>11</v>
      </c>
    </row>
    <row r="85" spans="1:4" x14ac:dyDescent="0.2">
      <c r="A85" s="60">
        <v>78</v>
      </c>
      <c r="B85" s="61">
        <v>16</v>
      </c>
      <c r="C85" s="61">
        <v>0</v>
      </c>
      <c r="D85" s="61">
        <v>11</v>
      </c>
    </row>
    <row r="86" spans="1:4" x14ac:dyDescent="0.2">
      <c r="A86" s="60">
        <v>79</v>
      </c>
      <c r="B86" s="61">
        <v>24</v>
      </c>
      <c r="C86" s="61">
        <v>0</v>
      </c>
      <c r="D86" s="61">
        <v>11</v>
      </c>
    </row>
    <row r="87" spans="1:4" x14ac:dyDescent="0.2">
      <c r="A87" s="60">
        <v>80</v>
      </c>
      <c r="B87" s="61">
        <v>32</v>
      </c>
      <c r="C87" s="61">
        <v>0</v>
      </c>
      <c r="D87" s="61">
        <v>11</v>
      </c>
    </row>
    <row r="88" spans="1:4" x14ac:dyDescent="0.2">
      <c r="A88" s="60">
        <v>81</v>
      </c>
      <c r="B88" s="61">
        <v>0</v>
      </c>
      <c r="C88" s="61">
        <v>8</v>
      </c>
      <c r="D88" s="61">
        <v>11</v>
      </c>
    </row>
    <row r="89" spans="1:4" x14ac:dyDescent="0.2">
      <c r="A89" s="60">
        <v>82</v>
      </c>
      <c r="B89" s="61">
        <v>8</v>
      </c>
      <c r="C89" s="61">
        <v>8</v>
      </c>
      <c r="D89" s="61">
        <v>11</v>
      </c>
    </row>
    <row r="90" spans="1:4" x14ac:dyDescent="0.2">
      <c r="A90" s="60">
        <v>83</v>
      </c>
      <c r="B90" s="61">
        <v>16</v>
      </c>
      <c r="C90" s="61">
        <v>8</v>
      </c>
      <c r="D90" s="61">
        <v>11</v>
      </c>
    </row>
    <row r="91" spans="1:4" x14ac:dyDescent="0.2">
      <c r="A91" s="60">
        <v>84</v>
      </c>
      <c r="B91" s="61">
        <v>24</v>
      </c>
      <c r="C91" s="61">
        <v>8</v>
      </c>
      <c r="D91" s="61">
        <v>11</v>
      </c>
    </row>
    <row r="92" spans="1:4" x14ac:dyDescent="0.2">
      <c r="A92" s="60">
        <v>85</v>
      </c>
      <c r="B92" s="61">
        <v>32</v>
      </c>
      <c r="C92" s="61">
        <v>8</v>
      </c>
      <c r="D92" s="61">
        <v>11</v>
      </c>
    </row>
    <row r="93" spans="1:4" x14ac:dyDescent="0.2">
      <c r="A93" s="60">
        <v>86</v>
      </c>
      <c r="B93" s="61">
        <v>0</v>
      </c>
      <c r="C93" s="61">
        <v>16</v>
      </c>
      <c r="D93" s="61">
        <v>11</v>
      </c>
    </row>
    <row r="94" spans="1:4" x14ac:dyDescent="0.2">
      <c r="A94" s="60">
        <v>87</v>
      </c>
      <c r="B94" s="61">
        <v>8</v>
      </c>
      <c r="C94" s="61">
        <v>16</v>
      </c>
      <c r="D94" s="61">
        <v>11</v>
      </c>
    </row>
    <row r="95" spans="1:4" x14ac:dyDescent="0.2">
      <c r="A95" s="60">
        <v>88</v>
      </c>
      <c r="B95" s="61">
        <v>16</v>
      </c>
      <c r="C95" s="61">
        <v>16</v>
      </c>
      <c r="D95" s="61">
        <v>11</v>
      </c>
    </row>
    <row r="96" spans="1:4" x14ac:dyDescent="0.2">
      <c r="A96" s="60">
        <v>89</v>
      </c>
      <c r="B96" s="61">
        <v>24</v>
      </c>
      <c r="C96" s="61">
        <v>16</v>
      </c>
      <c r="D96" s="61">
        <v>11</v>
      </c>
    </row>
    <row r="97" spans="1:4" x14ac:dyDescent="0.2">
      <c r="A97" s="60">
        <v>90</v>
      </c>
      <c r="B97" s="61">
        <v>32</v>
      </c>
      <c r="C97" s="61">
        <v>16</v>
      </c>
      <c r="D97" s="61">
        <v>11</v>
      </c>
    </row>
    <row r="98" spans="1:4" x14ac:dyDescent="0.2">
      <c r="A98" s="60">
        <v>91</v>
      </c>
      <c r="B98" s="61">
        <v>0</v>
      </c>
      <c r="C98" s="61">
        <v>24</v>
      </c>
      <c r="D98" s="61">
        <v>11</v>
      </c>
    </row>
    <row r="99" spans="1:4" x14ac:dyDescent="0.2">
      <c r="A99" s="60">
        <v>92</v>
      </c>
      <c r="B99" s="61">
        <v>8</v>
      </c>
      <c r="C99" s="61">
        <v>24</v>
      </c>
      <c r="D99" s="61">
        <v>11</v>
      </c>
    </row>
    <row r="100" spans="1:4" x14ac:dyDescent="0.2">
      <c r="A100" s="60">
        <v>93</v>
      </c>
      <c r="B100" s="61">
        <v>16</v>
      </c>
      <c r="C100" s="61">
        <v>24</v>
      </c>
      <c r="D100" s="61">
        <v>11</v>
      </c>
    </row>
    <row r="101" spans="1:4" x14ac:dyDescent="0.2">
      <c r="A101" s="60">
        <v>94</v>
      </c>
      <c r="B101" s="61">
        <v>24</v>
      </c>
      <c r="C101" s="61">
        <v>24</v>
      </c>
      <c r="D101" s="61">
        <v>11</v>
      </c>
    </row>
    <row r="102" spans="1:4" x14ac:dyDescent="0.2">
      <c r="A102" s="60">
        <v>95</v>
      </c>
      <c r="B102" s="61">
        <v>32</v>
      </c>
      <c r="C102" s="61">
        <v>24</v>
      </c>
      <c r="D102" s="61">
        <v>11</v>
      </c>
    </row>
    <row r="103" spans="1:4" x14ac:dyDescent="0.2">
      <c r="A103" s="60">
        <v>96</v>
      </c>
      <c r="B103" s="61">
        <v>0</v>
      </c>
      <c r="C103" s="61">
        <v>32</v>
      </c>
      <c r="D103" s="61">
        <v>11</v>
      </c>
    </row>
    <row r="104" spans="1:4" x14ac:dyDescent="0.2">
      <c r="A104" s="60">
        <v>97</v>
      </c>
      <c r="B104" s="61">
        <v>8</v>
      </c>
      <c r="C104" s="61">
        <v>32</v>
      </c>
      <c r="D104" s="61">
        <v>11</v>
      </c>
    </row>
    <row r="105" spans="1:4" x14ac:dyDescent="0.2">
      <c r="A105" s="60">
        <v>98</v>
      </c>
      <c r="B105" s="61">
        <v>16</v>
      </c>
      <c r="C105" s="61">
        <v>32</v>
      </c>
      <c r="D105" s="61">
        <v>11</v>
      </c>
    </row>
    <row r="106" spans="1:4" x14ac:dyDescent="0.2">
      <c r="A106" s="60">
        <v>99</v>
      </c>
      <c r="B106" s="61">
        <v>24</v>
      </c>
      <c r="C106" s="61">
        <v>32</v>
      </c>
      <c r="D106" s="61">
        <v>11</v>
      </c>
    </row>
    <row r="107" spans="1:4" x14ac:dyDescent="0.2">
      <c r="A107" s="60">
        <v>100</v>
      </c>
      <c r="B107" s="61">
        <v>32</v>
      </c>
      <c r="C107" s="61">
        <v>32</v>
      </c>
      <c r="D107" s="61">
        <v>11</v>
      </c>
    </row>
    <row r="108" spans="1:4" x14ac:dyDescent="0.2">
      <c r="A108" s="60">
        <v>101</v>
      </c>
      <c r="B108" s="61">
        <v>0</v>
      </c>
      <c r="C108" s="61">
        <v>0</v>
      </c>
      <c r="D108" s="61">
        <v>14.5</v>
      </c>
    </row>
    <row r="109" spans="1:4" x14ac:dyDescent="0.2">
      <c r="A109" s="60">
        <v>102</v>
      </c>
      <c r="B109" s="61">
        <v>8</v>
      </c>
      <c r="C109" s="61">
        <v>0</v>
      </c>
      <c r="D109" s="61">
        <v>14.5</v>
      </c>
    </row>
    <row r="110" spans="1:4" x14ac:dyDescent="0.2">
      <c r="A110" s="60">
        <v>103</v>
      </c>
      <c r="B110" s="61">
        <v>16</v>
      </c>
      <c r="C110" s="61">
        <v>0</v>
      </c>
      <c r="D110" s="61">
        <v>14.5</v>
      </c>
    </row>
    <row r="111" spans="1:4" x14ac:dyDescent="0.2">
      <c r="A111" s="60">
        <v>104</v>
      </c>
      <c r="B111" s="61">
        <v>24</v>
      </c>
      <c r="C111" s="61">
        <v>0</v>
      </c>
      <c r="D111" s="61">
        <v>14.5</v>
      </c>
    </row>
    <row r="112" spans="1:4" x14ac:dyDescent="0.2">
      <c r="A112" s="60">
        <v>105</v>
      </c>
      <c r="B112" s="61">
        <v>32</v>
      </c>
      <c r="C112" s="61">
        <v>0</v>
      </c>
      <c r="D112" s="61">
        <v>14.5</v>
      </c>
    </row>
    <row r="113" spans="1:4" x14ac:dyDescent="0.2">
      <c r="A113" s="60">
        <v>106</v>
      </c>
      <c r="B113" s="61">
        <v>0</v>
      </c>
      <c r="C113" s="61">
        <v>8</v>
      </c>
      <c r="D113" s="61">
        <v>14.5</v>
      </c>
    </row>
    <row r="114" spans="1:4" x14ac:dyDescent="0.2">
      <c r="A114" s="60">
        <v>107</v>
      </c>
      <c r="B114" s="61">
        <v>8</v>
      </c>
      <c r="C114" s="61">
        <v>8</v>
      </c>
      <c r="D114" s="61">
        <v>14.5</v>
      </c>
    </row>
    <row r="115" spans="1:4" x14ac:dyDescent="0.2">
      <c r="A115" s="60">
        <v>108</v>
      </c>
      <c r="B115" s="61">
        <v>16</v>
      </c>
      <c r="C115" s="61">
        <v>8</v>
      </c>
      <c r="D115" s="61">
        <v>14.5</v>
      </c>
    </row>
    <row r="116" spans="1:4" x14ac:dyDescent="0.2">
      <c r="A116" s="60">
        <v>109</v>
      </c>
      <c r="B116" s="61">
        <v>24</v>
      </c>
      <c r="C116" s="61">
        <v>8</v>
      </c>
      <c r="D116" s="61">
        <v>14.5</v>
      </c>
    </row>
    <row r="117" spans="1:4" x14ac:dyDescent="0.2">
      <c r="A117" s="60">
        <v>110</v>
      </c>
      <c r="B117" s="61">
        <v>32</v>
      </c>
      <c r="C117" s="61">
        <v>8</v>
      </c>
      <c r="D117" s="61">
        <v>14.5</v>
      </c>
    </row>
    <row r="118" spans="1:4" x14ac:dyDescent="0.2">
      <c r="A118" s="60">
        <v>111</v>
      </c>
      <c r="B118" s="61">
        <v>0</v>
      </c>
      <c r="C118" s="61">
        <v>16</v>
      </c>
      <c r="D118" s="61">
        <v>14.5</v>
      </c>
    </row>
    <row r="119" spans="1:4" x14ac:dyDescent="0.2">
      <c r="A119" s="60">
        <v>112</v>
      </c>
      <c r="B119" s="61">
        <v>8</v>
      </c>
      <c r="C119" s="61">
        <v>16</v>
      </c>
      <c r="D119" s="61">
        <v>14.5</v>
      </c>
    </row>
    <row r="120" spans="1:4" x14ac:dyDescent="0.2">
      <c r="A120" s="60">
        <v>113</v>
      </c>
      <c r="B120" s="61">
        <v>16</v>
      </c>
      <c r="C120" s="61">
        <v>16</v>
      </c>
      <c r="D120" s="61">
        <v>14.5</v>
      </c>
    </row>
    <row r="121" spans="1:4" x14ac:dyDescent="0.2">
      <c r="A121" s="60">
        <v>114</v>
      </c>
      <c r="B121" s="61">
        <v>24</v>
      </c>
      <c r="C121" s="61">
        <v>16</v>
      </c>
      <c r="D121" s="61">
        <v>14.5</v>
      </c>
    </row>
    <row r="122" spans="1:4" x14ac:dyDescent="0.2">
      <c r="A122" s="60">
        <v>115</v>
      </c>
      <c r="B122" s="61">
        <v>32</v>
      </c>
      <c r="C122" s="61">
        <v>16</v>
      </c>
      <c r="D122" s="61">
        <v>14.5</v>
      </c>
    </row>
    <row r="123" spans="1:4" x14ac:dyDescent="0.2">
      <c r="A123" s="60">
        <v>116</v>
      </c>
      <c r="B123" s="61">
        <v>0</v>
      </c>
      <c r="C123" s="61">
        <v>24</v>
      </c>
      <c r="D123" s="61">
        <v>14.5</v>
      </c>
    </row>
    <row r="124" spans="1:4" x14ac:dyDescent="0.2">
      <c r="A124" s="60">
        <v>117</v>
      </c>
      <c r="B124" s="61">
        <v>8</v>
      </c>
      <c r="C124" s="61">
        <v>24</v>
      </c>
      <c r="D124" s="61">
        <v>14.5</v>
      </c>
    </row>
    <row r="125" spans="1:4" x14ac:dyDescent="0.2">
      <c r="A125" s="60">
        <v>118</v>
      </c>
      <c r="B125" s="61">
        <v>16</v>
      </c>
      <c r="C125" s="61">
        <v>24</v>
      </c>
      <c r="D125" s="61">
        <v>14.5</v>
      </c>
    </row>
    <row r="126" spans="1:4" x14ac:dyDescent="0.2">
      <c r="A126" s="60">
        <v>119</v>
      </c>
      <c r="B126" s="61">
        <v>24</v>
      </c>
      <c r="C126" s="61">
        <v>24</v>
      </c>
      <c r="D126" s="61">
        <v>14.5</v>
      </c>
    </row>
    <row r="127" spans="1:4" x14ac:dyDescent="0.2">
      <c r="A127" s="60">
        <v>120</v>
      </c>
      <c r="B127" s="61">
        <v>32</v>
      </c>
      <c r="C127" s="61">
        <v>24</v>
      </c>
      <c r="D127" s="61">
        <v>14.5</v>
      </c>
    </row>
    <row r="128" spans="1:4" x14ac:dyDescent="0.2">
      <c r="A128" s="60">
        <v>121</v>
      </c>
      <c r="B128" s="61">
        <v>0</v>
      </c>
      <c r="C128" s="61">
        <v>32</v>
      </c>
      <c r="D128" s="61">
        <v>14.5</v>
      </c>
    </row>
    <row r="129" spans="1:4" x14ac:dyDescent="0.2">
      <c r="A129" s="60">
        <v>122</v>
      </c>
      <c r="B129" s="61">
        <v>8</v>
      </c>
      <c r="C129" s="61">
        <v>32</v>
      </c>
      <c r="D129" s="61">
        <v>14.5</v>
      </c>
    </row>
    <row r="130" spans="1:4" x14ac:dyDescent="0.2">
      <c r="A130" s="60">
        <v>123</v>
      </c>
      <c r="B130" s="61">
        <v>16</v>
      </c>
      <c r="C130" s="61">
        <v>32</v>
      </c>
      <c r="D130" s="61">
        <v>14.5</v>
      </c>
    </row>
    <row r="131" spans="1:4" x14ac:dyDescent="0.2">
      <c r="A131" s="60">
        <v>124</v>
      </c>
      <c r="B131" s="61">
        <v>24</v>
      </c>
      <c r="C131" s="61">
        <v>32</v>
      </c>
      <c r="D131" s="61">
        <v>14.5</v>
      </c>
    </row>
    <row r="132" spans="1:4" x14ac:dyDescent="0.2">
      <c r="A132" s="60">
        <v>125</v>
      </c>
      <c r="B132" s="61">
        <v>32</v>
      </c>
      <c r="C132" s="61">
        <v>32</v>
      </c>
      <c r="D132" s="61">
        <v>14.5</v>
      </c>
    </row>
  </sheetData>
  <phoneticPr fontId="11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F266"/>
  <sheetViews>
    <sheetView topLeftCell="A2" zoomScale="130" zoomScaleNormal="130" workbookViewId="0">
      <selection activeCell="C14" sqref="C14"/>
    </sheetView>
  </sheetViews>
  <sheetFormatPr baseColWidth="10" defaultColWidth="10.83203125" defaultRowHeight="16" x14ac:dyDescent="0.2"/>
  <cols>
    <col min="1" max="1" width="15.6640625" style="84" customWidth="1"/>
    <col min="2" max="3" width="10.6640625" style="84" customWidth="1"/>
    <col min="4" max="16384" width="10.83203125" style="11"/>
  </cols>
  <sheetData>
    <row r="1" spans="1:6" x14ac:dyDescent="0.2">
      <c r="A1" s="55" t="s">
        <v>204</v>
      </c>
      <c r="B1" s="75"/>
      <c r="C1" s="75"/>
      <c r="D1" s="76"/>
      <c r="E1" s="76"/>
      <c r="F1" s="77"/>
    </row>
    <row r="2" spans="1:6" x14ac:dyDescent="0.2">
      <c r="A2" s="90" t="s">
        <v>233</v>
      </c>
      <c r="B2" s="78"/>
      <c r="C2" s="78"/>
      <c r="D2" s="79"/>
      <c r="E2" s="79"/>
      <c r="F2" s="80"/>
    </row>
    <row r="3" spans="1:6" x14ac:dyDescent="0.2">
      <c r="A3" s="57" t="s">
        <v>228</v>
      </c>
      <c r="B3" s="78"/>
      <c r="C3" s="78"/>
      <c r="D3" s="79"/>
      <c r="E3" s="79"/>
      <c r="F3" s="80"/>
    </row>
    <row r="4" spans="1:6" x14ac:dyDescent="0.2">
      <c r="A4" s="58" t="s">
        <v>229</v>
      </c>
      <c r="B4" s="81"/>
      <c r="C4" s="81"/>
      <c r="D4" s="82"/>
      <c r="E4" s="82"/>
      <c r="F4" s="83"/>
    </row>
    <row r="5" spans="1:6" x14ac:dyDescent="0.2">
      <c r="A5" s="62"/>
      <c r="B5" s="8"/>
      <c r="C5" s="8"/>
    </row>
    <row r="6" spans="1:6" s="17" customFormat="1" x14ac:dyDescent="0.2">
      <c r="A6" s="47" t="s">
        <v>232</v>
      </c>
      <c r="B6" s="54" t="s">
        <v>212</v>
      </c>
      <c r="C6" s="54" t="s">
        <v>213</v>
      </c>
    </row>
    <row r="7" spans="1:6" x14ac:dyDescent="0.2">
      <c r="A7" s="84">
        <v>1</v>
      </c>
      <c r="B7" s="84">
        <v>1</v>
      </c>
      <c r="C7" s="84">
        <v>26</v>
      </c>
    </row>
    <row r="8" spans="1:6" x14ac:dyDescent="0.2">
      <c r="A8" s="84">
        <v>2</v>
      </c>
      <c r="B8" s="84">
        <v>2</v>
      </c>
      <c r="C8" s="84">
        <v>27</v>
      </c>
    </row>
    <row r="9" spans="1:6" x14ac:dyDescent="0.2">
      <c r="A9" s="84">
        <v>3</v>
      </c>
      <c r="B9" s="84">
        <v>3</v>
      </c>
      <c r="C9" s="84">
        <v>28</v>
      </c>
    </row>
    <row r="10" spans="1:6" x14ac:dyDescent="0.2">
      <c r="A10" s="84">
        <v>4</v>
      </c>
      <c r="B10" s="84">
        <v>4</v>
      </c>
      <c r="C10" s="84">
        <v>29</v>
      </c>
    </row>
    <row r="11" spans="1:6" x14ac:dyDescent="0.2">
      <c r="A11" s="84">
        <v>5</v>
      </c>
      <c r="B11" s="84">
        <v>5</v>
      </c>
      <c r="C11" s="84">
        <v>30</v>
      </c>
    </row>
    <row r="12" spans="1:6" x14ac:dyDescent="0.2">
      <c r="A12" s="84">
        <v>6</v>
      </c>
      <c r="B12" s="84">
        <v>6</v>
      </c>
      <c r="C12" s="84">
        <v>31</v>
      </c>
    </row>
    <row r="13" spans="1:6" x14ac:dyDescent="0.2">
      <c r="A13" s="84">
        <v>7</v>
      </c>
      <c r="B13" s="84">
        <v>7</v>
      </c>
      <c r="C13" s="84">
        <v>32</v>
      </c>
    </row>
    <row r="14" spans="1:6" x14ac:dyDescent="0.2">
      <c r="A14" s="84">
        <v>8</v>
      </c>
      <c r="B14" s="84">
        <v>8</v>
      </c>
      <c r="C14" s="84">
        <v>33</v>
      </c>
    </row>
    <row r="15" spans="1:6" x14ac:dyDescent="0.2">
      <c r="A15" s="84">
        <v>9</v>
      </c>
      <c r="B15" s="84">
        <v>9</v>
      </c>
      <c r="C15" s="84">
        <v>34</v>
      </c>
    </row>
    <row r="16" spans="1:6" x14ac:dyDescent="0.2">
      <c r="A16" s="84">
        <v>10</v>
      </c>
      <c r="B16" s="84">
        <v>10</v>
      </c>
      <c r="C16" s="84">
        <v>35</v>
      </c>
    </row>
    <row r="17" spans="1:3" x14ac:dyDescent="0.2">
      <c r="A17" s="84">
        <v>11</v>
      </c>
      <c r="B17" s="84">
        <v>11</v>
      </c>
      <c r="C17" s="84">
        <v>36</v>
      </c>
    </row>
    <row r="18" spans="1:3" x14ac:dyDescent="0.2">
      <c r="A18" s="84">
        <v>12</v>
      </c>
      <c r="B18" s="84">
        <v>12</v>
      </c>
      <c r="C18" s="84">
        <v>37</v>
      </c>
    </row>
    <row r="19" spans="1:3" x14ac:dyDescent="0.2">
      <c r="A19" s="84">
        <v>13</v>
      </c>
      <c r="B19" s="84">
        <v>13</v>
      </c>
      <c r="C19" s="84">
        <v>38</v>
      </c>
    </row>
    <row r="20" spans="1:3" x14ac:dyDescent="0.2">
      <c r="A20" s="84">
        <v>14</v>
      </c>
      <c r="B20" s="84">
        <v>14</v>
      </c>
      <c r="C20" s="84">
        <v>39</v>
      </c>
    </row>
    <row r="21" spans="1:3" x14ac:dyDescent="0.2">
      <c r="A21" s="84">
        <v>15</v>
      </c>
      <c r="B21" s="84">
        <v>15</v>
      </c>
      <c r="C21" s="84">
        <v>40</v>
      </c>
    </row>
    <row r="22" spans="1:3" x14ac:dyDescent="0.2">
      <c r="A22" s="84">
        <v>16</v>
      </c>
      <c r="B22" s="84">
        <v>16</v>
      </c>
      <c r="C22" s="84">
        <v>41</v>
      </c>
    </row>
    <row r="23" spans="1:3" x14ac:dyDescent="0.2">
      <c r="A23" s="84">
        <v>17</v>
      </c>
      <c r="B23" s="84">
        <v>17</v>
      </c>
      <c r="C23" s="84">
        <v>42</v>
      </c>
    </row>
    <row r="24" spans="1:3" x14ac:dyDescent="0.2">
      <c r="A24" s="84">
        <v>18</v>
      </c>
      <c r="B24" s="84">
        <v>18</v>
      </c>
      <c r="C24" s="84">
        <v>43</v>
      </c>
    </row>
    <row r="25" spans="1:3" x14ac:dyDescent="0.2">
      <c r="A25" s="84">
        <v>19</v>
      </c>
      <c r="B25" s="84">
        <v>19</v>
      </c>
      <c r="C25" s="84">
        <v>44</v>
      </c>
    </row>
    <row r="26" spans="1:3" x14ac:dyDescent="0.2">
      <c r="A26" s="84">
        <v>20</v>
      </c>
      <c r="B26" s="84">
        <v>20</v>
      </c>
      <c r="C26" s="84">
        <v>45</v>
      </c>
    </row>
    <row r="27" spans="1:3" x14ac:dyDescent="0.2">
      <c r="A27" s="84">
        <v>21</v>
      </c>
      <c r="B27" s="84">
        <v>21</v>
      </c>
      <c r="C27" s="84">
        <v>46</v>
      </c>
    </row>
    <row r="28" spans="1:3" x14ac:dyDescent="0.2">
      <c r="A28" s="84">
        <v>22</v>
      </c>
      <c r="B28" s="84">
        <v>22</v>
      </c>
      <c r="C28" s="84">
        <v>47</v>
      </c>
    </row>
    <row r="29" spans="1:3" x14ac:dyDescent="0.2">
      <c r="A29" s="84">
        <v>23</v>
      </c>
      <c r="B29" s="84">
        <v>23</v>
      </c>
      <c r="C29" s="84">
        <v>48</v>
      </c>
    </row>
    <row r="30" spans="1:3" x14ac:dyDescent="0.2">
      <c r="A30" s="84">
        <v>24</v>
      </c>
      <c r="B30" s="84">
        <v>24</v>
      </c>
      <c r="C30" s="84">
        <v>49</v>
      </c>
    </row>
    <row r="31" spans="1:3" x14ac:dyDescent="0.2">
      <c r="A31" s="84">
        <v>25</v>
      </c>
      <c r="B31" s="84">
        <v>25</v>
      </c>
      <c r="C31" s="84">
        <v>50</v>
      </c>
    </row>
    <row r="32" spans="1:3" x14ac:dyDescent="0.2">
      <c r="A32" s="84">
        <v>26</v>
      </c>
      <c r="B32" s="84">
        <v>26</v>
      </c>
      <c r="C32" s="84">
        <v>51</v>
      </c>
    </row>
    <row r="33" spans="1:3" x14ac:dyDescent="0.2">
      <c r="A33" s="84">
        <v>27</v>
      </c>
      <c r="B33" s="84">
        <v>27</v>
      </c>
      <c r="C33" s="84">
        <v>52</v>
      </c>
    </row>
    <row r="34" spans="1:3" x14ac:dyDescent="0.2">
      <c r="A34" s="84">
        <v>28</v>
      </c>
      <c r="B34" s="84">
        <v>28</v>
      </c>
      <c r="C34" s="84">
        <v>53</v>
      </c>
    </row>
    <row r="35" spans="1:3" x14ac:dyDescent="0.2">
      <c r="A35" s="84">
        <v>29</v>
      </c>
      <c r="B35" s="84">
        <v>29</v>
      </c>
      <c r="C35" s="84">
        <v>54</v>
      </c>
    </row>
    <row r="36" spans="1:3" x14ac:dyDescent="0.2">
      <c r="A36" s="84">
        <v>30</v>
      </c>
      <c r="B36" s="84">
        <v>30</v>
      </c>
      <c r="C36" s="84">
        <v>55</v>
      </c>
    </row>
    <row r="37" spans="1:3" x14ac:dyDescent="0.2">
      <c r="A37" s="84">
        <v>31</v>
      </c>
      <c r="B37" s="84">
        <v>31</v>
      </c>
      <c r="C37" s="84">
        <v>56</v>
      </c>
    </row>
    <row r="38" spans="1:3" x14ac:dyDescent="0.2">
      <c r="A38" s="84">
        <v>32</v>
      </c>
      <c r="B38" s="84">
        <v>32</v>
      </c>
      <c r="C38" s="84">
        <v>57</v>
      </c>
    </row>
    <row r="39" spans="1:3" x14ac:dyDescent="0.2">
      <c r="A39" s="84">
        <v>33</v>
      </c>
      <c r="B39" s="84">
        <v>33</v>
      </c>
      <c r="C39" s="84">
        <v>58</v>
      </c>
    </row>
    <row r="40" spans="1:3" x14ac:dyDescent="0.2">
      <c r="A40" s="84">
        <v>34</v>
      </c>
      <c r="B40" s="84">
        <v>34</v>
      </c>
      <c r="C40" s="84">
        <v>59</v>
      </c>
    </row>
    <row r="41" spans="1:3" x14ac:dyDescent="0.2">
      <c r="A41" s="84">
        <v>35</v>
      </c>
      <c r="B41" s="84">
        <v>35</v>
      </c>
      <c r="C41" s="84">
        <v>60</v>
      </c>
    </row>
    <row r="42" spans="1:3" x14ac:dyDescent="0.2">
      <c r="A42" s="84">
        <v>36</v>
      </c>
      <c r="B42" s="84">
        <v>36</v>
      </c>
      <c r="C42" s="84">
        <v>61</v>
      </c>
    </row>
    <row r="43" spans="1:3" x14ac:dyDescent="0.2">
      <c r="A43" s="84">
        <v>37</v>
      </c>
      <c r="B43" s="84">
        <v>37</v>
      </c>
      <c r="C43" s="84">
        <v>62</v>
      </c>
    </row>
    <row r="44" spans="1:3" x14ac:dyDescent="0.2">
      <c r="A44" s="84">
        <v>38</v>
      </c>
      <c r="B44" s="84">
        <v>38</v>
      </c>
      <c r="C44" s="84">
        <v>63</v>
      </c>
    </row>
    <row r="45" spans="1:3" x14ac:dyDescent="0.2">
      <c r="A45" s="84">
        <v>39</v>
      </c>
      <c r="B45" s="84">
        <v>39</v>
      </c>
      <c r="C45" s="84">
        <v>64</v>
      </c>
    </row>
    <row r="46" spans="1:3" x14ac:dyDescent="0.2">
      <c r="A46" s="84">
        <v>40</v>
      </c>
      <c r="B46" s="84">
        <v>40</v>
      </c>
      <c r="C46" s="84">
        <v>65</v>
      </c>
    </row>
    <row r="47" spans="1:3" x14ac:dyDescent="0.2">
      <c r="A47" s="84">
        <v>41</v>
      </c>
      <c r="B47" s="84">
        <v>41</v>
      </c>
      <c r="C47" s="84">
        <v>66</v>
      </c>
    </row>
    <row r="48" spans="1:3" x14ac:dyDescent="0.2">
      <c r="A48" s="84">
        <v>42</v>
      </c>
      <c r="B48" s="84">
        <v>42</v>
      </c>
      <c r="C48" s="84">
        <v>67</v>
      </c>
    </row>
    <row r="49" spans="1:3" x14ac:dyDescent="0.2">
      <c r="A49" s="84">
        <v>43</v>
      </c>
      <c r="B49" s="84">
        <v>43</v>
      </c>
      <c r="C49" s="84">
        <v>68</v>
      </c>
    </row>
    <row r="50" spans="1:3" x14ac:dyDescent="0.2">
      <c r="A50" s="84">
        <v>44</v>
      </c>
      <c r="B50" s="84">
        <v>44</v>
      </c>
      <c r="C50" s="84">
        <v>69</v>
      </c>
    </row>
    <row r="51" spans="1:3" x14ac:dyDescent="0.2">
      <c r="A51" s="84">
        <v>45</v>
      </c>
      <c r="B51" s="84">
        <v>45</v>
      </c>
      <c r="C51" s="84">
        <v>70</v>
      </c>
    </row>
    <row r="52" spans="1:3" x14ac:dyDescent="0.2">
      <c r="A52" s="84">
        <v>46</v>
      </c>
      <c r="B52" s="84">
        <v>46</v>
      </c>
      <c r="C52" s="84">
        <v>71</v>
      </c>
    </row>
    <row r="53" spans="1:3" x14ac:dyDescent="0.2">
      <c r="A53" s="84">
        <v>47</v>
      </c>
      <c r="B53" s="84">
        <v>47</v>
      </c>
      <c r="C53" s="84">
        <v>72</v>
      </c>
    </row>
    <row r="54" spans="1:3" x14ac:dyDescent="0.2">
      <c r="A54" s="84">
        <v>48</v>
      </c>
      <c r="B54" s="84">
        <v>48</v>
      </c>
      <c r="C54" s="84">
        <v>73</v>
      </c>
    </row>
    <row r="55" spans="1:3" x14ac:dyDescent="0.2">
      <c r="A55" s="84">
        <v>49</v>
      </c>
      <c r="B55" s="84">
        <v>49</v>
      </c>
      <c r="C55" s="84">
        <v>74</v>
      </c>
    </row>
    <row r="56" spans="1:3" x14ac:dyDescent="0.2">
      <c r="A56" s="84">
        <v>50</v>
      </c>
      <c r="B56" s="84">
        <v>50</v>
      </c>
      <c r="C56" s="84">
        <v>75</v>
      </c>
    </row>
    <row r="57" spans="1:3" x14ac:dyDescent="0.2">
      <c r="A57" s="84">
        <v>51</v>
      </c>
      <c r="B57" s="84">
        <v>51</v>
      </c>
      <c r="C57" s="84">
        <v>76</v>
      </c>
    </row>
    <row r="58" spans="1:3" x14ac:dyDescent="0.2">
      <c r="A58" s="84">
        <v>52</v>
      </c>
      <c r="B58" s="84">
        <v>52</v>
      </c>
      <c r="C58" s="84">
        <v>77</v>
      </c>
    </row>
    <row r="59" spans="1:3" x14ac:dyDescent="0.2">
      <c r="A59" s="84">
        <v>53</v>
      </c>
      <c r="B59" s="84">
        <v>53</v>
      </c>
      <c r="C59" s="84">
        <v>78</v>
      </c>
    </row>
    <row r="60" spans="1:3" x14ac:dyDescent="0.2">
      <c r="A60" s="84">
        <v>54</v>
      </c>
      <c r="B60" s="84">
        <v>54</v>
      </c>
      <c r="C60" s="84">
        <v>79</v>
      </c>
    </row>
    <row r="61" spans="1:3" x14ac:dyDescent="0.2">
      <c r="A61" s="84">
        <v>55</v>
      </c>
      <c r="B61" s="84">
        <v>55</v>
      </c>
      <c r="C61" s="84">
        <v>80</v>
      </c>
    </row>
    <row r="62" spans="1:3" x14ac:dyDescent="0.2">
      <c r="A62" s="84">
        <v>56</v>
      </c>
      <c r="B62" s="84">
        <v>56</v>
      </c>
      <c r="C62" s="84">
        <v>81</v>
      </c>
    </row>
    <row r="63" spans="1:3" x14ac:dyDescent="0.2">
      <c r="A63" s="84">
        <v>57</v>
      </c>
      <c r="B63" s="84">
        <v>57</v>
      </c>
      <c r="C63" s="84">
        <v>82</v>
      </c>
    </row>
    <row r="64" spans="1:3" x14ac:dyDescent="0.2">
      <c r="A64" s="84">
        <v>58</v>
      </c>
      <c r="B64" s="84">
        <v>58</v>
      </c>
      <c r="C64" s="84">
        <v>83</v>
      </c>
    </row>
    <row r="65" spans="1:3" x14ac:dyDescent="0.2">
      <c r="A65" s="84">
        <v>59</v>
      </c>
      <c r="B65" s="84">
        <v>59</v>
      </c>
      <c r="C65" s="84">
        <v>84</v>
      </c>
    </row>
    <row r="66" spans="1:3" x14ac:dyDescent="0.2">
      <c r="A66" s="84">
        <v>60</v>
      </c>
      <c r="B66" s="84">
        <v>60</v>
      </c>
      <c r="C66" s="84">
        <v>85</v>
      </c>
    </row>
    <row r="67" spans="1:3" x14ac:dyDescent="0.2">
      <c r="A67" s="84">
        <v>61</v>
      </c>
      <c r="B67" s="84">
        <v>61</v>
      </c>
      <c r="C67" s="84">
        <v>86</v>
      </c>
    </row>
    <row r="68" spans="1:3" x14ac:dyDescent="0.2">
      <c r="A68" s="84">
        <v>62</v>
      </c>
      <c r="B68" s="84">
        <v>62</v>
      </c>
      <c r="C68" s="84">
        <v>87</v>
      </c>
    </row>
    <row r="69" spans="1:3" x14ac:dyDescent="0.2">
      <c r="A69" s="84">
        <v>63</v>
      </c>
      <c r="B69" s="84">
        <v>63</v>
      </c>
      <c r="C69" s="84">
        <v>88</v>
      </c>
    </row>
    <row r="70" spans="1:3" x14ac:dyDescent="0.2">
      <c r="A70" s="84">
        <v>64</v>
      </c>
      <c r="B70" s="84">
        <v>64</v>
      </c>
      <c r="C70" s="84">
        <v>89</v>
      </c>
    </row>
    <row r="71" spans="1:3" x14ac:dyDescent="0.2">
      <c r="A71" s="84">
        <v>65</v>
      </c>
      <c r="B71" s="84">
        <v>65</v>
      </c>
      <c r="C71" s="84">
        <v>90</v>
      </c>
    </row>
    <row r="72" spans="1:3" x14ac:dyDescent="0.2">
      <c r="A72" s="84">
        <v>66</v>
      </c>
      <c r="B72" s="84">
        <v>66</v>
      </c>
      <c r="C72" s="84">
        <v>91</v>
      </c>
    </row>
    <row r="73" spans="1:3" x14ac:dyDescent="0.2">
      <c r="A73" s="84">
        <v>67</v>
      </c>
      <c r="B73" s="84">
        <v>67</v>
      </c>
      <c r="C73" s="84">
        <v>92</v>
      </c>
    </row>
    <row r="74" spans="1:3" x14ac:dyDescent="0.2">
      <c r="A74" s="84">
        <v>68</v>
      </c>
      <c r="B74" s="84">
        <v>68</v>
      </c>
      <c r="C74" s="84">
        <v>93</v>
      </c>
    </row>
    <row r="75" spans="1:3" x14ac:dyDescent="0.2">
      <c r="A75" s="84">
        <v>69</v>
      </c>
      <c r="B75" s="84">
        <v>69</v>
      </c>
      <c r="C75" s="84">
        <v>94</v>
      </c>
    </row>
    <row r="76" spans="1:3" x14ac:dyDescent="0.2">
      <c r="A76" s="84">
        <v>70</v>
      </c>
      <c r="B76" s="84">
        <v>70</v>
      </c>
      <c r="C76" s="84">
        <v>95</v>
      </c>
    </row>
    <row r="77" spans="1:3" x14ac:dyDescent="0.2">
      <c r="A77" s="84">
        <v>71</v>
      </c>
      <c r="B77" s="84">
        <v>71</v>
      </c>
      <c r="C77" s="84">
        <v>96</v>
      </c>
    </row>
    <row r="78" spans="1:3" x14ac:dyDescent="0.2">
      <c r="A78" s="84">
        <v>72</v>
      </c>
      <c r="B78" s="84">
        <v>72</v>
      </c>
      <c r="C78" s="84">
        <v>97</v>
      </c>
    </row>
    <row r="79" spans="1:3" x14ac:dyDescent="0.2">
      <c r="A79" s="84">
        <v>73</v>
      </c>
      <c r="B79" s="84">
        <v>73</v>
      </c>
      <c r="C79" s="84">
        <v>98</v>
      </c>
    </row>
    <row r="80" spans="1:3" x14ac:dyDescent="0.2">
      <c r="A80" s="84">
        <v>74</v>
      </c>
      <c r="B80" s="84">
        <v>74</v>
      </c>
      <c r="C80" s="84">
        <v>99</v>
      </c>
    </row>
    <row r="81" spans="1:3" x14ac:dyDescent="0.2">
      <c r="A81" s="84">
        <v>75</v>
      </c>
      <c r="B81" s="84">
        <v>75</v>
      </c>
      <c r="C81" s="84">
        <v>100</v>
      </c>
    </row>
    <row r="82" spans="1:3" x14ac:dyDescent="0.2">
      <c r="A82" s="84">
        <v>76</v>
      </c>
      <c r="B82" s="84">
        <v>76</v>
      </c>
      <c r="C82" s="84">
        <v>101</v>
      </c>
    </row>
    <row r="83" spans="1:3" x14ac:dyDescent="0.2">
      <c r="A83" s="84">
        <v>77</v>
      </c>
      <c r="B83" s="84">
        <v>77</v>
      </c>
      <c r="C83" s="84">
        <v>102</v>
      </c>
    </row>
    <row r="84" spans="1:3" x14ac:dyDescent="0.2">
      <c r="A84" s="84">
        <v>78</v>
      </c>
      <c r="B84" s="84">
        <v>78</v>
      </c>
      <c r="C84" s="84">
        <v>103</v>
      </c>
    </row>
    <row r="85" spans="1:3" x14ac:dyDescent="0.2">
      <c r="A85" s="84">
        <v>79</v>
      </c>
      <c r="B85" s="84">
        <v>79</v>
      </c>
      <c r="C85" s="84">
        <v>104</v>
      </c>
    </row>
    <row r="86" spans="1:3" x14ac:dyDescent="0.2">
      <c r="A86" s="84">
        <v>80</v>
      </c>
      <c r="B86" s="84">
        <v>80</v>
      </c>
      <c r="C86" s="84">
        <v>105</v>
      </c>
    </row>
    <row r="87" spans="1:3" x14ac:dyDescent="0.2">
      <c r="A87" s="84">
        <v>81</v>
      </c>
      <c r="B87" s="84">
        <v>81</v>
      </c>
      <c r="C87" s="84">
        <v>106</v>
      </c>
    </row>
    <row r="88" spans="1:3" x14ac:dyDescent="0.2">
      <c r="A88" s="84">
        <v>82</v>
      </c>
      <c r="B88" s="84">
        <v>82</v>
      </c>
      <c r="C88" s="84">
        <v>107</v>
      </c>
    </row>
    <row r="89" spans="1:3" x14ac:dyDescent="0.2">
      <c r="A89" s="84">
        <v>83</v>
      </c>
      <c r="B89" s="84">
        <v>83</v>
      </c>
      <c r="C89" s="84">
        <v>108</v>
      </c>
    </row>
    <row r="90" spans="1:3" x14ac:dyDescent="0.2">
      <c r="A90" s="84">
        <v>84</v>
      </c>
      <c r="B90" s="84">
        <v>84</v>
      </c>
      <c r="C90" s="84">
        <v>109</v>
      </c>
    </row>
    <row r="91" spans="1:3" x14ac:dyDescent="0.2">
      <c r="A91" s="84">
        <v>85</v>
      </c>
      <c r="B91" s="84">
        <v>85</v>
      </c>
      <c r="C91" s="84">
        <v>110</v>
      </c>
    </row>
    <row r="92" spans="1:3" x14ac:dyDescent="0.2">
      <c r="A92" s="84">
        <v>86</v>
      </c>
      <c r="B92" s="84">
        <v>86</v>
      </c>
      <c r="C92" s="84">
        <v>111</v>
      </c>
    </row>
    <row r="93" spans="1:3" x14ac:dyDescent="0.2">
      <c r="A93" s="84">
        <v>87</v>
      </c>
      <c r="B93" s="84">
        <v>87</v>
      </c>
      <c r="C93" s="84">
        <v>112</v>
      </c>
    </row>
    <row r="94" spans="1:3" x14ac:dyDescent="0.2">
      <c r="A94" s="84">
        <v>88</v>
      </c>
      <c r="B94" s="84">
        <v>88</v>
      </c>
      <c r="C94" s="84">
        <v>113</v>
      </c>
    </row>
    <row r="95" spans="1:3" x14ac:dyDescent="0.2">
      <c r="A95" s="84">
        <v>89</v>
      </c>
      <c r="B95" s="84">
        <v>89</v>
      </c>
      <c r="C95" s="84">
        <v>114</v>
      </c>
    </row>
    <row r="96" spans="1:3" x14ac:dyDescent="0.2">
      <c r="A96" s="84">
        <v>90</v>
      </c>
      <c r="B96" s="84">
        <v>90</v>
      </c>
      <c r="C96" s="84">
        <v>115</v>
      </c>
    </row>
    <row r="97" spans="1:3" x14ac:dyDescent="0.2">
      <c r="A97" s="84">
        <v>91</v>
      </c>
      <c r="B97" s="84">
        <v>91</v>
      </c>
      <c r="C97" s="84">
        <v>116</v>
      </c>
    </row>
    <row r="98" spans="1:3" x14ac:dyDescent="0.2">
      <c r="A98" s="84">
        <v>92</v>
      </c>
      <c r="B98" s="84">
        <v>92</v>
      </c>
      <c r="C98" s="84">
        <v>117</v>
      </c>
    </row>
    <row r="99" spans="1:3" x14ac:dyDescent="0.2">
      <c r="A99" s="84">
        <v>93</v>
      </c>
      <c r="B99" s="84">
        <v>93</v>
      </c>
      <c r="C99" s="84">
        <v>118</v>
      </c>
    </row>
    <row r="100" spans="1:3" x14ac:dyDescent="0.2">
      <c r="A100" s="84">
        <v>94</v>
      </c>
      <c r="B100" s="84">
        <v>94</v>
      </c>
      <c r="C100" s="84">
        <v>119</v>
      </c>
    </row>
    <row r="101" spans="1:3" x14ac:dyDescent="0.2">
      <c r="A101" s="84">
        <v>95</v>
      </c>
      <c r="B101" s="84">
        <v>95</v>
      </c>
      <c r="C101" s="84">
        <v>120</v>
      </c>
    </row>
    <row r="102" spans="1:3" x14ac:dyDescent="0.2">
      <c r="A102" s="84">
        <v>96</v>
      </c>
      <c r="B102" s="84">
        <v>96</v>
      </c>
      <c r="C102" s="84">
        <v>121</v>
      </c>
    </row>
    <row r="103" spans="1:3" x14ac:dyDescent="0.2">
      <c r="A103" s="84">
        <v>97</v>
      </c>
      <c r="B103" s="84">
        <v>97</v>
      </c>
      <c r="C103" s="84">
        <v>122</v>
      </c>
    </row>
    <row r="104" spans="1:3" x14ac:dyDescent="0.2">
      <c r="A104" s="84">
        <v>98</v>
      </c>
      <c r="B104" s="84">
        <v>98</v>
      </c>
      <c r="C104" s="84">
        <v>123</v>
      </c>
    </row>
    <row r="105" spans="1:3" x14ac:dyDescent="0.2">
      <c r="A105" s="84">
        <v>99</v>
      </c>
      <c r="B105" s="84">
        <v>99</v>
      </c>
      <c r="C105" s="84">
        <v>124</v>
      </c>
    </row>
    <row r="106" spans="1:3" x14ac:dyDescent="0.2">
      <c r="A106" s="84">
        <v>100</v>
      </c>
      <c r="B106" s="84">
        <v>100</v>
      </c>
      <c r="C106" s="84">
        <v>125</v>
      </c>
    </row>
    <row r="107" spans="1:3" x14ac:dyDescent="0.2">
      <c r="A107" s="84">
        <v>101</v>
      </c>
      <c r="B107" s="84">
        <v>26</v>
      </c>
      <c r="C107" s="84">
        <v>27</v>
      </c>
    </row>
    <row r="108" spans="1:3" x14ac:dyDescent="0.2">
      <c r="A108" s="84">
        <v>102</v>
      </c>
      <c r="B108" s="84">
        <v>27</v>
      </c>
      <c r="C108" s="84">
        <v>28</v>
      </c>
    </row>
    <row r="109" spans="1:3" x14ac:dyDescent="0.2">
      <c r="A109" s="84">
        <v>103</v>
      </c>
      <c r="B109" s="84">
        <v>28</v>
      </c>
      <c r="C109" s="84">
        <v>29</v>
      </c>
    </row>
    <row r="110" spans="1:3" x14ac:dyDescent="0.2">
      <c r="A110" s="84">
        <v>104</v>
      </c>
      <c r="B110" s="84">
        <v>29</v>
      </c>
      <c r="C110" s="84">
        <v>30</v>
      </c>
    </row>
    <row r="111" spans="1:3" x14ac:dyDescent="0.2">
      <c r="A111" s="84">
        <v>105</v>
      </c>
      <c r="B111" s="84">
        <v>31</v>
      </c>
      <c r="C111" s="84">
        <v>32</v>
      </c>
    </row>
    <row r="112" spans="1:3" x14ac:dyDescent="0.2">
      <c r="A112" s="84">
        <v>106</v>
      </c>
      <c r="B112" s="84">
        <v>32</v>
      </c>
      <c r="C112" s="84">
        <v>33</v>
      </c>
    </row>
    <row r="113" spans="1:3" x14ac:dyDescent="0.2">
      <c r="A113" s="84">
        <v>107</v>
      </c>
      <c r="B113" s="84">
        <v>33</v>
      </c>
      <c r="C113" s="84">
        <v>34</v>
      </c>
    </row>
    <row r="114" spans="1:3" x14ac:dyDescent="0.2">
      <c r="A114" s="84">
        <v>108</v>
      </c>
      <c r="B114" s="84">
        <v>34</v>
      </c>
      <c r="C114" s="84">
        <v>35</v>
      </c>
    </row>
    <row r="115" spans="1:3" x14ac:dyDescent="0.2">
      <c r="A115" s="84">
        <v>109</v>
      </c>
      <c r="B115" s="84">
        <v>36</v>
      </c>
      <c r="C115" s="84">
        <v>37</v>
      </c>
    </row>
    <row r="116" spans="1:3" x14ac:dyDescent="0.2">
      <c r="A116" s="84">
        <v>110</v>
      </c>
      <c r="B116" s="84">
        <v>37</v>
      </c>
      <c r="C116" s="84">
        <v>38</v>
      </c>
    </row>
    <row r="117" spans="1:3" x14ac:dyDescent="0.2">
      <c r="A117" s="84">
        <v>111</v>
      </c>
      <c r="B117" s="84">
        <v>38</v>
      </c>
      <c r="C117" s="84">
        <v>39</v>
      </c>
    </row>
    <row r="118" spans="1:3" x14ac:dyDescent="0.2">
      <c r="A118" s="84">
        <v>112</v>
      </c>
      <c r="B118" s="84">
        <v>39</v>
      </c>
      <c r="C118" s="84">
        <v>40</v>
      </c>
    </row>
    <row r="119" spans="1:3" x14ac:dyDescent="0.2">
      <c r="A119" s="84">
        <v>113</v>
      </c>
      <c r="B119" s="84">
        <v>41</v>
      </c>
      <c r="C119" s="84">
        <v>42</v>
      </c>
    </row>
    <row r="120" spans="1:3" x14ac:dyDescent="0.2">
      <c r="A120" s="84">
        <v>114</v>
      </c>
      <c r="B120" s="84">
        <v>42</v>
      </c>
      <c r="C120" s="84">
        <v>43</v>
      </c>
    </row>
    <row r="121" spans="1:3" x14ac:dyDescent="0.2">
      <c r="A121" s="84">
        <v>115</v>
      </c>
      <c r="B121" s="84">
        <v>43</v>
      </c>
      <c r="C121" s="84">
        <v>44</v>
      </c>
    </row>
    <row r="122" spans="1:3" x14ac:dyDescent="0.2">
      <c r="A122" s="84">
        <v>116</v>
      </c>
      <c r="B122" s="84">
        <v>44</v>
      </c>
      <c r="C122" s="84">
        <v>45</v>
      </c>
    </row>
    <row r="123" spans="1:3" x14ac:dyDescent="0.2">
      <c r="A123" s="84">
        <v>117</v>
      </c>
      <c r="B123" s="84">
        <v>46</v>
      </c>
      <c r="C123" s="84">
        <v>47</v>
      </c>
    </row>
    <row r="124" spans="1:3" x14ac:dyDescent="0.2">
      <c r="A124" s="84">
        <v>118</v>
      </c>
      <c r="B124" s="84">
        <v>47</v>
      </c>
      <c r="C124" s="84">
        <v>48</v>
      </c>
    </row>
    <row r="125" spans="1:3" x14ac:dyDescent="0.2">
      <c r="A125" s="84">
        <v>119</v>
      </c>
      <c r="B125" s="84">
        <v>48</v>
      </c>
      <c r="C125" s="84">
        <v>49</v>
      </c>
    </row>
    <row r="126" spans="1:3" x14ac:dyDescent="0.2">
      <c r="A126" s="84">
        <v>120</v>
      </c>
      <c r="B126" s="84">
        <v>49</v>
      </c>
      <c r="C126" s="84">
        <v>50</v>
      </c>
    </row>
    <row r="127" spans="1:3" x14ac:dyDescent="0.2">
      <c r="A127" s="84">
        <v>121</v>
      </c>
      <c r="B127" s="84">
        <v>51</v>
      </c>
      <c r="C127" s="84">
        <v>52</v>
      </c>
    </row>
    <row r="128" spans="1:3" x14ac:dyDescent="0.2">
      <c r="A128" s="84">
        <v>122</v>
      </c>
      <c r="B128" s="84">
        <v>52</v>
      </c>
      <c r="C128" s="84">
        <v>53</v>
      </c>
    </row>
    <row r="129" spans="1:3" x14ac:dyDescent="0.2">
      <c r="A129" s="84">
        <v>123</v>
      </c>
      <c r="B129" s="84">
        <v>53</v>
      </c>
      <c r="C129" s="84">
        <v>54</v>
      </c>
    </row>
    <row r="130" spans="1:3" x14ac:dyDescent="0.2">
      <c r="A130" s="84">
        <v>124</v>
      </c>
      <c r="B130" s="84">
        <v>54</v>
      </c>
      <c r="C130" s="84">
        <v>55</v>
      </c>
    </row>
    <row r="131" spans="1:3" x14ac:dyDescent="0.2">
      <c r="A131" s="84">
        <v>125</v>
      </c>
      <c r="B131" s="84">
        <v>56</v>
      </c>
      <c r="C131" s="84">
        <v>57</v>
      </c>
    </row>
    <row r="132" spans="1:3" x14ac:dyDescent="0.2">
      <c r="A132" s="84">
        <v>126</v>
      </c>
      <c r="B132" s="84">
        <v>57</v>
      </c>
      <c r="C132" s="84">
        <v>58</v>
      </c>
    </row>
    <row r="133" spans="1:3" x14ac:dyDescent="0.2">
      <c r="A133" s="84">
        <v>127</v>
      </c>
      <c r="B133" s="84">
        <v>58</v>
      </c>
      <c r="C133" s="84">
        <v>59</v>
      </c>
    </row>
    <row r="134" spans="1:3" x14ac:dyDescent="0.2">
      <c r="A134" s="84">
        <v>128</v>
      </c>
      <c r="B134" s="84">
        <v>59</v>
      </c>
      <c r="C134" s="84">
        <v>60</v>
      </c>
    </row>
    <row r="135" spans="1:3" x14ac:dyDescent="0.2">
      <c r="A135" s="84">
        <v>129</v>
      </c>
      <c r="B135" s="84">
        <v>61</v>
      </c>
      <c r="C135" s="84">
        <v>62</v>
      </c>
    </row>
    <row r="136" spans="1:3" x14ac:dyDescent="0.2">
      <c r="A136" s="84">
        <v>130</v>
      </c>
      <c r="B136" s="84">
        <v>62</v>
      </c>
      <c r="C136" s="84">
        <v>63</v>
      </c>
    </row>
    <row r="137" spans="1:3" x14ac:dyDescent="0.2">
      <c r="A137" s="84">
        <v>131</v>
      </c>
      <c r="B137" s="84">
        <v>63</v>
      </c>
      <c r="C137" s="84">
        <v>64</v>
      </c>
    </row>
    <row r="138" spans="1:3" x14ac:dyDescent="0.2">
      <c r="A138" s="84">
        <v>132</v>
      </c>
      <c r="B138" s="84">
        <v>64</v>
      </c>
      <c r="C138" s="84">
        <v>65</v>
      </c>
    </row>
    <row r="139" spans="1:3" x14ac:dyDescent="0.2">
      <c r="A139" s="84">
        <v>133</v>
      </c>
      <c r="B139" s="84">
        <v>66</v>
      </c>
      <c r="C139" s="84">
        <v>67</v>
      </c>
    </row>
    <row r="140" spans="1:3" x14ac:dyDescent="0.2">
      <c r="A140" s="84">
        <v>134</v>
      </c>
      <c r="B140" s="84">
        <v>67</v>
      </c>
      <c r="C140" s="84">
        <v>68</v>
      </c>
    </row>
    <row r="141" spans="1:3" x14ac:dyDescent="0.2">
      <c r="A141" s="84">
        <v>135</v>
      </c>
      <c r="B141" s="84">
        <v>68</v>
      </c>
      <c r="C141" s="84">
        <v>69</v>
      </c>
    </row>
    <row r="142" spans="1:3" x14ac:dyDescent="0.2">
      <c r="A142" s="84">
        <v>136</v>
      </c>
      <c r="B142" s="84">
        <v>69</v>
      </c>
      <c r="C142" s="84">
        <v>70</v>
      </c>
    </row>
    <row r="143" spans="1:3" x14ac:dyDescent="0.2">
      <c r="A143" s="84">
        <v>137</v>
      </c>
      <c r="B143" s="84">
        <v>71</v>
      </c>
      <c r="C143" s="84">
        <v>72</v>
      </c>
    </row>
    <row r="144" spans="1:3" x14ac:dyDescent="0.2">
      <c r="A144" s="84">
        <v>138</v>
      </c>
      <c r="B144" s="84">
        <v>72</v>
      </c>
      <c r="C144" s="84">
        <v>73</v>
      </c>
    </row>
    <row r="145" spans="1:3" x14ac:dyDescent="0.2">
      <c r="A145" s="84">
        <v>139</v>
      </c>
      <c r="B145" s="84">
        <v>73</v>
      </c>
      <c r="C145" s="84">
        <v>74</v>
      </c>
    </row>
    <row r="146" spans="1:3" x14ac:dyDescent="0.2">
      <c r="A146" s="84">
        <v>140</v>
      </c>
      <c r="B146" s="84">
        <v>74</v>
      </c>
      <c r="C146" s="84">
        <v>75</v>
      </c>
    </row>
    <row r="147" spans="1:3" x14ac:dyDescent="0.2">
      <c r="A147" s="84">
        <v>141</v>
      </c>
      <c r="B147" s="84">
        <v>76</v>
      </c>
      <c r="C147" s="84">
        <v>77</v>
      </c>
    </row>
    <row r="148" spans="1:3" x14ac:dyDescent="0.2">
      <c r="A148" s="84">
        <v>142</v>
      </c>
      <c r="B148" s="84">
        <v>77</v>
      </c>
      <c r="C148" s="84">
        <v>78</v>
      </c>
    </row>
    <row r="149" spans="1:3" x14ac:dyDescent="0.2">
      <c r="A149" s="84">
        <v>143</v>
      </c>
      <c r="B149" s="84">
        <v>78</v>
      </c>
      <c r="C149" s="84">
        <v>79</v>
      </c>
    </row>
    <row r="150" spans="1:3" x14ac:dyDescent="0.2">
      <c r="A150" s="84">
        <v>144</v>
      </c>
      <c r="B150" s="84">
        <v>79</v>
      </c>
      <c r="C150" s="84">
        <v>80</v>
      </c>
    </row>
    <row r="151" spans="1:3" x14ac:dyDescent="0.2">
      <c r="A151" s="84">
        <v>145</v>
      </c>
      <c r="B151" s="84">
        <v>81</v>
      </c>
      <c r="C151" s="84">
        <v>82</v>
      </c>
    </row>
    <row r="152" spans="1:3" x14ac:dyDescent="0.2">
      <c r="A152" s="84">
        <v>146</v>
      </c>
      <c r="B152" s="84">
        <v>82</v>
      </c>
      <c r="C152" s="84">
        <v>83</v>
      </c>
    </row>
    <row r="153" spans="1:3" x14ac:dyDescent="0.2">
      <c r="A153" s="84">
        <v>147</v>
      </c>
      <c r="B153" s="84">
        <v>83</v>
      </c>
      <c r="C153" s="84">
        <v>84</v>
      </c>
    </row>
    <row r="154" spans="1:3" x14ac:dyDescent="0.2">
      <c r="A154" s="84">
        <v>148</v>
      </c>
      <c r="B154" s="84">
        <v>84</v>
      </c>
      <c r="C154" s="84">
        <v>85</v>
      </c>
    </row>
    <row r="155" spans="1:3" x14ac:dyDescent="0.2">
      <c r="A155" s="84">
        <v>149</v>
      </c>
      <c r="B155" s="84">
        <v>86</v>
      </c>
      <c r="C155" s="84">
        <v>87</v>
      </c>
    </row>
    <row r="156" spans="1:3" x14ac:dyDescent="0.2">
      <c r="A156" s="84">
        <v>150</v>
      </c>
      <c r="B156" s="84">
        <v>87</v>
      </c>
      <c r="C156" s="84">
        <v>88</v>
      </c>
    </row>
    <row r="157" spans="1:3" x14ac:dyDescent="0.2">
      <c r="A157" s="84">
        <v>151</v>
      </c>
      <c r="B157" s="84">
        <v>88</v>
      </c>
      <c r="C157" s="84">
        <v>89</v>
      </c>
    </row>
    <row r="158" spans="1:3" x14ac:dyDescent="0.2">
      <c r="A158" s="84">
        <v>152</v>
      </c>
      <c r="B158" s="84">
        <v>89</v>
      </c>
      <c r="C158" s="84">
        <v>90</v>
      </c>
    </row>
    <row r="159" spans="1:3" x14ac:dyDescent="0.2">
      <c r="A159" s="84">
        <v>153</v>
      </c>
      <c r="B159" s="84">
        <v>91</v>
      </c>
      <c r="C159" s="84">
        <v>92</v>
      </c>
    </row>
    <row r="160" spans="1:3" x14ac:dyDescent="0.2">
      <c r="A160" s="84">
        <v>154</v>
      </c>
      <c r="B160" s="84">
        <v>92</v>
      </c>
      <c r="C160" s="84">
        <v>93</v>
      </c>
    </row>
    <row r="161" spans="1:3" x14ac:dyDescent="0.2">
      <c r="A161" s="84">
        <v>155</v>
      </c>
      <c r="B161" s="84">
        <v>93</v>
      </c>
      <c r="C161" s="84">
        <v>94</v>
      </c>
    </row>
    <row r="162" spans="1:3" x14ac:dyDescent="0.2">
      <c r="A162" s="84">
        <v>156</v>
      </c>
      <c r="B162" s="84">
        <v>94</v>
      </c>
      <c r="C162" s="84">
        <v>95</v>
      </c>
    </row>
    <row r="163" spans="1:3" x14ac:dyDescent="0.2">
      <c r="A163" s="84">
        <v>157</v>
      </c>
      <c r="B163" s="84">
        <v>96</v>
      </c>
      <c r="C163" s="84">
        <v>97</v>
      </c>
    </row>
    <row r="164" spans="1:3" x14ac:dyDescent="0.2">
      <c r="A164" s="84">
        <v>158</v>
      </c>
      <c r="B164" s="84">
        <v>97</v>
      </c>
      <c r="C164" s="84">
        <v>98</v>
      </c>
    </row>
    <row r="165" spans="1:3" x14ac:dyDescent="0.2">
      <c r="A165" s="84">
        <v>159</v>
      </c>
      <c r="B165" s="84">
        <v>98</v>
      </c>
      <c r="C165" s="84">
        <v>99</v>
      </c>
    </row>
    <row r="166" spans="1:3" x14ac:dyDescent="0.2">
      <c r="A166" s="84">
        <v>160</v>
      </c>
      <c r="B166" s="84">
        <v>99</v>
      </c>
      <c r="C166" s="84">
        <v>100</v>
      </c>
    </row>
    <row r="167" spans="1:3" x14ac:dyDescent="0.2">
      <c r="A167" s="84">
        <v>161</v>
      </c>
      <c r="B167" s="84">
        <v>101</v>
      </c>
      <c r="C167" s="84">
        <v>102</v>
      </c>
    </row>
    <row r="168" spans="1:3" x14ac:dyDescent="0.2">
      <c r="A168" s="84">
        <v>162</v>
      </c>
      <c r="B168" s="84">
        <v>102</v>
      </c>
      <c r="C168" s="84">
        <v>103</v>
      </c>
    </row>
    <row r="169" spans="1:3" x14ac:dyDescent="0.2">
      <c r="A169" s="84">
        <v>163</v>
      </c>
      <c r="B169" s="84">
        <v>103</v>
      </c>
      <c r="C169" s="84">
        <v>104</v>
      </c>
    </row>
    <row r="170" spans="1:3" x14ac:dyDescent="0.2">
      <c r="A170" s="84">
        <v>164</v>
      </c>
      <c r="B170" s="84">
        <v>104</v>
      </c>
      <c r="C170" s="84">
        <v>105</v>
      </c>
    </row>
    <row r="171" spans="1:3" x14ac:dyDescent="0.2">
      <c r="A171" s="84">
        <v>165</v>
      </c>
      <c r="B171" s="84">
        <v>106</v>
      </c>
      <c r="C171" s="84">
        <v>107</v>
      </c>
    </row>
    <row r="172" spans="1:3" x14ac:dyDescent="0.2">
      <c r="A172" s="84">
        <v>166</v>
      </c>
      <c r="B172" s="84">
        <v>107</v>
      </c>
      <c r="C172" s="84">
        <v>108</v>
      </c>
    </row>
    <row r="173" spans="1:3" x14ac:dyDescent="0.2">
      <c r="A173" s="84">
        <v>167</v>
      </c>
      <c r="B173" s="84">
        <v>108</v>
      </c>
      <c r="C173" s="84">
        <v>109</v>
      </c>
    </row>
    <row r="174" spans="1:3" x14ac:dyDescent="0.2">
      <c r="A174" s="84">
        <v>168</v>
      </c>
      <c r="B174" s="84">
        <v>109</v>
      </c>
      <c r="C174" s="84">
        <v>110</v>
      </c>
    </row>
    <row r="175" spans="1:3" x14ac:dyDescent="0.2">
      <c r="A175" s="84">
        <v>169</v>
      </c>
      <c r="B175" s="84">
        <v>111</v>
      </c>
      <c r="C175" s="84">
        <v>112</v>
      </c>
    </row>
    <row r="176" spans="1:3" x14ac:dyDescent="0.2">
      <c r="A176" s="84">
        <v>170</v>
      </c>
      <c r="B176" s="84">
        <v>112</v>
      </c>
      <c r="C176" s="84">
        <v>113</v>
      </c>
    </row>
    <row r="177" spans="1:3" x14ac:dyDescent="0.2">
      <c r="A177" s="84">
        <v>171</v>
      </c>
      <c r="B177" s="84">
        <v>113</v>
      </c>
      <c r="C177" s="84">
        <v>114</v>
      </c>
    </row>
    <row r="178" spans="1:3" x14ac:dyDescent="0.2">
      <c r="A178" s="84">
        <v>172</v>
      </c>
      <c r="B178" s="84">
        <v>114</v>
      </c>
      <c r="C178" s="84">
        <v>115</v>
      </c>
    </row>
    <row r="179" spans="1:3" x14ac:dyDescent="0.2">
      <c r="A179" s="84">
        <v>173</v>
      </c>
      <c r="B179" s="84">
        <v>116</v>
      </c>
      <c r="C179" s="84">
        <v>117</v>
      </c>
    </row>
    <row r="180" spans="1:3" x14ac:dyDescent="0.2">
      <c r="A180" s="84">
        <v>174</v>
      </c>
      <c r="B180" s="84">
        <v>117</v>
      </c>
      <c r="C180" s="84">
        <v>118</v>
      </c>
    </row>
    <row r="181" spans="1:3" x14ac:dyDescent="0.2">
      <c r="A181" s="84">
        <v>175</v>
      </c>
      <c r="B181" s="84">
        <v>118</v>
      </c>
      <c r="C181" s="84">
        <v>119</v>
      </c>
    </row>
    <row r="182" spans="1:3" x14ac:dyDescent="0.2">
      <c r="A182" s="84">
        <v>176</v>
      </c>
      <c r="B182" s="84">
        <v>119</v>
      </c>
      <c r="C182" s="84">
        <v>120</v>
      </c>
    </row>
    <row r="183" spans="1:3" x14ac:dyDescent="0.2">
      <c r="A183" s="84">
        <v>177</v>
      </c>
      <c r="B183" s="84">
        <v>121</v>
      </c>
      <c r="C183" s="84">
        <v>122</v>
      </c>
    </row>
    <row r="184" spans="1:3" x14ac:dyDescent="0.2">
      <c r="A184" s="84">
        <v>178</v>
      </c>
      <c r="B184" s="84">
        <v>122</v>
      </c>
      <c r="C184" s="84">
        <v>123</v>
      </c>
    </row>
    <row r="185" spans="1:3" x14ac:dyDescent="0.2">
      <c r="A185" s="84">
        <v>179</v>
      </c>
      <c r="B185" s="84">
        <v>123</v>
      </c>
      <c r="C185" s="84">
        <v>124</v>
      </c>
    </row>
    <row r="186" spans="1:3" x14ac:dyDescent="0.2">
      <c r="A186" s="84">
        <v>180</v>
      </c>
      <c r="B186" s="84">
        <v>124</v>
      </c>
      <c r="C186" s="84">
        <v>125</v>
      </c>
    </row>
    <row r="187" spans="1:3" x14ac:dyDescent="0.2">
      <c r="A187" s="84">
        <v>181</v>
      </c>
      <c r="B187" s="84">
        <v>26</v>
      </c>
      <c r="C187" s="84">
        <v>31</v>
      </c>
    </row>
    <row r="188" spans="1:3" x14ac:dyDescent="0.2">
      <c r="A188" s="84">
        <v>182</v>
      </c>
      <c r="B188" s="84">
        <v>27</v>
      </c>
      <c r="C188" s="84">
        <v>32</v>
      </c>
    </row>
    <row r="189" spans="1:3" x14ac:dyDescent="0.2">
      <c r="A189" s="84">
        <v>183</v>
      </c>
      <c r="B189" s="84">
        <v>28</v>
      </c>
      <c r="C189" s="84">
        <v>33</v>
      </c>
    </row>
    <row r="190" spans="1:3" x14ac:dyDescent="0.2">
      <c r="A190" s="84">
        <v>184</v>
      </c>
      <c r="B190" s="84">
        <v>29</v>
      </c>
      <c r="C190" s="84">
        <v>34</v>
      </c>
    </row>
    <row r="191" spans="1:3" x14ac:dyDescent="0.2">
      <c r="A191" s="84">
        <v>185</v>
      </c>
      <c r="B191" s="84">
        <v>30</v>
      </c>
      <c r="C191" s="84">
        <v>35</v>
      </c>
    </row>
    <row r="192" spans="1:3" x14ac:dyDescent="0.2">
      <c r="A192" s="84">
        <v>186</v>
      </c>
      <c r="B192" s="84">
        <v>31</v>
      </c>
      <c r="C192" s="84">
        <v>36</v>
      </c>
    </row>
    <row r="193" spans="1:3" x14ac:dyDescent="0.2">
      <c r="A193" s="84">
        <v>187</v>
      </c>
      <c r="B193" s="84">
        <v>32</v>
      </c>
      <c r="C193" s="84">
        <v>37</v>
      </c>
    </row>
    <row r="194" spans="1:3" x14ac:dyDescent="0.2">
      <c r="A194" s="84">
        <v>188</v>
      </c>
      <c r="B194" s="84">
        <v>33</v>
      </c>
      <c r="C194" s="84">
        <v>38</v>
      </c>
    </row>
    <row r="195" spans="1:3" x14ac:dyDescent="0.2">
      <c r="A195" s="84">
        <v>189</v>
      </c>
      <c r="B195" s="84">
        <v>34</v>
      </c>
      <c r="C195" s="84">
        <v>39</v>
      </c>
    </row>
    <row r="196" spans="1:3" x14ac:dyDescent="0.2">
      <c r="A196" s="84">
        <v>190</v>
      </c>
      <c r="B196" s="84">
        <v>35</v>
      </c>
      <c r="C196" s="84">
        <v>40</v>
      </c>
    </row>
    <row r="197" spans="1:3" x14ac:dyDescent="0.2">
      <c r="A197" s="84">
        <v>191</v>
      </c>
      <c r="B197" s="84">
        <v>36</v>
      </c>
      <c r="C197" s="84">
        <v>41</v>
      </c>
    </row>
    <row r="198" spans="1:3" x14ac:dyDescent="0.2">
      <c r="A198" s="84">
        <v>192</v>
      </c>
      <c r="B198" s="84">
        <v>37</v>
      </c>
      <c r="C198" s="84">
        <v>42</v>
      </c>
    </row>
    <row r="199" spans="1:3" x14ac:dyDescent="0.2">
      <c r="A199" s="84">
        <v>193</v>
      </c>
      <c r="B199" s="84">
        <v>38</v>
      </c>
      <c r="C199" s="84">
        <v>43</v>
      </c>
    </row>
    <row r="200" spans="1:3" x14ac:dyDescent="0.2">
      <c r="A200" s="84">
        <v>194</v>
      </c>
      <c r="B200" s="84">
        <v>39</v>
      </c>
      <c r="C200" s="84">
        <v>44</v>
      </c>
    </row>
    <row r="201" spans="1:3" x14ac:dyDescent="0.2">
      <c r="A201" s="84">
        <v>195</v>
      </c>
      <c r="B201" s="84">
        <v>40</v>
      </c>
      <c r="C201" s="84">
        <v>45</v>
      </c>
    </row>
    <row r="202" spans="1:3" x14ac:dyDescent="0.2">
      <c r="A202" s="84">
        <v>196</v>
      </c>
      <c r="B202" s="84">
        <v>41</v>
      </c>
      <c r="C202" s="84">
        <v>46</v>
      </c>
    </row>
    <row r="203" spans="1:3" x14ac:dyDescent="0.2">
      <c r="A203" s="84">
        <v>197</v>
      </c>
      <c r="B203" s="84">
        <v>42</v>
      </c>
      <c r="C203" s="84">
        <v>47</v>
      </c>
    </row>
    <row r="204" spans="1:3" x14ac:dyDescent="0.2">
      <c r="A204" s="84">
        <v>198</v>
      </c>
      <c r="B204" s="84">
        <v>43</v>
      </c>
      <c r="C204" s="84">
        <v>48</v>
      </c>
    </row>
    <row r="205" spans="1:3" x14ac:dyDescent="0.2">
      <c r="A205" s="84">
        <v>199</v>
      </c>
      <c r="B205" s="84">
        <v>44</v>
      </c>
      <c r="C205" s="84">
        <v>49</v>
      </c>
    </row>
    <row r="206" spans="1:3" x14ac:dyDescent="0.2">
      <c r="A206" s="84">
        <v>200</v>
      </c>
      <c r="B206" s="84">
        <v>45</v>
      </c>
      <c r="C206" s="84">
        <v>50</v>
      </c>
    </row>
    <row r="207" spans="1:3" x14ac:dyDescent="0.2">
      <c r="A207" s="84">
        <v>201</v>
      </c>
      <c r="B207" s="84">
        <v>51</v>
      </c>
      <c r="C207" s="84">
        <v>56</v>
      </c>
    </row>
    <row r="208" spans="1:3" x14ac:dyDescent="0.2">
      <c r="A208" s="84">
        <v>202</v>
      </c>
      <c r="B208" s="84">
        <v>52</v>
      </c>
      <c r="C208" s="84">
        <v>57</v>
      </c>
    </row>
    <row r="209" spans="1:3" x14ac:dyDescent="0.2">
      <c r="A209" s="84">
        <v>203</v>
      </c>
      <c r="B209" s="84">
        <v>53</v>
      </c>
      <c r="C209" s="84">
        <v>58</v>
      </c>
    </row>
    <row r="210" spans="1:3" x14ac:dyDescent="0.2">
      <c r="A210" s="84">
        <v>204</v>
      </c>
      <c r="B210" s="84">
        <v>54</v>
      </c>
      <c r="C210" s="84">
        <v>59</v>
      </c>
    </row>
    <row r="211" spans="1:3" x14ac:dyDescent="0.2">
      <c r="A211" s="84">
        <v>205</v>
      </c>
      <c r="B211" s="84">
        <v>55</v>
      </c>
      <c r="C211" s="84">
        <v>60</v>
      </c>
    </row>
    <row r="212" spans="1:3" x14ac:dyDescent="0.2">
      <c r="A212" s="84">
        <v>206</v>
      </c>
      <c r="B212" s="84">
        <v>56</v>
      </c>
      <c r="C212" s="84">
        <v>61</v>
      </c>
    </row>
    <row r="213" spans="1:3" x14ac:dyDescent="0.2">
      <c r="A213" s="84">
        <v>207</v>
      </c>
      <c r="B213" s="84">
        <v>57</v>
      </c>
      <c r="C213" s="84">
        <v>62</v>
      </c>
    </row>
    <row r="214" spans="1:3" x14ac:dyDescent="0.2">
      <c r="A214" s="84">
        <v>208</v>
      </c>
      <c r="B214" s="84">
        <v>58</v>
      </c>
      <c r="C214" s="84">
        <v>63</v>
      </c>
    </row>
    <row r="215" spans="1:3" x14ac:dyDescent="0.2">
      <c r="A215" s="84">
        <v>209</v>
      </c>
      <c r="B215" s="84">
        <v>59</v>
      </c>
      <c r="C215" s="84">
        <v>64</v>
      </c>
    </row>
    <row r="216" spans="1:3" x14ac:dyDescent="0.2">
      <c r="A216" s="84">
        <v>210</v>
      </c>
      <c r="B216" s="84">
        <v>60</v>
      </c>
      <c r="C216" s="84">
        <v>65</v>
      </c>
    </row>
    <row r="217" spans="1:3" x14ac:dyDescent="0.2">
      <c r="A217" s="84">
        <v>211</v>
      </c>
      <c r="B217" s="84">
        <v>61</v>
      </c>
      <c r="C217" s="84">
        <v>66</v>
      </c>
    </row>
    <row r="218" spans="1:3" x14ac:dyDescent="0.2">
      <c r="A218" s="84">
        <v>212</v>
      </c>
      <c r="B218" s="84">
        <v>62</v>
      </c>
      <c r="C218" s="84">
        <v>67</v>
      </c>
    </row>
    <row r="219" spans="1:3" x14ac:dyDescent="0.2">
      <c r="A219" s="84">
        <v>213</v>
      </c>
      <c r="B219" s="84">
        <v>63</v>
      </c>
      <c r="C219" s="84">
        <v>68</v>
      </c>
    </row>
    <row r="220" spans="1:3" x14ac:dyDescent="0.2">
      <c r="A220" s="84">
        <v>214</v>
      </c>
      <c r="B220" s="84">
        <v>64</v>
      </c>
      <c r="C220" s="84">
        <v>69</v>
      </c>
    </row>
    <row r="221" spans="1:3" x14ac:dyDescent="0.2">
      <c r="A221" s="84">
        <v>215</v>
      </c>
      <c r="B221" s="84">
        <v>65</v>
      </c>
      <c r="C221" s="84">
        <v>70</v>
      </c>
    </row>
    <row r="222" spans="1:3" x14ac:dyDescent="0.2">
      <c r="A222" s="84">
        <v>216</v>
      </c>
      <c r="B222" s="84">
        <v>66</v>
      </c>
      <c r="C222" s="84">
        <v>71</v>
      </c>
    </row>
    <row r="223" spans="1:3" x14ac:dyDescent="0.2">
      <c r="A223" s="84">
        <v>217</v>
      </c>
      <c r="B223" s="84">
        <v>67</v>
      </c>
      <c r="C223" s="84">
        <v>72</v>
      </c>
    </row>
    <row r="224" spans="1:3" x14ac:dyDescent="0.2">
      <c r="A224" s="84">
        <v>218</v>
      </c>
      <c r="B224" s="84">
        <v>68</v>
      </c>
      <c r="C224" s="84">
        <v>73</v>
      </c>
    </row>
    <row r="225" spans="1:3" x14ac:dyDescent="0.2">
      <c r="A225" s="84">
        <v>219</v>
      </c>
      <c r="B225" s="84">
        <v>69</v>
      </c>
      <c r="C225" s="84">
        <v>74</v>
      </c>
    </row>
    <row r="226" spans="1:3" x14ac:dyDescent="0.2">
      <c r="A226" s="84">
        <v>220</v>
      </c>
      <c r="B226" s="84">
        <v>70</v>
      </c>
      <c r="C226" s="84">
        <v>75</v>
      </c>
    </row>
    <row r="227" spans="1:3" x14ac:dyDescent="0.2">
      <c r="A227" s="84">
        <v>221</v>
      </c>
      <c r="B227" s="84">
        <v>76</v>
      </c>
      <c r="C227" s="84">
        <v>81</v>
      </c>
    </row>
    <row r="228" spans="1:3" x14ac:dyDescent="0.2">
      <c r="A228" s="84">
        <v>222</v>
      </c>
      <c r="B228" s="84">
        <v>77</v>
      </c>
      <c r="C228" s="84">
        <v>82</v>
      </c>
    </row>
    <row r="229" spans="1:3" x14ac:dyDescent="0.2">
      <c r="A229" s="84">
        <v>223</v>
      </c>
      <c r="B229" s="84">
        <v>78</v>
      </c>
      <c r="C229" s="84">
        <v>83</v>
      </c>
    </row>
    <row r="230" spans="1:3" x14ac:dyDescent="0.2">
      <c r="A230" s="84">
        <v>224</v>
      </c>
      <c r="B230" s="84">
        <v>79</v>
      </c>
      <c r="C230" s="84">
        <v>84</v>
      </c>
    </row>
    <row r="231" spans="1:3" x14ac:dyDescent="0.2">
      <c r="A231" s="84">
        <v>225</v>
      </c>
      <c r="B231" s="84">
        <v>80</v>
      </c>
      <c r="C231" s="84">
        <v>85</v>
      </c>
    </row>
    <row r="232" spans="1:3" x14ac:dyDescent="0.2">
      <c r="A232" s="84">
        <v>226</v>
      </c>
      <c r="B232" s="84">
        <v>81</v>
      </c>
      <c r="C232" s="84">
        <v>86</v>
      </c>
    </row>
    <row r="233" spans="1:3" x14ac:dyDescent="0.2">
      <c r="A233" s="84">
        <v>227</v>
      </c>
      <c r="B233" s="84">
        <v>82</v>
      </c>
      <c r="C233" s="84">
        <v>87</v>
      </c>
    </row>
    <row r="234" spans="1:3" x14ac:dyDescent="0.2">
      <c r="A234" s="84">
        <v>228</v>
      </c>
      <c r="B234" s="84">
        <v>83</v>
      </c>
      <c r="C234" s="84">
        <v>88</v>
      </c>
    </row>
    <row r="235" spans="1:3" x14ac:dyDescent="0.2">
      <c r="A235" s="84">
        <v>229</v>
      </c>
      <c r="B235" s="84">
        <v>84</v>
      </c>
      <c r="C235" s="84">
        <v>89</v>
      </c>
    </row>
    <row r="236" spans="1:3" x14ac:dyDescent="0.2">
      <c r="A236" s="84">
        <v>230</v>
      </c>
      <c r="B236" s="84">
        <v>85</v>
      </c>
      <c r="C236" s="84">
        <v>90</v>
      </c>
    </row>
    <row r="237" spans="1:3" x14ac:dyDescent="0.2">
      <c r="A237" s="84">
        <v>231</v>
      </c>
      <c r="B237" s="84">
        <v>86</v>
      </c>
      <c r="C237" s="84">
        <v>91</v>
      </c>
    </row>
    <row r="238" spans="1:3" x14ac:dyDescent="0.2">
      <c r="A238" s="84">
        <v>232</v>
      </c>
      <c r="B238" s="84">
        <v>87</v>
      </c>
      <c r="C238" s="84">
        <v>92</v>
      </c>
    </row>
    <row r="239" spans="1:3" x14ac:dyDescent="0.2">
      <c r="A239" s="84">
        <v>233</v>
      </c>
      <c r="B239" s="84">
        <v>88</v>
      </c>
      <c r="C239" s="84">
        <v>93</v>
      </c>
    </row>
    <row r="240" spans="1:3" x14ac:dyDescent="0.2">
      <c r="A240" s="84">
        <v>234</v>
      </c>
      <c r="B240" s="84">
        <v>89</v>
      </c>
      <c r="C240" s="84">
        <v>94</v>
      </c>
    </row>
    <row r="241" spans="1:3" x14ac:dyDescent="0.2">
      <c r="A241" s="84">
        <v>235</v>
      </c>
      <c r="B241" s="84">
        <v>90</v>
      </c>
      <c r="C241" s="84">
        <v>95</v>
      </c>
    </row>
    <row r="242" spans="1:3" x14ac:dyDescent="0.2">
      <c r="A242" s="84">
        <v>236</v>
      </c>
      <c r="B242" s="84">
        <v>91</v>
      </c>
      <c r="C242" s="84">
        <v>96</v>
      </c>
    </row>
    <row r="243" spans="1:3" x14ac:dyDescent="0.2">
      <c r="A243" s="84">
        <v>237</v>
      </c>
      <c r="B243" s="84">
        <v>92</v>
      </c>
      <c r="C243" s="84">
        <v>97</v>
      </c>
    </row>
    <row r="244" spans="1:3" x14ac:dyDescent="0.2">
      <c r="A244" s="84">
        <v>238</v>
      </c>
      <c r="B244" s="84">
        <v>93</v>
      </c>
      <c r="C244" s="84">
        <v>98</v>
      </c>
    </row>
    <row r="245" spans="1:3" x14ac:dyDescent="0.2">
      <c r="A245" s="84">
        <v>239</v>
      </c>
      <c r="B245" s="84">
        <v>94</v>
      </c>
      <c r="C245" s="84">
        <v>99</v>
      </c>
    </row>
    <row r="246" spans="1:3" x14ac:dyDescent="0.2">
      <c r="A246" s="84">
        <v>240</v>
      </c>
      <c r="B246" s="84">
        <v>95</v>
      </c>
      <c r="C246" s="84">
        <v>100</v>
      </c>
    </row>
    <row r="247" spans="1:3" x14ac:dyDescent="0.2">
      <c r="A247" s="84">
        <v>241</v>
      </c>
      <c r="B247" s="84">
        <v>101</v>
      </c>
      <c r="C247" s="84">
        <v>106</v>
      </c>
    </row>
    <row r="248" spans="1:3" x14ac:dyDescent="0.2">
      <c r="A248" s="84">
        <v>242</v>
      </c>
      <c r="B248" s="84">
        <v>102</v>
      </c>
      <c r="C248" s="84">
        <v>107</v>
      </c>
    </row>
    <row r="249" spans="1:3" x14ac:dyDescent="0.2">
      <c r="A249" s="84">
        <v>243</v>
      </c>
      <c r="B249" s="84">
        <v>103</v>
      </c>
      <c r="C249" s="84">
        <v>108</v>
      </c>
    </row>
    <row r="250" spans="1:3" x14ac:dyDescent="0.2">
      <c r="A250" s="84">
        <v>244</v>
      </c>
      <c r="B250" s="84">
        <v>104</v>
      </c>
      <c r="C250" s="84">
        <v>109</v>
      </c>
    </row>
    <row r="251" spans="1:3" x14ac:dyDescent="0.2">
      <c r="A251" s="84">
        <v>245</v>
      </c>
      <c r="B251" s="84">
        <v>105</v>
      </c>
      <c r="C251" s="84">
        <v>110</v>
      </c>
    </row>
    <row r="252" spans="1:3" x14ac:dyDescent="0.2">
      <c r="A252" s="84">
        <v>246</v>
      </c>
      <c r="B252" s="84">
        <v>106</v>
      </c>
      <c r="C252" s="84">
        <v>111</v>
      </c>
    </row>
    <row r="253" spans="1:3" x14ac:dyDescent="0.2">
      <c r="A253" s="84">
        <v>247</v>
      </c>
      <c r="B253" s="84">
        <v>107</v>
      </c>
      <c r="C253" s="84">
        <v>112</v>
      </c>
    </row>
    <row r="254" spans="1:3" x14ac:dyDescent="0.2">
      <c r="A254" s="84">
        <v>248</v>
      </c>
      <c r="B254" s="84">
        <v>108</v>
      </c>
      <c r="C254" s="84">
        <v>113</v>
      </c>
    </row>
    <row r="255" spans="1:3" x14ac:dyDescent="0.2">
      <c r="A255" s="84">
        <v>249</v>
      </c>
      <c r="B255" s="84">
        <v>109</v>
      </c>
      <c r="C255" s="84">
        <v>114</v>
      </c>
    </row>
    <row r="256" spans="1:3" x14ac:dyDescent="0.2">
      <c r="A256" s="84">
        <v>250</v>
      </c>
      <c r="B256" s="84">
        <v>110</v>
      </c>
      <c r="C256" s="84">
        <v>115</v>
      </c>
    </row>
    <row r="257" spans="1:3" x14ac:dyDescent="0.2">
      <c r="A257" s="84">
        <v>251</v>
      </c>
      <c r="B257" s="84">
        <v>111</v>
      </c>
      <c r="C257" s="84">
        <v>116</v>
      </c>
    </row>
    <row r="258" spans="1:3" x14ac:dyDescent="0.2">
      <c r="A258" s="84">
        <v>252</v>
      </c>
      <c r="B258" s="84">
        <v>112</v>
      </c>
      <c r="C258" s="84">
        <v>117</v>
      </c>
    </row>
    <row r="259" spans="1:3" x14ac:dyDescent="0.2">
      <c r="A259" s="84">
        <v>253</v>
      </c>
      <c r="B259" s="84">
        <v>113</v>
      </c>
      <c r="C259" s="84">
        <v>118</v>
      </c>
    </row>
    <row r="260" spans="1:3" x14ac:dyDescent="0.2">
      <c r="A260" s="84">
        <v>254</v>
      </c>
      <c r="B260" s="84">
        <v>114</v>
      </c>
      <c r="C260" s="84">
        <v>119</v>
      </c>
    </row>
    <row r="261" spans="1:3" x14ac:dyDescent="0.2">
      <c r="A261" s="84">
        <v>255</v>
      </c>
      <c r="B261" s="84">
        <v>115</v>
      </c>
      <c r="C261" s="84">
        <v>120</v>
      </c>
    </row>
    <row r="262" spans="1:3" x14ac:dyDescent="0.2">
      <c r="A262" s="84">
        <v>256</v>
      </c>
      <c r="B262" s="84">
        <v>116</v>
      </c>
      <c r="C262" s="84">
        <v>121</v>
      </c>
    </row>
    <row r="263" spans="1:3" x14ac:dyDescent="0.2">
      <c r="A263" s="84">
        <v>257</v>
      </c>
      <c r="B263" s="84">
        <v>117</v>
      </c>
      <c r="C263" s="84">
        <v>122</v>
      </c>
    </row>
    <row r="264" spans="1:3" x14ac:dyDescent="0.2">
      <c r="A264" s="84">
        <v>258</v>
      </c>
      <c r="B264" s="84">
        <v>118</v>
      </c>
      <c r="C264" s="84">
        <v>123</v>
      </c>
    </row>
    <row r="265" spans="1:3" x14ac:dyDescent="0.2">
      <c r="A265" s="84">
        <v>259</v>
      </c>
      <c r="B265" s="84">
        <v>119</v>
      </c>
      <c r="C265" s="84">
        <v>124</v>
      </c>
    </row>
    <row r="266" spans="1:3" x14ac:dyDescent="0.2">
      <c r="A266" s="84">
        <v>260</v>
      </c>
      <c r="B266" s="84">
        <v>120</v>
      </c>
      <c r="C266" s="84">
        <v>125</v>
      </c>
    </row>
  </sheetData>
  <dataValidations count="3">
    <dataValidation allowBlank="1" showInputMessage="1" showErrorMessage="1" prompt="J-end point. User input" sqref="C267:C1048576" xr:uid="{4664560C-3AAC-524A-A3C2-1114E09260FA}"/>
    <dataValidation type="whole" allowBlank="1" showInputMessage="1" showErrorMessage="1" errorTitle="Invalid Input" error="Please enter an integer value only." sqref="A7:A1048576 B7:C266" xr:uid="{8D4C5C5A-A16E-8D4B-8658-4F8BA4D37AC9}">
      <formula1>0</formula1>
      <formula2>1000000000000</formula2>
    </dataValidation>
    <dataValidation allowBlank="1" showInputMessage="1" showErrorMessage="1" prompt="I-end point. User input" sqref="B267:B1048576" xr:uid="{30E0D36F-161A-7840-8623-96CF009C80F6}"/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E9" sqref="E9"/>
    </sheetView>
  </sheetViews>
  <sheetFormatPr baseColWidth="10" defaultColWidth="10.83203125" defaultRowHeight="16" x14ac:dyDescent="0.2"/>
  <cols>
    <col min="1" max="1" width="15.6640625" style="8" customWidth="1"/>
    <col min="2" max="9" width="10.6640625" style="8" customWidth="1"/>
    <col min="10" max="16384" width="10.83203125" style="11"/>
  </cols>
  <sheetData>
    <row r="1" spans="1:9" x14ac:dyDescent="0.2">
      <c r="A1" s="85" t="s">
        <v>204</v>
      </c>
      <c r="B1" s="75"/>
      <c r="C1" s="75"/>
      <c r="D1" s="75"/>
      <c r="E1" s="75"/>
      <c r="F1" s="76"/>
      <c r="G1" s="77"/>
      <c r="H1" s="11"/>
      <c r="I1" s="11"/>
    </row>
    <row r="2" spans="1:9" x14ac:dyDescent="0.2">
      <c r="A2" s="90" t="s">
        <v>236</v>
      </c>
      <c r="B2" s="78"/>
      <c r="C2" s="78"/>
      <c r="D2" s="78"/>
      <c r="E2" s="78"/>
      <c r="F2" s="79"/>
      <c r="G2" s="80"/>
      <c r="H2" s="11"/>
      <c r="I2" s="11"/>
    </row>
    <row r="3" spans="1:9" x14ac:dyDescent="0.2">
      <c r="A3" s="86" t="s">
        <v>230</v>
      </c>
      <c r="B3" s="78"/>
      <c r="C3" s="78"/>
      <c r="D3" s="78"/>
      <c r="E3" s="78"/>
      <c r="F3" s="79"/>
      <c r="G3" s="80"/>
      <c r="H3" s="11"/>
      <c r="I3" s="11"/>
    </row>
    <row r="4" spans="1:9" x14ac:dyDescent="0.2">
      <c r="A4" s="90" t="s">
        <v>237</v>
      </c>
      <c r="B4" s="78"/>
      <c r="C4" s="78"/>
      <c r="D4" s="78"/>
      <c r="E4" s="78"/>
      <c r="F4" s="79"/>
      <c r="G4" s="80"/>
      <c r="H4" s="11"/>
      <c r="I4" s="11"/>
    </row>
    <row r="5" spans="1:9" x14ac:dyDescent="0.2">
      <c r="A5" s="90" t="s">
        <v>238</v>
      </c>
      <c r="B5" s="78"/>
      <c r="C5" s="78"/>
      <c r="D5" s="78"/>
      <c r="E5" s="78"/>
      <c r="F5" s="79"/>
      <c r="G5" s="80"/>
      <c r="H5" s="11"/>
      <c r="I5" s="11"/>
    </row>
    <row r="6" spans="1:9" x14ac:dyDescent="0.2">
      <c r="A6" s="91" t="s">
        <v>239</v>
      </c>
      <c r="B6" s="81"/>
      <c r="C6" s="81"/>
      <c r="D6" s="81"/>
      <c r="E6" s="81"/>
      <c r="F6" s="82"/>
      <c r="G6" s="83"/>
      <c r="H6" s="11"/>
      <c r="I6" s="11"/>
    </row>
    <row r="7" spans="1:9" x14ac:dyDescent="0.2">
      <c r="A7" s="62"/>
      <c r="F7" s="11"/>
      <c r="G7" s="11"/>
      <c r="H7" s="11"/>
      <c r="I7" s="11"/>
    </row>
    <row r="8" spans="1:9" s="17" customFormat="1" x14ac:dyDescent="0.2">
      <c r="A8" s="47" t="s">
        <v>235</v>
      </c>
      <c r="B8" s="54" t="s">
        <v>199</v>
      </c>
      <c r="C8" s="54" t="s">
        <v>200</v>
      </c>
      <c r="D8" s="54" t="s">
        <v>201</v>
      </c>
      <c r="E8" s="54" t="s">
        <v>202</v>
      </c>
      <c r="F8" s="8"/>
      <c r="G8" s="8"/>
      <c r="H8" s="8"/>
      <c r="I8" s="8"/>
    </row>
    <row r="9" spans="1:9" x14ac:dyDescent="0.2">
      <c r="A9" s="8">
        <v>1</v>
      </c>
      <c r="B9" s="8">
        <v>101</v>
      </c>
      <c r="C9" s="8">
        <v>182</v>
      </c>
      <c r="D9" s="8">
        <v>105</v>
      </c>
      <c r="E9" s="8">
        <v>181</v>
      </c>
    </row>
    <row r="10" spans="1:9" x14ac:dyDescent="0.2">
      <c r="A10" s="8">
        <v>2</v>
      </c>
      <c r="B10" s="8">
        <v>102</v>
      </c>
      <c r="C10" s="8">
        <v>183</v>
      </c>
      <c r="D10" s="8">
        <v>106</v>
      </c>
      <c r="E10" s="8">
        <v>182</v>
      </c>
    </row>
    <row r="11" spans="1:9" x14ac:dyDescent="0.2">
      <c r="A11" s="8">
        <v>3</v>
      </c>
      <c r="B11" s="8">
        <v>103</v>
      </c>
      <c r="C11" s="8">
        <v>184</v>
      </c>
      <c r="D11" s="8">
        <v>107</v>
      </c>
      <c r="E11" s="8">
        <v>183</v>
      </c>
    </row>
    <row r="12" spans="1:9" x14ac:dyDescent="0.2">
      <c r="A12" s="8">
        <v>4</v>
      </c>
      <c r="B12" s="8">
        <v>104</v>
      </c>
      <c r="C12" s="8">
        <v>185</v>
      </c>
      <c r="D12" s="8">
        <v>108</v>
      </c>
      <c r="E12" s="8">
        <v>184</v>
      </c>
    </row>
    <row r="13" spans="1:9" x14ac:dyDescent="0.2">
      <c r="A13" s="8">
        <v>5</v>
      </c>
      <c r="B13" s="8">
        <v>105</v>
      </c>
      <c r="C13" s="8">
        <v>187</v>
      </c>
      <c r="D13" s="8">
        <v>109</v>
      </c>
      <c r="E13" s="8">
        <v>186</v>
      </c>
    </row>
    <row r="14" spans="1:9" x14ac:dyDescent="0.2">
      <c r="A14" s="8">
        <v>6</v>
      </c>
      <c r="B14" s="8">
        <v>106</v>
      </c>
      <c r="C14" s="8">
        <v>188</v>
      </c>
      <c r="D14" s="8">
        <v>110</v>
      </c>
      <c r="E14" s="8">
        <v>187</v>
      </c>
    </row>
    <row r="15" spans="1:9" x14ac:dyDescent="0.2">
      <c r="A15" s="8">
        <v>7</v>
      </c>
      <c r="B15" s="8">
        <v>107</v>
      </c>
      <c r="C15" s="8">
        <v>189</v>
      </c>
      <c r="D15" s="8">
        <v>111</v>
      </c>
      <c r="E15" s="8">
        <v>188</v>
      </c>
    </row>
    <row r="16" spans="1:9" x14ac:dyDescent="0.2">
      <c r="A16" s="8">
        <v>8</v>
      </c>
      <c r="B16" s="8">
        <v>108</v>
      </c>
      <c r="C16" s="8">
        <v>190</v>
      </c>
      <c r="D16" s="8">
        <v>112</v>
      </c>
      <c r="E16" s="8">
        <v>189</v>
      </c>
    </row>
    <row r="17" spans="1:5" x14ac:dyDescent="0.2">
      <c r="A17" s="8">
        <v>9</v>
      </c>
      <c r="B17" s="8">
        <v>109</v>
      </c>
      <c r="C17" s="8">
        <v>192</v>
      </c>
      <c r="D17" s="8">
        <v>113</v>
      </c>
      <c r="E17" s="8">
        <v>191</v>
      </c>
    </row>
    <row r="18" spans="1:5" x14ac:dyDescent="0.2">
      <c r="A18" s="8">
        <v>10</v>
      </c>
      <c r="B18" s="8">
        <v>110</v>
      </c>
      <c r="C18" s="8">
        <v>193</v>
      </c>
      <c r="D18" s="8">
        <v>114</v>
      </c>
      <c r="E18" s="8">
        <v>192</v>
      </c>
    </row>
    <row r="19" spans="1:5" x14ac:dyDescent="0.2">
      <c r="A19" s="8">
        <v>11</v>
      </c>
      <c r="B19" s="8">
        <v>111</v>
      </c>
      <c r="C19" s="8">
        <v>194</v>
      </c>
      <c r="D19" s="8">
        <v>115</v>
      </c>
      <c r="E19" s="8">
        <v>193</v>
      </c>
    </row>
    <row r="20" spans="1:5" x14ac:dyDescent="0.2">
      <c r="A20" s="8">
        <v>12</v>
      </c>
      <c r="B20" s="8">
        <v>112</v>
      </c>
      <c r="C20" s="8">
        <v>195</v>
      </c>
      <c r="D20" s="8">
        <v>116</v>
      </c>
      <c r="E20" s="8">
        <v>194</v>
      </c>
    </row>
    <row r="21" spans="1:5" x14ac:dyDescent="0.2">
      <c r="A21" s="8">
        <v>13</v>
      </c>
      <c r="B21" s="8">
        <v>113</v>
      </c>
      <c r="C21" s="8">
        <v>197</v>
      </c>
      <c r="D21" s="8">
        <v>117</v>
      </c>
      <c r="E21" s="8">
        <v>196</v>
      </c>
    </row>
    <row r="22" spans="1:5" x14ac:dyDescent="0.2">
      <c r="A22" s="8">
        <v>14</v>
      </c>
      <c r="B22" s="8">
        <v>114</v>
      </c>
      <c r="C22" s="8">
        <v>198</v>
      </c>
      <c r="D22" s="8">
        <v>118</v>
      </c>
      <c r="E22" s="8">
        <v>197</v>
      </c>
    </row>
    <row r="23" spans="1:5" x14ac:dyDescent="0.2">
      <c r="A23" s="8">
        <v>15</v>
      </c>
      <c r="B23" s="8">
        <v>115</v>
      </c>
      <c r="C23" s="8">
        <v>199</v>
      </c>
      <c r="D23" s="8">
        <v>119</v>
      </c>
      <c r="E23" s="8">
        <v>198</v>
      </c>
    </row>
    <row r="24" spans="1:5" x14ac:dyDescent="0.2">
      <c r="A24" s="8">
        <v>16</v>
      </c>
      <c r="B24" s="8">
        <v>116</v>
      </c>
      <c r="C24" s="8">
        <v>200</v>
      </c>
      <c r="D24" s="8">
        <v>120</v>
      </c>
      <c r="E24" s="8">
        <v>199</v>
      </c>
    </row>
    <row r="25" spans="1:5" x14ac:dyDescent="0.2">
      <c r="A25" s="8">
        <v>17</v>
      </c>
      <c r="B25" s="8">
        <v>121</v>
      </c>
      <c r="C25" s="8">
        <v>202</v>
      </c>
      <c r="D25" s="8">
        <v>125</v>
      </c>
      <c r="E25" s="8">
        <v>201</v>
      </c>
    </row>
    <row r="26" spans="1:5" x14ac:dyDescent="0.2">
      <c r="A26" s="8">
        <v>18</v>
      </c>
      <c r="B26" s="8">
        <v>122</v>
      </c>
      <c r="C26" s="8">
        <v>203</v>
      </c>
      <c r="D26" s="8">
        <v>126</v>
      </c>
      <c r="E26" s="8">
        <v>202</v>
      </c>
    </row>
    <row r="27" spans="1:5" x14ac:dyDescent="0.2">
      <c r="A27" s="8">
        <v>19</v>
      </c>
      <c r="B27" s="8">
        <v>123</v>
      </c>
      <c r="C27" s="8">
        <v>204</v>
      </c>
      <c r="D27" s="8">
        <v>127</v>
      </c>
      <c r="E27" s="8">
        <v>203</v>
      </c>
    </row>
    <row r="28" spans="1:5" x14ac:dyDescent="0.2">
      <c r="A28" s="8">
        <v>20</v>
      </c>
      <c r="B28" s="8">
        <v>124</v>
      </c>
      <c r="C28" s="8">
        <v>205</v>
      </c>
      <c r="D28" s="8">
        <v>128</v>
      </c>
      <c r="E28" s="8">
        <v>204</v>
      </c>
    </row>
    <row r="29" spans="1:5" x14ac:dyDescent="0.2">
      <c r="A29" s="8">
        <v>21</v>
      </c>
      <c r="B29" s="8">
        <v>125</v>
      </c>
      <c r="C29" s="8">
        <v>207</v>
      </c>
      <c r="D29" s="8">
        <v>129</v>
      </c>
      <c r="E29" s="8">
        <v>206</v>
      </c>
    </row>
    <row r="30" spans="1:5" x14ac:dyDescent="0.2">
      <c r="A30" s="8">
        <v>22</v>
      </c>
      <c r="B30" s="8">
        <v>126</v>
      </c>
      <c r="C30" s="8">
        <v>208</v>
      </c>
      <c r="D30" s="8">
        <v>130</v>
      </c>
      <c r="E30" s="8">
        <v>207</v>
      </c>
    </row>
    <row r="31" spans="1:5" x14ac:dyDescent="0.2">
      <c r="A31" s="8">
        <v>23</v>
      </c>
      <c r="B31" s="8">
        <v>127</v>
      </c>
      <c r="C31" s="8">
        <v>209</v>
      </c>
      <c r="D31" s="8">
        <v>131</v>
      </c>
      <c r="E31" s="8">
        <v>208</v>
      </c>
    </row>
    <row r="32" spans="1:5" x14ac:dyDescent="0.2">
      <c r="A32" s="8">
        <v>24</v>
      </c>
      <c r="B32" s="8">
        <v>128</v>
      </c>
      <c r="C32" s="8">
        <v>210</v>
      </c>
      <c r="D32" s="8">
        <v>132</v>
      </c>
      <c r="E32" s="8">
        <v>209</v>
      </c>
    </row>
    <row r="33" spans="1:5" x14ac:dyDescent="0.2">
      <c r="A33" s="8">
        <v>25</v>
      </c>
      <c r="B33" s="8">
        <v>129</v>
      </c>
      <c r="C33" s="8">
        <v>212</v>
      </c>
      <c r="D33" s="8">
        <v>133</v>
      </c>
      <c r="E33" s="8">
        <v>211</v>
      </c>
    </row>
    <row r="34" spans="1:5" x14ac:dyDescent="0.2">
      <c r="A34" s="8">
        <v>26</v>
      </c>
      <c r="B34" s="8">
        <v>130</v>
      </c>
      <c r="C34" s="8">
        <v>213</v>
      </c>
      <c r="D34" s="8">
        <v>134</v>
      </c>
      <c r="E34" s="8">
        <v>212</v>
      </c>
    </row>
    <row r="35" spans="1:5" x14ac:dyDescent="0.2">
      <c r="A35" s="8">
        <v>27</v>
      </c>
      <c r="B35" s="8">
        <v>131</v>
      </c>
      <c r="C35" s="8">
        <v>214</v>
      </c>
      <c r="D35" s="8">
        <v>135</v>
      </c>
      <c r="E35" s="8">
        <v>213</v>
      </c>
    </row>
    <row r="36" spans="1:5" x14ac:dyDescent="0.2">
      <c r="A36" s="8">
        <v>28</v>
      </c>
      <c r="B36" s="8">
        <v>132</v>
      </c>
      <c r="C36" s="8">
        <v>215</v>
      </c>
      <c r="D36" s="8">
        <v>136</v>
      </c>
      <c r="E36" s="8">
        <v>214</v>
      </c>
    </row>
    <row r="37" spans="1:5" x14ac:dyDescent="0.2">
      <c r="A37" s="8">
        <v>29</v>
      </c>
      <c r="B37" s="8">
        <v>133</v>
      </c>
      <c r="C37" s="8">
        <v>217</v>
      </c>
      <c r="D37" s="8">
        <v>137</v>
      </c>
      <c r="E37" s="8">
        <v>216</v>
      </c>
    </row>
    <row r="38" spans="1:5" x14ac:dyDescent="0.2">
      <c r="A38" s="8">
        <v>30</v>
      </c>
      <c r="B38" s="8">
        <v>134</v>
      </c>
      <c r="C38" s="8">
        <v>218</v>
      </c>
      <c r="D38" s="8">
        <v>138</v>
      </c>
      <c r="E38" s="8">
        <v>217</v>
      </c>
    </row>
    <row r="39" spans="1:5" x14ac:dyDescent="0.2">
      <c r="A39" s="8">
        <v>31</v>
      </c>
      <c r="B39" s="8">
        <v>135</v>
      </c>
      <c r="C39" s="8">
        <v>219</v>
      </c>
      <c r="D39" s="8">
        <v>139</v>
      </c>
      <c r="E39" s="8">
        <v>218</v>
      </c>
    </row>
    <row r="40" spans="1:5" x14ac:dyDescent="0.2">
      <c r="A40" s="8">
        <v>32</v>
      </c>
      <c r="B40" s="8">
        <v>136</v>
      </c>
      <c r="C40" s="8">
        <v>220</v>
      </c>
      <c r="D40" s="8">
        <v>140</v>
      </c>
      <c r="E40" s="8">
        <v>219</v>
      </c>
    </row>
    <row r="41" spans="1:5" x14ac:dyDescent="0.2">
      <c r="A41" s="8">
        <v>33</v>
      </c>
      <c r="B41" s="8">
        <v>141</v>
      </c>
      <c r="C41" s="8">
        <v>222</v>
      </c>
      <c r="D41" s="8">
        <v>145</v>
      </c>
      <c r="E41" s="8">
        <v>221</v>
      </c>
    </row>
    <row r="42" spans="1:5" x14ac:dyDescent="0.2">
      <c r="A42" s="8">
        <v>34</v>
      </c>
      <c r="B42" s="8">
        <v>142</v>
      </c>
      <c r="C42" s="8">
        <v>223</v>
      </c>
      <c r="D42" s="8">
        <v>146</v>
      </c>
      <c r="E42" s="8">
        <v>222</v>
      </c>
    </row>
    <row r="43" spans="1:5" x14ac:dyDescent="0.2">
      <c r="A43" s="8">
        <v>35</v>
      </c>
      <c r="B43" s="8">
        <v>143</v>
      </c>
      <c r="C43" s="8">
        <v>224</v>
      </c>
      <c r="D43" s="8">
        <v>147</v>
      </c>
      <c r="E43" s="8">
        <v>223</v>
      </c>
    </row>
    <row r="44" spans="1:5" x14ac:dyDescent="0.2">
      <c r="A44" s="8">
        <v>36</v>
      </c>
      <c r="B44" s="8">
        <v>144</v>
      </c>
      <c r="C44" s="8">
        <v>225</v>
      </c>
      <c r="D44" s="8">
        <v>148</v>
      </c>
      <c r="E44" s="8">
        <v>224</v>
      </c>
    </row>
    <row r="45" spans="1:5" x14ac:dyDescent="0.2">
      <c r="A45" s="8">
        <v>37</v>
      </c>
      <c r="B45" s="8">
        <v>145</v>
      </c>
      <c r="C45" s="8">
        <v>227</v>
      </c>
      <c r="D45" s="8">
        <v>149</v>
      </c>
      <c r="E45" s="8">
        <v>226</v>
      </c>
    </row>
    <row r="46" spans="1:5" x14ac:dyDescent="0.2">
      <c r="A46" s="8">
        <v>38</v>
      </c>
      <c r="B46" s="8">
        <v>146</v>
      </c>
      <c r="C46" s="8">
        <v>228</v>
      </c>
      <c r="D46" s="8">
        <v>150</v>
      </c>
      <c r="E46" s="8">
        <v>227</v>
      </c>
    </row>
    <row r="47" spans="1:5" x14ac:dyDescent="0.2">
      <c r="A47" s="8">
        <v>39</v>
      </c>
      <c r="B47" s="8">
        <v>147</v>
      </c>
      <c r="C47" s="8">
        <v>229</v>
      </c>
      <c r="D47" s="8">
        <v>151</v>
      </c>
      <c r="E47" s="8">
        <v>228</v>
      </c>
    </row>
    <row r="48" spans="1:5" x14ac:dyDescent="0.2">
      <c r="A48" s="8">
        <v>40</v>
      </c>
      <c r="B48" s="8">
        <v>148</v>
      </c>
      <c r="C48" s="8">
        <v>230</v>
      </c>
      <c r="D48" s="8">
        <v>152</v>
      </c>
      <c r="E48" s="8">
        <v>229</v>
      </c>
    </row>
    <row r="49" spans="1:5" x14ac:dyDescent="0.2">
      <c r="A49" s="8">
        <v>41</v>
      </c>
      <c r="B49" s="8">
        <v>149</v>
      </c>
      <c r="C49" s="8">
        <v>232</v>
      </c>
      <c r="D49" s="8">
        <v>153</v>
      </c>
      <c r="E49" s="8">
        <v>231</v>
      </c>
    </row>
    <row r="50" spans="1:5" x14ac:dyDescent="0.2">
      <c r="A50" s="8">
        <v>42</v>
      </c>
      <c r="B50" s="8">
        <v>150</v>
      </c>
      <c r="C50" s="8">
        <v>233</v>
      </c>
      <c r="D50" s="8">
        <v>154</v>
      </c>
      <c r="E50" s="8">
        <v>232</v>
      </c>
    </row>
    <row r="51" spans="1:5" x14ac:dyDescent="0.2">
      <c r="A51" s="8">
        <v>43</v>
      </c>
      <c r="B51" s="8">
        <v>151</v>
      </c>
      <c r="C51" s="8">
        <v>234</v>
      </c>
      <c r="D51" s="8">
        <v>155</v>
      </c>
      <c r="E51" s="8">
        <v>233</v>
      </c>
    </row>
    <row r="52" spans="1:5" x14ac:dyDescent="0.2">
      <c r="A52" s="8">
        <v>44</v>
      </c>
      <c r="B52" s="8">
        <v>152</v>
      </c>
      <c r="C52" s="8">
        <v>235</v>
      </c>
      <c r="D52" s="8">
        <v>156</v>
      </c>
      <c r="E52" s="8">
        <v>234</v>
      </c>
    </row>
    <row r="53" spans="1:5" x14ac:dyDescent="0.2">
      <c r="A53" s="8">
        <v>45</v>
      </c>
      <c r="B53" s="8">
        <v>153</v>
      </c>
      <c r="C53" s="8">
        <v>237</v>
      </c>
      <c r="D53" s="8">
        <v>157</v>
      </c>
      <c r="E53" s="8">
        <v>236</v>
      </c>
    </row>
    <row r="54" spans="1:5" x14ac:dyDescent="0.2">
      <c r="A54" s="8">
        <v>46</v>
      </c>
      <c r="B54" s="8">
        <v>154</v>
      </c>
      <c r="C54" s="8">
        <v>238</v>
      </c>
      <c r="D54" s="8">
        <v>158</v>
      </c>
      <c r="E54" s="8">
        <v>237</v>
      </c>
    </row>
    <row r="55" spans="1:5" x14ac:dyDescent="0.2">
      <c r="A55" s="8">
        <v>47</v>
      </c>
      <c r="B55" s="8">
        <v>155</v>
      </c>
      <c r="C55" s="8">
        <v>239</v>
      </c>
      <c r="D55" s="8">
        <v>159</v>
      </c>
      <c r="E55" s="8">
        <v>238</v>
      </c>
    </row>
    <row r="56" spans="1:5" x14ac:dyDescent="0.2">
      <c r="A56" s="8">
        <v>48</v>
      </c>
      <c r="B56" s="8">
        <v>156</v>
      </c>
      <c r="C56" s="8">
        <v>240</v>
      </c>
      <c r="D56" s="8">
        <v>160</v>
      </c>
      <c r="E56" s="8">
        <v>239</v>
      </c>
    </row>
    <row r="57" spans="1:5" x14ac:dyDescent="0.2">
      <c r="A57" s="8">
        <v>49</v>
      </c>
      <c r="B57" s="8">
        <v>161</v>
      </c>
      <c r="C57" s="8">
        <v>242</v>
      </c>
      <c r="D57" s="8">
        <v>165</v>
      </c>
      <c r="E57" s="8">
        <v>241</v>
      </c>
    </row>
    <row r="58" spans="1:5" x14ac:dyDescent="0.2">
      <c r="A58" s="8">
        <v>50</v>
      </c>
      <c r="B58" s="8">
        <v>162</v>
      </c>
      <c r="C58" s="8">
        <v>243</v>
      </c>
      <c r="D58" s="8">
        <v>166</v>
      </c>
      <c r="E58" s="8">
        <v>242</v>
      </c>
    </row>
    <row r="59" spans="1:5" x14ac:dyDescent="0.2">
      <c r="A59" s="8">
        <v>51</v>
      </c>
      <c r="B59" s="8">
        <v>163</v>
      </c>
      <c r="C59" s="8">
        <v>244</v>
      </c>
      <c r="D59" s="8">
        <v>167</v>
      </c>
      <c r="E59" s="8">
        <v>243</v>
      </c>
    </row>
    <row r="60" spans="1:5" x14ac:dyDescent="0.2">
      <c r="A60" s="8">
        <v>52</v>
      </c>
      <c r="B60" s="8">
        <v>164</v>
      </c>
      <c r="C60" s="8">
        <v>245</v>
      </c>
      <c r="D60" s="8">
        <v>168</v>
      </c>
      <c r="E60" s="8">
        <v>244</v>
      </c>
    </row>
    <row r="61" spans="1:5" x14ac:dyDescent="0.2">
      <c r="A61" s="8">
        <v>53</v>
      </c>
      <c r="B61" s="8">
        <v>165</v>
      </c>
      <c r="C61" s="8">
        <v>247</v>
      </c>
      <c r="D61" s="8">
        <v>169</v>
      </c>
      <c r="E61" s="8">
        <v>246</v>
      </c>
    </row>
    <row r="62" spans="1:5" x14ac:dyDescent="0.2">
      <c r="A62" s="8">
        <v>54</v>
      </c>
      <c r="B62" s="8">
        <v>166</v>
      </c>
      <c r="C62" s="8">
        <v>248</v>
      </c>
      <c r="D62" s="8">
        <v>170</v>
      </c>
      <c r="E62" s="8">
        <v>247</v>
      </c>
    </row>
    <row r="63" spans="1:5" x14ac:dyDescent="0.2">
      <c r="A63" s="8">
        <v>55</v>
      </c>
      <c r="B63" s="8">
        <v>167</v>
      </c>
      <c r="C63" s="8">
        <v>249</v>
      </c>
      <c r="D63" s="8">
        <v>171</v>
      </c>
      <c r="E63" s="8">
        <v>248</v>
      </c>
    </row>
    <row r="64" spans="1:5" x14ac:dyDescent="0.2">
      <c r="A64" s="8">
        <v>56</v>
      </c>
      <c r="B64" s="8">
        <v>168</v>
      </c>
      <c r="C64" s="8">
        <v>250</v>
      </c>
      <c r="D64" s="8">
        <v>172</v>
      </c>
      <c r="E64" s="8">
        <v>249</v>
      </c>
    </row>
    <row r="65" spans="1:5" x14ac:dyDescent="0.2">
      <c r="A65" s="8">
        <v>57</v>
      </c>
      <c r="B65" s="8">
        <v>169</v>
      </c>
      <c r="C65" s="8">
        <v>252</v>
      </c>
      <c r="D65" s="8">
        <v>173</v>
      </c>
      <c r="E65" s="8">
        <v>251</v>
      </c>
    </row>
    <row r="66" spans="1:5" x14ac:dyDescent="0.2">
      <c r="A66" s="8">
        <v>58</v>
      </c>
      <c r="B66" s="8">
        <v>170</v>
      </c>
      <c r="C66" s="8">
        <v>253</v>
      </c>
      <c r="D66" s="8">
        <v>174</v>
      </c>
      <c r="E66" s="8">
        <v>252</v>
      </c>
    </row>
    <row r="67" spans="1:5" x14ac:dyDescent="0.2">
      <c r="A67" s="8">
        <v>59</v>
      </c>
      <c r="B67" s="8">
        <v>171</v>
      </c>
      <c r="C67" s="8">
        <v>254</v>
      </c>
      <c r="D67" s="8">
        <v>175</v>
      </c>
      <c r="E67" s="8">
        <v>253</v>
      </c>
    </row>
    <row r="68" spans="1:5" x14ac:dyDescent="0.2">
      <c r="A68" s="8">
        <v>60</v>
      </c>
      <c r="B68" s="8">
        <v>172</v>
      </c>
      <c r="C68" s="8">
        <v>255</v>
      </c>
      <c r="D68" s="8">
        <v>176</v>
      </c>
      <c r="E68" s="8">
        <v>254</v>
      </c>
    </row>
    <row r="69" spans="1:5" x14ac:dyDescent="0.2">
      <c r="A69" s="8">
        <v>61</v>
      </c>
      <c r="B69" s="8">
        <v>173</v>
      </c>
      <c r="C69" s="8">
        <v>257</v>
      </c>
      <c r="D69" s="8">
        <v>177</v>
      </c>
      <c r="E69" s="8">
        <v>256</v>
      </c>
    </row>
    <row r="70" spans="1:5" x14ac:dyDescent="0.2">
      <c r="A70" s="8">
        <v>62</v>
      </c>
      <c r="B70" s="8">
        <v>174</v>
      </c>
      <c r="C70" s="8">
        <v>258</v>
      </c>
      <c r="D70" s="8">
        <v>178</v>
      </c>
      <c r="E70" s="8">
        <v>257</v>
      </c>
    </row>
    <row r="71" spans="1:5" x14ac:dyDescent="0.2">
      <c r="A71" s="8">
        <v>63</v>
      </c>
      <c r="B71" s="8">
        <v>175</v>
      </c>
      <c r="C71" s="8">
        <v>259</v>
      </c>
      <c r="D71" s="8">
        <v>179</v>
      </c>
      <c r="E71" s="8">
        <v>258</v>
      </c>
    </row>
    <row r="72" spans="1:5" x14ac:dyDescent="0.2">
      <c r="A72" s="8">
        <v>64</v>
      </c>
      <c r="B72" s="8">
        <v>176</v>
      </c>
      <c r="C72" s="8">
        <v>260</v>
      </c>
      <c r="D72" s="8">
        <v>180</v>
      </c>
      <c r="E72" s="8">
        <v>259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001"/>
  <sheetViews>
    <sheetView zoomScale="130" zoomScaleNormal="130" workbookViewId="0">
      <selection activeCell="C4" sqref="C4"/>
    </sheetView>
  </sheetViews>
  <sheetFormatPr baseColWidth="10" defaultColWidth="8.83203125" defaultRowHeight="16" x14ac:dyDescent="0.2"/>
  <cols>
    <col min="1" max="2" width="20.83203125" style="8" customWidth="1"/>
    <col min="3" max="3" width="15.83203125" style="12" customWidth="1"/>
    <col min="4" max="4" width="10.83203125" style="12" customWidth="1"/>
    <col min="5" max="5" width="15.83203125" style="12" customWidth="1"/>
    <col min="6" max="8" width="10.83203125" style="12" customWidth="1"/>
    <col min="9" max="16384" width="8.83203125" style="11"/>
  </cols>
  <sheetData>
    <row r="1" spans="1:8" s="9" customFormat="1" x14ac:dyDescent="0.2">
      <c r="A1" s="9" t="s">
        <v>197</v>
      </c>
      <c r="B1" s="9" t="s">
        <v>198</v>
      </c>
      <c r="C1" s="9" t="s">
        <v>15</v>
      </c>
      <c r="D1" s="9" t="s">
        <v>16</v>
      </c>
      <c r="E1" s="9" t="s">
        <v>2</v>
      </c>
      <c r="F1" s="9" t="s">
        <v>12</v>
      </c>
      <c r="G1" s="9" t="s">
        <v>13</v>
      </c>
      <c r="H1" s="9" t="s">
        <v>14</v>
      </c>
    </row>
    <row r="2" spans="1:8" x14ac:dyDescent="0.2">
      <c r="A2" s="8" t="s">
        <v>17</v>
      </c>
      <c r="B2" s="8" t="s">
        <v>3</v>
      </c>
      <c r="C2" s="12">
        <f>4700*SQRT(F2)</f>
        <v>25742.960202742808</v>
      </c>
      <c r="D2" s="12">
        <v>0.2</v>
      </c>
      <c r="E2" s="12">
        <f t="shared" ref="E2:E65" si="0">IF(A2=0,"",VLOOKUP(B2,Unitweight,2,FALSE))</f>
        <v>23.6</v>
      </c>
      <c r="F2" s="12">
        <f>30</f>
        <v>30</v>
      </c>
      <c r="G2" s="12">
        <f>0</f>
        <v>0</v>
      </c>
      <c r="H2" s="12">
        <f>0</f>
        <v>0</v>
      </c>
    </row>
    <row r="3" spans="1:8" x14ac:dyDescent="0.2">
      <c r="A3" s="8" t="s">
        <v>18</v>
      </c>
      <c r="B3" s="8" t="s">
        <v>4</v>
      </c>
      <c r="C3" s="12">
        <f>200000</f>
        <v>200000</v>
      </c>
      <c r="D3" s="12">
        <v>0.3</v>
      </c>
      <c r="E3" s="12">
        <f t="shared" si="0"/>
        <v>76.9822025</v>
      </c>
      <c r="F3" s="12">
        <f>0</f>
        <v>0</v>
      </c>
      <c r="G3" s="12">
        <f>420</f>
        <v>420</v>
      </c>
      <c r="H3" s="12">
        <f>525</f>
        <v>525</v>
      </c>
    </row>
    <row r="4" spans="1:8" x14ac:dyDescent="0.2">
      <c r="E4" s="12" t="str">
        <f t="shared" si="0"/>
        <v/>
      </c>
    </row>
    <row r="5" spans="1:8" x14ac:dyDescent="0.2">
      <c r="E5" s="12" t="str">
        <f t="shared" si="0"/>
        <v/>
      </c>
    </row>
    <row r="6" spans="1:8" x14ac:dyDescent="0.2">
      <c r="E6" s="12" t="str">
        <f t="shared" si="0"/>
        <v/>
      </c>
    </row>
    <row r="7" spans="1:8" x14ac:dyDescent="0.2">
      <c r="E7" s="12" t="str">
        <f t="shared" si="0"/>
        <v/>
      </c>
    </row>
    <row r="8" spans="1:8" x14ac:dyDescent="0.2">
      <c r="E8" s="12" t="str">
        <f t="shared" si="0"/>
        <v/>
      </c>
    </row>
    <row r="9" spans="1:8" x14ac:dyDescent="0.2">
      <c r="E9" s="12" t="str">
        <f t="shared" si="0"/>
        <v/>
      </c>
    </row>
    <row r="10" spans="1:8" x14ac:dyDescent="0.2">
      <c r="E10" s="12" t="str">
        <f t="shared" si="0"/>
        <v/>
      </c>
    </row>
    <row r="11" spans="1:8" x14ac:dyDescent="0.2">
      <c r="E11" s="12" t="str">
        <f t="shared" si="0"/>
        <v/>
      </c>
    </row>
    <row r="12" spans="1:8" x14ac:dyDescent="0.2">
      <c r="E12" s="12" t="str">
        <f t="shared" si="0"/>
        <v/>
      </c>
    </row>
    <row r="13" spans="1:8" x14ac:dyDescent="0.2">
      <c r="E13" s="12" t="str">
        <f t="shared" si="0"/>
        <v/>
      </c>
    </row>
    <row r="14" spans="1:8" x14ac:dyDescent="0.2">
      <c r="E14" s="12" t="str">
        <f t="shared" si="0"/>
        <v/>
      </c>
    </row>
    <row r="15" spans="1:8" x14ac:dyDescent="0.2">
      <c r="E15" s="12" t="str">
        <f t="shared" si="0"/>
        <v/>
      </c>
    </row>
    <row r="16" spans="1:8" x14ac:dyDescent="0.2">
      <c r="E16" s="12" t="str">
        <f t="shared" si="0"/>
        <v/>
      </c>
    </row>
    <row r="17" spans="5:5" x14ac:dyDescent="0.2">
      <c r="E17" s="12" t="str">
        <f t="shared" si="0"/>
        <v/>
      </c>
    </row>
    <row r="18" spans="5:5" x14ac:dyDescent="0.2">
      <c r="E18" s="12" t="str">
        <f t="shared" si="0"/>
        <v/>
      </c>
    </row>
    <row r="19" spans="5:5" x14ac:dyDescent="0.2">
      <c r="E19" s="12" t="str">
        <f t="shared" si="0"/>
        <v/>
      </c>
    </row>
    <row r="20" spans="5:5" x14ac:dyDescent="0.2">
      <c r="E20" s="12" t="str">
        <f t="shared" si="0"/>
        <v/>
      </c>
    </row>
    <row r="21" spans="5:5" x14ac:dyDescent="0.2">
      <c r="E21" s="12" t="str">
        <f t="shared" si="0"/>
        <v/>
      </c>
    </row>
    <row r="22" spans="5:5" x14ac:dyDescent="0.2">
      <c r="E22" s="12" t="str">
        <f t="shared" si="0"/>
        <v/>
      </c>
    </row>
    <row r="23" spans="5:5" x14ac:dyDescent="0.2">
      <c r="E23" s="12" t="str">
        <f t="shared" si="0"/>
        <v/>
      </c>
    </row>
    <row r="24" spans="5:5" x14ac:dyDescent="0.2">
      <c r="E24" s="12" t="str">
        <f t="shared" si="0"/>
        <v/>
      </c>
    </row>
    <row r="25" spans="5:5" x14ac:dyDescent="0.2">
      <c r="E25" s="12" t="str">
        <f t="shared" si="0"/>
        <v/>
      </c>
    </row>
    <row r="26" spans="5:5" x14ac:dyDescent="0.2">
      <c r="E26" s="12" t="str">
        <f t="shared" si="0"/>
        <v/>
      </c>
    </row>
    <row r="27" spans="5:5" x14ac:dyDescent="0.2">
      <c r="E27" s="12" t="str">
        <f t="shared" si="0"/>
        <v/>
      </c>
    </row>
    <row r="28" spans="5:5" x14ac:dyDescent="0.2">
      <c r="E28" s="12" t="str">
        <f t="shared" si="0"/>
        <v/>
      </c>
    </row>
    <row r="29" spans="5:5" x14ac:dyDescent="0.2">
      <c r="E29" s="12" t="str">
        <f t="shared" si="0"/>
        <v/>
      </c>
    </row>
    <row r="30" spans="5:5" x14ac:dyDescent="0.2">
      <c r="E30" s="12" t="str">
        <f t="shared" si="0"/>
        <v/>
      </c>
    </row>
    <row r="31" spans="5:5" x14ac:dyDescent="0.2">
      <c r="E31" s="12" t="str">
        <f t="shared" si="0"/>
        <v/>
      </c>
    </row>
    <row r="32" spans="5:5" x14ac:dyDescent="0.2">
      <c r="E32" s="12" t="str">
        <f t="shared" si="0"/>
        <v/>
      </c>
    </row>
    <row r="33" spans="5:5" x14ac:dyDescent="0.2">
      <c r="E33" s="12" t="str">
        <f t="shared" si="0"/>
        <v/>
      </c>
    </row>
    <row r="34" spans="5:5" x14ac:dyDescent="0.2">
      <c r="E34" s="12" t="str">
        <f t="shared" si="0"/>
        <v/>
      </c>
    </row>
    <row r="35" spans="5:5" x14ac:dyDescent="0.2">
      <c r="E35" s="12" t="str">
        <f t="shared" si="0"/>
        <v/>
      </c>
    </row>
    <row r="36" spans="5:5" x14ac:dyDescent="0.2">
      <c r="E36" s="12" t="str">
        <f t="shared" si="0"/>
        <v/>
      </c>
    </row>
    <row r="37" spans="5:5" x14ac:dyDescent="0.2">
      <c r="E37" s="12" t="str">
        <f t="shared" si="0"/>
        <v/>
      </c>
    </row>
    <row r="38" spans="5:5" x14ac:dyDescent="0.2">
      <c r="E38" s="12" t="str">
        <f t="shared" si="0"/>
        <v/>
      </c>
    </row>
    <row r="39" spans="5:5" x14ac:dyDescent="0.2">
      <c r="E39" s="12" t="str">
        <f t="shared" si="0"/>
        <v/>
      </c>
    </row>
    <row r="40" spans="5:5" x14ac:dyDescent="0.2">
      <c r="E40" s="12" t="str">
        <f t="shared" si="0"/>
        <v/>
      </c>
    </row>
    <row r="41" spans="5:5" x14ac:dyDescent="0.2">
      <c r="E41" s="12" t="str">
        <f t="shared" si="0"/>
        <v/>
      </c>
    </row>
    <row r="42" spans="5:5" x14ac:dyDescent="0.2">
      <c r="E42" s="12" t="str">
        <f t="shared" si="0"/>
        <v/>
      </c>
    </row>
    <row r="43" spans="5:5" x14ac:dyDescent="0.2">
      <c r="E43" s="12" t="str">
        <f t="shared" si="0"/>
        <v/>
      </c>
    </row>
    <row r="44" spans="5:5" x14ac:dyDescent="0.2">
      <c r="E44" s="12" t="str">
        <f t="shared" si="0"/>
        <v/>
      </c>
    </row>
    <row r="45" spans="5:5" x14ac:dyDescent="0.2">
      <c r="E45" s="12" t="str">
        <f t="shared" si="0"/>
        <v/>
      </c>
    </row>
    <row r="46" spans="5:5" x14ac:dyDescent="0.2">
      <c r="E46" s="12" t="str">
        <f t="shared" si="0"/>
        <v/>
      </c>
    </row>
    <row r="47" spans="5:5" x14ac:dyDescent="0.2">
      <c r="E47" s="12" t="str">
        <f t="shared" si="0"/>
        <v/>
      </c>
    </row>
    <row r="48" spans="5:5" x14ac:dyDescent="0.2">
      <c r="E48" s="12" t="str">
        <f t="shared" si="0"/>
        <v/>
      </c>
    </row>
    <row r="49" spans="5:5" x14ac:dyDescent="0.2">
      <c r="E49" s="12" t="str">
        <f t="shared" si="0"/>
        <v/>
      </c>
    </row>
    <row r="50" spans="5:5" x14ac:dyDescent="0.2">
      <c r="E50" s="12" t="str">
        <f t="shared" si="0"/>
        <v/>
      </c>
    </row>
    <row r="51" spans="5:5" x14ac:dyDescent="0.2">
      <c r="E51" s="12" t="str">
        <f t="shared" si="0"/>
        <v/>
      </c>
    </row>
    <row r="52" spans="5:5" x14ac:dyDescent="0.2">
      <c r="E52" s="12" t="str">
        <f t="shared" si="0"/>
        <v/>
      </c>
    </row>
    <row r="53" spans="5:5" x14ac:dyDescent="0.2">
      <c r="E53" s="12" t="str">
        <f t="shared" si="0"/>
        <v/>
      </c>
    </row>
    <row r="54" spans="5:5" x14ac:dyDescent="0.2">
      <c r="E54" s="12" t="str">
        <f t="shared" si="0"/>
        <v/>
      </c>
    </row>
    <row r="55" spans="5:5" x14ac:dyDescent="0.2">
      <c r="E55" s="12" t="str">
        <f t="shared" si="0"/>
        <v/>
      </c>
    </row>
    <row r="56" spans="5:5" x14ac:dyDescent="0.2">
      <c r="E56" s="12" t="str">
        <f t="shared" si="0"/>
        <v/>
      </c>
    </row>
    <row r="57" spans="5:5" x14ac:dyDescent="0.2">
      <c r="E57" s="12" t="str">
        <f t="shared" si="0"/>
        <v/>
      </c>
    </row>
    <row r="58" spans="5:5" x14ac:dyDescent="0.2">
      <c r="E58" s="12" t="str">
        <f t="shared" si="0"/>
        <v/>
      </c>
    </row>
    <row r="59" spans="5:5" x14ac:dyDescent="0.2">
      <c r="E59" s="12" t="str">
        <f t="shared" si="0"/>
        <v/>
      </c>
    </row>
    <row r="60" spans="5:5" x14ac:dyDescent="0.2">
      <c r="E60" s="12" t="str">
        <f t="shared" si="0"/>
        <v/>
      </c>
    </row>
    <row r="61" spans="5:5" x14ac:dyDescent="0.2">
      <c r="E61" s="12" t="str">
        <f t="shared" si="0"/>
        <v/>
      </c>
    </row>
    <row r="62" spans="5:5" x14ac:dyDescent="0.2">
      <c r="E62" s="12" t="str">
        <f t="shared" si="0"/>
        <v/>
      </c>
    </row>
    <row r="63" spans="5:5" x14ac:dyDescent="0.2">
      <c r="E63" s="12" t="str">
        <f t="shared" si="0"/>
        <v/>
      </c>
    </row>
    <row r="64" spans="5:5" x14ac:dyDescent="0.2">
      <c r="E64" s="12" t="str">
        <f t="shared" si="0"/>
        <v/>
      </c>
    </row>
    <row r="65" spans="5:5" x14ac:dyDescent="0.2">
      <c r="E65" s="12" t="str">
        <f t="shared" si="0"/>
        <v/>
      </c>
    </row>
    <row r="66" spans="5:5" x14ac:dyDescent="0.2">
      <c r="E66" s="12" t="str">
        <f t="shared" ref="E66:E129" si="1">IF(A66=0,"",VLOOKUP(B66,Unitweight,2,FALSE))</f>
        <v/>
      </c>
    </row>
    <row r="67" spans="5:5" x14ac:dyDescent="0.2">
      <c r="E67" s="12" t="str">
        <f t="shared" si="1"/>
        <v/>
      </c>
    </row>
    <row r="68" spans="5:5" x14ac:dyDescent="0.2">
      <c r="E68" s="12" t="str">
        <f t="shared" si="1"/>
        <v/>
      </c>
    </row>
    <row r="69" spans="5:5" x14ac:dyDescent="0.2">
      <c r="E69" s="12" t="str">
        <f t="shared" si="1"/>
        <v/>
      </c>
    </row>
    <row r="70" spans="5:5" x14ac:dyDescent="0.2">
      <c r="E70" s="12" t="str">
        <f t="shared" si="1"/>
        <v/>
      </c>
    </row>
    <row r="71" spans="5:5" x14ac:dyDescent="0.2">
      <c r="E71" s="12" t="str">
        <f t="shared" si="1"/>
        <v/>
      </c>
    </row>
    <row r="72" spans="5:5" x14ac:dyDescent="0.2">
      <c r="E72" s="12" t="str">
        <f t="shared" si="1"/>
        <v/>
      </c>
    </row>
    <row r="73" spans="5:5" x14ac:dyDescent="0.2">
      <c r="E73" s="12" t="str">
        <f t="shared" si="1"/>
        <v/>
      </c>
    </row>
    <row r="74" spans="5:5" x14ac:dyDescent="0.2">
      <c r="E74" s="12" t="str">
        <f t="shared" si="1"/>
        <v/>
      </c>
    </row>
    <row r="75" spans="5:5" x14ac:dyDescent="0.2">
      <c r="E75" s="12" t="str">
        <f t="shared" si="1"/>
        <v/>
      </c>
    </row>
    <row r="76" spans="5:5" x14ac:dyDescent="0.2">
      <c r="E76" s="12" t="str">
        <f t="shared" si="1"/>
        <v/>
      </c>
    </row>
    <row r="77" spans="5:5" x14ac:dyDescent="0.2">
      <c r="E77" s="12" t="str">
        <f t="shared" si="1"/>
        <v/>
      </c>
    </row>
    <row r="78" spans="5:5" x14ac:dyDescent="0.2">
      <c r="E78" s="12" t="str">
        <f t="shared" si="1"/>
        <v/>
      </c>
    </row>
    <row r="79" spans="5:5" x14ac:dyDescent="0.2">
      <c r="E79" s="12" t="str">
        <f t="shared" si="1"/>
        <v/>
      </c>
    </row>
    <row r="80" spans="5:5" x14ac:dyDescent="0.2">
      <c r="E80" s="12" t="str">
        <f t="shared" si="1"/>
        <v/>
      </c>
    </row>
    <row r="81" spans="5:5" x14ac:dyDescent="0.2">
      <c r="E81" s="12" t="str">
        <f t="shared" si="1"/>
        <v/>
      </c>
    </row>
    <row r="82" spans="5:5" x14ac:dyDescent="0.2">
      <c r="E82" s="12" t="str">
        <f t="shared" si="1"/>
        <v/>
      </c>
    </row>
    <row r="83" spans="5:5" x14ac:dyDescent="0.2">
      <c r="E83" s="12" t="str">
        <f t="shared" si="1"/>
        <v/>
      </c>
    </row>
    <row r="84" spans="5:5" x14ac:dyDescent="0.2">
      <c r="E84" s="12" t="str">
        <f t="shared" si="1"/>
        <v/>
      </c>
    </row>
    <row r="85" spans="5:5" x14ac:dyDescent="0.2">
      <c r="E85" s="12" t="str">
        <f t="shared" si="1"/>
        <v/>
      </c>
    </row>
    <row r="86" spans="5:5" x14ac:dyDescent="0.2">
      <c r="E86" s="12" t="str">
        <f t="shared" si="1"/>
        <v/>
      </c>
    </row>
    <row r="87" spans="5:5" x14ac:dyDescent="0.2">
      <c r="E87" s="12" t="str">
        <f t="shared" si="1"/>
        <v/>
      </c>
    </row>
    <row r="88" spans="5:5" x14ac:dyDescent="0.2">
      <c r="E88" s="12" t="str">
        <f t="shared" si="1"/>
        <v/>
      </c>
    </row>
    <row r="89" spans="5:5" x14ac:dyDescent="0.2">
      <c r="E89" s="12" t="str">
        <f t="shared" si="1"/>
        <v/>
      </c>
    </row>
    <row r="90" spans="5:5" x14ac:dyDescent="0.2">
      <c r="E90" s="12" t="str">
        <f t="shared" si="1"/>
        <v/>
      </c>
    </row>
    <row r="91" spans="5:5" x14ac:dyDescent="0.2">
      <c r="E91" s="12" t="str">
        <f t="shared" si="1"/>
        <v/>
      </c>
    </row>
    <row r="92" spans="5:5" x14ac:dyDescent="0.2">
      <c r="E92" s="12" t="str">
        <f t="shared" si="1"/>
        <v/>
      </c>
    </row>
    <row r="93" spans="5:5" x14ac:dyDescent="0.2">
      <c r="E93" s="12" t="str">
        <f t="shared" si="1"/>
        <v/>
      </c>
    </row>
    <row r="94" spans="5:5" x14ac:dyDescent="0.2">
      <c r="E94" s="12" t="str">
        <f t="shared" si="1"/>
        <v/>
      </c>
    </row>
    <row r="95" spans="5:5" x14ac:dyDescent="0.2">
      <c r="E95" s="12" t="str">
        <f t="shared" si="1"/>
        <v/>
      </c>
    </row>
    <row r="96" spans="5:5" x14ac:dyDescent="0.2">
      <c r="E96" s="12" t="str">
        <f t="shared" si="1"/>
        <v/>
      </c>
    </row>
    <row r="97" spans="5:5" x14ac:dyDescent="0.2">
      <c r="E97" s="12" t="str">
        <f t="shared" si="1"/>
        <v/>
      </c>
    </row>
    <row r="98" spans="5:5" x14ac:dyDescent="0.2">
      <c r="E98" s="12" t="str">
        <f t="shared" si="1"/>
        <v/>
      </c>
    </row>
    <row r="99" spans="5:5" x14ac:dyDescent="0.2">
      <c r="E99" s="12" t="str">
        <f t="shared" si="1"/>
        <v/>
      </c>
    </row>
    <row r="100" spans="5:5" x14ac:dyDescent="0.2">
      <c r="E100" s="12" t="str">
        <f t="shared" si="1"/>
        <v/>
      </c>
    </row>
    <row r="101" spans="5:5" x14ac:dyDescent="0.2">
      <c r="E101" s="12" t="str">
        <f t="shared" si="1"/>
        <v/>
      </c>
    </row>
    <row r="102" spans="5:5" x14ac:dyDescent="0.2">
      <c r="E102" s="12" t="str">
        <f t="shared" si="1"/>
        <v/>
      </c>
    </row>
    <row r="103" spans="5:5" x14ac:dyDescent="0.2">
      <c r="E103" s="12" t="str">
        <f t="shared" si="1"/>
        <v/>
      </c>
    </row>
    <row r="104" spans="5:5" x14ac:dyDescent="0.2">
      <c r="E104" s="12" t="str">
        <f t="shared" si="1"/>
        <v/>
      </c>
    </row>
    <row r="105" spans="5:5" x14ac:dyDescent="0.2">
      <c r="E105" s="12" t="str">
        <f t="shared" si="1"/>
        <v/>
      </c>
    </row>
    <row r="106" spans="5:5" x14ac:dyDescent="0.2">
      <c r="E106" s="12" t="str">
        <f t="shared" si="1"/>
        <v/>
      </c>
    </row>
    <row r="107" spans="5:5" x14ac:dyDescent="0.2">
      <c r="E107" s="12" t="str">
        <f t="shared" si="1"/>
        <v/>
      </c>
    </row>
    <row r="108" spans="5:5" x14ac:dyDescent="0.2">
      <c r="E108" s="12" t="str">
        <f t="shared" si="1"/>
        <v/>
      </c>
    </row>
    <row r="109" spans="5:5" x14ac:dyDescent="0.2">
      <c r="E109" s="12" t="str">
        <f t="shared" si="1"/>
        <v/>
      </c>
    </row>
    <row r="110" spans="5:5" x14ac:dyDescent="0.2">
      <c r="E110" s="12" t="str">
        <f t="shared" si="1"/>
        <v/>
      </c>
    </row>
    <row r="111" spans="5:5" x14ac:dyDescent="0.2">
      <c r="E111" s="12" t="str">
        <f t="shared" si="1"/>
        <v/>
      </c>
    </row>
    <row r="112" spans="5:5" x14ac:dyDescent="0.2">
      <c r="E112" s="12" t="str">
        <f t="shared" si="1"/>
        <v/>
      </c>
    </row>
    <row r="113" spans="5:5" x14ac:dyDescent="0.2">
      <c r="E113" s="12" t="str">
        <f t="shared" si="1"/>
        <v/>
      </c>
    </row>
    <row r="114" spans="5:5" x14ac:dyDescent="0.2">
      <c r="E114" s="12" t="str">
        <f t="shared" si="1"/>
        <v/>
      </c>
    </row>
    <row r="115" spans="5:5" x14ac:dyDescent="0.2">
      <c r="E115" s="12" t="str">
        <f t="shared" si="1"/>
        <v/>
      </c>
    </row>
    <row r="116" spans="5:5" x14ac:dyDescent="0.2">
      <c r="E116" s="12" t="str">
        <f t="shared" si="1"/>
        <v/>
      </c>
    </row>
    <row r="117" spans="5:5" x14ac:dyDescent="0.2">
      <c r="E117" s="12" t="str">
        <f t="shared" si="1"/>
        <v/>
      </c>
    </row>
    <row r="118" spans="5:5" x14ac:dyDescent="0.2">
      <c r="E118" s="12" t="str">
        <f t="shared" si="1"/>
        <v/>
      </c>
    </row>
    <row r="119" spans="5:5" x14ac:dyDescent="0.2">
      <c r="E119" s="12" t="str">
        <f t="shared" si="1"/>
        <v/>
      </c>
    </row>
    <row r="120" spans="5:5" x14ac:dyDescent="0.2">
      <c r="E120" s="12" t="str">
        <f t="shared" si="1"/>
        <v/>
      </c>
    </row>
    <row r="121" spans="5:5" x14ac:dyDescent="0.2">
      <c r="E121" s="12" t="str">
        <f t="shared" si="1"/>
        <v/>
      </c>
    </row>
    <row r="122" spans="5:5" x14ac:dyDescent="0.2">
      <c r="E122" s="12" t="str">
        <f t="shared" si="1"/>
        <v/>
      </c>
    </row>
    <row r="123" spans="5:5" x14ac:dyDescent="0.2">
      <c r="E123" s="12" t="str">
        <f t="shared" si="1"/>
        <v/>
      </c>
    </row>
    <row r="124" spans="5:5" x14ac:dyDescent="0.2">
      <c r="E124" s="12" t="str">
        <f t="shared" si="1"/>
        <v/>
      </c>
    </row>
    <row r="125" spans="5:5" x14ac:dyDescent="0.2">
      <c r="E125" s="12" t="str">
        <f t="shared" si="1"/>
        <v/>
      </c>
    </row>
    <row r="126" spans="5:5" x14ac:dyDescent="0.2">
      <c r="E126" s="12" t="str">
        <f t="shared" si="1"/>
        <v/>
      </c>
    </row>
    <row r="127" spans="5:5" x14ac:dyDescent="0.2">
      <c r="E127" s="12" t="str">
        <f t="shared" si="1"/>
        <v/>
      </c>
    </row>
    <row r="128" spans="5:5" x14ac:dyDescent="0.2">
      <c r="E128" s="12" t="str">
        <f t="shared" si="1"/>
        <v/>
      </c>
    </row>
    <row r="129" spans="5:5" x14ac:dyDescent="0.2">
      <c r="E129" s="12" t="str">
        <f t="shared" si="1"/>
        <v/>
      </c>
    </row>
    <row r="130" spans="5:5" x14ac:dyDescent="0.2">
      <c r="E130" s="12" t="str">
        <f t="shared" ref="E130:E193" si="2">IF(A130=0,"",VLOOKUP(B130,Unitweight,2,FALSE))</f>
        <v/>
      </c>
    </row>
    <row r="131" spans="5:5" x14ac:dyDescent="0.2">
      <c r="E131" s="12" t="str">
        <f t="shared" si="2"/>
        <v/>
      </c>
    </row>
    <row r="132" spans="5:5" x14ac:dyDescent="0.2">
      <c r="E132" s="12" t="str">
        <f t="shared" si="2"/>
        <v/>
      </c>
    </row>
    <row r="133" spans="5:5" x14ac:dyDescent="0.2">
      <c r="E133" s="12" t="str">
        <f t="shared" si="2"/>
        <v/>
      </c>
    </row>
    <row r="134" spans="5:5" x14ac:dyDescent="0.2">
      <c r="E134" s="12" t="str">
        <f t="shared" si="2"/>
        <v/>
      </c>
    </row>
    <row r="135" spans="5:5" x14ac:dyDescent="0.2">
      <c r="E135" s="12" t="str">
        <f t="shared" si="2"/>
        <v/>
      </c>
    </row>
    <row r="136" spans="5:5" x14ac:dyDescent="0.2">
      <c r="E136" s="12" t="str">
        <f t="shared" si="2"/>
        <v/>
      </c>
    </row>
    <row r="137" spans="5:5" x14ac:dyDescent="0.2">
      <c r="E137" s="12" t="str">
        <f t="shared" si="2"/>
        <v/>
      </c>
    </row>
    <row r="138" spans="5:5" x14ac:dyDescent="0.2">
      <c r="E138" s="12" t="str">
        <f t="shared" si="2"/>
        <v/>
      </c>
    </row>
    <row r="139" spans="5:5" x14ac:dyDescent="0.2">
      <c r="E139" s="12" t="str">
        <f t="shared" si="2"/>
        <v/>
      </c>
    </row>
    <row r="140" spans="5:5" x14ac:dyDescent="0.2">
      <c r="E140" s="12" t="str">
        <f t="shared" si="2"/>
        <v/>
      </c>
    </row>
    <row r="141" spans="5:5" x14ac:dyDescent="0.2">
      <c r="E141" s="12" t="str">
        <f t="shared" si="2"/>
        <v/>
      </c>
    </row>
    <row r="142" spans="5:5" x14ac:dyDescent="0.2">
      <c r="E142" s="12" t="str">
        <f t="shared" si="2"/>
        <v/>
      </c>
    </row>
    <row r="143" spans="5:5" x14ac:dyDescent="0.2">
      <c r="E143" s="12" t="str">
        <f t="shared" si="2"/>
        <v/>
      </c>
    </row>
    <row r="144" spans="5:5" x14ac:dyDescent="0.2">
      <c r="E144" s="12" t="str">
        <f t="shared" si="2"/>
        <v/>
      </c>
    </row>
    <row r="145" spans="5:5" x14ac:dyDescent="0.2">
      <c r="E145" s="12" t="str">
        <f t="shared" si="2"/>
        <v/>
      </c>
    </row>
    <row r="146" spans="5:5" x14ac:dyDescent="0.2">
      <c r="E146" s="12" t="str">
        <f t="shared" si="2"/>
        <v/>
      </c>
    </row>
    <row r="147" spans="5:5" x14ac:dyDescent="0.2">
      <c r="E147" s="12" t="str">
        <f t="shared" si="2"/>
        <v/>
      </c>
    </row>
    <row r="148" spans="5:5" x14ac:dyDescent="0.2">
      <c r="E148" s="12" t="str">
        <f t="shared" si="2"/>
        <v/>
      </c>
    </row>
    <row r="149" spans="5:5" x14ac:dyDescent="0.2">
      <c r="E149" s="12" t="str">
        <f t="shared" si="2"/>
        <v/>
      </c>
    </row>
    <row r="150" spans="5:5" x14ac:dyDescent="0.2">
      <c r="E150" s="12" t="str">
        <f t="shared" si="2"/>
        <v/>
      </c>
    </row>
    <row r="151" spans="5:5" x14ac:dyDescent="0.2">
      <c r="E151" s="12" t="str">
        <f t="shared" si="2"/>
        <v/>
      </c>
    </row>
    <row r="152" spans="5:5" x14ac:dyDescent="0.2">
      <c r="E152" s="12" t="str">
        <f t="shared" si="2"/>
        <v/>
      </c>
    </row>
    <row r="153" spans="5:5" x14ac:dyDescent="0.2">
      <c r="E153" s="12" t="str">
        <f t="shared" si="2"/>
        <v/>
      </c>
    </row>
    <row r="154" spans="5:5" x14ac:dyDescent="0.2">
      <c r="E154" s="12" t="str">
        <f t="shared" si="2"/>
        <v/>
      </c>
    </row>
    <row r="155" spans="5:5" x14ac:dyDescent="0.2">
      <c r="E155" s="12" t="str">
        <f t="shared" si="2"/>
        <v/>
      </c>
    </row>
    <row r="156" spans="5:5" x14ac:dyDescent="0.2">
      <c r="E156" s="12" t="str">
        <f t="shared" si="2"/>
        <v/>
      </c>
    </row>
    <row r="157" spans="5:5" x14ac:dyDescent="0.2">
      <c r="E157" s="12" t="str">
        <f t="shared" si="2"/>
        <v/>
      </c>
    </row>
    <row r="158" spans="5:5" x14ac:dyDescent="0.2">
      <c r="E158" s="12" t="str">
        <f t="shared" si="2"/>
        <v/>
      </c>
    </row>
    <row r="159" spans="5:5" x14ac:dyDescent="0.2">
      <c r="E159" s="12" t="str">
        <f t="shared" si="2"/>
        <v/>
      </c>
    </row>
    <row r="160" spans="5:5" x14ac:dyDescent="0.2">
      <c r="E160" s="12" t="str">
        <f t="shared" si="2"/>
        <v/>
      </c>
    </row>
    <row r="161" spans="5:5" x14ac:dyDescent="0.2">
      <c r="E161" s="12" t="str">
        <f t="shared" si="2"/>
        <v/>
      </c>
    </row>
    <row r="162" spans="5:5" x14ac:dyDescent="0.2">
      <c r="E162" s="12" t="str">
        <f t="shared" si="2"/>
        <v/>
      </c>
    </row>
    <row r="163" spans="5:5" x14ac:dyDescent="0.2">
      <c r="E163" s="12" t="str">
        <f t="shared" si="2"/>
        <v/>
      </c>
    </row>
    <row r="164" spans="5:5" x14ac:dyDescent="0.2">
      <c r="E164" s="12" t="str">
        <f t="shared" si="2"/>
        <v/>
      </c>
    </row>
    <row r="165" spans="5:5" x14ac:dyDescent="0.2">
      <c r="E165" s="12" t="str">
        <f t="shared" si="2"/>
        <v/>
      </c>
    </row>
    <row r="166" spans="5:5" x14ac:dyDescent="0.2">
      <c r="E166" s="12" t="str">
        <f t="shared" si="2"/>
        <v/>
      </c>
    </row>
    <row r="167" spans="5:5" x14ac:dyDescent="0.2">
      <c r="E167" s="12" t="str">
        <f t="shared" si="2"/>
        <v/>
      </c>
    </row>
    <row r="168" spans="5:5" x14ac:dyDescent="0.2">
      <c r="E168" s="12" t="str">
        <f t="shared" si="2"/>
        <v/>
      </c>
    </row>
    <row r="169" spans="5:5" x14ac:dyDescent="0.2">
      <c r="E169" s="12" t="str">
        <f t="shared" si="2"/>
        <v/>
      </c>
    </row>
    <row r="170" spans="5:5" x14ac:dyDescent="0.2">
      <c r="E170" s="12" t="str">
        <f t="shared" si="2"/>
        <v/>
      </c>
    </row>
    <row r="171" spans="5:5" x14ac:dyDescent="0.2">
      <c r="E171" s="12" t="str">
        <f t="shared" si="2"/>
        <v/>
      </c>
    </row>
    <row r="172" spans="5:5" x14ac:dyDescent="0.2">
      <c r="E172" s="12" t="str">
        <f t="shared" si="2"/>
        <v/>
      </c>
    </row>
    <row r="173" spans="5:5" x14ac:dyDescent="0.2">
      <c r="E173" s="12" t="str">
        <f t="shared" si="2"/>
        <v/>
      </c>
    </row>
    <row r="174" spans="5:5" x14ac:dyDescent="0.2">
      <c r="E174" s="12" t="str">
        <f t="shared" si="2"/>
        <v/>
      </c>
    </row>
    <row r="175" spans="5:5" x14ac:dyDescent="0.2">
      <c r="E175" s="12" t="str">
        <f t="shared" si="2"/>
        <v/>
      </c>
    </row>
    <row r="176" spans="5:5" x14ac:dyDescent="0.2">
      <c r="E176" s="12" t="str">
        <f t="shared" si="2"/>
        <v/>
      </c>
    </row>
    <row r="177" spans="5:5" x14ac:dyDescent="0.2">
      <c r="E177" s="12" t="str">
        <f t="shared" si="2"/>
        <v/>
      </c>
    </row>
    <row r="178" spans="5:5" x14ac:dyDescent="0.2">
      <c r="E178" s="12" t="str">
        <f t="shared" si="2"/>
        <v/>
      </c>
    </row>
    <row r="179" spans="5:5" x14ac:dyDescent="0.2">
      <c r="E179" s="12" t="str">
        <f t="shared" si="2"/>
        <v/>
      </c>
    </row>
    <row r="180" spans="5:5" x14ac:dyDescent="0.2">
      <c r="E180" s="12" t="str">
        <f t="shared" si="2"/>
        <v/>
      </c>
    </row>
    <row r="181" spans="5:5" x14ac:dyDescent="0.2">
      <c r="E181" s="12" t="str">
        <f t="shared" si="2"/>
        <v/>
      </c>
    </row>
    <row r="182" spans="5:5" x14ac:dyDescent="0.2">
      <c r="E182" s="12" t="str">
        <f t="shared" si="2"/>
        <v/>
      </c>
    </row>
    <row r="183" spans="5:5" x14ac:dyDescent="0.2">
      <c r="E183" s="12" t="str">
        <f t="shared" si="2"/>
        <v/>
      </c>
    </row>
    <row r="184" spans="5:5" x14ac:dyDescent="0.2">
      <c r="E184" s="12" t="str">
        <f t="shared" si="2"/>
        <v/>
      </c>
    </row>
    <row r="185" spans="5:5" x14ac:dyDescent="0.2">
      <c r="E185" s="12" t="str">
        <f t="shared" si="2"/>
        <v/>
      </c>
    </row>
    <row r="186" spans="5:5" x14ac:dyDescent="0.2">
      <c r="E186" s="12" t="str">
        <f t="shared" si="2"/>
        <v/>
      </c>
    </row>
    <row r="187" spans="5:5" x14ac:dyDescent="0.2">
      <c r="E187" s="12" t="str">
        <f t="shared" si="2"/>
        <v/>
      </c>
    </row>
    <row r="188" spans="5:5" x14ac:dyDescent="0.2">
      <c r="E188" s="12" t="str">
        <f t="shared" si="2"/>
        <v/>
      </c>
    </row>
    <row r="189" spans="5:5" x14ac:dyDescent="0.2">
      <c r="E189" s="12" t="str">
        <f t="shared" si="2"/>
        <v/>
      </c>
    </row>
    <row r="190" spans="5:5" x14ac:dyDescent="0.2">
      <c r="E190" s="12" t="str">
        <f t="shared" si="2"/>
        <v/>
      </c>
    </row>
    <row r="191" spans="5:5" x14ac:dyDescent="0.2">
      <c r="E191" s="12" t="str">
        <f t="shared" si="2"/>
        <v/>
      </c>
    </row>
    <row r="192" spans="5:5" x14ac:dyDescent="0.2">
      <c r="E192" s="12" t="str">
        <f t="shared" si="2"/>
        <v/>
      </c>
    </row>
    <row r="193" spans="5:5" x14ac:dyDescent="0.2">
      <c r="E193" s="12" t="str">
        <f t="shared" si="2"/>
        <v/>
      </c>
    </row>
    <row r="194" spans="5:5" x14ac:dyDescent="0.2">
      <c r="E194" s="12" t="str">
        <f t="shared" ref="E194:E257" si="3">IF(A194=0,"",VLOOKUP(B194,Unitweight,2,FALSE))</f>
        <v/>
      </c>
    </row>
    <row r="195" spans="5:5" x14ac:dyDescent="0.2">
      <c r="E195" s="12" t="str">
        <f t="shared" si="3"/>
        <v/>
      </c>
    </row>
    <row r="196" spans="5:5" x14ac:dyDescent="0.2">
      <c r="E196" s="12" t="str">
        <f t="shared" si="3"/>
        <v/>
      </c>
    </row>
    <row r="197" spans="5:5" x14ac:dyDescent="0.2">
      <c r="E197" s="12" t="str">
        <f t="shared" si="3"/>
        <v/>
      </c>
    </row>
    <row r="198" spans="5:5" x14ac:dyDescent="0.2">
      <c r="E198" s="12" t="str">
        <f t="shared" si="3"/>
        <v/>
      </c>
    </row>
    <row r="199" spans="5:5" x14ac:dyDescent="0.2">
      <c r="E199" s="12" t="str">
        <f t="shared" si="3"/>
        <v/>
      </c>
    </row>
    <row r="200" spans="5:5" x14ac:dyDescent="0.2">
      <c r="E200" s="12" t="str">
        <f t="shared" si="3"/>
        <v/>
      </c>
    </row>
    <row r="201" spans="5:5" x14ac:dyDescent="0.2">
      <c r="E201" s="12" t="str">
        <f t="shared" si="3"/>
        <v/>
      </c>
    </row>
    <row r="202" spans="5:5" x14ac:dyDescent="0.2">
      <c r="E202" s="12" t="str">
        <f t="shared" si="3"/>
        <v/>
      </c>
    </row>
    <row r="203" spans="5:5" x14ac:dyDescent="0.2">
      <c r="E203" s="12" t="str">
        <f t="shared" si="3"/>
        <v/>
      </c>
    </row>
    <row r="204" spans="5:5" x14ac:dyDescent="0.2">
      <c r="E204" s="12" t="str">
        <f t="shared" si="3"/>
        <v/>
      </c>
    </row>
    <row r="205" spans="5:5" x14ac:dyDescent="0.2">
      <c r="E205" s="12" t="str">
        <f t="shared" si="3"/>
        <v/>
      </c>
    </row>
    <row r="206" spans="5:5" x14ac:dyDescent="0.2">
      <c r="E206" s="12" t="str">
        <f t="shared" si="3"/>
        <v/>
      </c>
    </row>
    <row r="207" spans="5:5" x14ac:dyDescent="0.2">
      <c r="E207" s="12" t="str">
        <f t="shared" si="3"/>
        <v/>
      </c>
    </row>
    <row r="208" spans="5:5" x14ac:dyDescent="0.2">
      <c r="E208" s="12" t="str">
        <f t="shared" si="3"/>
        <v/>
      </c>
    </row>
    <row r="209" spans="5:5" x14ac:dyDescent="0.2">
      <c r="E209" s="12" t="str">
        <f t="shared" si="3"/>
        <v/>
      </c>
    </row>
    <row r="210" spans="5:5" x14ac:dyDescent="0.2">
      <c r="E210" s="12" t="str">
        <f t="shared" si="3"/>
        <v/>
      </c>
    </row>
    <row r="211" spans="5:5" x14ac:dyDescent="0.2">
      <c r="E211" s="12" t="str">
        <f t="shared" si="3"/>
        <v/>
      </c>
    </row>
    <row r="212" spans="5:5" x14ac:dyDescent="0.2">
      <c r="E212" s="12" t="str">
        <f t="shared" si="3"/>
        <v/>
      </c>
    </row>
    <row r="213" spans="5:5" x14ac:dyDescent="0.2">
      <c r="E213" s="12" t="str">
        <f t="shared" si="3"/>
        <v/>
      </c>
    </row>
    <row r="214" spans="5:5" x14ac:dyDescent="0.2">
      <c r="E214" s="12" t="str">
        <f t="shared" si="3"/>
        <v/>
      </c>
    </row>
    <row r="215" spans="5:5" x14ac:dyDescent="0.2">
      <c r="E215" s="12" t="str">
        <f t="shared" si="3"/>
        <v/>
      </c>
    </row>
    <row r="216" spans="5:5" x14ac:dyDescent="0.2">
      <c r="E216" s="12" t="str">
        <f t="shared" si="3"/>
        <v/>
      </c>
    </row>
    <row r="217" spans="5:5" x14ac:dyDescent="0.2">
      <c r="E217" s="12" t="str">
        <f t="shared" si="3"/>
        <v/>
      </c>
    </row>
    <row r="218" spans="5:5" x14ac:dyDescent="0.2">
      <c r="E218" s="12" t="str">
        <f t="shared" si="3"/>
        <v/>
      </c>
    </row>
    <row r="219" spans="5:5" x14ac:dyDescent="0.2">
      <c r="E219" s="12" t="str">
        <f t="shared" si="3"/>
        <v/>
      </c>
    </row>
    <row r="220" spans="5:5" x14ac:dyDescent="0.2">
      <c r="E220" s="12" t="str">
        <f t="shared" si="3"/>
        <v/>
      </c>
    </row>
    <row r="221" spans="5:5" x14ac:dyDescent="0.2">
      <c r="E221" s="12" t="str">
        <f t="shared" si="3"/>
        <v/>
      </c>
    </row>
    <row r="222" spans="5:5" x14ac:dyDescent="0.2">
      <c r="E222" s="12" t="str">
        <f t="shared" si="3"/>
        <v/>
      </c>
    </row>
    <row r="223" spans="5:5" x14ac:dyDescent="0.2">
      <c r="E223" s="12" t="str">
        <f t="shared" si="3"/>
        <v/>
      </c>
    </row>
    <row r="224" spans="5:5" x14ac:dyDescent="0.2">
      <c r="E224" s="12" t="str">
        <f t="shared" si="3"/>
        <v/>
      </c>
    </row>
    <row r="225" spans="5:5" x14ac:dyDescent="0.2">
      <c r="E225" s="12" t="str">
        <f t="shared" si="3"/>
        <v/>
      </c>
    </row>
    <row r="226" spans="5:5" x14ac:dyDescent="0.2">
      <c r="E226" s="12" t="str">
        <f t="shared" si="3"/>
        <v/>
      </c>
    </row>
    <row r="227" spans="5:5" x14ac:dyDescent="0.2">
      <c r="E227" s="12" t="str">
        <f t="shared" si="3"/>
        <v/>
      </c>
    </row>
    <row r="228" spans="5:5" x14ac:dyDescent="0.2">
      <c r="E228" s="12" t="str">
        <f t="shared" si="3"/>
        <v/>
      </c>
    </row>
    <row r="229" spans="5:5" x14ac:dyDescent="0.2">
      <c r="E229" s="12" t="str">
        <f t="shared" si="3"/>
        <v/>
      </c>
    </row>
    <row r="230" spans="5:5" x14ac:dyDescent="0.2">
      <c r="E230" s="12" t="str">
        <f t="shared" si="3"/>
        <v/>
      </c>
    </row>
    <row r="231" spans="5:5" x14ac:dyDescent="0.2">
      <c r="E231" s="12" t="str">
        <f t="shared" si="3"/>
        <v/>
      </c>
    </row>
    <row r="232" spans="5:5" x14ac:dyDescent="0.2">
      <c r="E232" s="12" t="str">
        <f t="shared" si="3"/>
        <v/>
      </c>
    </row>
    <row r="233" spans="5:5" x14ac:dyDescent="0.2">
      <c r="E233" s="12" t="str">
        <f t="shared" si="3"/>
        <v/>
      </c>
    </row>
    <row r="234" spans="5:5" x14ac:dyDescent="0.2">
      <c r="E234" s="12" t="str">
        <f t="shared" si="3"/>
        <v/>
      </c>
    </row>
    <row r="235" spans="5:5" x14ac:dyDescent="0.2">
      <c r="E235" s="12" t="str">
        <f t="shared" si="3"/>
        <v/>
      </c>
    </row>
    <row r="236" spans="5:5" x14ac:dyDescent="0.2">
      <c r="E236" s="12" t="str">
        <f t="shared" si="3"/>
        <v/>
      </c>
    </row>
    <row r="237" spans="5:5" x14ac:dyDescent="0.2">
      <c r="E237" s="12" t="str">
        <f t="shared" si="3"/>
        <v/>
      </c>
    </row>
    <row r="238" spans="5:5" x14ac:dyDescent="0.2">
      <c r="E238" s="12" t="str">
        <f t="shared" si="3"/>
        <v/>
      </c>
    </row>
    <row r="239" spans="5:5" x14ac:dyDescent="0.2">
      <c r="E239" s="12" t="str">
        <f t="shared" si="3"/>
        <v/>
      </c>
    </row>
    <row r="240" spans="5:5" x14ac:dyDescent="0.2">
      <c r="E240" s="12" t="str">
        <f t="shared" si="3"/>
        <v/>
      </c>
    </row>
    <row r="241" spans="5:5" x14ac:dyDescent="0.2">
      <c r="E241" s="12" t="str">
        <f t="shared" si="3"/>
        <v/>
      </c>
    </row>
    <row r="242" spans="5:5" x14ac:dyDescent="0.2">
      <c r="E242" s="12" t="str">
        <f t="shared" si="3"/>
        <v/>
      </c>
    </row>
    <row r="243" spans="5:5" x14ac:dyDescent="0.2">
      <c r="E243" s="12" t="str">
        <f t="shared" si="3"/>
        <v/>
      </c>
    </row>
    <row r="244" spans="5:5" x14ac:dyDescent="0.2">
      <c r="E244" s="12" t="str">
        <f t="shared" si="3"/>
        <v/>
      </c>
    </row>
    <row r="245" spans="5:5" x14ac:dyDescent="0.2">
      <c r="E245" s="12" t="str">
        <f t="shared" si="3"/>
        <v/>
      </c>
    </row>
    <row r="246" spans="5:5" x14ac:dyDescent="0.2">
      <c r="E246" s="12" t="str">
        <f t="shared" si="3"/>
        <v/>
      </c>
    </row>
    <row r="247" spans="5:5" x14ac:dyDescent="0.2">
      <c r="E247" s="12" t="str">
        <f t="shared" si="3"/>
        <v/>
      </c>
    </row>
    <row r="248" spans="5:5" x14ac:dyDescent="0.2">
      <c r="E248" s="12" t="str">
        <f t="shared" si="3"/>
        <v/>
      </c>
    </row>
    <row r="249" spans="5:5" x14ac:dyDescent="0.2">
      <c r="E249" s="12" t="str">
        <f t="shared" si="3"/>
        <v/>
      </c>
    </row>
    <row r="250" spans="5:5" x14ac:dyDescent="0.2">
      <c r="E250" s="12" t="str">
        <f t="shared" si="3"/>
        <v/>
      </c>
    </row>
    <row r="251" spans="5:5" x14ac:dyDescent="0.2">
      <c r="E251" s="12" t="str">
        <f t="shared" si="3"/>
        <v/>
      </c>
    </row>
    <row r="252" spans="5:5" x14ac:dyDescent="0.2">
      <c r="E252" s="12" t="str">
        <f t="shared" si="3"/>
        <v/>
      </c>
    </row>
    <row r="253" spans="5:5" x14ac:dyDescent="0.2">
      <c r="E253" s="12" t="str">
        <f t="shared" si="3"/>
        <v/>
      </c>
    </row>
    <row r="254" spans="5:5" x14ac:dyDescent="0.2">
      <c r="E254" s="12" t="str">
        <f t="shared" si="3"/>
        <v/>
      </c>
    </row>
    <row r="255" spans="5:5" x14ac:dyDescent="0.2">
      <c r="E255" s="12" t="str">
        <f t="shared" si="3"/>
        <v/>
      </c>
    </row>
    <row r="256" spans="5:5" x14ac:dyDescent="0.2">
      <c r="E256" s="12" t="str">
        <f t="shared" si="3"/>
        <v/>
      </c>
    </row>
    <row r="257" spans="5:5" x14ac:dyDescent="0.2">
      <c r="E257" s="12" t="str">
        <f t="shared" si="3"/>
        <v/>
      </c>
    </row>
    <row r="258" spans="5:5" x14ac:dyDescent="0.2">
      <c r="E258" s="12" t="str">
        <f t="shared" ref="E258:E321" si="4">IF(A258=0,"",VLOOKUP(B258,Unitweight,2,FALSE))</f>
        <v/>
      </c>
    </row>
    <row r="259" spans="5:5" x14ac:dyDescent="0.2">
      <c r="E259" s="12" t="str">
        <f t="shared" si="4"/>
        <v/>
      </c>
    </row>
    <row r="260" spans="5:5" x14ac:dyDescent="0.2">
      <c r="E260" s="12" t="str">
        <f t="shared" si="4"/>
        <v/>
      </c>
    </row>
    <row r="261" spans="5:5" x14ac:dyDescent="0.2">
      <c r="E261" s="12" t="str">
        <f t="shared" si="4"/>
        <v/>
      </c>
    </row>
    <row r="262" spans="5:5" x14ac:dyDescent="0.2">
      <c r="E262" s="12" t="str">
        <f t="shared" si="4"/>
        <v/>
      </c>
    </row>
    <row r="263" spans="5:5" x14ac:dyDescent="0.2">
      <c r="E263" s="12" t="str">
        <f t="shared" si="4"/>
        <v/>
      </c>
    </row>
    <row r="264" spans="5:5" x14ac:dyDescent="0.2">
      <c r="E264" s="12" t="str">
        <f t="shared" si="4"/>
        <v/>
      </c>
    </row>
    <row r="265" spans="5:5" x14ac:dyDescent="0.2">
      <c r="E265" s="12" t="str">
        <f t="shared" si="4"/>
        <v/>
      </c>
    </row>
    <row r="266" spans="5:5" x14ac:dyDescent="0.2">
      <c r="E266" s="12" t="str">
        <f t="shared" si="4"/>
        <v/>
      </c>
    </row>
    <row r="267" spans="5:5" x14ac:dyDescent="0.2">
      <c r="E267" s="12" t="str">
        <f t="shared" si="4"/>
        <v/>
      </c>
    </row>
    <row r="268" spans="5:5" x14ac:dyDescent="0.2">
      <c r="E268" s="12" t="str">
        <f t="shared" si="4"/>
        <v/>
      </c>
    </row>
    <row r="269" spans="5:5" x14ac:dyDescent="0.2">
      <c r="E269" s="12" t="str">
        <f t="shared" si="4"/>
        <v/>
      </c>
    </row>
    <row r="270" spans="5:5" x14ac:dyDescent="0.2">
      <c r="E270" s="12" t="str">
        <f t="shared" si="4"/>
        <v/>
      </c>
    </row>
    <row r="271" spans="5:5" x14ac:dyDescent="0.2">
      <c r="E271" s="12" t="str">
        <f t="shared" si="4"/>
        <v/>
      </c>
    </row>
    <row r="272" spans="5:5" x14ac:dyDescent="0.2">
      <c r="E272" s="12" t="str">
        <f t="shared" si="4"/>
        <v/>
      </c>
    </row>
    <row r="273" spans="5:5" x14ac:dyDescent="0.2">
      <c r="E273" s="12" t="str">
        <f t="shared" si="4"/>
        <v/>
      </c>
    </row>
    <row r="274" spans="5:5" x14ac:dyDescent="0.2">
      <c r="E274" s="12" t="str">
        <f t="shared" si="4"/>
        <v/>
      </c>
    </row>
    <row r="275" spans="5:5" x14ac:dyDescent="0.2">
      <c r="E275" s="12" t="str">
        <f t="shared" si="4"/>
        <v/>
      </c>
    </row>
    <row r="276" spans="5:5" x14ac:dyDescent="0.2">
      <c r="E276" s="12" t="str">
        <f t="shared" si="4"/>
        <v/>
      </c>
    </row>
    <row r="277" spans="5:5" x14ac:dyDescent="0.2">
      <c r="E277" s="12" t="str">
        <f t="shared" si="4"/>
        <v/>
      </c>
    </row>
    <row r="278" spans="5:5" x14ac:dyDescent="0.2">
      <c r="E278" s="12" t="str">
        <f t="shared" si="4"/>
        <v/>
      </c>
    </row>
    <row r="279" spans="5:5" x14ac:dyDescent="0.2">
      <c r="E279" s="12" t="str">
        <f t="shared" si="4"/>
        <v/>
      </c>
    </row>
    <row r="280" spans="5:5" x14ac:dyDescent="0.2">
      <c r="E280" s="12" t="str">
        <f t="shared" si="4"/>
        <v/>
      </c>
    </row>
    <row r="281" spans="5:5" x14ac:dyDescent="0.2">
      <c r="E281" s="12" t="str">
        <f t="shared" si="4"/>
        <v/>
      </c>
    </row>
    <row r="282" spans="5:5" x14ac:dyDescent="0.2">
      <c r="E282" s="12" t="str">
        <f t="shared" si="4"/>
        <v/>
      </c>
    </row>
    <row r="283" spans="5:5" x14ac:dyDescent="0.2">
      <c r="E283" s="12" t="str">
        <f t="shared" si="4"/>
        <v/>
      </c>
    </row>
    <row r="284" spans="5:5" x14ac:dyDescent="0.2">
      <c r="E284" s="12" t="str">
        <f t="shared" si="4"/>
        <v/>
      </c>
    </row>
    <row r="285" spans="5:5" x14ac:dyDescent="0.2">
      <c r="E285" s="12" t="str">
        <f t="shared" si="4"/>
        <v/>
      </c>
    </row>
    <row r="286" spans="5:5" x14ac:dyDescent="0.2">
      <c r="E286" s="12" t="str">
        <f t="shared" si="4"/>
        <v/>
      </c>
    </row>
    <row r="287" spans="5:5" x14ac:dyDescent="0.2">
      <c r="E287" s="12" t="str">
        <f t="shared" si="4"/>
        <v/>
      </c>
    </row>
    <row r="288" spans="5:5" x14ac:dyDescent="0.2">
      <c r="E288" s="12" t="str">
        <f t="shared" si="4"/>
        <v/>
      </c>
    </row>
    <row r="289" spans="5:5" x14ac:dyDescent="0.2">
      <c r="E289" s="12" t="str">
        <f t="shared" si="4"/>
        <v/>
      </c>
    </row>
    <row r="290" spans="5:5" x14ac:dyDescent="0.2">
      <c r="E290" s="12" t="str">
        <f t="shared" si="4"/>
        <v/>
      </c>
    </row>
    <row r="291" spans="5:5" x14ac:dyDescent="0.2">
      <c r="E291" s="12" t="str">
        <f t="shared" si="4"/>
        <v/>
      </c>
    </row>
    <row r="292" spans="5:5" x14ac:dyDescent="0.2">
      <c r="E292" s="12" t="str">
        <f t="shared" si="4"/>
        <v/>
      </c>
    </row>
    <row r="293" spans="5:5" x14ac:dyDescent="0.2">
      <c r="E293" s="12" t="str">
        <f t="shared" si="4"/>
        <v/>
      </c>
    </row>
    <row r="294" spans="5:5" x14ac:dyDescent="0.2">
      <c r="E294" s="12" t="str">
        <f t="shared" si="4"/>
        <v/>
      </c>
    </row>
    <row r="295" spans="5:5" x14ac:dyDescent="0.2">
      <c r="E295" s="12" t="str">
        <f t="shared" si="4"/>
        <v/>
      </c>
    </row>
    <row r="296" spans="5:5" x14ac:dyDescent="0.2">
      <c r="E296" s="12" t="str">
        <f t="shared" si="4"/>
        <v/>
      </c>
    </row>
    <row r="297" spans="5:5" x14ac:dyDescent="0.2">
      <c r="E297" s="12" t="str">
        <f t="shared" si="4"/>
        <v/>
      </c>
    </row>
    <row r="298" spans="5:5" x14ac:dyDescent="0.2">
      <c r="E298" s="12" t="str">
        <f t="shared" si="4"/>
        <v/>
      </c>
    </row>
    <row r="299" spans="5:5" x14ac:dyDescent="0.2">
      <c r="E299" s="12" t="str">
        <f t="shared" si="4"/>
        <v/>
      </c>
    </row>
    <row r="300" spans="5:5" x14ac:dyDescent="0.2">
      <c r="E300" s="12" t="str">
        <f t="shared" si="4"/>
        <v/>
      </c>
    </row>
    <row r="301" spans="5:5" x14ac:dyDescent="0.2">
      <c r="E301" s="12" t="str">
        <f t="shared" si="4"/>
        <v/>
      </c>
    </row>
    <row r="302" spans="5:5" x14ac:dyDescent="0.2">
      <c r="E302" s="12" t="str">
        <f t="shared" si="4"/>
        <v/>
      </c>
    </row>
    <row r="303" spans="5:5" x14ac:dyDescent="0.2">
      <c r="E303" s="12" t="str">
        <f t="shared" si="4"/>
        <v/>
      </c>
    </row>
    <row r="304" spans="5:5" x14ac:dyDescent="0.2">
      <c r="E304" s="12" t="str">
        <f t="shared" si="4"/>
        <v/>
      </c>
    </row>
    <row r="305" spans="5:5" x14ac:dyDescent="0.2">
      <c r="E305" s="12" t="str">
        <f t="shared" si="4"/>
        <v/>
      </c>
    </row>
    <row r="306" spans="5:5" x14ac:dyDescent="0.2">
      <c r="E306" s="12" t="str">
        <f t="shared" si="4"/>
        <v/>
      </c>
    </row>
    <row r="307" spans="5:5" x14ac:dyDescent="0.2">
      <c r="E307" s="12" t="str">
        <f t="shared" si="4"/>
        <v/>
      </c>
    </row>
    <row r="308" spans="5:5" x14ac:dyDescent="0.2">
      <c r="E308" s="12" t="str">
        <f t="shared" si="4"/>
        <v/>
      </c>
    </row>
    <row r="309" spans="5:5" x14ac:dyDescent="0.2">
      <c r="E309" s="12" t="str">
        <f t="shared" si="4"/>
        <v/>
      </c>
    </row>
    <row r="310" spans="5:5" x14ac:dyDescent="0.2">
      <c r="E310" s="12" t="str">
        <f t="shared" si="4"/>
        <v/>
      </c>
    </row>
    <row r="311" spans="5:5" x14ac:dyDescent="0.2">
      <c r="E311" s="12" t="str">
        <f t="shared" si="4"/>
        <v/>
      </c>
    </row>
    <row r="312" spans="5:5" x14ac:dyDescent="0.2">
      <c r="E312" s="12" t="str">
        <f t="shared" si="4"/>
        <v/>
      </c>
    </row>
    <row r="313" spans="5:5" x14ac:dyDescent="0.2">
      <c r="E313" s="12" t="str">
        <f t="shared" si="4"/>
        <v/>
      </c>
    </row>
    <row r="314" spans="5:5" x14ac:dyDescent="0.2">
      <c r="E314" s="12" t="str">
        <f t="shared" si="4"/>
        <v/>
      </c>
    </row>
    <row r="315" spans="5:5" x14ac:dyDescent="0.2">
      <c r="E315" s="12" t="str">
        <f t="shared" si="4"/>
        <v/>
      </c>
    </row>
    <row r="316" spans="5:5" x14ac:dyDescent="0.2">
      <c r="E316" s="12" t="str">
        <f t="shared" si="4"/>
        <v/>
      </c>
    </row>
    <row r="317" spans="5:5" x14ac:dyDescent="0.2">
      <c r="E317" s="12" t="str">
        <f t="shared" si="4"/>
        <v/>
      </c>
    </row>
    <row r="318" spans="5:5" x14ac:dyDescent="0.2">
      <c r="E318" s="12" t="str">
        <f t="shared" si="4"/>
        <v/>
      </c>
    </row>
    <row r="319" spans="5:5" x14ac:dyDescent="0.2">
      <c r="E319" s="12" t="str">
        <f t="shared" si="4"/>
        <v/>
      </c>
    </row>
    <row r="320" spans="5:5" x14ac:dyDescent="0.2">
      <c r="E320" s="12" t="str">
        <f t="shared" si="4"/>
        <v/>
      </c>
    </row>
    <row r="321" spans="5:5" x14ac:dyDescent="0.2">
      <c r="E321" s="12" t="str">
        <f t="shared" si="4"/>
        <v/>
      </c>
    </row>
    <row r="322" spans="5:5" x14ac:dyDescent="0.2">
      <c r="E322" s="12" t="str">
        <f t="shared" ref="E322:E385" si="5">IF(A322=0,"",VLOOKUP(B322,Unitweight,2,FALSE))</f>
        <v/>
      </c>
    </row>
    <row r="323" spans="5:5" x14ac:dyDescent="0.2">
      <c r="E323" s="12" t="str">
        <f t="shared" si="5"/>
        <v/>
      </c>
    </row>
    <row r="324" spans="5:5" x14ac:dyDescent="0.2">
      <c r="E324" s="12" t="str">
        <f t="shared" si="5"/>
        <v/>
      </c>
    </row>
    <row r="325" spans="5:5" x14ac:dyDescent="0.2">
      <c r="E325" s="12" t="str">
        <f t="shared" si="5"/>
        <v/>
      </c>
    </row>
    <row r="326" spans="5:5" x14ac:dyDescent="0.2">
      <c r="E326" s="12" t="str">
        <f t="shared" si="5"/>
        <v/>
      </c>
    </row>
    <row r="327" spans="5:5" x14ac:dyDescent="0.2">
      <c r="E327" s="12" t="str">
        <f t="shared" si="5"/>
        <v/>
      </c>
    </row>
    <row r="328" spans="5:5" x14ac:dyDescent="0.2">
      <c r="E328" s="12" t="str">
        <f t="shared" si="5"/>
        <v/>
      </c>
    </row>
    <row r="329" spans="5:5" x14ac:dyDescent="0.2">
      <c r="E329" s="12" t="str">
        <f t="shared" si="5"/>
        <v/>
      </c>
    </row>
    <row r="330" spans="5:5" x14ac:dyDescent="0.2">
      <c r="E330" s="12" t="str">
        <f t="shared" si="5"/>
        <v/>
      </c>
    </row>
    <row r="331" spans="5:5" x14ac:dyDescent="0.2">
      <c r="E331" s="12" t="str">
        <f t="shared" si="5"/>
        <v/>
      </c>
    </row>
    <row r="332" spans="5:5" x14ac:dyDescent="0.2">
      <c r="E332" s="12" t="str">
        <f t="shared" si="5"/>
        <v/>
      </c>
    </row>
    <row r="333" spans="5:5" x14ac:dyDescent="0.2">
      <c r="E333" s="12" t="str">
        <f t="shared" si="5"/>
        <v/>
      </c>
    </row>
    <row r="334" spans="5:5" x14ac:dyDescent="0.2">
      <c r="E334" s="12" t="str">
        <f t="shared" si="5"/>
        <v/>
      </c>
    </row>
    <row r="335" spans="5:5" x14ac:dyDescent="0.2">
      <c r="E335" s="12" t="str">
        <f t="shared" si="5"/>
        <v/>
      </c>
    </row>
    <row r="336" spans="5:5" x14ac:dyDescent="0.2">
      <c r="E336" s="12" t="str">
        <f t="shared" si="5"/>
        <v/>
      </c>
    </row>
    <row r="337" spans="5:5" x14ac:dyDescent="0.2">
      <c r="E337" s="12" t="str">
        <f t="shared" si="5"/>
        <v/>
      </c>
    </row>
    <row r="338" spans="5:5" x14ac:dyDescent="0.2">
      <c r="E338" s="12" t="str">
        <f t="shared" si="5"/>
        <v/>
      </c>
    </row>
    <row r="339" spans="5:5" x14ac:dyDescent="0.2">
      <c r="E339" s="12" t="str">
        <f t="shared" si="5"/>
        <v/>
      </c>
    </row>
    <row r="340" spans="5:5" x14ac:dyDescent="0.2">
      <c r="E340" s="12" t="str">
        <f t="shared" si="5"/>
        <v/>
      </c>
    </row>
    <row r="341" spans="5:5" x14ac:dyDescent="0.2">
      <c r="E341" s="12" t="str">
        <f t="shared" si="5"/>
        <v/>
      </c>
    </row>
    <row r="342" spans="5:5" x14ac:dyDescent="0.2">
      <c r="E342" s="12" t="str">
        <f t="shared" si="5"/>
        <v/>
      </c>
    </row>
    <row r="343" spans="5:5" x14ac:dyDescent="0.2">
      <c r="E343" s="12" t="str">
        <f t="shared" si="5"/>
        <v/>
      </c>
    </row>
    <row r="344" spans="5:5" x14ac:dyDescent="0.2">
      <c r="E344" s="12" t="str">
        <f t="shared" si="5"/>
        <v/>
      </c>
    </row>
    <row r="345" spans="5:5" x14ac:dyDescent="0.2">
      <c r="E345" s="12" t="str">
        <f t="shared" si="5"/>
        <v/>
      </c>
    </row>
    <row r="346" spans="5:5" x14ac:dyDescent="0.2">
      <c r="E346" s="12" t="str">
        <f t="shared" si="5"/>
        <v/>
      </c>
    </row>
    <row r="347" spans="5:5" x14ac:dyDescent="0.2">
      <c r="E347" s="12" t="str">
        <f t="shared" si="5"/>
        <v/>
      </c>
    </row>
    <row r="348" spans="5:5" x14ac:dyDescent="0.2">
      <c r="E348" s="12" t="str">
        <f t="shared" si="5"/>
        <v/>
      </c>
    </row>
    <row r="349" spans="5:5" x14ac:dyDescent="0.2">
      <c r="E349" s="12" t="str">
        <f t="shared" si="5"/>
        <v/>
      </c>
    </row>
    <row r="350" spans="5:5" x14ac:dyDescent="0.2">
      <c r="E350" s="12" t="str">
        <f t="shared" si="5"/>
        <v/>
      </c>
    </row>
    <row r="351" spans="5:5" x14ac:dyDescent="0.2">
      <c r="E351" s="12" t="str">
        <f t="shared" si="5"/>
        <v/>
      </c>
    </row>
    <row r="352" spans="5:5" x14ac:dyDescent="0.2">
      <c r="E352" s="12" t="str">
        <f t="shared" si="5"/>
        <v/>
      </c>
    </row>
    <row r="353" spans="5:5" x14ac:dyDescent="0.2">
      <c r="E353" s="12" t="str">
        <f t="shared" si="5"/>
        <v/>
      </c>
    </row>
    <row r="354" spans="5:5" x14ac:dyDescent="0.2">
      <c r="E354" s="12" t="str">
        <f t="shared" si="5"/>
        <v/>
      </c>
    </row>
    <row r="355" spans="5:5" x14ac:dyDescent="0.2">
      <c r="E355" s="12" t="str">
        <f t="shared" si="5"/>
        <v/>
      </c>
    </row>
    <row r="356" spans="5:5" x14ac:dyDescent="0.2">
      <c r="E356" s="12" t="str">
        <f t="shared" si="5"/>
        <v/>
      </c>
    </row>
    <row r="357" spans="5:5" x14ac:dyDescent="0.2">
      <c r="E357" s="12" t="str">
        <f t="shared" si="5"/>
        <v/>
      </c>
    </row>
    <row r="358" spans="5:5" x14ac:dyDescent="0.2">
      <c r="E358" s="12" t="str">
        <f t="shared" si="5"/>
        <v/>
      </c>
    </row>
    <row r="359" spans="5:5" x14ac:dyDescent="0.2">
      <c r="E359" s="12" t="str">
        <f t="shared" si="5"/>
        <v/>
      </c>
    </row>
    <row r="360" spans="5:5" x14ac:dyDescent="0.2">
      <c r="E360" s="12" t="str">
        <f t="shared" si="5"/>
        <v/>
      </c>
    </row>
    <row r="361" spans="5:5" x14ac:dyDescent="0.2">
      <c r="E361" s="12" t="str">
        <f t="shared" si="5"/>
        <v/>
      </c>
    </row>
    <row r="362" spans="5:5" x14ac:dyDescent="0.2">
      <c r="E362" s="12" t="str">
        <f t="shared" si="5"/>
        <v/>
      </c>
    </row>
    <row r="363" spans="5:5" x14ac:dyDescent="0.2">
      <c r="E363" s="12" t="str">
        <f t="shared" si="5"/>
        <v/>
      </c>
    </row>
    <row r="364" spans="5:5" x14ac:dyDescent="0.2">
      <c r="E364" s="12" t="str">
        <f t="shared" si="5"/>
        <v/>
      </c>
    </row>
    <row r="365" spans="5:5" x14ac:dyDescent="0.2">
      <c r="E365" s="12" t="str">
        <f t="shared" si="5"/>
        <v/>
      </c>
    </row>
    <row r="366" spans="5:5" x14ac:dyDescent="0.2">
      <c r="E366" s="12" t="str">
        <f t="shared" si="5"/>
        <v/>
      </c>
    </row>
    <row r="367" spans="5:5" x14ac:dyDescent="0.2">
      <c r="E367" s="12" t="str">
        <f t="shared" si="5"/>
        <v/>
      </c>
    </row>
    <row r="368" spans="5:5" x14ac:dyDescent="0.2">
      <c r="E368" s="12" t="str">
        <f t="shared" si="5"/>
        <v/>
      </c>
    </row>
    <row r="369" spans="5:5" x14ac:dyDescent="0.2">
      <c r="E369" s="12" t="str">
        <f t="shared" si="5"/>
        <v/>
      </c>
    </row>
    <row r="370" spans="5:5" x14ac:dyDescent="0.2">
      <c r="E370" s="12" t="str">
        <f t="shared" si="5"/>
        <v/>
      </c>
    </row>
    <row r="371" spans="5:5" x14ac:dyDescent="0.2">
      <c r="E371" s="12" t="str">
        <f t="shared" si="5"/>
        <v/>
      </c>
    </row>
    <row r="372" spans="5:5" x14ac:dyDescent="0.2">
      <c r="E372" s="12" t="str">
        <f t="shared" si="5"/>
        <v/>
      </c>
    </row>
    <row r="373" spans="5:5" x14ac:dyDescent="0.2">
      <c r="E373" s="12" t="str">
        <f t="shared" si="5"/>
        <v/>
      </c>
    </row>
    <row r="374" spans="5:5" x14ac:dyDescent="0.2">
      <c r="E374" s="12" t="str">
        <f t="shared" si="5"/>
        <v/>
      </c>
    </row>
    <row r="375" spans="5:5" x14ac:dyDescent="0.2">
      <c r="E375" s="12" t="str">
        <f t="shared" si="5"/>
        <v/>
      </c>
    </row>
    <row r="376" spans="5:5" x14ac:dyDescent="0.2">
      <c r="E376" s="12" t="str">
        <f t="shared" si="5"/>
        <v/>
      </c>
    </row>
    <row r="377" spans="5:5" x14ac:dyDescent="0.2">
      <c r="E377" s="12" t="str">
        <f t="shared" si="5"/>
        <v/>
      </c>
    </row>
    <row r="378" spans="5:5" x14ac:dyDescent="0.2">
      <c r="E378" s="12" t="str">
        <f t="shared" si="5"/>
        <v/>
      </c>
    </row>
    <row r="379" spans="5:5" x14ac:dyDescent="0.2">
      <c r="E379" s="12" t="str">
        <f t="shared" si="5"/>
        <v/>
      </c>
    </row>
    <row r="380" spans="5:5" x14ac:dyDescent="0.2">
      <c r="E380" s="12" t="str">
        <f t="shared" si="5"/>
        <v/>
      </c>
    </row>
    <row r="381" spans="5:5" x14ac:dyDescent="0.2">
      <c r="E381" s="12" t="str">
        <f t="shared" si="5"/>
        <v/>
      </c>
    </row>
    <row r="382" spans="5:5" x14ac:dyDescent="0.2">
      <c r="E382" s="12" t="str">
        <f t="shared" si="5"/>
        <v/>
      </c>
    </row>
    <row r="383" spans="5:5" x14ac:dyDescent="0.2">
      <c r="E383" s="12" t="str">
        <f t="shared" si="5"/>
        <v/>
      </c>
    </row>
    <row r="384" spans="5:5" x14ac:dyDescent="0.2">
      <c r="E384" s="12" t="str">
        <f t="shared" si="5"/>
        <v/>
      </c>
    </row>
    <row r="385" spans="5:5" x14ac:dyDescent="0.2">
      <c r="E385" s="12" t="str">
        <f t="shared" si="5"/>
        <v/>
      </c>
    </row>
    <row r="386" spans="5:5" x14ac:dyDescent="0.2">
      <c r="E386" s="12" t="str">
        <f t="shared" ref="E386:E449" si="6">IF(A386=0,"",VLOOKUP(B386,Unitweight,2,FALSE))</f>
        <v/>
      </c>
    </row>
    <row r="387" spans="5:5" x14ac:dyDescent="0.2">
      <c r="E387" s="12" t="str">
        <f t="shared" si="6"/>
        <v/>
      </c>
    </row>
    <row r="388" spans="5:5" x14ac:dyDescent="0.2">
      <c r="E388" s="12" t="str">
        <f t="shared" si="6"/>
        <v/>
      </c>
    </row>
    <row r="389" spans="5:5" x14ac:dyDescent="0.2">
      <c r="E389" s="12" t="str">
        <f t="shared" si="6"/>
        <v/>
      </c>
    </row>
    <row r="390" spans="5:5" x14ac:dyDescent="0.2">
      <c r="E390" s="12" t="str">
        <f t="shared" si="6"/>
        <v/>
      </c>
    </row>
    <row r="391" spans="5:5" x14ac:dyDescent="0.2">
      <c r="E391" s="12" t="str">
        <f t="shared" si="6"/>
        <v/>
      </c>
    </row>
    <row r="392" spans="5:5" x14ac:dyDescent="0.2">
      <c r="E392" s="12" t="str">
        <f t="shared" si="6"/>
        <v/>
      </c>
    </row>
    <row r="393" spans="5:5" x14ac:dyDescent="0.2">
      <c r="E393" s="12" t="str">
        <f t="shared" si="6"/>
        <v/>
      </c>
    </row>
    <row r="394" spans="5:5" x14ac:dyDescent="0.2">
      <c r="E394" s="12" t="str">
        <f t="shared" si="6"/>
        <v/>
      </c>
    </row>
    <row r="395" spans="5:5" x14ac:dyDescent="0.2">
      <c r="E395" s="12" t="str">
        <f t="shared" si="6"/>
        <v/>
      </c>
    </row>
    <row r="396" spans="5:5" x14ac:dyDescent="0.2">
      <c r="E396" s="12" t="str">
        <f t="shared" si="6"/>
        <v/>
      </c>
    </row>
    <row r="397" spans="5:5" x14ac:dyDescent="0.2">
      <c r="E397" s="12" t="str">
        <f t="shared" si="6"/>
        <v/>
      </c>
    </row>
    <row r="398" spans="5:5" x14ac:dyDescent="0.2">
      <c r="E398" s="12" t="str">
        <f t="shared" si="6"/>
        <v/>
      </c>
    </row>
    <row r="399" spans="5:5" x14ac:dyDescent="0.2">
      <c r="E399" s="12" t="str">
        <f t="shared" si="6"/>
        <v/>
      </c>
    </row>
    <row r="400" spans="5:5" x14ac:dyDescent="0.2">
      <c r="E400" s="12" t="str">
        <f t="shared" si="6"/>
        <v/>
      </c>
    </row>
    <row r="401" spans="5:5" x14ac:dyDescent="0.2">
      <c r="E401" s="12" t="str">
        <f t="shared" si="6"/>
        <v/>
      </c>
    </row>
    <row r="402" spans="5:5" x14ac:dyDescent="0.2">
      <c r="E402" s="12" t="str">
        <f t="shared" si="6"/>
        <v/>
      </c>
    </row>
    <row r="403" spans="5:5" x14ac:dyDescent="0.2">
      <c r="E403" s="12" t="str">
        <f t="shared" si="6"/>
        <v/>
      </c>
    </row>
    <row r="404" spans="5:5" x14ac:dyDescent="0.2">
      <c r="E404" s="12" t="str">
        <f t="shared" si="6"/>
        <v/>
      </c>
    </row>
    <row r="405" spans="5:5" x14ac:dyDescent="0.2">
      <c r="E405" s="12" t="str">
        <f t="shared" si="6"/>
        <v/>
      </c>
    </row>
    <row r="406" spans="5:5" x14ac:dyDescent="0.2">
      <c r="E406" s="12" t="str">
        <f t="shared" si="6"/>
        <v/>
      </c>
    </row>
    <row r="407" spans="5:5" x14ac:dyDescent="0.2">
      <c r="E407" s="12" t="str">
        <f t="shared" si="6"/>
        <v/>
      </c>
    </row>
    <row r="408" spans="5:5" x14ac:dyDescent="0.2">
      <c r="E408" s="12" t="str">
        <f t="shared" si="6"/>
        <v/>
      </c>
    </row>
    <row r="409" spans="5:5" x14ac:dyDescent="0.2">
      <c r="E409" s="12" t="str">
        <f t="shared" si="6"/>
        <v/>
      </c>
    </row>
    <row r="410" spans="5:5" x14ac:dyDescent="0.2">
      <c r="E410" s="12" t="str">
        <f t="shared" si="6"/>
        <v/>
      </c>
    </row>
    <row r="411" spans="5:5" x14ac:dyDescent="0.2">
      <c r="E411" s="12" t="str">
        <f t="shared" si="6"/>
        <v/>
      </c>
    </row>
    <row r="412" spans="5:5" x14ac:dyDescent="0.2">
      <c r="E412" s="12" t="str">
        <f t="shared" si="6"/>
        <v/>
      </c>
    </row>
    <row r="413" spans="5:5" x14ac:dyDescent="0.2">
      <c r="E413" s="12" t="str">
        <f t="shared" si="6"/>
        <v/>
      </c>
    </row>
    <row r="414" spans="5:5" x14ac:dyDescent="0.2">
      <c r="E414" s="12" t="str">
        <f t="shared" si="6"/>
        <v/>
      </c>
    </row>
    <row r="415" spans="5:5" x14ac:dyDescent="0.2">
      <c r="E415" s="12" t="str">
        <f t="shared" si="6"/>
        <v/>
      </c>
    </row>
    <row r="416" spans="5:5" x14ac:dyDescent="0.2">
      <c r="E416" s="12" t="str">
        <f t="shared" si="6"/>
        <v/>
      </c>
    </row>
    <row r="417" spans="5:5" x14ac:dyDescent="0.2">
      <c r="E417" s="12" t="str">
        <f t="shared" si="6"/>
        <v/>
      </c>
    </row>
    <row r="418" spans="5:5" x14ac:dyDescent="0.2">
      <c r="E418" s="12" t="str">
        <f t="shared" si="6"/>
        <v/>
      </c>
    </row>
    <row r="419" spans="5:5" x14ac:dyDescent="0.2">
      <c r="E419" s="12" t="str">
        <f t="shared" si="6"/>
        <v/>
      </c>
    </row>
    <row r="420" spans="5:5" x14ac:dyDescent="0.2">
      <c r="E420" s="12" t="str">
        <f t="shared" si="6"/>
        <v/>
      </c>
    </row>
    <row r="421" spans="5:5" x14ac:dyDescent="0.2">
      <c r="E421" s="12" t="str">
        <f t="shared" si="6"/>
        <v/>
      </c>
    </row>
    <row r="422" spans="5:5" x14ac:dyDescent="0.2">
      <c r="E422" s="12" t="str">
        <f t="shared" si="6"/>
        <v/>
      </c>
    </row>
    <row r="423" spans="5:5" x14ac:dyDescent="0.2">
      <c r="E423" s="12" t="str">
        <f t="shared" si="6"/>
        <v/>
      </c>
    </row>
    <row r="424" spans="5:5" x14ac:dyDescent="0.2">
      <c r="E424" s="12" t="str">
        <f t="shared" si="6"/>
        <v/>
      </c>
    </row>
    <row r="425" spans="5:5" x14ac:dyDescent="0.2">
      <c r="E425" s="12" t="str">
        <f t="shared" si="6"/>
        <v/>
      </c>
    </row>
    <row r="426" spans="5:5" x14ac:dyDescent="0.2">
      <c r="E426" s="12" t="str">
        <f t="shared" si="6"/>
        <v/>
      </c>
    </row>
    <row r="427" spans="5:5" x14ac:dyDescent="0.2">
      <c r="E427" s="12" t="str">
        <f t="shared" si="6"/>
        <v/>
      </c>
    </row>
    <row r="428" spans="5:5" x14ac:dyDescent="0.2">
      <c r="E428" s="12" t="str">
        <f t="shared" si="6"/>
        <v/>
      </c>
    </row>
    <row r="429" spans="5:5" x14ac:dyDescent="0.2">
      <c r="E429" s="12" t="str">
        <f t="shared" si="6"/>
        <v/>
      </c>
    </row>
    <row r="430" spans="5:5" x14ac:dyDescent="0.2">
      <c r="E430" s="12" t="str">
        <f t="shared" si="6"/>
        <v/>
      </c>
    </row>
    <row r="431" spans="5:5" x14ac:dyDescent="0.2">
      <c r="E431" s="12" t="str">
        <f t="shared" si="6"/>
        <v/>
      </c>
    </row>
    <row r="432" spans="5:5" x14ac:dyDescent="0.2">
      <c r="E432" s="12" t="str">
        <f t="shared" si="6"/>
        <v/>
      </c>
    </row>
    <row r="433" spans="5:5" x14ac:dyDescent="0.2">
      <c r="E433" s="12" t="str">
        <f t="shared" si="6"/>
        <v/>
      </c>
    </row>
    <row r="434" spans="5:5" x14ac:dyDescent="0.2">
      <c r="E434" s="12" t="str">
        <f t="shared" si="6"/>
        <v/>
      </c>
    </row>
    <row r="435" spans="5:5" x14ac:dyDescent="0.2">
      <c r="E435" s="12" t="str">
        <f t="shared" si="6"/>
        <v/>
      </c>
    </row>
    <row r="436" spans="5:5" x14ac:dyDescent="0.2">
      <c r="E436" s="12" t="str">
        <f t="shared" si="6"/>
        <v/>
      </c>
    </row>
    <row r="437" spans="5:5" x14ac:dyDescent="0.2">
      <c r="E437" s="12" t="str">
        <f t="shared" si="6"/>
        <v/>
      </c>
    </row>
    <row r="438" spans="5:5" x14ac:dyDescent="0.2">
      <c r="E438" s="12" t="str">
        <f t="shared" si="6"/>
        <v/>
      </c>
    </row>
    <row r="439" spans="5:5" x14ac:dyDescent="0.2">
      <c r="E439" s="12" t="str">
        <f t="shared" si="6"/>
        <v/>
      </c>
    </row>
    <row r="440" spans="5:5" x14ac:dyDescent="0.2">
      <c r="E440" s="12" t="str">
        <f t="shared" si="6"/>
        <v/>
      </c>
    </row>
    <row r="441" spans="5:5" x14ac:dyDescent="0.2">
      <c r="E441" s="12" t="str">
        <f t="shared" si="6"/>
        <v/>
      </c>
    </row>
    <row r="442" spans="5:5" x14ac:dyDescent="0.2">
      <c r="E442" s="12" t="str">
        <f t="shared" si="6"/>
        <v/>
      </c>
    </row>
    <row r="443" spans="5:5" x14ac:dyDescent="0.2">
      <c r="E443" s="12" t="str">
        <f t="shared" si="6"/>
        <v/>
      </c>
    </row>
    <row r="444" spans="5:5" x14ac:dyDescent="0.2">
      <c r="E444" s="12" t="str">
        <f t="shared" si="6"/>
        <v/>
      </c>
    </row>
    <row r="445" spans="5:5" x14ac:dyDescent="0.2">
      <c r="E445" s="12" t="str">
        <f t="shared" si="6"/>
        <v/>
      </c>
    </row>
    <row r="446" spans="5:5" x14ac:dyDescent="0.2">
      <c r="E446" s="12" t="str">
        <f t="shared" si="6"/>
        <v/>
      </c>
    </row>
    <row r="447" spans="5:5" x14ac:dyDescent="0.2">
      <c r="E447" s="12" t="str">
        <f t="shared" si="6"/>
        <v/>
      </c>
    </row>
    <row r="448" spans="5:5" x14ac:dyDescent="0.2">
      <c r="E448" s="12" t="str">
        <f t="shared" si="6"/>
        <v/>
      </c>
    </row>
    <row r="449" spans="5:5" x14ac:dyDescent="0.2">
      <c r="E449" s="12" t="str">
        <f t="shared" si="6"/>
        <v/>
      </c>
    </row>
    <row r="450" spans="5:5" x14ac:dyDescent="0.2">
      <c r="E450" s="12" t="str">
        <f t="shared" ref="E450:E513" si="7">IF(A450=0,"",VLOOKUP(B450,Unitweight,2,FALSE))</f>
        <v/>
      </c>
    </row>
    <row r="451" spans="5:5" x14ac:dyDescent="0.2">
      <c r="E451" s="12" t="str">
        <f t="shared" si="7"/>
        <v/>
      </c>
    </row>
    <row r="452" spans="5:5" x14ac:dyDescent="0.2">
      <c r="E452" s="12" t="str">
        <f t="shared" si="7"/>
        <v/>
      </c>
    </row>
    <row r="453" spans="5:5" x14ac:dyDescent="0.2">
      <c r="E453" s="12" t="str">
        <f t="shared" si="7"/>
        <v/>
      </c>
    </row>
    <row r="454" spans="5:5" x14ac:dyDescent="0.2">
      <c r="E454" s="12" t="str">
        <f t="shared" si="7"/>
        <v/>
      </c>
    </row>
    <row r="455" spans="5:5" x14ac:dyDescent="0.2">
      <c r="E455" s="12" t="str">
        <f t="shared" si="7"/>
        <v/>
      </c>
    </row>
    <row r="456" spans="5:5" x14ac:dyDescent="0.2">
      <c r="E456" s="12" t="str">
        <f t="shared" si="7"/>
        <v/>
      </c>
    </row>
    <row r="457" spans="5:5" x14ac:dyDescent="0.2">
      <c r="E457" s="12" t="str">
        <f t="shared" si="7"/>
        <v/>
      </c>
    </row>
    <row r="458" spans="5:5" x14ac:dyDescent="0.2">
      <c r="E458" s="12" t="str">
        <f t="shared" si="7"/>
        <v/>
      </c>
    </row>
    <row r="459" spans="5:5" x14ac:dyDescent="0.2">
      <c r="E459" s="12" t="str">
        <f t="shared" si="7"/>
        <v/>
      </c>
    </row>
    <row r="460" spans="5:5" x14ac:dyDescent="0.2">
      <c r="E460" s="12" t="str">
        <f t="shared" si="7"/>
        <v/>
      </c>
    </row>
    <row r="461" spans="5:5" x14ac:dyDescent="0.2">
      <c r="E461" s="12" t="str">
        <f t="shared" si="7"/>
        <v/>
      </c>
    </row>
    <row r="462" spans="5:5" x14ac:dyDescent="0.2">
      <c r="E462" s="12" t="str">
        <f t="shared" si="7"/>
        <v/>
      </c>
    </row>
    <row r="463" spans="5:5" x14ac:dyDescent="0.2">
      <c r="E463" s="12" t="str">
        <f t="shared" si="7"/>
        <v/>
      </c>
    </row>
    <row r="464" spans="5:5" x14ac:dyDescent="0.2">
      <c r="E464" s="12" t="str">
        <f t="shared" si="7"/>
        <v/>
      </c>
    </row>
    <row r="465" spans="5:5" x14ac:dyDescent="0.2">
      <c r="E465" s="12" t="str">
        <f t="shared" si="7"/>
        <v/>
      </c>
    </row>
    <row r="466" spans="5:5" x14ac:dyDescent="0.2">
      <c r="E466" s="12" t="str">
        <f t="shared" si="7"/>
        <v/>
      </c>
    </row>
    <row r="467" spans="5:5" x14ac:dyDescent="0.2">
      <c r="E467" s="12" t="str">
        <f t="shared" si="7"/>
        <v/>
      </c>
    </row>
    <row r="468" spans="5:5" x14ac:dyDescent="0.2">
      <c r="E468" s="12" t="str">
        <f t="shared" si="7"/>
        <v/>
      </c>
    </row>
    <row r="469" spans="5:5" x14ac:dyDescent="0.2">
      <c r="E469" s="12" t="str">
        <f t="shared" si="7"/>
        <v/>
      </c>
    </row>
    <row r="470" spans="5:5" x14ac:dyDescent="0.2">
      <c r="E470" s="12" t="str">
        <f t="shared" si="7"/>
        <v/>
      </c>
    </row>
    <row r="471" spans="5:5" x14ac:dyDescent="0.2">
      <c r="E471" s="12" t="str">
        <f t="shared" si="7"/>
        <v/>
      </c>
    </row>
    <row r="472" spans="5:5" x14ac:dyDescent="0.2">
      <c r="E472" s="12" t="str">
        <f t="shared" si="7"/>
        <v/>
      </c>
    </row>
    <row r="473" spans="5:5" x14ac:dyDescent="0.2">
      <c r="E473" s="12" t="str">
        <f t="shared" si="7"/>
        <v/>
      </c>
    </row>
    <row r="474" spans="5:5" x14ac:dyDescent="0.2">
      <c r="E474" s="12" t="str">
        <f t="shared" si="7"/>
        <v/>
      </c>
    </row>
    <row r="475" spans="5:5" x14ac:dyDescent="0.2">
      <c r="E475" s="12" t="str">
        <f t="shared" si="7"/>
        <v/>
      </c>
    </row>
    <row r="476" spans="5:5" x14ac:dyDescent="0.2">
      <c r="E476" s="12" t="str">
        <f t="shared" si="7"/>
        <v/>
      </c>
    </row>
    <row r="477" spans="5:5" x14ac:dyDescent="0.2">
      <c r="E477" s="12" t="str">
        <f t="shared" si="7"/>
        <v/>
      </c>
    </row>
    <row r="478" spans="5:5" x14ac:dyDescent="0.2">
      <c r="E478" s="12" t="str">
        <f t="shared" si="7"/>
        <v/>
      </c>
    </row>
    <row r="479" spans="5:5" x14ac:dyDescent="0.2">
      <c r="E479" s="12" t="str">
        <f t="shared" si="7"/>
        <v/>
      </c>
    </row>
    <row r="480" spans="5:5" x14ac:dyDescent="0.2">
      <c r="E480" s="12" t="str">
        <f t="shared" si="7"/>
        <v/>
      </c>
    </row>
    <row r="481" spans="5:5" x14ac:dyDescent="0.2">
      <c r="E481" s="12" t="str">
        <f t="shared" si="7"/>
        <v/>
      </c>
    </row>
    <row r="482" spans="5:5" x14ac:dyDescent="0.2">
      <c r="E482" s="12" t="str">
        <f t="shared" si="7"/>
        <v/>
      </c>
    </row>
    <row r="483" spans="5:5" x14ac:dyDescent="0.2">
      <c r="E483" s="12" t="str">
        <f t="shared" si="7"/>
        <v/>
      </c>
    </row>
    <row r="484" spans="5:5" x14ac:dyDescent="0.2">
      <c r="E484" s="12" t="str">
        <f t="shared" si="7"/>
        <v/>
      </c>
    </row>
    <row r="485" spans="5:5" x14ac:dyDescent="0.2">
      <c r="E485" s="12" t="str">
        <f t="shared" si="7"/>
        <v/>
      </c>
    </row>
    <row r="486" spans="5:5" x14ac:dyDescent="0.2">
      <c r="E486" s="12" t="str">
        <f t="shared" si="7"/>
        <v/>
      </c>
    </row>
    <row r="487" spans="5:5" x14ac:dyDescent="0.2">
      <c r="E487" s="12" t="str">
        <f t="shared" si="7"/>
        <v/>
      </c>
    </row>
    <row r="488" spans="5:5" x14ac:dyDescent="0.2">
      <c r="E488" s="12" t="str">
        <f t="shared" si="7"/>
        <v/>
      </c>
    </row>
    <row r="489" spans="5:5" x14ac:dyDescent="0.2">
      <c r="E489" s="12" t="str">
        <f t="shared" si="7"/>
        <v/>
      </c>
    </row>
    <row r="490" spans="5:5" x14ac:dyDescent="0.2">
      <c r="E490" s="12" t="str">
        <f t="shared" si="7"/>
        <v/>
      </c>
    </row>
    <row r="491" spans="5:5" x14ac:dyDescent="0.2">
      <c r="E491" s="12" t="str">
        <f t="shared" si="7"/>
        <v/>
      </c>
    </row>
    <row r="492" spans="5:5" x14ac:dyDescent="0.2">
      <c r="E492" s="12" t="str">
        <f t="shared" si="7"/>
        <v/>
      </c>
    </row>
    <row r="493" spans="5:5" x14ac:dyDescent="0.2">
      <c r="E493" s="12" t="str">
        <f t="shared" si="7"/>
        <v/>
      </c>
    </row>
    <row r="494" spans="5:5" x14ac:dyDescent="0.2">
      <c r="E494" s="12" t="str">
        <f t="shared" si="7"/>
        <v/>
      </c>
    </row>
    <row r="495" spans="5:5" x14ac:dyDescent="0.2">
      <c r="E495" s="12" t="str">
        <f t="shared" si="7"/>
        <v/>
      </c>
    </row>
    <row r="496" spans="5:5" x14ac:dyDescent="0.2">
      <c r="E496" s="12" t="str">
        <f t="shared" si="7"/>
        <v/>
      </c>
    </row>
    <row r="497" spans="5:5" x14ac:dyDescent="0.2">
      <c r="E497" s="12" t="str">
        <f t="shared" si="7"/>
        <v/>
      </c>
    </row>
    <row r="498" spans="5:5" x14ac:dyDescent="0.2">
      <c r="E498" s="12" t="str">
        <f t="shared" si="7"/>
        <v/>
      </c>
    </row>
    <row r="499" spans="5:5" x14ac:dyDescent="0.2">
      <c r="E499" s="12" t="str">
        <f t="shared" si="7"/>
        <v/>
      </c>
    </row>
    <row r="500" spans="5:5" x14ac:dyDescent="0.2">
      <c r="E500" s="12" t="str">
        <f t="shared" si="7"/>
        <v/>
      </c>
    </row>
    <row r="501" spans="5:5" x14ac:dyDescent="0.2">
      <c r="E501" s="12" t="str">
        <f t="shared" si="7"/>
        <v/>
      </c>
    </row>
    <row r="502" spans="5:5" x14ac:dyDescent="0.2">
      <c r="E502" s="12" t="str">
        <f t="shared" si="7"/>
        <v/>
      </c>
    </row>
    <row r="503" spans="5:5" x14ac:dyDescent="0.2">
      <c r="E503" s="12" t="str">
        <f t="shared" si="7"/>
        <v/>
      </c>
    </row>
    <row r="504" spans="5:5" x14ac:dyDescent="0.2">
      <c r="E504" s="12" t="str">
        <f t="shared" si="7"/>
        <v/>
      </c>
    </row>
    <row r="505" spans="5:5" x14ac:dyDescent="0.2">
      <c r="E505" s="12" t="str">
        <f t="shared" si="7"/>
        <v/>
      </c>
    </row>
    <row r="506" spans="5:5" x14ac:dyDescent="0.2">
      <c r="E506" s="12" t="str">
        <f t="shared" si="7"/>
        <v/>
      </c>
    </row>
    <row r="507" spans="5:5" x14ac:dyDescent="0.2">
      <c r="E507" s="12" t="str">
        <f t="shared" si="7"/>
        <v/>
      </c>
    </row>
    <row r="508" spans="5:5" x14ac:dyDescent="0.2">
      <c r="E508" s="12" t="str">
        <f t="shared" si="7"/>
        <v/>
      </c>
    </row>
    <row r="509" spans="5:5" x14ac:dyDescent="0.2">
      <c r="E509" s="12" t="str">
        <f t="shared" si="7"/>
        <v/>
      </c>
    </row>
    <row r="510" spans="5:5" x14ac:dyDescent="0.2">
      <c r="E510" s="12" t="str">
        <f t="shared" si="7"/>
        <v/>
      </c>
    </row>
    <row r="511" spans="5:5" x14ac:dyDescent="0.2">
      <c r="E511" s="12" t="str">
        <f t="shared" si="7"/>
        <v/>
      </c>
    </row>
    <row r="512" spans="5:5" x14ac:dyDescent="0.2">
      <c r="E512" s="12" t="str">
        <f t="shared" si="7"/>
        <v/>
      </c>
    </row>
    <row r="513" spans="5:5" x14ac:dyDescent="0.2">
      <c r="E513" s="12" t="str">
        <f t="shared" si="7"/>
        <v/>
      </c>
    </row>
    <row r="514" spans="5:5" x14ac:dyDescent="0.2">
      <c r="E514" s="12" t="str">
        <f t="shared" ref="E514:E577" si="8">IF(A514=0,"",VLOOKUP(B514,Unitweight,2,FALSE))</f>
        <v/>
      </c>
    </row>
    <row r="515" spans="5:5" x14ac:dyDescent="0.2">
      <c r="E515" s="12" t="str">
        <f t="shared" si="8"/>
        <v/>
      </c>
    </row>
    <row r="516" spans="5:5" x14ac:dyDescent="0.2">
      <c r="E516" s="12" t="str">
        <f t="shared" si="8"/>
        <v/>
      </c>
    </row>
    <row r="517" spans="5:5" x14ac:dyDescent="0.2">
      <c r="E517" s="12" t="str">
        <f t="shared" si="8"/>
        <v/>
      </c>
    </row>
    <row r="518" spans="5:5" x14ac:dyDescent="0.2">
      <c r="E518" s="12" t="str">
        <f t="shared" si="8"/>
        <v/>
      </c>
    </row>
    <row r="519" spans="5:5" x14ac:dyDescent="0.2">
      <c r="E519" s="12" t="str">
        <f t="shared" si="8"/>
        <v/>
      </c>
    </row>
    <row r="520" spans="5:5" x14ac:dyDescent="0.2">
      <c r="E520" s="12" t="str">
        <f t="shared" si="8"/>
        <v/>
      </c>
    </row>
    <row r="521" spans="5:5" x14ac:dyDescent="0.2">
      <c r="E521" s="12" t="str">
        <f t="shared" si="8"/>
        <v/>
      </c>
    </row>
    <row r="522" spans="5:5" x14ac:dyDescent="0.2">
      <c r="E522" s="12" t="str">
        <f t="shared" si="8"/>
        <v/>
      </c>
    </row>
    <row r="523" spans="5:5" x14ac:dyDescent="0.2">
      <c r="E523" s="12" t="str">
        <f t="shared" si="8"/>
        <v/>
      </c>
    </row>
    <row r="524" spans="5:5" x14ac:dyDescent="0.2">
      <c r="E524" s="12" t="str">
        <f t="shared" si="8"/>
        <v/>
      </c>
    </row>
    <row r="525" spans="5:5" x14ac:dyDescent="0.2">
      <c r="E525" s="12" t="str">
        <f t="shared" si="8"/>
        <v/>
      </c>
    </row>
    <row r="526" spans="5:5" x14ac:dyDescent="0.2">
      <c r="E526" s="12" t="str">
        <f t="shared" si="8"/>
        <v/>
      </c>
    </row>
    <row r="527" spans="5:5" x14ac:dyDescent="0.2">
      <c r="E527" s="12" t="str">
        <f t="shared" si="8"/>
        <v/>
      </c>
    </row>
    <row r="528" spans="5:5" x14ac:dyDescent="0.2">
      <c r="E528" s="12" t="str">
        <f t="shared" si="8"/>
        <v/>
      </c>
    </row>
    <row r="529" spans="5:5" x14ac:dyDescent="0.2">
      <c r="E529" s="12" t="str">
        <f t="shared" si="8"/>
        <v/>
      </c>
    </row>
    <row r="530" spans="5:5" x14ac:dyDescent="0.2">
      <c r="E530" s="12" t="str">
        <f t="shared" si="8"/>
        <v/>
      </c>
    </row>
    <row r="531" spans="5:5" x14ac:dyDescent="0.2">
      <c r="E531" s="12" t="str">
        <f t="shared" si="8"/>
        <v/>
      </c>
    </row>
    <row r="532" spans="5:5" x14ac:dyDescent="0.2">
      <c r="E532" s="12" t="str">
        <f t="shared" si="8"/>
        <v/>
      </c>
    </row>
    <row r="533" spans="5:5" x14ac:dyDescent="0.2">
      <c r="E533" s="12" t="str">
        <f t="shared" si="8"/>
        <v/>
      </c>
    </row>
    <row r="534" spans="5:5" x14ac:dyDescent="0.2">
      <c r="E534" s="12" t="str">
        <f t="shared" si="8"/>
        <v/>
      </c>
    </row>
    <row r="535" spans="5:5" x14ac:dyDescent="0.2">
      <c r="E535" s="12" t="str">
        <f t="shared" si="8"/>
        <v/>
      </c>
    </row>
    <row r="536" spans="5:5" x14ac:dyDescent="0.2">
      <c r="E536" s="12" t="str">
        <f t="shared" si="8"/>
        <v/>
      </c>
    </row>
    <row r="537" spans="5:5" x14ac:dyDescent="0.2">
      <c r="E537" s="12" t="str">
        <f t="shared" si="8"/>
        <v/>
      </c>
    </row>
    <row r="538" spans="5:5" x14ac:dyDescent="0.2">
      <c r="E538" s="12" t="str">
        <f t="shared" si="8"/>
        <v/>
      </c>
    </row>
    <row r="539" spans="5:5" x14ac:dyDescent="0.2">
      <c r="E539" s="12" t="str">
        <f t="shared" si="8"/>
        <v/>
      </c>
    </row>
    <row r="540" spans="5:5" x14ac:dyDescent="0.2">
      <c r="E540" s="12" t="str">
        <f t="shared" si="8"/>
        <v/>
      </c>
    </row>
    <row r="541" spans="5:5" x14ac:dyDescent="0.2">
      <c r="E541" s="12" t="str">
        <f t="shared" si="8"/>
        <v/>
      </c>
    </row>
    <row r="542" spans="5:5" x14ac:dyDescent="0.2">
      <c r="E542" s="12" t="str">
        <f t="shared" si="8"/>
        <v/>
      </c>
    </row>
    <row r="543" spans="5:5" x14ac:dyDescent="0.2">
      <c r="E543" s="12" t="str">
        <f t="shared" si="8"/>
        <v/>
      </c>
    </row>
    <row r="544" spans="5:5" x14ac:dyDescent="0.2">
      <c r="E544" s="12" t="str">
        <f t="shared" si="8"/>
        <v/>
      </c>
    </row>
    <row r="545" spans="5:5" x14ac:dyDescent="0.2">
      <c r="E545" s="12" t="str">
        <f t="shared" si="8"/>
        <v/>
      </c>
    </row>
    <row r="546" spans="5:5" x14ac:dyDescent="0.2">
      <c r="E546" s="12" t="str">
        <f t="shared" si="8"/>
        <v/>
      </c>
    </row>
    <row r="547" spans="5:5" x14ac:dyDescent="0.2">
      <c r="E547" s="12" t="str">
        <f t="shared" si="8"/>
        <v/>
      </c>
    </row>
    <row r="548" spans="5:5" x14ac:dyDescent="0.2">
      <c r="E548" s="12" t="str">
        <f t="shared" si="8"/>
        <v/>
      </c>
    </row>
    <row r="549" spans="5:5" x14ac:dyDescent="0.2">
      <c r="E549" s="12" t="str">
        <f t="shared" si="8"/>
        <v/>
      </c>
    </row>
    <row r="550" spans="5:5" x14ac:dyDescent="0.2">
      <c r="E550" s="12" t="str">
        <f t="shared" si="8"/>
        <v/>
      </c>
    </row>
    <row r="551" spans="5:5" x14ac:dyDescent="0.2">
      <c r="E551" s="12" t="str">
        <f t="shared" si="8"/>
        <v/>
      </c>
    </row>
    <row r="552" spans="5:5" x14ac:dyDescent="0.2">
      <c r="E552" s="12" t="str">
        <f t="shared" si="8"/>
        <v/>
      </c>
    </row>
    <row r="553" spans="5:5" x14ac:dyDescent="0.2">
      <c r="E553" s="12" t="str">
        <f t="shared" si="8"/>
        <v/>
      </c>
    </row>
    <row r="554" spans="5:5" x14ac:dyDescent="0.2">
      <c r="E554" s="12" t="str">
        <f t="shared" si="8"/>
        <v/>
      </c>
    </row>
    <row r="555" spans="5:5" x14ac:dyDescent="0.2">
      <c r="E555" s="12" t="str">
        <f t="shared" si="8"/>
        <v/>
      </c>
    </row>
    <row r="556" spans="5:5" x14ac:dyDescent="0.2">
      <c r="E556" s="12" t="str">
        <f t="shared" si="8"/>
        <v/>
      </c>
    </row>
    <row r="557" spans="5:5" x14ac:dyDescent="0.2">
      <c r="E557" s="12" t="str">
        <f t="shared" si="8"/>
        <v/>
      </c>
    </row>
    <row r="558" spans="5:5" x14ac:dyDescent="0.2">
      <c r="E558" s="12" t="str">
        <f t="shared" si="8"/>
        <v/>
      </c>
    </row>
    <row r="559" spans="5:5" x14ac:dyDescent="0.2">
      <c r="E559" s="12" t="str">
        <f t="shared" si="8"/>
        <v/>
      </c>
    </row>
    <row r="560" spans="5:5" x14ac:dyDescent="0.2">
      <c r="E560" s="12" t="str">
        <f t="shared" si="8"/>
        <v/>
      </c>
    </row>
    <row r="561" spans="5:5" x14ac:dyDescent="0.2">
      <c r="E561" s="12" t="str">
        <f t="shared" si="8"/>
        <v/>
      </c>
    </row>
    <row r="562" spans="5:5" x14ac:dyDescent="0.2">
      <c r="E562" s="12" t="str">
        <f t="shared" si="8"/>
        <v/>
      </c>
    </row>
    <row r="563" spans="5:5" x14ac:dyDescent="0.2">
      <c r="E563" s="12" t="str">
        <f t="shared" si="8"/>
        <v/>
      </c>
    </row>
    <row r="564" spans="5:5" x14ac:dyDescent="0.2">
      <c r="E564" s="12" t="str">
        <f t="shared" si="8"/>
        <v/>
      </c>
    </row>
    <row r="565" spans="5:5" x14ac:dyDescent="0.2">
      <c r="E565" s="12" t="str">
        <f t="shared" si="8"/>
        <v/>
      </c>
    </row>
    <row r="566" spans="5:5" x14ac:dyDescent="0.2">
      <c r="E566" s="12" t="str">
        <f t="shared" si="8"/>
        <v/>
      </c>
    </row>
    <row r="567" spans="5:5" x14ac:dyDescent="0.2">
      <c r="E567" s="12" t="str">
        <f t="shared" si="8"/>
        <v/>
      </c>
    </row>
    <row r="568" spans="5:5" x14ac:dyDescent="0.2">
      <c r="E568" s="12" t="str">
        <f t="shared" si="8"/>
        <v/>
      </c>
    </row>
    <row r="569" spans="5:5" x14ac:dyDescent="0.2">
      <c r="E569" s="12" t="str">
        <f t="shared" si="8"/>
        <v/>
      </c>
    </row>
    <row r="570" spans="5:5" x14ac:dyDescent="0.2">
      <c r="E570" s="12" t="str">
        <f t="shared" si="8"/>
        <v/>
      </c>
    </row>
    <row r="571" spans="5:5" x14ac:dyDescent="0.2">
      <c r="E571" s="12" t="str">
        <f t="shared" si="8"/>
        <v/>
      </c>
    </row>
    <row r="572" spans="5:5" x14ac:dyDescent="0.2">
      <c r="E572" s="12" t="str">
        <f t="shared" si="8"/>
        <v/>
      </c>
    </row>
    <row r="573" spans="5:5" x14ac:dyDescent="0.2">
      <c r="E573" s="12" t="str">
        <f t="shared" si="8"/>
        <v/>
      </c>
    </row>
    <row r="574" spans="5:5" x14ac:dyDescent="0.2">
      <c r="E574" s="12" t="str">
        <f t="shared" si="8"/>
        <v/>
      </c>
    </row>
    <row r="575" spans="5:5" x14ac:dyDescent="0.2">
      <c r="E575" s="12" t="str">
        <f t="shared" si="8"/>
        <v/>
      </c>
    </row>
    <row r="576" spans="5:5" x14ac:dyDescent="0.2">
      <c r="E576" s="12" t="str">
        <f t="shared" si="8"/>
        <v/>
      </c>
    </row>
    <row r="577" spans="5:5" x14ac:dyDescent="0.2">
      <c r="E577" s="12" t="str">
        <f t="shared" si="8"/>
        <v/>
      </c>
    </row>
    <row r="578" spans="5:5" x14ac:dyDescent="0.2">
      <c r="E578" s="12" t="str">
        <f t="shared" ref="E578:E641" si="9">IF(A578=0,"",VLOOKUP(B578,Unitweight,2,FALSE))</f>
        <v/>
      </c>
    </row>
    <row r="579" spans="5:5" x14ac:dyDescent="0.2">
      <c r="E579" s="12" t="str">
        <f t="shared" si="9"/>
        <v/>
      </c>
    </row>
    <row r="580" spans="5:5" x14ac:dyDescent="0.2">
      <c r="E580" s="12" t="str">
        <f t="shared" si="9"/>
        <v/>
      </c>
    </row>
    <row r="581" spans="5:5" x14ac:dyDescent="0.2">
      <c r="E581" s="12" t="str">
        <f t="shared" si="9"/>
        <v/>
      </c>
    </row>
    <row r="582" spans="5:5" x14ac:dyDescent="0.2">
      <c r="E582" s="12" t="str">
        <f t="shared" si="9"/>
        <v/>
      </c>
    </row>
    <row r="583" spans="5:5" x14ac:dyDescent="0.2">
      <c r="E583" s="12" t="str">
        <f t="shared" si="9"/>
        <v/>
      </c>
    </row>
    <row r="584" spans="5:5" x14ac:dyDescent="0.2">
      <c r="E584" s="12" t="str">
        <f t="shared" si="9"/>
        <v/>
      </c>
    </row>
    <row r="585" spans="5:5" x14ac:dyDescent="0.2">
      <c r="E585" s="12" t="str">
        <f t="shared" si="9"/>
        <v/>
      </c>
    </row>
    <row r="586" spans="5:5" x14ac:dyDescent="0.2">
      <c r="E586" s="12" t="str">
        <f t="shared" si="9"/>
        <v/>
      </c>
    </row>
    <row r="587" spans="5:5" x14ac:dyDescent="0.2">
      <c r="E587" s="12" t="str">
        <f t="shared" si="9"/>
        <v/>
      </c>
    </row>
    <row r="588" spans="5:5" x14ac:dyDescent="0.2">
      <c r="E588" s="12" t="str">
        <f t="shared" si="9"/>
        <v/>
      </c>
    </row>
    <row r="589" spans="5:5" x14ac:dyDescent="0.2">
      <c r="E589" s="12" t="str">
        <f t="shared" si="9"/>
        <v/>
      </c>
    </row>
    <row r="590" spans="5:5" x14ac:dyDescent="0.2">
      <c r="E590" s="12" t="str">
        <f t="shared" si="9"/>
        <v/>
      </c>
    </row>
    <row r="591" spans="5:5" x14ac:dyDescent="0.2">
      <c r="E591" s="12" t="str">
        <f t="shared" si="9"/>
        <v/>
      </c>
    </row>
    <row r="592" spans="5:5" x14ac:dyDescent="0.2">
      <c r="E592" s="12" t="str">
        <f t="shared" si="9"/>
        <v/>
      </c>
    </row>
    <row r="593" spans="5:5" x14ac:dyDescent="0.2">
      <c r="E593" s="12" t="str">
        <f t="shared" si="9"/>
        <v/>
      </c>
    </row>
    <row r="594" spans="5:5" x14ac:dyDescent="0.2">
      <c r="E594" s="12" t="str">
        <f t="shared" si="9"/>
        <v/>
      </c>
    </row>
    <row r="595" spans="5:5" x14ac:dyDescent="0.2">
      <c r="E595" s="12" t="str">
        <f t="shared" si="9"/>
        <v/>
      </c>
    </row>
    <row r="596" spans="5:5" x14ac:dyDescent="0.2">
      <c r="E596" s="12" t="str">
        <f t="shared" si="9"/>
        <v/>
      </c>
    </row>
    <row r="597" spans="5:5" x14ac:dyDescent="0.2">
      <c r="E597" s="12" t="str">
        <f t="shared" si="9"/>
        <v/>
      </c>
    </row>
    <row r="598" spans="5:5" x14ac:dyDescent="0.2">
      <c r="E598" s="12" t="str">
        <f t="shared" si="9"/>
        <v/>
      </c>
    </row>
    <row r="599" spans="5:5" x14ac:dyDescent="0.2">
      <c r="E599" s="12" t="str">
        <f t="shared" si="9"/>
        <v/>
      </c>
    </row>
    <row r="600" spans="5:5" x14ac:dyDescent="0.2">
      <c r="E600" s="12" t="str">
        <f t="shared" si="9"/>
        <v/>
      </c>
    </row>
    <row r="601" spans="5:5" x14ac:dyDescent="0.2">
      <c r="E601" s="12" t="str">
        <f t="shared" si="9"/>
        <v/>
      </c>
    </row>
    <row r="602" spans="5:5" x14ac:dyDescent="0.2">
      <c r="E602" s="12" t="str">
        <f t="shared" si="9"/>
        <v/>
      </c>
    </row>
    <row r="603" spans="5:5" x14ac:dyDescent="0.2">
      <c r="E603" s="12" t="str">
        <f t="shared" si="9"/>
        <v/>
      </c>
    </row>
    <row r="604" spans="5:5" x14ac:dyDescent="0.2">
      <c r="E604" s="12" t="str">
        <f t="shared" si="9"/>
        <v/>
      </c>
    </row>
    <row r="605" spans="5:5" x14ac:dyDescent="0.2">
      <c r="E605" s="12" t="str">
        <f t="shared" si="9"/>
        <v/>
      </c>
    </row>
    <row r="606" spans="5:5" x14ac:dyDescent="0.2">
      <c r="E606" s="12" t="str">
        <f t="shared" si="9"/>
        <v/>
      </c>
    </row>
    <row r="607" spans="5:5" x14ac:dyDescent="0.2">
      <c r="E607" s="12" t="str">
        <f t="shared" si="9"/>
        <v/>
      </c>
    </row>
    <row r="608" spans="5:5" x14ac:dyDescent="0.2">
      <c r="E608" s="12" t="str">
        <f t="shared" si="9"/>
        <v/>
      </c>
    </row>
    <row r="609" spans="5:5" x14ac:dyDescent="0.2">
      <c r="E609" s="12" t="str">
        <f t="shared" si="9"/>
        <v/>
      </c>
    </row>
    <row r="610" spans="5:5" x14ac:dyDescent="0.2">
      <c r="E610" s="12" t="str">
        <f t="shared" si="9"/>
        <v/>
      </c>
    </row>
    <row r="611" spans="5:5" x14ac:dyDescent="0.2">
      <c r="E611" s="12" t="str">
        <f t="shared" si="9"/>
        <v/>
      </c>
    </row>
    <row r="612" spans="5:5" x14ac:dyDescent="0.2">
      <c r="E612" s="12" t="str">
        <f t="shared" si="9"/>
        <v/>
      </c>
    </row>
    <row r="613" spans="5:5" x14ac:dyDescent="0.2">
      <c r="E613" s="12" t="str">
        <f t="shared" si="9"/>
        <v/>
      </c>
    </row>
    <row r="614" spans="5:5" x14ac:dyDescent="0.2">
      <c r="E614" s="12" t="str">
        <f t="shared" si="9"/>
        <v/>
      </c>
    </row>
    <row r="615" spans="5:5" x14ac:dyDescent="0.2">
      <c r="E615" s="12" t="str">
        <f t="shared" si="9"/>
        <v/>
      </c>
    </row>
    <row r="616" spans="5:5" x14ac:dyDescent="0.2">
      <c r="E616" s="12" t="str">
        <f t="shared" si="9"/>
        <v/>
      </c>
    </row>
    <row r="617" spans="5:5" x14ac:dyDescent="0.2">
      <c r="E617" s="12" t="str">
        <f t="shared" si="9"/>
        <v/>
      </c>
    </row>
    <row r="618" spans="5:5" x14ac:dyDescent="0.2">
      <c r="E618" s="12" t="str">
        <f t="shared" si="9"/>
        <v/>
      </c>
    </row>
    <row r="619" spans="5:5" x14ac:dyDescent="0.2">
      <c r="E619" s="12" t="str">
        <f t="shared" si="9"/>
        <v/>
      </c>
    </row>
    <row r="620" spans="5:5" x14ac:dyDescent="0.2">
      <c r="E620" s="12" t="str">
        <f t="shared" si="9"/>
        <v/>
      </c>
    </row>
    <row r="621" spans="5:5" x14ac:dyDescent="0.2">
      <c r="E621" s="12" t="str">
        <f t="shared" si="9"/>
        <v/>
      </c>
    </row>
    <row r="622" spans="5:5" x14ac:dyDescent="0.2">
      <c r="E622" s="12" t="str">
        <f t="shared" si="9"/>
        <v/>
      </c>
    </row>
    <row r="623" spans="5:5" x14ac:dyDescent="0.2">
      <c r="E623" s="12" t="str">
        <f t="shared" si="9"/>
        <v/>
      </c>
    </row>
    <row r="624" spans="5:5" x14ac:dyDescent="0.2">
      <c r="E624" s="12" t="str">
        <f t="shared" si="9"/>
        <v/>
      </c>
    </row>
    <row r="625" spans="5:5" x14ac:dyDescent="0.2">
      <c r="E625" s="12" t="str">
        <f t="shared" si="9"/>
        <v/>
      </c>
    </row>
    <row r="626" spans="5:5" x14ac:dyDescent="0.2">
      <c r="E626" s="12" t="str">
        <f t="shared" si="9"/>
        <v/>
      </c>
    </row>
    <row r="627" spans="5:5" x14ac:dyDescent="0.2">
      <c r="E627" s="12" t="str">
        <f t="shared" si="9"/>
        <v/>
      </c>
    </row>
    <row r="628" spans="5:5" x14ac:dyDescent="0.2">
      <c r="E628" s="12" t="str">
        <f t="shared" si="9"/>
        <v/>
      </c>
    </row>
    <row r="629" spans="5:5" x14ac:dyDescent="0.2">
      <c r="E629" s="12" t="str">
        <f t="shared" si="9"/>
        <v/>
      </c>
    </row>
    <row r="630" spans="5:5" x14ac:dyDescent="0.2">
      <c r="E630" s="12" t="str">
        <f t="shared" si="9"/>
        <v/>
      </c>
    </row>
    <row r="631" spans="5:5" x14ac:dyDescent="0.2">
      <c r="E631" s="12" t="str">
        <f t="shared" si="9"/>
        <v/>
      </c>
    </row>
    <row r="632" spans="5:5" x14ac:dyDescent="0.2">
      <c r="E632" s="12" t="str">
        <f t="shared" si="9"/>
        <v/>
      </c>
    </row>
    <row r="633" spans="5:5" x14ac:dyDescent="0.2">
      <c r="E633" s="12" t="str">
        <f t="shared" si="9"/>
        <v/>
      </c>
    </row>
    <row r="634" spans="5:5" x14ac:dyDescent="0.2">
      <c r="E634" s="12" t="str">
        <f t="shared" si="9"/>
        <v/>
      </c>
    </row>
    <row r="635" spans="5:5" x14ac:dyDescent="0.2">
      <c r="E635" s="12" t="str">
        <f t="shared" si="9"/>
        <v/>
      </c>
    </row>
    <row r="636" spans="5:5" x14ac:dyDescent="0.2">
      <c r="E636" s="12" t="str">
        <f t="shared" si="9"/>
        <v/>
      </c>
    </row>
    <row r="637" spans="5:5" x14ac:dyDescent="0.2">
      <c r="E637" s="12" t="str">
        <f t="shared" si="9"/>
        <v/>
      </c>
    </row>
    <row r="638" spans="5:5" x14ac:dyDescent="0.2">
      <c r="E638" s="12" t="str">
        <f t="shared" si="9"/>
        <v/>
      </c>
    </row>
    <row r="639" spans="5:5" x14ac:dyDescent="0.2">
      <c r="E639" s="12" t="str">
        <f t="shared" si="9"/>
        <v/>
      </c>
    </row>
    <row r="640" spans="5:5" x14ac:dyDescent="0.2">
      <c r="E640" s="12" t="str">
        <f t="shared" si="9"/>
        <v/>
      </c>
    </row>
    <row r="641" spans="5:5" x14ac:dyDescent="0.2">
      <c r="E641" s="12" t="str">
        <f t="shared" si="9"/>
        <v/>
      </c>
    </row>
    <row r="642" spans="5:5" x14ac:dyDescent="0.2">
      <c r="E642" s="12" t="str">
        <f t="shared" ref="E642:E705" si="10">IF(A642=0,"",VLOOKUP(B642,Unitweight,2,FALSE))</f>
        <v/>
      </c>
    </row>
    <row r="643" spans="5:5" x14ac:dyDescent="0.2">
      <c r="E643" s="12" t="str">
        <f t="shared" si="10"/>
        <v/>
      </c>
    </row>
    <row r="644" spans="5:5" x14ac:dyDescent="0.2">
      <c r="E644" s="12" t="str">
        <f t="shared" si="10"/>
        <v/>
      </c>
    </row>
    <row r="645" spans="5:5" x14ac:dyDescent="0.2">
      <c r="E645" s="12" t="str">
        <f t="shared" si="10"/>
        <v/>
      </c>
    </row>
    <row r="646" spans="5:5" x14ac:dyDescent="0.2">
      <c r="E646" s="12" t="str">
        <f t="shared" si="10"/>
        <v/>
      </c>
    </row>
    <row r="647" spans="5:5" x14ac:dyDescent="0.2">
      <c r="E647" s="12" t="str">
        <f t="shared" si="10"/>
        <v/>
      </c>
    </row>
    <row r="648" spans="5:5" x14ac:dyDescent="0.2">
      <c r="E648" s="12" t="str">
        <f t="shared" si="10"/>
        <v/>
      </c>
    </row>
    <row r="649" spans="5:5" x14ac:dyDescent="0.2">
      <c r="E649" s="12" t="str">
        <f t="shared" si="10"/>
        <v/>
      </c>
    </row>
    <row r="650" spans="5:5" x14ac:dyDescent="0.2">
      <c r="E650" s="12" t="str">
        <f t="shared" si="10"/>
        <v/>
      </c>
    </row>
    <row r="651" spans="5:5" x14ac:dyDescent="0.2">
      <c r="E651" s="12" t="str">
        <f t="shared" si="10"/>
        <v/>
      </c>
    </row>
    <row r="652" spans="5:5" x14ac:dyDescent="0.2">
      <c r="E652" s="12" t="str">
        <f t="shared" si="10"/>
        <v/>
      </c>
    </row>
    <row r="653" spans="5:5" x14ac:dyDescent="0.2">
      <c r="E653" s="12" t="str">
        <f t="shared" si="10"/>
        <v/>
      </c>
    </row>
    <row r="654" spans="5:5" x14ac:dyDescent="0.2">
      <c r="E654" s="12" t="str">
        <f t="shared" si="10"/>
        <v/>
      </c>
    </row>
    <row r="655" spans="5:5" x14ac:dyDescent="0.2">
      <c r="E655" s="12" t="str">
        <f t="shared" si="10"/>
        <v/>
      </c>
    </row>
    <row r="656" spans="5:5" x14ac:dyDescent="0.2">
      <c r="E656" s="12" t="str">
        <f t="shared" si="10"/>
        <v/>
      </c>
    </row>
    <row r="657" spans="5:5" x14ac:dyDescent="0.2">
      <c r="E657" s="12" t="str">
        <f t="shared" si="10"/>
        <v/>
      </c>
    </row>
    <row r="658" spans="5:5" x14ac:dyDescent="0.2">
      <c r="E658" s="12" t="str">
        <f t="shared" si="10"/>
        <v/>
      </c>
    </row>
    <row r="659" spans="5:5" x14ac:dyDescent="0.2">
      <c r="E659" s="12" t="str">
        <f t="shared" si="10"/>
        <v/>
      </c>
    </row>
    <row r="660" spans="5:5" x14ac:dyDescent="0.2">
      <c r="E660" s="12" t="str">
        <f t="shared" si="10"/>
        <v/>
      </c>
    </row>
    <row r="661" spans="5:5" x14ac:dyDescent="0.2">
      <c r="E661" s="12" t="str">
        <f t="shared" si="10"/>
        <v/>
      </c>
    </row>
    <row r="662" spans="5:5" x14ac:dyDescent="0.2">
      <c r="E662" s="12" t="str">
        <f t="shared" si="10"/>
        <v/>
      </c>
    </row>
    <row r="663" spans="5:5" x14ac:dyDescent="0.2">
      <c r="E663" s="12" t="str">
        <f t="shared" si="10"/>
        <v/>
      </c>
    </row>
    <row r="664" spans="5:5" x14ac:dyDescent="0.2">
      <c r="E664" s="12" t="str">
        <f t="shared" si="10"/>
        <v/>
      </c>
    </row>
    <row r="665" spans="5:5" x14ac:dyDescent="0.2">
      <c r="E665" s="12" t="str">
        <f t="shared" si="10"/>
        <v/>
      </c>
    </row>
    <row r="666" spans="5:5" x14ac:dyDescent="0.2">
      <c r="E666" s="12" t="str">
        <f t="shared" si="10"/>
        <v/>
      </c>
    </row>
    <row r="667" spans="5:5" x14ac:dyDescent="0.2">
      <c r="E667" s="12" t="str">
        <f t="shared" si="10"/>
        <v/>
      </c>
    </row>
    <row r="668" spans="5:5" x14ac:dyDescent="0.2">
      <c r="E668" s="12" t="str">
        <f t="shared" si="10"/>
        <v/>
      </c>
    </row>
    <row r="669" spans="5:5" x14ac:dyDescent="0.2">
      <c r="E669" s="12" t="str">
        <f t="shared" si="10"/>
        <v/>
      </c>
    </row>
    <row r="670" spans="5:5" x14ac:dyDescent="0.2">
      <c r="E670" s="12" t="str">
        <f t="shared" si="10"/>
        <v/>
      </c>
    </row>
    <row r="671" spans="5:5" x14ac:dyDescent="0.2">
      <c r="E671" s="12" t="str">
        <f t="shared" si="10"/>
        <v/>
      </c>
    </row>
    <row r="672" spans="5:5" x14ac:dyDescent="0.2">
      <c r="E672" s="12" t="str">
        <f t="shared" si="10"/>
        <v/>
      </c>
    </row>
    <row r="673" spans="5:5" x14ac:dyDescent="0.2">
      <c r="E673" s="12" t="str">
        <f t="shared" si="10"/>
        <v/>
      </c>
    </row>
    <row r="674" spans="5:5" x14ac:dyDescent="0.2">
      <c r="E674" s="12" t="str">
        <f t="shared" si="10"/>
        <v/>
      </c>
    </row>
    <row r="675" spans="5:5" x14ac:dyDescent="0.2">
      <c r="E675" s="12" t="str">
        <f t="shared" si="10"/>
        <v/>
      </c>
    </row>
    <row r="676" spans="5:5" x14ac:dyDescent="0.2">
      <c r="E676" s="12" t="str">
        <f t="shared" si="10"/>
        <v/>
      </c>
    </row>
    <row r="677" spans="5:5" x14ac:dyDescent="0.2">
      <c r="E677" s="12" t="str">
        <f t="shared" si="10"/>
        <v/>
      </c>
    </row>
    <row r="678" spans="5:5" x14ac:dyDescent="0.2">
      <c r="E678" s="12" t="str">
        <f t="shared" si="10"/>
        <v/>
      </c>
    </row>
    <row r="679" spans="5:5" x14ac:dyDescent="0.2">
      <c r="E679" s="12" t="str">
        <f t="shared" si="10"/>
        <v/>
      </c>
    </row>
    <row r="680" spans="5:5" x14ac:dyDescent="0.2">
      <c r="E680" s="12" t="str">
        <f t="shared" si="10"/>
        <v/>
      </c>
    </row>
    <row r="681" spans="5:5" x14ac:dyDescent="0.2">
      <c r="E681" s="12" t="str">
        <f t="shared" si="10"/>
        <v/>
      </c>
    </row>
    <row r="682" spans="5:5" x14ac:dyDescent="0.2">
      <c r="E682" s="12" t="str">
        <f t="shared" si="10"/>
        <v/>
      </c>
    </row>
    <row r="683" spans="5:5" x14ac:dyDescent="0.2">
      <c r="E683" s="12" t="str">
        <f t="shared" si="10"/>
        <v/>
      </c>
    </row>
    <row r="684" spans="5:5" x14ac:dyDescent="0.2">
      <c r="E684" s="12" t="str">
        <f t="shared" si="10"/>
        <v/>
      </c>
    </row>
    <row r="685" spans="5:5" x14ac:dyDescent="0.2">
      <c r="E685" s="12" t="str">
        <f t="shared" si="10"/>
        <v/>
      </c>
    </row>
    <row r="686" spans="5:5" x14ac:dyDescent="0.2">
      <c r="E686" s="12" t="str">
        <f t="shared" si="10"/>
        <v/>
      </c>
    </row>
    <row r="687" spans="5:5" x14ac:dyDescent="0.2">
      <c r="E687" s="12" t="str">
        <f t="shared" si="10"/>
        <v/>
      </c>
    </row>
    <row r="688" spans="5:5" x14ac:dyDescent="0.2">
      <c r="E688" s="12" t="str">
        <f t="shared" si="10"/>
        <v/>
      </c>
    </row>
    <row r="689" spans="5:5" x14ac:dyDescent="0.2">
      <c r="E689" s="12" t="str">
        <f t="shared" si="10"/>
        <v/>
      </c>
    </row>
    <row r="690" spans="5:5" x14ac:dyDescent="0.2">
      <c r="E690" s="12" t="str">
        <f t="shared" si="10"/>
        <v/>
      </c>
    </row>
    <row r="691" spans="5:5" x14ac:dyDescent="0.2">
      <c r="E691" s="12" t="str">
        <f t="shared" si="10"/>
        <v/>
      </c>
    </row>
    <row r="692" spans="5:5" x14ac:dyDescent="0.2">
      <c r="E692" s="12" t="str">
        <f t="shared" si="10"/>
        <v/>
      </c>
    </row>
    <row r="693" spans="5:5" x14ac:dyDescent="0.2">
      <c r="E693" s="12" t="str">
        <f t="shared" si="10"/>
        <v/>
      </c>
    </row>
    <row r="694" spans="5:5" x14ac:dyDescent="0.2">
      <c r="E694" s="12" t="str">
        <f t="shared" si="10"/>
        <v/>
      </c>
    </row>
    <row r="695" spans="5:5" x14ac:dyDescent="0.2">
      <c r="E695" s="12" t="str">
        <f t="shared" si="10"/>
        <v/>
      </c>
    </row>
    <row r="696" spans="5:5" x14ac:dyDescent="0.2">
      <c r="E696" s="12" t="str">
        <f t="shared" si="10"/>
        <v/>
      </c>
    </row>
    <row r="697" spans="5:5" x14ac:dyDescent="0.2">
      <c r="E697" s="12" t="str">
        <f t="shared" si="10"/>
        <v/>
      </c>
    </row>
    <row r="698" spans="5:5" x14ac:dyDescent="0.2">
      <c r="E698" s="12" t="str">
        <f t="shared" si="10"/>
        <v/>
      </c>
    </row>
    <row r="699" spans="5:5" x14ac:dyDescent="0.2">
      <c r="E699" s="12" t="str">
        <f t="shared" si="10"/>
        <v/>
      </c>
    </row>
    <row r="700" spans="5:5" x14ac:dyDescent="0.2">
      <c r="E700" s="12" t="str">
        <f t="shared" si="10"/>
        <v/>
      </c>
    </row>
    <row r="701" spans="5:5" x14ac:dyDescent="0.2">
      <c r="E701" s="12" t="str">
        <f t="shared" si="10"/>
        <v/>
      </c>
    </row>
    <row r="702" spans="5:5" x14ac:dyDescent="0.2">
      <c r="E702" s="12" t="str">
        <f t="shared" si="10"/>
        <v/>
      </c>
    </row>
    <row r="703" spans="5:5" x14ac:dyDescent="0.2">
      <c r="E703" s="12" t="str">
        <f t="shared" si="10"/>
        <v/>
      </c>
    </row>
    <row r="704" spans="5:5" x14ac:dyDescent="0.2">
      <c r="E704" s="12" t="str">
        <f t="shared" si="10"/>
        <v/>
      </c>
    </row>
    <row r="705" spans="5:5" x14ac:dyDescent="0.2">
      <c r="E705" s="12" t="str">
        <f t="shared" si="10"/>
        <v/>
      </c>
    </row>
    <row r="706" spans="5:5" x14ac:dyDescent="0.2">
      <c r="E706" s="12" t="str">
        <f t="shared" ref="E706:E769" si="11">IF(A706=0,"",VLOOKUP(B706,Unitweight,2,FALSE))</f>
        <v/>
      </c>
    </row>
    <row r="707" spans="5:5" x14ac:dyDescent="0.2">
      <c r="E707" s="12" t="str">
        <f t="shared" si="11"/>
        <v/>
      </c>
    </row>
    <row r="708" spans="5:5" x14ac:dyDescent="0.2">
      <c r="E708" s="12" t="str">
        <f t="shared" si="11"/>
        <v/>
      </c>
    </row>
    <row r="709" spans="5:5" x14ac:dyDescent="0.2">
      <c r="E709" s="12" t="str">
        <f t="shared" si="11"/>
        <v/>
      </c>
    </row>
    <row r="710" spans="5:5" x14ac:dyDescent="0.2">
      <c r="E710" s="12" t="str">
        <f t="shared" si="11"/>
        <v/>
      </c>
    </row>
    <row r="711" spans="5:5" x14ac:dyDescent="0.2">
      <c r="E711" s="12" t="str">
        <f t="shared" si="11"/>
        <v/>
      </c>
    </row>
    <row r="712" spans="5:5" x14ac:dyDescent="0.2">
      <c r="E712" s="12" t="str">
        <f t="shared" si="11"/>
        <v/>
      </c>
    </row>
    <row r="713" spans="5:5" x14ac:dyDescent="0.2">
      <c r="E713" s="12" t="str">
        <f t="shared" si="11"/>
        <v/>
      </c>
    </row>
    <row r="714" spans="5:5" x14ac:dyDescent="0.2">
      <c r="E714" s="12" t="str">
        <f t="shared" si="11"/>
        <v/>
      </c>
    </row>
    <row r="715" spans="5:5" x14ac:dyDescent="0.2">
      <c r="E715" s="12" t="str">
        <f t="shared" si="11"/>
        <v/>
      </c>
    </row>
    <row r="716" spans="5:5" x14ac:dyDescent="0.2">
      <c r="E716" s="12" t="str">
        <f t="shared" si="11"/>
        <v/>
      </c>
    </row>
    <row r="717" spans="5:5" x14ac:dyDescent="0.2">
      <c r="E717" s="12" t="str">
        <f t="shared" si="11"/>
        <v/>
      </c>
    </row>
    <row r="718" spans="5:5" x14ac:dyDescent="0.2">
      <c r="E718" s="12" t="str">
        <f t="shared" si="11"/>
        <v/>
      </c>
    </row>
    <row r="719" spans="5:5" x14ac:dyDescent="0.2">
      <c r="E719" s="12" t="str">
        <f t="shared" si="11"/>
        <v/>
      </c>
    </row>
    <row r="720" spans="5:5" x14ac:dyDescent="0.2">
      <c r="E720" s="12" t="str">
        <f t="shared" si="11"/>
        <v/>
      </c>
    </row>
    <row r="721" spans="5:5" x14ac:dyDescent="0.2">
      <c r="E721" s="12" t="str">
        <f t="shared" si="11"/>
        <v/>
      </c>
    </row>
    <row r="722" spans="5:5" x14ac:dyDescent="0.2">
      <c r="E722" s="12" t="str">
        <f t="shared" si="11"/>
        <v/>
      </c>
    </row>
    <row r="723" spans="5:5" x14ac:dyDescent="0.2">
      <c r="E723" s="12" t="str">
        <f t="shared" si="11"/>
        <v/>
      </c>
    </row>
    <row r="724" spans="5:5" x14ac:dyDescent="0.2">
      <c r="E724" s="12" t="str">
        <f t="shared" si="11"/>
        <v/>
      </c>
    </row>
    <row r="725" spans="5:5" x14ac:dyDescent="0.2">
      <c r="E725" s="12" t="str">
        <f t="shared" si="11"/>
        <v/>
      </c>
    </row>
    <row r="726" spans="5:5" x14ac:dyDescent="0.2">
      <c r="E726" s="12" t="str">
        <f t="shared" si="11"/>
        <v/>
      </c>
    </row>
    <row r="727" spans="5:5" x14ac:dyDescent="0.2">
      <c r="E727" s="12" t="str">
        <f t="shared" si="11"/>
        <v/>
      </c>
    </row>
    <row r="728" spans="5:5" x14ac:dyDescent="0.2">
      <c r="E728" s="12" t="str">
        <f t="shared" si="11"/>
        <v/>
      </c>
    </row>
    <row r="729" spans="5:5" x14ac:dyDescent="0.2">
      <c r="E729" s="12" t="str">
        <f t="shared" si="11"/>
        <v/>
      </c>
    </row>
    <row r="730" spans="5:5" x14ac:dyDescent="0.2">
      <c r="E730" s="12" t="str">
        <f t="shared" si="11"/>
        <v/>
      </c>
    </row>
    <row r="731" spans="5:5" x14ac:dyDescent="0.2">
      <c r="E731" s="12" t="str">
        <f t="shared" si="11"/>
        <v/>
      </c>
    </row>
    <row r="732" spans="5:5" x14ac:dyDescent="0.2">
      <c r="E732" s="12" t="str">
        <f t="shared" si="11"/>
        <v/>
      </c>
    </row>
    <row r="733" spans="5:5" x14ac:dyDescent="0.2">
      <c r="E733" s="12" t="str">
        <f t="shared" si="11"/>
        <v/>
      </c>
    </row>
    <row r="734" spans="5:5" x14ac:dyDescent="0.2">
      <c r="E734" s="12" t="str">
        <f t="shared" si="11"/>
        <v/>
      </c>
    </row>
    <row r="735" spans="5:5" x14ac:dyDescent="0.2">
      <c r="E735" s="12" t="str">
        <f t="shared" si="11"/>
        <v/>
      </c>
    </row>
    <row r="736" spans="5:5" x14ac:dyDescent="0.2">
      <c r="E736" s="12" t="str">
        <f t="shared" si="11"/>
        <v/>
      </c>
    </row>
    <row r="737" spans="5:5" x14ac:dyDescent="0.2">
      <c r="E737" s="12" t="str">
        <f t="shared" si="11"/>
        <v/>
      </c>
    </row>
    <row r="738" spans="5:5" x14ac:dyDescent="0.2">
      <c r="E738" s="12" t="str">
        <f t="shared" si="11"/>
        <v/>
      </c>
    </row>
    <row r="739" spans="5:5" x14ac:dyDescent="0.2">
      <c r="E739" s="12" t="str">
        <f t="shared" si="11"/>
        <v/>
      </c>
    </row>
    <row r="740" spans="5:5" x14ac:dyDescent="0.2">
      <c r="E740" s="12" t="str">
        <f t="shared" si="11"/>
        <v/>
      </c>
    </row>
    <row r="741" spans="5:5" x14ac:dyDescent="0.2">
      <c r="E741" s="12" t="str">
        <f t="shared" si="11"/>
        <v/>
      </c>
    </row>
    <row r="742" spans="5:5" x14ac:dyDescent="0.2">
      <c r="E742" s="12" t="str">
        <f t="shared" si="11"/>
        <v/>
      </c>
    </row>
    <row r="743" spans="5:5" x14ac:dyDescent="0.2">
      <c r="E743" s="12" t="str">
        <f t="shared" si="11"/>
        <v/>
      </c>
    </row>
    <row r="744" spans="5:5" x14ac:dyDescent="0.2">
      <c r="E744" s="12" t="str">
        <f t="shared" si="11"/>
        <v/>
      </c>
    </row>
    <row r="745" spans="5:5" x14ac:dyDescent="0.2">
      <c r="E745" s="12" t="str">
        <f t="shared" si="11"/>
        <v/>
      </c>
    </row>
    <row r="746" spans="5:5" x14ac:dyDescent="0.2">
      <c r="E746" s="12" t="str">
        <f t="shared" si="11"/>
        <v/>
      </c>
    </row>
    <row r="747" spans="5:5" x14ac:dyDescent="0.2">
      <c r="E747" s="12" t="str">
        <f t="shared" si="11"/>
        <v/>
      </c>
    </row>
    <row r="748" spans="5:5" x14ac:dyDescent="0.2">
      <c r="E748" s="12" t="str">
        <f t="shared" si="11"/>
        <v/>
      </c>
    </row>
    <row r="749" spans="5:5" x14ac:dyDescent="0.2">
      <c r="E749" s="12" t="str">
        <f t="shared" si="11"/>
        <v/>
      </c>
    </row>
    <row r="750" spans="5:5" x14ac:dyDescent="0.2">
      <c r="E750" s="12" t="str">
        <f t="shared" si="11"/>
        <v/>
      </c>
    </row>
    <row r="751" spans="5:5" x14ac:dyDescent="0.2">
      <c r="E751" s="12" t="str">
        <f t="shared" si="11"/>
        <v/>
      </c>
    </row>
    <row r="752" spans="5:5" x14ac:dyDescent="0.2">
      <c r="E752" s="12" t="str">
        <f t="shared" si="11"/>
        <v/>
      </c>
    </row>
    <row r="753" spans="5:5" x14ac:dyDescent="0.2">
      <c r="E753" s="12" t="str">
        <f t="shared" si="11"/>
        <v/>
      </c>
    </row>
    <row r="754" spans="5:5" x14ac:dyDescent="0.2">
      <c r="E754" s="12" t="str">
        <f t="shared" si="11"/>
        <v/>
      </c>
    </row>
    <row r="755" spans="5:5" x14ac:dyDescent="0.2">
      <c r="E755" s="12" t="str">
        <f t="shared" si="11"/>
        <v/>
      </c>
    </row>
    <row r="756" spans="5:5" x14ac:dyDescent="0.2">
      <c r="E756" s="12" t="str">
        <f t="shared" si="11"/>
        <v/>
      </c>
    </row>
    <row r="757" spans="5:5" x14ac:dyDescent="0.2">
      <c r="E757" s="12" t="str">
        <f t="shared" si="11"/>
        <v/>
      </c>
    </row>
    <row r="758" spans="5:5" x14ac:dyDescent="0.2">
      <c r="E758" s="12" t="str">
        <f t="shared" si="11"/>
        <v/>
      </c>
    </row>
    <row r="759" spans="5:5" x14ac:dyDescent="0.2">
      <c r="E759" s="12" t="str">
        <f t="shared" si="11"/>
        <v/>
      </c>
    </row>
    <row r="760" spans="5:5" x14ac:dyDescent="0.2">
      <c r="E760" s="12" t="str">
        <f t="shared" si="11"/>
        <v/>
      </c>
    </row>
    <row r="761" spans="5:5" x14ac:dyDescent="0.2">
      <c r="E761" s="12" t="str">
        <f t="shared" si="11"/>
        <v/>
      </c>
    </row>
    <row r="762" spans="5:5" x14ac:dyDescent="0.2">
      <c r="E762" s="12" t="str">
        <f t="shared" si="11"/>
        <v/>
      </c>
    </row>
    <row r="763" spans="5:5" x14ac:dyDescent="0.2">
      <c r="E763" s="12" t="str">
        <f t="shared" si="11"/>
        <v/>
      </c>
    </row>
    <row r="764" spans="5:5" x14ac:dyDescent="0.2">
      <c r="E764" s="12" t="str">
        <f t="shared" si="11"/>
        <v/>
      </c>
    </row>
    <row r="765" spans="5:5" x14ac:dyDescent="0.2">
      <c r="E765" s="12" t="str">
        <f t="shared" si="11"/>
        <v/>
      </c>
    </row>
    <row r="766" spans="5:5" x14ac:dyDescent="0.2">
      <c r="E766" s="12" t="str">
        <f t="shared" si="11"/>
        <v/>
      </c>
    </row>
    <row r="767" spans="5:5" x14ac:dyDescent="0.2">
      <c r="E767" s="12" t="str">
        <f t="shared" si="11"/>
        <v/>
      </c>
    </row>
    <row r="768" spans="5:5" x14ac:dyDescent="0.2">
      <c r="E768" s="12" t="str">
        <f t="shared" si="11"/>
        <v/>
      </c>
    </row>
    <row r="769" spans="5:5" x14ac:dyDescent="0.2">
      <c r="E769" s="12" t="str">
        <f t="shared" si="11"/>
        <v/>
      </c>
    </row>
    <row r="770" spans="5:5" x14ac:dyDescent="0.2">
      <c r="E770" s="12" t="str">
        <f t="shared" ref="E770:E833" si="12">IF(A770=0,"",VLOOKUP(B770,Unitweight,2,FALSE))</f>
        <v/>
      </c>
    </row>
    <row r="771" spans="5:5" x14ac:dyDescent="0.2">
      <c r="E771" s="12" t="str">
        <f t="shared" si="12"/>
        <v/>
      </c>
    </row>
    <row r="772" spans="5:5" x14ac:dyDescent="0.2">
      <c r="E772" s="12" t="str">
        <f t="shared" si="12"/>
        <v/>
      </c>
    </row>
    <row r="773" spans="5:5" x14ac:dyDescent="0.2">
      <c r="E773" s="12" t="str">
        <f t="shared" si="12"/>
        <v/>
      </c>
    </row>
    <row r="774" spans="5:5" x14ac:dyDescent="0.2">
      <c r="E774" s="12" t="str">
        <f t="shared" si="12"/>
        <v/>
      </c>
    </row>
    <row r="775" spans="5:5" x14ac:dyDescent="0.2">
      <c r="E775" s="12" t="str">
        <f t="shared" si="12"/>
        <v/>
      </c>
    </row>
    <row r="776" spans="5:5" x14ac:dyDescent="0.2">
      <c r="E776" s="12" t="str">
        <f t="shared" si="12"/>
        <v/>
      </c>
    </row>
    <row r="777" spans="5:5" x14ac:dyDescent="0.2">
      <c r="E777" s="12" t="str">
        <f t="shared" si="12"/>
        <v/>
      </c>
    </row>
    <row r="778" spans="5:5" x14ac:dyDescent="0.2">
      <c r="E778" s="12" t="str">
        <f t="shared" si="12"/>
        <v/>
      </c>
    </row>
    <row r="779" spans="5:5" x14ac:dyDescent="0.2">
      <c r="E779" s="12" t="str">
        <f t="shared" si="12"/>
        <v/>
      </c>
    </row>
    <row r="780" spans="5:5" x14ac:dyDescent="0.2">
      <c r="E780" s="12" t="str">
        <f t="shared" si="12"/>
        <v/>
      </c>
    </row>
    <row r="781" spans="5:5" x14ac:dyDescent="0.2">
      <c r="E781" s="12" t="str">
        <f t="shared" si="12"/>
        <v/>
      </c>
    </row>
    <row r="782" spans="5:5" x14ac:dyDescent="0.2">
      <c r="E782" s="12" t="str">
        <f t="shared" si="12"/>
        <v/>
      </c>
    </row>
    <row r="783" spans="5:5" x14ac:dyDescent="0.2">
      <c r="E783" s="12" t="str">
        <f t="shared" si="12"/>
        <v/>
      </c>
    </row>
    <row r="784" spans="5:5" x14ac:dyDescent="0.2">
      <c r="E784" s="12" t="str">
        <f t="shared" si="12"/>
        <v/>
      </c>
    </row>
    <row r="785" spans="5:5" x14ac:dyDescent="0.2">
      <c r="E785" s="12" t="str">
        <f t="shared" si="12"/>
        <v/>
      </c>
    </row>
    <row r="786" spans="5:5" x14ac:dyDescent="0.2">
      <c r="E786" s="12" t="str">
        <f t="shared" si="12"/>
        <v/>
      </c>
    </row>
    <row r="787" spans="5:5" x14ac:dyDescent="0.2">
      <c r="E787" s="12" t="str">
        <f t="shared" si="12"/>
        <v/>
      </c>
    </row>
    <row r="788" spans="5:5" x14ac:dyDescent="0.2">
      <c r="E788" s="12" t="str">
        <f t="shared" si="12"/>
        <v/>
      </c>
    </row>
    <row r="789" spans="5:5" x14ac:dyDescent="0.2">
      <c r="E789" s="12" t="str">
        <f t="shared" si="12"/>
        <v/>
      </c>
    </row>
    <row r="790" spans="5:5" x14ac:dyDescent="0.2">
      <c r="E790" s="12" t="str">
        <f t="shared" si="12"/>
        <v/>
      </c>
    </row>
    <row r="791" spans="5:5" x14ac:dyDescent="0.2">
      <c r="E791" s="12" t="str">
        <f t="shared" si="12"/>
        <v/>
      </c>
    </row>
    <row r="792" spans="5:5" x14ac:dyDescent="0.2">
      <c r="E792" s="12" t="str">
        <f t="shared" si="12"/>
        <v/>
      </c>
    </row>
    <row r="793" spans="5:5" x14ac:dyDescent="0.2">
      <c r="E793" s="12" t="str">
        <f t="shared" si="12"/>
        <v/>
      </c>
    </row>
    <row r="794" spans="5:5" x14ac:dyDescent="0.2">
      <c r="E794" s="12" t="str">
        <f t="shared" si="12"/>
        <v/>
      </c>
    </row>
    <row r="795" spans="5:5" x14ac:dyDescent="0.2">
      <c r="E795" s="12" t="str">
        <f t="shared" si="12"/>
        <v/>
      </c>
    </row>
    <row r="796" spans="5:5" x14ac:dyDescent="0.2">
      <c r="E796" s="12" t="str">
        <f t="shared" si="12"/>
        <v/>
      </c>
    </row>
    <row r="797" spans="5:5" x14ac:dyDescent="0.2">
      <c r="E797" s="12" t="str">
        <f t="shared" si="12"/>
        <v/>
      </c>
    </row>
    <row r="798" spans="5:5" x14ac:dyDescent="0.2">
      <c r="E798" s="12" t="str">
        <f t="shared" si="12"/>
        <v/>
      </c>
    </row>
    <row r="799" spans="5:5" x14ac:dyDescent="0.2">
      <c r="E799" s="12" t="str">
        <f t="shared" si="12"/>
        <v/>
      </c>
    </row>
    <row r="800" spans="5:5" x14ac:dyDescent="0.2">
      <c r="E800" s="12" t="str">
        <f t="shared" si="12"/>
        <v/>
      </c>
    </row>
    <row r="801" spans="5:5" x14ac:dyDescent="0.2">
      <c r="E801" s="12" t="str">
        <f t="shared" si="12"/>
        <v/>
      </c>
    </row>
    <row r="802" spans="5:5" x14ac:dyDescent="0.2">
      <c r="E802" s="12" t="str">
        <f t="shared" si="12"/>
        <v/>
      </c>
    </row>
    <row r="803" spans="5:5" x14ac:dyDescent="0.2">
      <c r="E803" s="12" t="str">
        <f t="shared" si="12"/>
        <v/>
      </c>
    </row>
    <row r="804" spans="5:5" x14ac:dyDescent="0.2">
      <c r="E804" s="12" t="str">
        <f t="shared" si="12"/>
        <v/>
      </c>
    </row>
    <row r="805" spans="5:5" x14ac:dyDescent="0.2">
      <c r="E805" s="12" t="str">
        <f t="shared" si="12"/>
        <v/>
      </c>
    </row>
    <row r="806" spans="5:5" x14ac:dyDescent="0.2">
      <c r="E806" s="12" t="str">
        <f t="shared" si="12"/>
        <v/>
      </c>
    </row>
    <row r="807" spans="5:5" x14ac:dyDescent="0.2">
      <c r="E807" s="12" t="str">
        <f t="shared" si="12"/>
        <v/>
      </c>
    </row>
    <row r="808" spans="5:5" x14ac:dyDescent="0.2">
      <c r="E808" s="12" t="str">
        <f t="shared" si="12"/>
        <v/>
      </c>
    </row>
    <row r="809" spans="5:5" x14ac:dyDescent="0.2">
      <c r="E809" s="12" t="str">
        <f t="shared" si="12"/>
        <v/>
      </c>
    </row>
    <row r="810" spans="5:5" x14ac:dyDescent="0.2">
      <c r="E810" s="12" t="str">
        <f t="shared" si="12"/>
        <v/>
      </c>
    </row>
    <row r="811" spans="5:5" x14ac:dyDescent="0.2">
      <c r="E811" s="12" t="str">
        <f t="shared" si="12"/>
        <v/>
      </c>
    </row>
    <row r="812" spans="5:5" x14ac:dyDescent="0.2">
      <c r="E812" s="12" t="str">
        <f t="shared" si="12"/>
        <v/>
      </c>
    </row>
    <row r="813" spans="5:5" x14ac:dyDescent="0.2">
      <c r="E813" s="12" t="str">
        <f t="shared" si="12"/>
        <v/>
      </c>
    </row>
    <row r="814" spans="5:5" x14ac:dyDescent="0.2">
      <c r="E814" s="12" t="str">
        <f t="shared" si="12"/>
        <v/>
      </c>
    </row>
    <row r="815" spans="5:5" x14ac:dyDescent="0.2">
      <c r="E815" s="12" t="str">
        <f t="shared" si="12"/>
        <v/>
      </c>
    </row>
    <row r="816" spans="5:5" x14ac:dyDescent="0.2">
      <c r="E816" s="12" t="str">
        <f t="shared" si="12"/>
        <v/>
      </c>
    </row>
    <row r="817" spans="5:5" x14ac:dyDescent="0.2">
      <c r="E817" s="12" t="str">
        <f t="shared" si="12"/>
        <v/>
      </c>
    </row>
    <row r="818" spans="5:5" x14ac:dyDescent="0.2">
      <c r="E818" s="12" t="str">
        <f t="shared" si="12"/>
        <v/>
      </c>
    </row>
    <row r="819" spans="5:5" x14ac:dyDescent="0.2">
      <c r="E819" s="12" t="str">
        <f t="shared" si="12"/>
        <v/>
      </c>
    </row>
    <row r="820" spans="5:5" x14ac:dyDescent="0.2">
      <c r="E820" s="12" t="str">
        <f t="shared" si="12"/>
        <v/>
      </c>
    </row>
    <row r="821" spans="5:5" x14ac:dyDescent="0.2">
      <c r="E821" s="12" t="str">
        <f t="shared" si="12"/>
        <v/>
      </c>
    </row>
    <row r="822" spans="5:5" x14ac:dyDescent="0.2">
      <c r="E822" s="12" t="str">
        <f t="shared" si="12"/>
        <v/>
      </c>
    </row>
    <row r="823" spans="5:5" x14ac:dyDescent="0.2">
      <c r="E823" s="12" t="str">
        <f t="shared" si="12"/>
        <v/>
      </c>
    </row>
    <row r="824" spans="5:5" x14ac:dyDescent="0.2">
      <c r="E824" s="12" t="str">
        <f t="shared" si="12"/>
        <v/>
      </c>
    </row>
    <row r="825" spans="5:5" x14ac:dyDescent="0.2">
      <c r="E825" s="12" t="str">
        <f t="shared" si="12"/>
        <v/>
      </c>
    </row>
    <row r="826" spans="5:5" x14ac:dyDescent="0.2">
      <c r="E826" s="12" t="str">
        <f t="shared" si="12"/>
        <v/>
      </c>
    </row>
    <row r="827" spans="5:5" x14ac:dyDescent="0.2">
      <c r="E827" s="12" t="str">
        <f t="shared" si="12"/>
        <v/>
      </c>
    </row>
    <row r="828" spans="5:5" x14ac:dyDescent="0.2">
      <c r="E828" s="12" t="str">
        <f t="shared" si="12"/>
        <v/>
      </c>
    </row>
    <row r="829" spans="5:5" x14ac:dyDescent="0.2">
      <c r="E829" s="12" t="str">
        <f t="shared" si="12"/>
        <v/>
      </c>
    </row>
    <row r="830" spans="5:5" x14ac:dyDescent="0.2">
      <c r="E830" s="12" t="str">
        <f t="shared" si="12"/>
        <v/>
      </c>
    </row>
    <row r="831" spans="5:5" x14ac:dyDescent="0.2">
      <c r="E831" s="12" t="str">
        <f t="shared" si="12"/>
        <v/>
      </c>
    </row>
    <row r="832" spans="5:5" x14ac:dyDescent="0.2">
      <c r="E832" s="12" t="str">
        <f t="shared" si="12"/>
        <v/>
      </c>
    </row>
    <row r="833" spans="5:5" x14ac:dyDescent="0.2">
      <c r="E833" s="12" t="str">
        <f t="shared" si="12"/>
        <v/>
      </c>
    </row>
    <row r="834" spans="5:5" x14ac:dyDescent="0.2">
      <c r="E834" s="12" t="str">
        <f t="shared" ref="E834:E897" si="13">IF(A834=0,"",VLOOKUP(B834,Unitweight,2,FALSE))</f>
        <v/>
      </c>
    </row>
    <row r="835" spans="5:5" x14ac:dyDescent="0.2">
      <c r="E835" s="12" t="str">
        <f t="shared" si="13"/>
        <v/>
      </c>
    </row>
    <row r="836" spans="5:5" x14ac:dyDescent="0.2">
      <c r="E836" s="12" t="str">
        <f t="shared" si="13"/>
        <v/>
      </c>
    </row>
    <row r="837" spans="5:5" x14ac:dyDescent="0.2">
      <c r="E837" s="12" t="str">
        <f t="shared" si="13"/>
        <v/>
      </c>
    </row>
    <row r="838" spans="5:5" x14ac:dyDescent="0.2">
      <c r="E838" s="12" t="str">
        <f t="shared" si="13"/>
        <v/>
      </c>
    </row>
    <row r="839" spans="5:5" x14ac:dyDescent="0.2">
      <c r="E839" s="12" t="str">
        <f t="shared" si="13"/>
        <v/>
      </c>
    </row>
    <row r="840" spans="5:5" x14ac:dyDescent="0.2">
      <c r="E840" s="12" t="str">
        <f t="shared" si="13"/>
        <v/>
      </c>
    </row>
    <row r="841" spans="5:5" x14ac:dyDescent="0.2">
      <c r="E841" s="12" t="str">
        <f t="shared" si="13"/>
        <v/>
      </c>
    </row>
    <row r="842" spans="5:5" x14ac:dyDescent="0.2">
      <c r="E842" s="12" t="str">
        <f t="shared" si="13"/>
        <v/>
      </c>
    </row>
    <row r="843" spans="5:5" x14ac:dyDescent="0.2">
      <c r="E843" s="12" t="str">
        <f t="shared" si="13"/>
        <v/>
      </c>
    </row>
    <row r="844" spans="5:5" x14ac:dyDescent="0.2">
      <c r="E844" s="12" t="str">
        <f t="shared" si="13"/>
        <v/>
      </c>
    </row>
    <row r="845" spans="5:5" x14ac:dyDescent="0.2">
      <c r="E845" s="12" t="str">
        <f t="shared" si="13"/>
        <v/>
      </c>
    </row>
    <row r="846" spans="5:5" x14ac:dyDescent="0.2">
      <c r="E846" s="12" t="str">
        <f t="shared" si="13"/>
        <v/>
      </c>
    </row>
    <row r="847" spans="5:5" x14ac:dyDescent="0.2">
      <c r="E847" s="12" t="str">
        <f t="shared" si="13"/>
        <v/>
      </c>
    </row>
    <row r="848" spans="5:5" x14ac:dyDescent="0.2">
      <c r="E848" s="12" t="str">
        <f t="shared" si="13"/>
        <v/>
      </c>
    </row>
    <row r="849" spans="5:5" x14ac:dyDescent="0.2">
      <c r="E849" s="12" t="str">
        <f t="shared" si="13"/>
        <v/>
      </c>
    </row>
    <row r="850" spans="5:5" x14ac:dyDescent="0.2">
      <c r="E850" s="12" t="str">
        <f t="shared" si="13"/>
        <v/>
      </c>
    </row>
    <row r="851" spans="5:5" x14ac:dyDescent="0.2">
      <c r="E851" s="12" t="str">
        <f t="shared" si="13"/>
        <v/>
      </c>
    </row>
    <row r="852" spans="5:5" x14ac:dyDescent="0.2">
      <c r="E852" s="12" t="str">
        <f t="shared" si="13"/>
        <v/>
      </c>
    </row>
    <row r="853" spans="5:5" x14ac:dyDescent="0.2">
      <c r="E853" s="12" t="str">
        <f t="shared" si="13"/>
        <v/>
      </c>
    </row>
    <row r="854" spans="5:5" x14ac:dyDescent="0.2">
      <c r="E854" s="12" t="str">
        <f t="shared" si="13"/>
        <v/>
      </c>
    </row>
    <row r="855" spans="5:5" x14ac:dyDescent="0.2">
      <c r="E855" s="12" t="str">
        <f t="shared" si="13"/>
        <v/>
      </c>
    </row>
    <row r="856" spans="5:5" x14ac:dyDescent="0.2">
      <c r="E856" s="12" t="str">
        <f t="shared" si="13"/>
        <v/>
      </c>
    </row>
    <row r="857" spans="5:5" x14ac:dyDescent="0.2">
      <c r="E857" s="12" t="str">
        <f t="shared" si="13"/>
        <v/>
      </c>
    </row>
    <row r="858" spans="5:5" x14ac:dyDescent="0.2">
      <c r="E858" s="12" t="str">
        <f t="shared" si="13"/>
        <v/>
      </c>
    </row>
    <row r="859" spans="5:5" x14ac:dyDescent="0.2">
      <c r="E859" s="12" t="str">
        <f t="shared" si="13"/>
        <v/>
      </c>
    </row>
    <row r="860" spans="5:5" x14ac:dyDescent="0.2">
      <c r="E860" s="12" t="str">
        <f t="shared" si="13"/>
        <v/>
      </c>
    </row>
    <row r="861" spans="5:5" x14ac:dyDescent="0.2">
      <c r="E861" s="12" t="str">
        <f t="shared" si="13"/>
        <v/>
      </c>
    </row>
    <row r="862" spans="5:5" x14ac:dyDescent="0.2">
      <c r="E862" s="12" t="str">
        <f t="shared" si="13"/>
        <v/>
      </c>
    </row>
    <row r="863" spans="5:5" x14ac:dyDescent="0.2">
      <c r="E863" s="12" t="str">
        <f t="shared" si="13"/>
        <v/>
      </c>
    </row>
    <row r="864" spans="5:5" x14ac:dyDescent="0.2">
      <c r="E864" s="12" t="str">
        <f t="shared" si="13"/>
        <v/>
      </c>
    </row>
    <row r="865" spans="5:5" x14ac:dyDescent="0.2">
      <c r="E865" s="12" t="str">
        <f t="shared" si="13"/>
        <v/>
      </c>
    </row>
    <row r="866" spans="5:5" x14ac:dyDescent="0.2">
      <c r="E866" s="12" t="str">
        <f t="shared" si="13"/>
        <v/>
      </c>
    </row>
    <row r="867" spans="5:5" x14ac:dyDescent="0.2">
      <c r="E867" s="12" t="str">
        <f t="shared" si="13"/>
        <v/>
      </c>
    </row>
    <row r="868" spans="5:5" x14ac:dyDescent="0.2">
      <c r="E868" s="12" t="str">
        <f t="shared" si="13"/>
        <v/>
      </c>
    </row>
    <row r="869" spans="5:5" x14ac:dyDescent="0.2">
      <c r="E869" s="12" t="str">
        <f t="shared" si="13"/>
        <v/>
      </c>
    </row>
    <row r="870" spans="5:5" x14ac:dyDescent="0.2">
      <c r="E870" s="12" t="str">
        <f t="shared" si="13"/>
        <v/>
      </c>
    </row>
    <row r="871" spans="5:5" x14ac:dyDescent="0.2">
      <c r="E871" s="12" t="str">
        <f t="shared" si="13"/>
        <v/>
      </c>
    </row>
    <row r="872" spans="5:5" x14ac:dyDescent="0.2">
      <c r="E872" s="12" t="str">
        <f t="shared" si="13"/>
        <v/>
      </c>
    </row>
    <row r="873" spans="5:5" x14ac:dyDescent="0.2">
      <c r="E873" s="12" t="str">
        <f t="shared" si="13"/>
        <v/>
      </c>
    </row>
    <row r="874" spans="5:5" x14ac:dyDescent="0.2">
      <c r="E874" s="12" t="str">
        <f t="shared" si="13"/>
        <v/>
      </c>
    </row>
    <row r="875" spans="5:5" x14ac:dyDescent="0.2">
      <c r="E875" s="12" t="str">
        <f t="shared" si="13"/>
        <v/>
      </c>
    </row>
    <row r="876" spans="5:5" x14ac:dyDescent="0.2">
      <c r="E876" s="12" t="str">
        <f t="shared" si="13"/>
        <v/>
      </c>
    </row>
    <row r="877" spans="5:5" x14ac:dyDescent="0.2">
      <c r="E877" s="12" t="str">
        <f t="shared" si="13"/>
        <v/>
      </c>
    </row>
    <row r="878" spans="5:5" x14ac:dyDescent="0.2">
      <c r="E878" s="12" t="str">
        <f t="shared" si="13"/>
        <v/>
      </c>
    </row>
    <row r="879" spans="5:5" x14ac:dyDescent="0.2">
      <c r="E879" s="12" t="str">
        <f t="shared" si="13"/>
        <v/>
      </c>
    </row>
    <row r="880" spans="5:5" x14ac:dyDescent="0.2">
      <c r="E880" s="12" t="str">
        <f t="shared" si="13"/>
        <v/>
      </c>
    </row>
    <row r="881" spans="5:5" x14ac:dyDescent="0.2">
      <c r="E881" s="12" t="str">
        <f t="shared" si="13"/>
        <v/>
      </c>
    </row>
    <row r="882" spans="5:5" x14ac:dyDescent="0.2">
      <c r="E882" s="12" t="str">
        <f t="shared" si="13"/>
        <v/>
      </c>
    </row>
    <row r="883" spans="5:5" x14ac:dyDescent="0.2">
      <c r="E883" s="12" t="str">
        <f t="shared" si="13"/>
        <v/>
      </c>
    </row>
    <row r="884" spans="5:5" x14ac:dyDescent="0.2">
      <c r="E884" s="12" t="str">
        <f t="shared" si="13"/>
        <v/>
      </c>
    </row>
    <row r="885" spans="5:5" x14ac:dyDescent="0.2">
      <c r="E885" s="12" t="str">
        <f t="shared" si="13"/>
        <v/>
      </c>
    </row>
    <row r="886" spans="5:5" x14ac:dyDescent="0.2">
      <c r="E886" s="12" t="str">
        <f t="shared" si="13"/>
        <v/>
      </c>
    </row>
    <row r="887" spans="5:5" x14ac:dyDescent="0.2">
      <c r="E887" s="12" t="str">
        <f t="shared" si="13"/>
        <v/>
      </c>
    </row>
    <row r="888" spans="5:5" x14ac:dyDescent="0.2">
      <c r="E888" s="12" t="str">
        <f t="shared" si="13"/>
        <v/>
      </c>
    </row>
    <row r="889" spans="5:5" x14ac:dyDescent="0.2">
      <c r="E889" s="12" t="str">
        <f t="shared" si="13"/>
        <v/>
      </c>
    </row>
    <row r="890" spans="5:5" x14ac:dyDescent="0.2">
      <c r="E890" s="12" t="str">
        <f t="shared" si="13"/>
        <v/>
      </c>
    </row>
    <row r="891" spans="5:5" x14ac:dyDescent="0.2">
      <c r="E891" s="12" t="str">
        <f t="shared" si="13"/>
        <v/>
      </c>
    </row>
    <row r="892" spans="5:5" x14ac:dyDescent="0.2">
      <c r="E892" s="12" t="str">
        <f t="shared" si="13"/>
        <v/>
      </c>
    </row>
    <row r="893" spans="5:5" x14ac:dyDescent="0.2">
      <c r="E893" s="12" t="str">
        <f t="shared" si="13"/>
        <v/>
      </c>
    </row>
    <row r="894" spans="5:5" x14ac:dyDescent="0.2">
      <c r="E894" s="12" t="str">
        <f t="shared" si="13"/>
        <v/>
      </c>
    </row>
    <row r="895" spans="5:5" x14ac:dyDescent="0.2">
      <c r="E895" s="12" t="str">
        <f t="shared" si="13"/>
        <v/>
      </c>
    </row>
    <row r="896" spans="5:5" x14ac:dyDescent="0.2">
      <c r="E896" s="12" t="str">
        <f t="shared" si="13"/>
        <v/>
      </c>
    </row>
    <row r="897" spans="5:5" x14ac:dyDescent="0.2">
      <c r="E897" s="12" t="str">
        <f t="shared" si="13"/>
        <v/>
      </c>
    </row>
    <row r="898" spans="5:5" x14ac:dyDescent="0.2">
      <c r="E898" s="12" t="str">
        <f t="shared" ref="E898:E961" si="14">IF(A898=0,"",VLOOKUP(B898,Unitweight,2,FALSE))</f>
        <v/>
      </c>
    </row>
    <row r="899" spans="5:5" x14ac:dyDescent="0.2">
      <c r="E899" s="12" t="str">
        <f t="shared" si="14"/>
        <v/>
      </c>
    </row>
    <row r="900" spans="5:5" x14ac:dyDescent="0.2">
      <c r="E900" s="12" t="str">
        <f t="shared" si="14"/>
        <v/>
      </c>
    </row>
    <row r="901" spans="5:5" x14ac:dyDescent="0.2">
      <c r="E901" s="12" t="str">
        <f t="shared" si="14"/>
        <v/>
      </c>
    </row>
    <row r="902" spans="5:5" x14ac:dyDescent="0.2">
      <c r="E902" s="12" t="str">
        <f t="shared" si="14"/>
        <v/>
      </c>
    </row>
    <row r="903" spans="5:5" x14ac:dyDescent="0.2">
      <c r="E903" s="12" t="str">
        <f t="shared" si="14"/>
        <v/>
      </c>
    </row>
    <row r="904" spans="5:5" x14ac:dyDescent="0.2">
      <c r="E904" s="12" t="str">
        <f t="shared" si="14"/>
        <v/>
      </c>
    </row>
    <row r="905" spans="5:5" x14ac:dyDescent="0.2">
      <c r="E905" s="12" t="str">
        <f t="shared" si="14"/>
        <v/>
      </c>
    </row>
    <row r="906" spans="5:5" x14ac:dyDescent="0.2">
      <c r="E906" s="12" t="str">
        <f t="shared" si="14"/>
        <v/>
      </c>
    </row>
    <row r="907" spans="5:5" x14ac:dyDescent="0.2">
      <c r="E907" s="12" t="str">
        <f t="shared" si="14"/>
        <v/>
      </c>
    </row>
    <row r="908" spans="5:5" x14ac:dyDescent="0.2">
      <c r="E908" s="12" t="str">
        <f t="shared" si="14"/>
        <v/>
      </c>
    </row>
    <row r="909" spans="5:5" x14ac:dyDescent="0.2">
      <c r="E909" s="12" t="str">
        <f t="shared" si="14"/>
        <v/>
      </c>
    </row>
    <row r="910" spans="5:5" x14ac:dyDescent="0.2">
      <c r="E910" s="12" t="str">
        <f t="shared" si="14"/>
        <v/>
      </c>
    </row>
    <row r="911" spans="5:5" x14ac:dyDescent="0.2">
      <c r="E911" s="12" t="str">
        <f t="shared" si="14"/>
        <v/>
      </c>
    </row>
    <row r="912" spans="5:5" x14ac:dyDescent="0.2">
      <c r="E912" s="12" t="str">
        <f t="shared" si="14"/>
        <v/>
      </c>
    </row>
    <row r="913" spans="5:5" x14ac:dyDescent="0.2">
      <c r="E913" s="12" t="str">
        <f t="shared" si="14"/>
        <v/>
      </c>
    </row>
    <row r="914" spans="5:5" x14ac:dyDescent="0.2">
      <c r="E914" s="12" t="str">
        <f t="shared" si="14"/>
        <v/>
      </c>
    </row>
    <row r="915" spans="5:5" x14ac:dyDescent="0.2">
      <c r="E915" s="12" t="str">
        <f t="shared" si="14"/>
        <v/>
      </c>
    </row>
    <row r="916" spans="5:5" x14ac:dyDescent="0.2">
      <c r="E916" s="12" t="str">
        <f t="shared" si="14"/>
        <v/>
      </c>
    </row>
    <row r="917" spans="5:5" x14ac:dyDescent="0.2">
      <c r="E917" s="12" t="str">
        <f t="shared" si="14"/>
        <v/>
      </c>
    </row>
    <row r="918" spans="5:5" x14ac:dyDescent="0.2">
      <c r="E918" s="12" t="str">
        <f t="shared" si="14"/>
        <v/>
      </c>
    </row>
    <row r="919" spans="5:5" x14ac:dyDescent="0.2">
      <c r="E919" s="12" t="str">
        <f t="shared" si="14"/>
        <v/>
      </c>
    </row>
    <row r="920" spans="5:5" x14ac:dyDescent="0.2">
      <c r="E920" s="12" t="str">
        <f t="shared" si="14"/>
        <v/>
      </c>
    </row>
    <row r="921" spans="5:5" x14ac:dyDescent="0.2">
      <c r="E921" s="12" t="str">
        <f t="shared" si="14"/>
        <v/>
      </c>
    </row>
    <row r="922" spans="5:5" x14ac:dyDescent="0.2">
      <c r="E922" s="12" t="str">
        <f t="shared" si="14"/>
        <v/>
      </c>
    </row>
    <row r="923" spans="5:5" x14ac:dyDescent="0.2">
      <c r="E923" s="12" t="str">
        <f t="shared" si="14"/>
        <v/>
      </c>
    </row>
    <row r="924" spans="5:5" x14ac:dyDescent="0.2">
      <c r="E924" s="12" t="str">
        <f t="shared" si="14"/>
        <v/>
      </c>
    </row>
    <row r="925" spans="5:5" x14ac:dyDescent="0.2">
      <c r="E925" s="12" t="str">
        <f t="shared" si="14"/>
        <v/>
      </c>
    </row>
    <row r="926" spans="5:5" x14ac:dyDescent="0.2">
      <c r="E926" s="12" t="str">
        <f t="shared" si="14"/>
        <v/>
      </c>
    </row>
    <row r="927" spans="5:5" x14ac:dyDescent="0.2">
      <c r="E927" s="12" t="str">
        <f t="shared" si="14"/>
        <v/>
      </c>
    </row>
    <row r="928" spans="5:5" x14ac:dyDescent="0.2">
      <c r="E928" s="12" t="str">
        <f t="shared" si="14"/>
        <v/>
      </c>
    </row>
    <row r="929" spans="5:5" x14ac:dyDescent="0.2">
      <c r="E929" s="12" t="str">
        <f t="shared" si="14"/>
        <v/>
      </c>
    </row>
    <row r="930" spans="5:5" x14ac:dyDescent="0.2">
      <c r="E930" s="12" t="str">
        <f t="shared" si="14"/>
        <v/>
      </c>
    </row>
    <row r="931" spans="5:5" x14ac:dyDescent="0.2">
      <c r="E931" s="12" t="str">
        <f t="shared" si="14"/>
        <v/>
      </c>
    </row>
    <row r="932" spans="5:5" x14ac:dyDescent="0.2">
      <c r="E932" s="12" t="str">
        <f t="shared" si="14"/>
        <v/>
      </c>
    </row>
    <row r="933" spans="5:5" x14ac:dyDescent="0.2">
      <c r="E933" s="12" t="str">
        <f t="shared" si="14"/>
        <v/>
      </c>
    </row>
    <row r="934" spans="5:5" x14ac:dyDescent="0.2">
      <c r="E934" s="12" t="str">
        <f t="shared" si="14"/>
        <v/>
      </c>
    </row>
    <row r="935" spans="5:5" x14ac:dyDescent="0.2">
      <c r="E935" s="12" t="str">
        <f t="shared" si="14"/>
        <v/>
      </c>
    </row>
    <row r="936" spans="5:5" x14ac:dyDescent="0.2">
      <c r="E936" s="12" t="str">
        <f t="shared" si="14"/>
        <v/>
      </c>
    </row>
    <row r="937" spans="5:5" x14ac:dyDescent="0.2">
      <c r="E937" s="12" t="str">
        <f t="shared" si="14"/>
        <v/>
      </c>
    </row>
    <row r="938" spans="5:5" x14ac:dyDescent="0.2">
      <c r="E938" s="12" t="str">
        <f t="shared" si="14"/>
        <v/>
      </c>
    </row>
    <row r="939" spans="5:5" x14ac:dyDescent="0.2">
      <c r="E939" s="12" t="str">
        <f t="shared" si="14"/>
        <v/>
      </c>
    </row>
    <row r="940" spans="5:5" x14ac:dyDescent="0.2">
      <c r="E940" s="12" t="str">
        <f t="shared" si="14"/>
        <v/>
      </c>
    </row>
    <row r="941" spans="5:5" x14ac:dyDescent="0.2">
      <c r="E941" s="12" t="str">
        <f t="shared" si="14"/>
        <v/>
      </c>
    </row>
    <row r="942" spans="5:5" x14ac:dyDescent="0.2">
      <c r="E942" s="12" t="str">
        <f t="shared" si="14"/>
        <v/>
      </c>
    </row>
    <row r="943" spans="5:5" x14ac:dyDescent="0.2">
      <c r="E943" s="12" t="str">
        <f t="shared" si="14"/>
        <v/>
      </c>
    </row>
    <row r="944" spans="5:5" x14ac:dyDescent="0.2">
      <c r="E944" s="12" t="str">
        <f t="shared" si="14"/>
        <v/>
      </c>
    </row>
    <row r="945" spans="5:5" x14ac:dyDescent="0.2">
      <c r="E945" s="12" t="str">
        <f t="shared" si="14"/>
        <v/>
      </c>
    </row>
    <row r="946" spans="5:5" x14ac:dyDescent="0.2">
      <c r="E946" s="12" t="str">
        <f t="shared" si="14"/>
        <v/>
      </c>
    </row>
    <row r="947" spans="5:5" x14ac:dyDescent="0.2">
      <c r="E947" s="12" t="str">
        <f t="shared" si="14"/>
        <v/>
      </c>
    </row>
    <row r="948" spans="5:5" x14ac:dyDescent="0.2">
      <c r="E948" s="12" t="str">
        <f t="shared" si="14"/>
        <v/>
      </c>
    </row>
    <row r="949" spans="5:5" x14ac:dyDescent="0.2">
      <c r="E949" s="12" t="str">
        <f t="shared" si="14"/>
        <v/>
      </c>
    </row>
    <row r="950" spans="5:5" x14ac:dyDescent="0.2">
      <c r="E950" s="12" t="str">
        <f t="shared" si="14"/>
        <v/>
      </c>
    </row>
    <row r="951" spans="5:5" x14ac:dyDescent="0.2">
      <c r="E951" s="12" t="str">
        <f t="shared" si="14"/>
        <v/>
      </c>
    </row>
    <row r="952" spans="5:5" x14ac:dyDescent="0.2">
      <c r="E952" s="12" t="str">
        <f t="shared" si="14"/>
        <v/>
      </c>
    </row>
    <row r="953" spans="5:5" x14ac:dyDescent="0.2">
      <c r="E953" s="12" t="str">
        <f t="shared" si="14"/>
        <v/>
      </c>
    </row>
    <row r="954" spans="5:5" x14ac:dyDescent="0.2">
      <c r="E954" s="12" t="str">
        <f t="shared" si="14"/>
        <v/>
      </c>
    </row>
    <row r="955" spans="5:5" x14ac:dyDescent="0.2">
      <c r="E955" s="12" t="str">
        <f t="shared" si="14"/>
        <v/>
      </c>
    </row>
    <row r="956" spans="5:5" x14ac:dyDescent="0.2">
      <c r="E956" s="12" t="str">
        <f t="shared" si="14"/>
        <v/>
      </c>
    </row>
    <row r="957" spans="5:5" x14ac:dyDescent="0.2">
      <c r="E957" s="12" t="str">
        <f t="shared" si="14"/>
        <v/>
      </c>
    </row>
    <row r="958" spans="5:5" x14ac:dyDescent="0.2">
      <c r="E958" s="12" t="str">
        <f t="shared" si="14"/>
        <v/>
      </c>
    </row>
    <row r="959" spans="5:5" x14ac:dyDescent="0.2">
      <c r="E959" s="12" t="str">
        <f t="shared" si="14"/>
        <v/>
      </c>
    </row>
    <row r="960" spans="5:5" x14ac:dyDescent="0.2">
      <c r="E960" s="12" t="str">
        <f t="shared" si="14"/>
        <v/>
      </c>
    </row>
    <row r="961" spans="5:5" x14ac:dyDescent="0.2">
      <c r="E961" s="12" t="str">
        <f t="shared" si="14"/>
        <v/>
      </c>
    </row>
    <row r="962" spans="5:5" x14ac:dyDescent="0.2">
      <c r="E962" s="12" t="str">
        <f t="shared" ref="E962:E1001" si="15">IF(A962=0,"",VLOOKUP(B962,Unitweight,2,FALSE))</f>
        <v/>
      </c>
    </row>
    <row r="963" spans="5:5" x14ac:dyDescent="0.2">
      <c r="E963" s="12" t="str">
        <f t="shared" si="15"/>
        <v/>
      </c>
    </row>
    <row r="964" spans="5:5" x14ac:dyDescent="0.2">
      <c r="E964" s="12" t="str">
        <f t="shared" si="15"/>
        <v/>
      </c>
    </row>
    <row r="965" spans="5:5" x14ac:dyDescent="0.2">
      <c r="E965" s="12" t="str">
        <f t="shared" si="15"/>
        <v/>
      </c>
    </row>
    <row r="966" spans="5:5" x14ac:dyDescent="0.2">
      <c r="E966" s="12" t="str">
        <f t="shared" si="15"/>
        <v/>
      </c>
    </row>
    <row r="967" spans="5:5" x14ac:dyDescent="0.2">
      <c r="E967" s="12" t="str">
        <f t="shared" si="15"/>
        <v/>
      </c>
    </row>
    <row r="968" spans="5:5" x14ac:dyDescent="0.2">
      <c r="E968" s="12" t="str">
        <f t="shared" si="15"/>
        <v/>
      </c>
    </row>
    <row r="969" spans="5:5" x14ac:dyDescent="0.2">
      <c r="E969" s="12" t="str">
        <f t="shared" si="15"/>
        <v/>
      </c>
    </row>
    <row r="970" spans="5:5" x14ac:dyDescent="0.2">
      <c r="E970" s="12" t="str">
        <f t="shared" si="15"/>
        <v/>
      </c>
    </row>
    <row r="971" spans="5:5" x14ac:dyDescent="0.2">
      <c r="E971" s="12" t="str">
        <f t="shared" si="15"/>
        <v/>
      </c>
    </row>
    <row r="972" spans="5:5" x14ac:dyDescent="0.2">
      <c r="E972" s="12" t="str">
        <f t="shared" si="15"/>
        <v/>
      </c>
    </row>
    <row r="973" spans="5:5" x14ac:dyDescent="0.2">
      <c r="E973" s="12" t="str">
        <f t="shared" si="15"/>
        <v/>
      </c>
    </row>
    <row r="974" spans="5:5" x14ac:dyDescent="0.2">
      <c r="E974" s="12" t="str">
        <f t="shared" si="15"/>
        <v/>
      </c>
    </row>
    <row r="975" spans="5:5" x14ac:dyDescent="0.2">
      <c r="E975" s="12" t="str">
        <f t="shared" si="15"/>
        <v/>
      </c>
    </row>
    <row r="976" spans="5:5" x14ac:dyDescent="0.2">
      <c r="E976" s="12" t="str">
        <f t="shared" si="15"/>
        <v/>
      </c>
    </row>
    <row r="977" spans="5:5" x14ac:dyDescent="0.2">
      <c r="E977" s="12" t="str">
        <f t="shared" si="15"/>
        <v/>
      </c>
    </row>
    <row r="978" spans="5:5" x14ac:dyDescent="0.2">
      <c r="E978" s="12" t="str">
        <f t="shared" si="15"/>
        <v/>
      </c>
    </row>
    <row r="979" spans="5:5" x14ac:dyDescent="0.2">
      <c r="E979" s="12" t="str">
        <f t="shared" si="15"/>
        <v/>
      </c>
    </row>
    <row r="980" spans="5:5" x14ac:dyDescent="0.2">
      <c r="E980" s="12" t="str">
        <f t="shared" si="15"/>
        <v/>
      </c>
    </row>
    <row r="981" spans="5:5" x14ac:dyDescent="0.2">
      <c r="E981" s="12" t="str">
        <f t="shared" si="15"/>
        <v/>
      </c>
    </row>
    <row r="982" spans="5:5" x14ac:dyDescent="0.2">
      <c r="E982" s="12" t="str">
        <f t="shared" si="15"/>
        <v/>
      </c>
    </row>
    <row r="983" spans="5:5" x14ac:dyDescent="0.2">
      <c r="E983" s="12" t="str">
        <f t="shared" si="15"/>
        <v/>
      </c>
    </row>
    <row r="984" spans="5:5" x14ac:dyDescent="0.2">
      <c r="E984" s="12" t="str">
        <f t="shared" si="15"/>
        <v/>
      </c>
    </row>
    <row r="985" spans="5:5" x14ac:dyDescent="0.2">
      <c r="E985" s="12" t="str">
        <f t="shared" si="15"/>
        <v/>
      </c>
    </row>
    <row r="986" spans="5:5" x14ac:dyDescent="0.2">
      <c r="E986" s="12" t="str">
        <f t="shared" si="15"/>
        <v/>
      </c>
    </row>
    <row r="987" spans="5:5" x14ac:dyDescent="0.2">
      <c r="E987" s="12" t="str">
        <f t="shared" si="15"/>
        <v/>
      </c>
    </row>
    <row r="988" spans="5:5" x14ac:dyDescent="0.2">
      <c r="E988" s="12" t="str">
        <f t="shared" si="15"/>
        <v/>
      </c>
    </row>
    <row r="989" spans="5:5" x14ac:dyDescent="0.2">
      <c r="E989" s="12" t="str">
        <f t="shared" si="15"/>
        <v/>
      </c>
    </row>
    <row r="990" spans="5:5" x14ac:dyDescent="0.2">
      <c r="E990" s="12" t="str">
        <f t="shared" si="15"/>
        <v/>
      </c>
    </row>
    <row r="991" spans="5:5" x14ac:dyDescent="0.2">
      <c r="E991" s="12" t="str">
        <f t="shared" si="15"/>
        <v/>
      </c>
    </row>
    <row r="992" spans="5:5" x14ac:dyDescent="0.2">
      <c r="E992" s="12" t="str">
        <f t="shared" si="15"/>
        <v/>
      </c>
    </row>
    <row r="993" spans="5:5" x14ac:dyDescent="0.2">
      <c r="E993" s="12" t="str">
        <f t="shared" si="15"/>
        <v/>
      </c>
    </row>
    <row r="994" spans="5:5" x14ac:dyDescent="0.2">
      <c r="E994" s="12" t="str">
        <f t="shared" si="15"/>
        <v/>
      </c>
    </row>
    <row r="995" spans="5:5" x14ac:dyDescent="0.2">
      <c r="E995" s="12" t="str">
        <f t="shared" si="15"/>
        <v/>
      </c>
    </row>
    <row r="996" spans="5:5" x14ac:dyDescent="0.2">
      <c r="E996" s="12" t="str">
        <f t="shared" si="15"/>
        <v/>
      </c>
    </row>
    <row r="997" spans="5:5" x14ac:dyDescent="0.2">
      <c r="E997" s="12" t="str">
        <f t="shared" si="15"/>
        <v/>
      </c>
    </row>
    <row r="998" spans="5:5" x14ac:dyDescent="0.2">
      <c r="E998" s="12" t="str">
        <f t="shared" si="15"/>
        <v/>
      </c>
    </row>
    <row r="999" spans="5:5" x14ac:dyDescent="0.2">
      <c r="E999" s="12" t="str">
        <f t="shared" si="15"/>
        <v/>
      </c>
    </row>
    <row r="1000" spans="5:5" x14ac:dyDescent="0.2">
      <c r="E1000" s="12" t="str">
        <f t="shared" si="15"/>
        <v/>
      </c>
    </row>
    <row r="1001" spans="5:5" x14ac:dyDescent="0.2">
      <c r="E1001" s="12" t="str">
        <f t="shared" si="15"/>
        <v/>
      </c>
    </row>
  </sheetData>
  <dataValidations xWindow="1021" yWindow="300" count="8">
    <dataValidation type="list" allowBlank="1" showInputMessage="1" showErrorMessage="1" error="Choose from the list" prompt="Choose material type" sqref="B2:B1048576" xr:uid="{8A7AE75F-F0F5-401B-AB5A-3C7D73EF319C}">
      <formula1>Mat_Type</formula1>
    </dataValidation>
    <dataValidation allowBlank="1" showInputMessage="1" showErrorMessage="1" prompt="Material name. User input" sqref="A2:A1048576" xr:uid="{0D02A1B6-6562-4D7E-BB66-B473007FC230}"/>
    <dataValidation allowBlank="1" showInputMessage="1" showErrorMessage="1" prompt="fc: Compressive strength of Concrete_x000a__x000a_Notes:_x000a_1. Fill 0.0 value if it is not related_x000a_2. Value should follow Default Units" sqref="F2:F1048576" xr:uid="{C16E11D8-CD64-4FF0-834E-7F56220BB74D}"/>
    <dataValidation allowBlank="1" showInputMessage="1" showErrorMessage="1" prompt="fy: Yield strength of steel/rebar_x000a__x000a_Notes:_x000a_1. Fill 0.0 value if it is not related_x000a_2. Value should follow Default Units" sqref="G2:G1048576" xr:uid="{22ED5573-7382-4DCA-B963-13801F2ED107}"/>
    <dataValidation allowBlank="1" showInputMessage="1" showErrorMessage="1" prompt="fu: Ultimate tensile strength of steel/rebar_x000a__x000a_Notes:_x000a_1. Fill 0.0 value if it is not related_x000a_2. Value should follow Default Units" sqref="H2:H1048576" xr:uid="{25F34B39-7A2A-4B73-AACE-AB47C4208630}"/>
    <dataValidation allowBlank="1" showInputMessage="1" showErrorMessage="1" prompt="E: Modulus of elasticity_x000a__x000a_Notes:_x000a_1. Value should follow Default Units" sqref="C2:C1048576" xr:uid="{C0E5EA99-212B-4E7F-996D-1A9934749E3C}"/>
    <dataValidation allowBlank="1" showInputMessage="1" showErrorMessage="1" prompt="nu: Poisson's ratio" sqref="D2:D1048576" xr:uid="{50B958AF-0426-4061-BE78-382DDED5A4AF}"/>
    <dataValidation allowBlank="1" showInputMessage="1" showErrorMessage="1" prompt="Unitweight of material. Automatically filled based on choosen material. Look UnitweightDB Sheet to edit." sqref="E2:E1048576" xr:uid="{9E2E7945-FEDF-483D-A81E-ABADD2C22B7A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01"/>
  <sheetViews>
    <sheetView zoomScale="130" zoomScaleNormal="130" workbookViewId="0">
      <selection activeCell="J2" sqref="J2"/>
    </sheetView>
  </sheetViews>
  <sheetFormatPr baseColWidth="10" defaultColWidth="8.83203125" defaultRowHeight="16" x14ac:dyDescent="0.2"/>
  <cols>
    <col min="1" max="4" width="20.83203125" style="8" customWidth="1"/>
    <col min="5" max="5" width="10.83203125" style="12" customWidth="1"/>
    <col min="6" max="7" width="10.83203125" style="13" customWidth="1"/>
    <col min="8" max="8" width="15.83203125" style="12" customWidth="1"/>
    <col min="9" max="9" width="10.83203125" style="12" customWidth="1"/>
    <col min="10" max="10" width="10.83203125" style="13" customWidth="1"/>
    <col min="11" max="11" width="10.83203125" style="12" customWidth="1"/>
    <col min="12" max="16384" width="8.83203125" style="11"/>
  </cols>
  <sheetData>
    <row r="1" spans="1:11" s="9" customFormat="1" x14ac:dyDescent="0.2">
      <c r="A1" s="9" t="s">
        <v>11</v>
      </c>
      <c r="B1" s="9" t="s">
        <v>19</v>
      </c>
      <c r="C1" s="9" t="s">
        <v>9</v>
      </c>
      <c r="D1" s="9" t="s">
        <v>20</v>
      </c>
      <c r="E1" s="9" t="s">
        <v>12</v>
      </c>
      <c r="F1" s="9" t="s">
        <v>21</v>
      </c>
      <c r="G1" s="9" t="s">
        <v>22</v>
      </c>
      <c r="H1" s="9" t="s">
        <v>15</v>
      </c>
      <c r="I1" s="9" t="s">
        <v>23</v>
      </c>
      <c r="J1" s="9" t="s">
        <v>24</v>
      </c>
      <c r="K1" s="9" t="s">
        <v>25</v>
      </c>
    </row>
    <row r="2" spans="1:11" x14ac:dyDescent="0.2">
      <c r="A2" s="8" t="s">
        <v>26</v>
      </c>
      <c r="B2" s="8" t="s">
        <v>17</v>
      </c>
      <c r="C2" s="8" t="str">
        <f t="shared" ref="C2:C65" si="0">IF(A2=0,"",VLOOKUP(B2,MatDB,2,FALSE))</f>
        <v>Concrete</v>
      </c>
      <c r="D2" s="8" t="str">
        <f>IF(A2=0,"","Concrete04")</f>
        <v>Concrete04</v>
      </c>
      <c r="E2" s="12">
        <f>30*1000</f>
        <v>30000</v>
      </c>
      <c r="F2" s="13">
        <v>2E-3</v>
      </c>
      <c r="G2" s="13">
        <v>5.0000000000000001E-3</v>
      </c>
      <c r="H2" s="12" t="e">
        <f>IF(A2=0,"",VLOOKUP(B2,Materials!$A$2:$E$1001,6,FALSE))</f>
        <v>#REF!</v>
      </c>
      <c r="I2" s="12">
        <f>0.62*SQRT(E2/1000)*1000</f>
        <v>3395.8798565320299</v>
      </c>
      <c r="J2" s="13">
        <v>0</v>
      </c>
      <c r="K2" s="12">
        <v>0.2</v>
      </c>
    </row>
    <row r="3" spans="1:11" x14ac:dyDescent="0.2">
      <c r="A3" s="8" t="s">
        <v>27</v>
      </c>
      <c r="B3" s="8" t="s">
        <v>17</v>
      </c>
      <c r="C3" s="8" t="str">
        <f t="shared" si="0"/>
        <v>Concrete</v>
      </c>
      <c r="D3" s="8" t="str">
        <f t="shared" ref="D3:D66" si="1">IF(A3=0,"","Concrete04")</f>
        <v>Concrete04</v>
      </c>
      <c r="E3" s="12">
        <f>47.2156312521873*1000</f>
        <v>47215.631252187297</v>
      </c>
      <c r="F3" s="13">
        <v>7.7385437507291001E-3</v>
      </c>
      <c r="G3" s="13">
        <v>2.2428475272193799E-2</v>
      </c>
      <c r="H3" s="12" t="e">
        <f>IF(A3=0,"",VLOOKUP(B3,Materials!$A$2:$E$1001,6,FALSE))</f>
        <v>#REF!</v>
      </c>
      <c r="I3" s="12">
        <f>0.62*SQRT(E2/1000)*1000</f>
        <v>3395.8798565320299</v>
      </c>
      <c r="J3" s="13">
        <v>0</v>
      </c>
      <c r="K3" s="12">
        <v>0.2</v>
      </c>
    </row>
    <row r="4" spans="1:11" x14ac:dyDescent="0.2">
      <c r="C4" s="8" t="str">
        <f t="shared" si="0"/>
        <v/>
      </c>
      <c r="D4" s="8" t="str">
        <f t="shared" si="1"/>
        <v/>
      </c>
      <c r="H4" s="12" t="str">
        <f>IF(A4=0,"",VLOOKUP(B4,Materials!$A$2:$E$1001,6,FALSE))</f>
        <v/>
      </c>
    </row>
    <row r="5" spans="1:11" x14ac:dyDescent="0.2">
      <c r="C5" s="8" t="str">
        <f t="shared" si="0"/>
        <v/>
      </c>
      <c r="D5" s="8" t="str">
        <f t="shared" si="1"/>
        <v/>
      </c>
      <c r="H5" s="12" t="str">
        <f>IF(A5=0,"",VLOOKUP(B5,Materials!$A$2:$E$1001,6,FALSE))</f>
        <v/>
      </c>
    </row>
    <row r="6" spans="1:11" x14ac:dyDescent="0.2">
      <c r="C6" s="8" t="str">
        <f t="shared" si="0"/>
        <v/>
      </c>
      <c r="D6" s="8" t="str">
        <f t="shared" si="1"/>
        <v/>
      </c>
      <c r="H6" s="12" t="str">
        <f>IF(A6=0,"",VLOOKUP(B6,Materials!$A$2:$E$1001,6,FALSE))</f>
        <v/>
      </c>
    </row>
    <row r="7" spans="1:11" x14ac:dyDescent="0.2">
      <c r="C7" s="8" t="str">
        <f t="shared" si="0"/>
        <v/>
      </c>
      <c r="D7" s="8" t="str">
        <f t="shared" si="1"/>
        <v/>
      </c>
      <c r="H7" s="12" t="str">
        <f>IF(A7=0,"",VLOOKUP(B7,Materials!$A$2:$E$1001,6,FALSE))</f>
        <v/>
      </c>
    </row>
    <row r="8" spans="1:11" x14ac:dyDescent="0.2">
      <c r="C8" s="8" t="str">
        <f t="shared" si="0"/>
        <v/>
      </c>
      <c r="D8" s="8" t="str">
        <f t="shared" si="1"/>
        <v/>
      </c>
      <c r="H8" s="12" t="str">
        <f>IF(A8=0,"",VLOOKUP(B8,Materials!$A$2:$E$1001,6,FALSE))</f>
        <v/>
      </c>
    </row>
    <row r="9" spans="1:11" x14ac:dyDescent="0.2">
      <c r="C9" s="8" t="str">
        <f t="shared" si="0"/>
        <v/>
      </c>
      <c r="D9" s="8" t="str">
        <f t="shared" si="1"/>
        <v/>
      </c>
      <c r="H9" s="12" t="str">
        <f>IF(A9=0,"",VLOOKUP(B9,Materials!$A$2:$E$1001,6,FALSE))</f>
        <v/>
      </c>
    </row>
    <row r="10" spans="1:11" x14ac:dyDescent="0.2">
      <c r="C10" s="8" t="str">
        <f t="shared" si="0"/>
        <v/>
      </c>
      <c r="D10" s="8" t="str">
        <f t="shared" si="1"/>
        <v/>
      </c>
      <c r="H10" s="12" t="str">
        <f>IF(A10=0,"",VLOOKUP(B10,Materials!$A$2:$E$1001,6,FALSE))</f>
        <v/>
      </c>
    </row>
    <row r="11" spans="1:11" x14ac:dyDescent="0.2">
      <c r="C11" s="8" t="str">
        <f t="shared" si="0"/>
        <v/>
      </c>
      <c r="D11" s="8" t="str">
        <f t="shared" si="1"/>
        <v/>
      </c>
      <c r="H11" s="12" t="str">
        <f>IF(A11=0,"",VLOOKUP(B11,Materials!$A$2:$E$1001,6,FALSE))</f>
        <v/>
      </c>
    </row>
    <row r="12" spans="1:11" x14ac:dyDescent="0.2">
      <c r="C12" s="8" t="str">
        <f t="shared" si="0"/>
        <v/>
      </c>
      <c r="D12" s="8" t="str">
        <f t="shared" si="1"/>
        <v/>
      </c>
      <c r="H12" s="12" t="str">
        <f>IF(A12=0,"",VLOOKUP(B12,Materials!$A$2:$E$1001,6,FALSE))</f>
        <v/>
      </c>
    </row>
    <row r="13" spans="1:11" x14ac:dyDescent="0.2">
      <c r="C13" s="8" t="str">
        <f t="shared" si="0"/>
        <v/>
      </c>
      <c r="D13" s="8" t="str">
        <f t="shared" si="1"/>
        <v/>
      </c>
      <c r="H13" s="12" t="str">
        <f>IF(A13=0,"",VLOOKUP(B13,Materials!$A$2:$E$1001,6,FALSE))</f>
        <v/>
      </c>
    </row>
    <row r="14" spans="1:11" x14ac:dyDescent="0.2">
      <c r="C14" s="8" t="str">
        <f t="shared" si="0"/>
        <v/>
      </c>
      <c r="D14" s="8" t="str">
        <f t="shared" si="1"/>
        <v/>
      </c>
      <c r="H14" s="12" t="str">
        <f>IF(A14=0,"",VLOOKUP(B14,Materials!$A$2:$E$1001,6,FALSE))</f>
        <v/>
      </c>
    </row>
    <row r="15" spans="1:11" x14ac:dyDescent="0.2">
      <c r="C15" s="8" t="str">
        <f t="shared" si="0"/>
        <v/>
      </c>
      <c r="D15" s="8" t="str">
        <f t="shared" si="1"/>
        <v/>
      </c>
      <c r="H15" s="12" t="str">
        <f>IF(A15=0,"",VLOOKUP(B15,Materials!$A$2:$E$1001,6,FALSE))</f>
        <v/>
      </c>
    </row>
    <row r="16" spans="1:11" x14ac:dyDescent="0.2">
      <c r="C16" s="8" t="str">
        <f t="shared" si="0"/>
        <v/>
      </c>
      <c r="D16" s="8" t="str">
        <f t="shared" si="1"/>
        <v/>
      </c>
      <c r="H16" s="12" t="str">
        <f>IF(A16=0,"",VLOOKUP(B16,Materials!$A$2:$E$1001,6,FALSE))</f>
        <v/>
      </c>
    </row>
    <row r="17" spans="3:8" x14ac:dyDescent="0.2">
      <c r="C17" s="8" t="str">
        <f t="shared" si="0"/>
        <v/>
      </c>
      <c r="D17" s="8" t="str">
        <f t="shared" si="1"/>
        <v/>
      </c>
      <c r="H17" s="12" t="str">
        <f>IF(A17=0,"",VLOOKUP(B17,Materials!$A$2:$E$1001,6,FALSE))</f>
        <v/>
      </c>
    </row>
    <row r="18" spans="3:8" x14ac:dyDescent="0.2">
      <c r="C18" s="8" t="str">
        <f t="shared" si="0"/>
        <v/>
      </c>
      <c r="D18" s="8" t="str">
        <f t="shared" si="1"/>
        <v/>
      </c>
      <c r="H18" s="12" t="str">
        <f>IF(A18=0,"",VLOOKUP(B18,Materials!$A$2:$E$1001,6,FALSE))</f>
        <v/>
      </c>
    </row>
    <row r="19" spans="3:8" x14ac:dyDescent="0.2">
      <c r="C19" s="8" t="str">
        <f t="shared" si="0"/>
        <v/>
      </c>
      <c r="D19" s="8" t="str">
        <f t="shared" si="1"/>
        <v/>
      </c>
      <c r="H19" s="12" t="str">
        <f>IF(A19=0,"",VLOOKUP(B19,Materials!$A$2:$E$1001,6,FALSE))</f>
        <v/>
      </c>
    </row>
    <row r="20" spans="3:8" x14ac:dyDescent="0.2">
      <c r="C20" s="8" t="str">
        <f t="shared" si="0"/>
        <v/>
      </c>
      <c r="D20" s="8" t="str">
        <f t="shared" si="1"/>
        <v/>
      </c>
      <c r="H20" s="12" t="str">
        <f>IF(A20=0,"",VLOOKUP(B20,Materials!$A$2:$E$1001,6,FALSE))</f>
        <v/>
      </c>
    </row>
    <row r="21" spans="3:8" x14ac:dyDescent="0.2">
      <c r="C21" s="8" t="str">
        <f t="shared" si="0"/>
        <v/>
      </c>
      <c r="D21" s="8" t="str">
        <f t="shared" si="1"/>
        <v/>
      </c>
      <c r="H21" s="12" t="str">
        <f>IF(A21=0,"",VLOOKUP(B21,Materials!$A$2:$E$1001,6,FALSE))</f>
        <v/>
      </c>
    </row>
    <row r="22" spans="3:8" x14ac:dyDescent="0.2">
      <c r="C22" s="8" t="str">
        <f t="shared" si="0"/>
        <v/>
      </c>
      <c r="D22" s="8" t="str">
        <f t="shared" si="1"/>
        <v/>
      </c>
      <c r="H22" s="12" t="str">
        <f>IF(A22=0,"",VLOOKUP(B22,Materials!$A$2:$E$1001,6,FALSE))</f>
        <v/>
      </c>
    </row>
    <row r="23" spans="3:8" x14ac:dyDescent="0.2">
      <c r="C23" s="8" t="str">
        <f t="shared" si="0"/>
        <v/>
      </c>
      <c r="D23" s="8" t="str">
        <f t="shared" si="1"/>
        <v/>
      </c>
      <c r="H23" s="12" t="str">
        <f>IF(A23=0,"",VLOOKUP(B23,Materials!$A$2:$E$1001,6,FALSE))</f>
        <v/>
      </c>
    </row>
    <row r="24" spans="3:8" x14ac:dyDescent="0.2">
      <c r="C24" s="8" t="str">
        <f t="shared" si="0"/>
        <v/>
      </c>
      <c r="D24" s="8" t="str">
        <f t="shared" si="1"/>
        <v/>
      </c>
      <c r="H24" s="12" t="str">
        <f>IF(A24=0,"",VLOOKUP(B24,Materials!$A$2:$E$1001,6,FALSE))</f>
        <v/>
      </c>
    </row>
    <row r="25" spans="3:8" x14ac:dyDescent="0.2">
      <c r="C25" s="8" t="str">
        <f t="shared" si="0"/>
        <v/>
      </c>
      <c r="D25" s="8" t="str">
        <f t="shared" si="1"/>
        <v/>
      </c>
      <c r="H25" s="12" t="str">
        <f>IF(A25=0,"",VLOOKUP(B25,Materials!$A$2:$E$1001,6,FALSE))</f>
        <v/>
      </c>
    </row>
    <row r="26" spans="3:8" x14ac:dyDescent="0.2">
      <c r="C26" s="8" t="str">
        <f t="shared" si="0"/>
        <v/>
      </c>
      <c r="D26" s="8" t="str">
        <f t="shared" si="1"/>
        <v/>
      </c>
      <c r="H26" s="12" t="str">
        <f>IF(A26=0,"",VLOOKUP(B26,Materials!$A$2:$E$1001,6,FALSE))</f>
        <v/>
      </c>
    </row>
    <row r="27" spans="3:8" x14ac:dyDescent="0.2">
      <c r="C27" s="8" t="str">
        <f t="shared" si="0"/>
        <v/>
      </c>
      <c r="D27" s="8" t="str">
        <f t="shared" si="1"/>
        <v/>
      </c>
      <c r="H27" s="12" t="str">
        <f>IF(A27=0,"",VLOOKUP(B27,Materials!$A$2:$E$1001,6,FALSE))</f>
        <v/>
      </c>
    </row>
    <row r="28" spans="3:8" x14ac:dyDescent="0.2">
      <c r="C28" s="8" t="str">
        <f t="shared" si="0"/>
        <v/>
      </c>
      <c r="D28" s="8" t="str">
        <f t="shared" si="1"/>
        <v/>
      </c>
      <c r="H28" s="12" t="str">
        <f>IF(A28=0,"",VLOOKUP(B28,Materials!$A$2:$E$1001,6,FALSE))</f>
        <v/>
      </c>
    </row>
    <row r="29" spans="3:8" x14ac:dyDescent="0.2">
      <c r="C29" s="8" t="str">
        <f t="shared" si="0"/>
        <v/>
      </c>
      <c r="D29" s="8" t="str">
        <f t="shared" si="1"/>
        <v/>
      </c>
      <c r="H29" s="12" t="str">
        <f>IF(A29=0,"",VLOOKUP(B29,Materials!$A$2:$E$1001,6,FALSE))</f>
        <v/>
      </c>
    </row>
    <row r="30" spans="3:8" x14ac:dyDescent="0.2">
      <c r="C30" s="8" t="str">
        <f t="shared" si="0"/>
        <v/>
      </c>
      <c r="D30" s="8" t="str">
        <f t="shared" si="1"/>
        <v/>
      </c>
      <c r="H30" s="12" t="str">
        <f>IF(A30=0,"",VLOOKUP(B30,Materials!$A$2:$E$1001,6,FALSE))</f>
        <v/>
      </c>
    </row>
    <row r="31" spans="3:8" x14ac:dyDescent="0.2">
      <c r="C31" s="8" t="str">
        <f t="shared" si="0"/>
        <v/>
      </c>
      <c r="D31" s="8" t="str">
        <f t="shared" si="1"/>
        <v/>
      </c>
      <c r="H31" s="12" t="str">
        <f>IF(A31=0,"",VLOOKUP(B31,Materials!$A$2:$E$1001,6,FALSE))</f>
        <v/>
      </c>
    </row>
    <row r="32" spans="3:8" x14ac:dyDescent="0.2">
      <c r="C32" s="8" t="str">
        <f t="shared" si="0"/>
        <v/>
      </c>
      <c r="D32" s="8" t="str">
        <f t="shared" si="1"/>
        <v/>
      </c>
      <c r="H32" s="12" t="str">
        <f>IF(A32=0,"",VLOOKUP(B32,Materials!$A$2:$E$1001,6,FALSE))</f>
        <v/>
      </c>
    </row>
    <row r="33" spans="3:8" x14ac:dyDescent="0.2">
      <c r="C33" s="8" t="str">
        <f t="shared" si="0"/>
        <v/>
      </c>
      <c r="D33" s="8" t="str">
        <f t="shared" si="1"/>
        <v/>
      </c>
      <c r="H33" s="12" t="str">
        <f>IF(A33=0,"",VLOOKUP(B33,Materials!$A$2:$E$1001,6,FALSE))</f>
        <v/>
      </c>
    </row>
    <row r="34" spans="3:8" x14ac:dyDescent="0.2">
      <c r="C34" s="8" t="str">
        <f t="shared" si="0"/>
        <v/>
      </c>
      <c r="D34" s="8" t="str">
        <f t="shared" si="1"/>
        <v/>
      </c>
      <c r="H34" s="12" t="str">
        <f>IF(A34=0,"",VLOOKUP(B34,Materials!$A$2:$E$1001,6,FALSE))</f>
        <v/>
      </c>
    </row>
    <row r="35" spans="3:8" x14ac:dyDescent="0.2">
      <c r="C35" s="8" t="str">
        <f t="shared" si="0"/>
        <v/>
      </c>
      <c r="D35" s="8" t="str">
        <f t="shared" si="1"/>
        <v/>
      </c>
      <c r="H35" s="12" t="str">
        <f>IF(A35=0,"",VLOOKUP(B35,Materials!$A$2:$E$1001,6,FALSE))</f>
        <v/>
      </c>
    </row>
    <row r="36" spans="3:8" x14ac:dyDescent="0.2">
      <c r="C36" s="8" t="str">
        <f t="shared" si="0"/>
        <v/>
      </c>
      <c r="D36" s="8" t="str">
        <f t="shared" si="1"/>
        <v/>
      </c>
      <c r="H36" s="12" t="str">
        <f>IF(A36=0,"",VLOOKUP(B36,Materials!$A$2:$E$1001,6,FALSE))</f>
        <v/>
      </c>
    </row>
    <row r="37" spans="3:8" x14ac:dyDescent="0.2">
      <c r="C37" s="8" t="str">
        <f t="shared" si="0"/>
        <v/>
      </c>
      <c r="D37" s="8" t="str">
        <f t="shared" si="1"/>
        <v/>
      </c>
      <c r="H37" s="12" t="str">
        <f>IF(A37=0,"",VLOOKUP(B37,Materials!$A$2:$E$1001,6,FALSE))</f>
        <v/>
      </c>
    </row>
    <row r="38" spans="3:8" x14ac:dyDescent="0.2">
      <c r="C38" s="8" t="str">
        <f t="shared" si="0"/>
        <v/>
      </c>
      <c r="D38" s="8" t="str">
        <f t="shared" si="1"/>
        <v/>
      </c>
      <c r="H38" s="12" t="str">
        <f>IF(A38=0,"",VLOOKUP(B38,Materials!$A$2:$E$1001,6,FALSE))</f>
        <v/>
      </c>
    </row>
    <row r="39" spans="3:8" x14ac:dyDescent="0.2">
      <c r="C39" s="8" t="str">
        <f t="shared" si="0"/>
        <v/>
      </c>
      <c r="D39" s="8" t="str">
        <f t="shared" si="1"/>
        <v/>
      </c>
      <c r="H39" s="12" t="str">
        <f>IF(A39=0,"",VLOOKUP(B39,Materials!$A$2:$E$1001,6,FALSE))</f>
        <v/>
      </c>
    </row>
    <row r="40" spans="3:8" x14ac:dyDescent="0.2">
      <c r="C40" s="8" t="str">
        <f t="shared" si="0"/>
        <v/>
      </c>
      <c r="D40" s="8" t="str">
        <f t="shared" si="1"/>
        <v/>
      </c>
      <c r="H40" s="12" t="str">
        <f>IF(A40=0,"",VLOOKUP(B40,Materials!$A$2:$E$1001,6,FALSE))</f>
        <v/>
      </c>
    </row>
    <row r="41" spans="3:8" x14ac:dyDescent="0.2">
      <c r="C41" s="8" t="str">
        <f t="shared" si="0"/>
        <v/>
      </c>
      <c r="D41" s="8" t="str">
        <f t="shared" si="1"/>
        <v/>
      </c>
      <c r="H41" s="12" t="str">
        <f>IF(A41=0,"",VLOOKUP(B41,Materials!$A$2:$E$1001,6,FALSE))</f>
        <v/>
      </c>
    </row>
    <row r="42" spans="3:8" x14ac:dyDescent="0.2">
      <c r="C42" s="8" t="str">
        <f t="shared" si="0"/>
        <v/>
      </c>
      <c r="D42" s="8" t="str">
        <f t="shared" si="1"/>
        <v/>
      </c>
      <c r="H42" s="12" t="str">
        <f>IF(A42=0,"",VLOOKUP(B42,Materials!$A$2:$E$1001,6,FALSE))</f>
        <v/>
      </c>
    </row>
    <row r="43" spans="3:8" x14ac:dyDescent="0.2">
      <c r="C43" s="8" t="str">
        <f t="shared" si="0"/>
        <v/>
      </c>
      <c r="D43" s="8" t="str">
        <f t="shared" si="1"/>
        <v/>
      </c>
      <c r="H43" s="12" t="str">
        <f>IF(A43=0,"",VLOOKUP(B43,Materials!$A$2:$E$1001,6,FALSE))</f>
        <v/>
      </c>
    </row>
    <row r="44" spans="3:8" x14ac:dyDescent="0.2">
      <c r="C44" s="8" t="str">
        <f t="shared" si="0"/>
        <v/>
      </c>
      <c r="D44" s="8" t="str">
        <f t="shared" si="1"/>
        <v/>
      </c>
      <c r="H44" s="12" t="str">
        <f>IF(A44=0,"",VLOOKUP(B44,Materials!$A$2:$E$1001,6,FALSE))</f>
        <v/>
      </c>
    </row>
    <row r="45" spans="3:8" x14ac:dyDescent="0.2">
      <c r="C45" s="8" t="str">
        <f t="shared" si="0"/>
        <v/>
      </c>
      <c r="D45" s="8" t="str">
        <f t="shared" si="1"/>
        <v/>
      </c>
      <c r="H45" s="12" t="str">
        <f>IF(A45=0,"",VLOOKUP(B45,Materials!$A$2:$E$1001,6,FALSE))</f>
        <v/>
      </c>
    </row>
    <row r="46" spans="3:8" x14ac:dyDescent="0.2">
      <c r="C46" s="8" t="str">
        <f t="shared" si="0"/>
        <v/>
      </c>
      <c r="D46" s="8" t="str">
        <f t="shared" si="1"/>
        <v/>
      </c>
      <c r="H46" s="12" t="str">
        <f>IF(A46=0,"",VLOOKUP(B46,Materials!$A$2:$E$1001,6,FALSE))</f>
        <v/>
      </c>
    </row>
    <row r="47" spans="3:8" x14ac:dyDescent="0.2">
      <c r="C47" s="8" t="str">
        <f t="shared" si="0"/>
        <v/>
      </c>
      <c r="D47" s="8" t="str">
        <f t="shared" si="1"/>
        <v/>
      </c>
      <c r="H47" s="12" t="str">
        <f>IF(A47=0,"",VLOOKUP(B47,Materials!$A$2:$E$1001,6,FALSE))</f>
        <v/>
      </c>
    </row>
    <row r="48" spans="3:8" x14ac:dyDescent="0.2">
      <c r="C48" s="8" t="str">
        <f t="shared" si="0"/>
        <v/>
      </c>
      <c r="D48" s="8" t="str">
        <f t="shared" si="1"/>
        <v/>
      </c>
      <c r="H48" s="12" t="str">
        <f>IF(A48=0,"",VLOOKUP(B48,Materials!$A$2:$E$1001,6,FALSE))</f>
        <v/>
      </c>
    </row>
    <row r="49" spans="3:8" x14ac:dyDescent="0.2">
      <c r="C49" s="8" t="str">
        <f t="shared" si="0"/>
        <v/>
      </c>
      <c r="D49" s="8" t="str">
        <f t="shared" si="1"/>
        <v/>
      </c>
      <c r="H49" s="12" t="str">
        <f>IF(A49=0,"",VLOOKUP(B49,Materials!$A$2:$E$1001,6,FALSE))</f>
        <v/>
      </c>
    </row>
    <row r="50" spans="3:8" x14ac:dyDescent="0.2">
      <c r="C50" s="8" t="str">
        <f t="shared" si="0"/>
        <v/>
      </c>
      <c r="D50" s="8" t="str">
        <f t="shared" si="1"/>
        <v/>
      </c>
      <c r="H50" s="12" t="str">
        <f>IF(A50=0,"",VLOOKUP(B50,Materials!$A$2:$E$1001,6,FALSE))</f>
        <v/>
      </c>
    </row>
    <row r="51" spans="3:8" x14ac:dyDescent="0.2">
      <c r="C51" s="8" t="str">
        <f t="shared" si="0"/>
        <v/>
      </c>
      <c r="D51" s="8" t="str">
        <f t="shared" si="1"/>
        <v/>
      </c>
      <c r="H51" s="12" t="str">
        <f>IF(A51=0,"",VLOOKUP(B51,Materials!$A$2:$E$1001,6,FALSE))</f>
        <v/>
      </c>
    </row>
    <row r="52" spans="3:8" x14ac:dyDescent="0.2">
      <c r="C52" s="8" t="str">
        <f t="shared" si="0"/>
        <v/>
      </c>
      <c r="D52" s="8" t="str">
        <f t="shared" si="1"/>
        <v/>
      </c>
      <c r="H52" s="12" t="str">
        <f>IF(A52=0,"",VLOOKUP(B52,Materials!$A$2:$E$1001,6,FALSE))</f>
        <v/>
      </c>
    </row>
    <row r="53" spans="3:8" x14ac:dyDescent="0.2">
      <c r="C53" s="8" t="str">
        <f t="shared" si="0"/>
        <v/>
      </c>
      <c r="D53" s="8" t="str">
        <f t="shared" si="1"/>
        <v/>
      </c>
      <c r="H53" s="12" t="str">
        <f>IF(A53=0,"",VLOOKUP(B53,Materials!$A$2:$E$1001,6,FALSE))</f>
        <v/>
      </c>
    </row>
    <row r="54" spans="3:8" x14ac:dyDescent="0.2">
      <c r="C54" s="8" t="str">
        <f t="shared" si="0"/>
        <v/>
      </c>
      <c r="D54" s="8" t="str">
        <f t="shared" si="1"/>
        <v/>
      </c>
      <c r="H54" s="12" t="str">
        <f>IF(A54=0,"",VLOOKUP(B54,Materials!$A$2:$E$1001,6,FALSE))</f>
        <v/>
      </c>
    </row>
    <row r="55" spans="3:8" x14ac:dyDescent="0.2">
      <c r="C55" s="8" t="str">
        <f t="shared" si="0"/>
        <v/>
      </c>
      <c r="D55" s="8" t="str">
        <f t="shared" si="1"/>
        <v/>
      </c>
      <c r="H55" s="12" t="str">
        <f>IF(A55=0,"",VLOOKUP(B55,Materials!$A$2:$E$1001,6,FALSE))</f>
        <v/>
      </c>
    </row>
    <row r="56" spans="3:8" x14ac:dyDescent="0.2">
      <c r="C56" s="8" t="str">
        <f t="shared" si="0"/>
        <v/>
      </c>
      <c r="D56" s="8" t="str">
        <f t="shared" si="1"/>
        <v/>
      </c>
      <c r="H56" s="12" t="str">
        <f>IF(A56=0,"",VLOOKUP(B56,Materials!$A$2:$E$1001,6,FALSE))</f>
        <v/>
      </c>
    </row>
    <row r="57" spans="3:8" x14ac:dyDescent="0.2">
      <c r="C57" s="8" t="str">
        <f t="shared" si="0"/>
        <v/>
      </c>
      <c r="D57" s="8" t="str">
        <f t="shared" si="1"/>
        <v/>
      </c>
      <c r="H57" s="12" t="str">
        <f>IF(A57=0,"",VLOOKUP(B57,Materials!$A$2:$E$1001,6,FALSE))</f>
        <v/>
      </c>
    </row>
    <row r="58" spans="3:8" x14ac:dyDescent="0.2">
      <c r="C58" s="8" t="str">
        <f t="shared" si="0"/>
        <v/>
      </c>
      <c r="D58" s="8" t="str">
        <f t="shared" si="1"/>
        <v/>
      </c>
      <c r="H58" s="12" t="str">
        <f>IF(A58=0,"",VLOOKUP(B58,Materials!$A$2:$E$1001,6,FALSE))</f>
        <v/>
      </c>
    </row>
    <row r="59" spans="3:8" x14ac:dyDescent="0.2">
      <c r="C59" s="8" t="str">
        <f t="shared" si="0"/>
        <v/>
      </c>
      <c r="D59" s="8" t="str">
        <f t="shared" si="1"/>
        <v/>
      </c>
      <c r="H59" s="12" t="str">
        <f>IF(A59=0,"",VLOOKUP(B59,Materials!$A$2:$E$1001,6,FALSE))</f>
        <v/>
      </c>
    </row>
    <row r="60" spans="3:8" x14ac:dyDescent="0.2">
      <c r="C60" s="8" t="str">
        <f t="shared" si="0"/>
        <v/>
      </c>
      <c r="D60" s="8" t="str">
        <f t="shared" si="1"/>
        <v/>
      </c>
      <c r="H60" s="12" t="str">
        <f>IF(A60=0,"",VLOOKUP(B60,Materials!$A$2:$E$1001,6,FALSE))</f>
        <v/>
      </c>
    </row>
    <row r="61" spans="3:8" x14ac:dyDescent="0.2">
      <c r="C61" s="8" t="str">
        <f t="shared" si="0"/>
        <v/>
      </c>
      <c r="D61" s="8" t="str">
        <f t="shared" si="1"/>
        <v/>
      </c>
      <c r="H61" s="12" t="str">
        <f>IF(A61=0,"",VLOOKUP(B61,Materials!$A$2:$E$1001,6,FALSE))</f>
        <v/>
      </c>
    </row>
    <row r="62" spans="3:8" x14ac:dyDescent="0.2">
      <c r="C62" s="8" t="str">
        <f t="shared" si="0"/>
        <v/>
      </c>
      <c r="D62" s="8" t="str">
        <f t="shared" si="1"/>
        <v/>
      </c>
      <c r="H62" s="12" t="str">
        <f>IF(A62=0,"",VLOOKUP(B62,Materials!$A$2:$E$1001,6,FALSE))</f>
        <v/>
      </c>
    </row>
    <row r="63" spans="3:8" x14ac:dyDescent="0.2">
      <c r="C63" s="8" t="str">
        <f t="shared" si="0"/>
        <v/>
      </c>
      <c r="D63" s="8" t="str">
        <f t="shared" si="1"/>
        <v/>
      </c>
      <c r="H63" s="12" t="str">
        <f>IF(A63=0,"",VLOOKUP(B63,Materials!$A$2:$E$1001,6,FALSE))</f>
        <v/>
      </c>
    </row>
    <row r="64" spans="3:8" x14ac:dyDescent="0.2">
      <c r="C64" s="8" t="str">
        <f t="shared" si="0"/>
        <v/>
      </c>
      <c r="D64" s="8" t="str">
        <f t="shared" si="1"/>
        <v/>
      </c>
      <c r="H64" s="12" t="str">
        <f>IF(A64=0,"",VLOOKUP(B64,Materials!$A$2:$E$1001,6,FALSE))</f>
        <v/>
      </c>
    </row>
    <row r="65" spans="3:8" x14ac:dyDescent="0.2">
      <c r="C65" s="8" t="str">
        <f t="shared" si="0"/>
        <v/>
      </c>
      <c r="D65" s="8" t="str">
        <f t="shared" si="1"/>
        <v/>
      </c>
      <c r="H65" s="12" t="str">
        <f>IF(A65=0,"",VLOOKUP(B65,Materials!$A$2:$E$1001,6,FALSE))</f>
        <v/>
      </c>
    </row>
    <row r="66" spans="3:8" x14ac:dyDescent="0.2">
      <c r="C66" s="8" t="str">
        <f t="shared" ref="C66:C129" si="2">IF(A66=0,"",VLOOKUP(B66,MatDB,2,FALSE))</f>
        <v/>
      </c>
      <c r="D66" s="8" t="str">
        <f t="shared" si="1"/>
        <v/>
      </c>
      <c r="H66" s="12" t="str">
        <f>IF(A66=0,"",VLOOKUP(B66,Materials!$A$2:$E$1001,6,FALSE))</f>
        <v/>
      </c>
    </row>
    <row r="67" spans="3:8" x14ac:dyDescent="0.2">
      <c r="C67" s="8" t="str">
        <f t="shared" si="2"/>
        <v/>
      </c>
      <c r="D67" s="8" t="str">
        <f t="shared" ref="D67:D130" si="3">IF(A67=0,"","Concrete04")</f>
        <v/>
      </c>
      <c r="H67" s="12" t="str">
        <f>IF(A67=0,"",VLOOKUP(B67,Materials!$A$2:$E$1001,6,FALSE))</f>
        <v/>
      </c>
    </row>
    <row r="68" spans="3:8" x14ac:dyDescent="0.2">
      <c r="C68" s="8" t="str">
        <f t="shared" si="2"/>
        <v/>
      </c>
      <c r="D68" s="8" t="str">
        <f t="shared" si="3"/>
        <v/>
      </c>
      <c r="H68" s="12" t="str">
        <f>IF(A68=0,"",VLOOKUP(B68,Materials!$A$2:$E$1001,6,FALSE))</f>
        <v/>
      </c>
    </row>
    <row r="69" spans="3:8" x14ac:dyDescent="0.2">
      <c r="C69" s="8" t="str">
        <f t="shared" si="2"/>
        <v/>
      </c>
      <c r="D69" s="8" t="str">
        <f t="shared" si="3"/>
        <v/>
      </c>
      <c r="H69" s="12" t="str">
        <f>IF(A69=0,"",VLOOKUP(B69,Materials!$A$2:$E$1001,6,FALSE))</f>
        <v/>
      </c>
    </row>
    <row r="70" spans="3:8" x14ac:dyDescent="0.2">
      <c r="C70" s="8" t="str">
        <f t="shared" si="2"/>
        <v/>
      </c>
      <c r="D70" s="8" t="str">
        <f t="shared" si="3"/>
        <v/>
      </c>
      <c r="H70" s="12" t="str">
        <f>IF(A70=0,"",VLOOKUP(B70,Materials!$A$2:$E$1001,6,FALSE))</f>
        <v/>
      </c>
    </row>
    <row r="71" spans="3:8" x14ac:dyDescent="0.2">
      <c r="C71" s="8" t="str">
        <f t="shared" si="2"/>
        <v/>
      </c>
      <c r="D71" s="8" t="str">
        <f t="shared" si="3"/>
        <v/>
      </c>
      <c r="H71" s="12" t="str">
        <f>IF(A71=0,"",VLOOKUP(B71,Materials!$A$2:$E$1001,6,FALSE))</f>
        <v/>
      </c>
    </row>
    <row r="72" spans="3:8" x14ac:dyDescent="0.2">
      <c r="C72" s="8" t="str">
        <f t="shared" si="2"/>
        <v/>
      </c>
      <c r="D72" s="8" t="str">
        <f t="shared" si="3"/>
        <v/>
      </c>
      <c r="H72" s="12" t="str">
        <f>IF(A72=0,"",VLOOKUP(B72,Materials!$A$2:$E$1001,6,FALSE))</f>
        <v/>
      </c>
    </row>
    <row r="73" spans="3:8" x14ac:dyDescent="0.2">
      <c r="C73" s="8" t="str">
        <f t="shared" si="2"/>
        <v/>
      </c>
      <c r="D73" s="8" t="str">
        <f t="shared" si="3"/>
        <v/>
      </c>
      <c r="H73" s="12" t="str">
        <f>IF(A73=0,"",VLOOKUP(B73,Materials!$A$2:$E$1001,6,FALSE))</f>
        <v/>
      </c>
    </row>
    <row r="74" spans="3:8" x14ac:dyDescent="0.2">
      <c r="C74" s="8" t="str">
        <f t="shared" si="2"/>
        <v/>
      </c>
      <c r="D74" s="8" t="str">
        <f t="shared" si="3"/>
        <v/>
      </c>
      <c r="H74" s="12" t="str">
        <f>IF(A74=0,"",VLOOKUP(B74,Materials!$A$2:$E$1001,6,FALSE))</f>
        <v/>
      </c>
    </row>
    <row r="75" spans="3:8" x14ac:dyDescent="0.2">
      <c r="C75" s="8" t="str">
        <f t="shared" si="2"/>
        <v/>
      </c>
      <c r="D75" s="8" t="str">
        <f t="shared" si="3"/>
        <v/>
      </c>
      <c r="H75" s="12" t="str">
        <f>IF(A75=0,"",VLOOKUP(B75,Materials!$A$2:$E$1001,6,FALSE))</f>
        <v/>
      </c>
    </row>
    <row r="76" spans="3:8" x14ac:dyDescent="0.2">
      <c r="C76" s="8" t="str">
        <f t="shared" si="2"/>
        <v/>
      </c>
      <c r="D76" s="8" t="str">
        <f t="shared" si="3"/>
        <v/>
      </c>
      <c r="H76" s="12" t="str">
        <f>IF(A76=0,"",VLOOKUP(B76,Materials!$A$2:$E$1001,6,FALSE))</f>
        <v/>
      </c>
    </row>
    <row r="77" spans="3:8" x14ac:dyDescent="0.2">
      <c r="C77" s="8" t="str">
        <f t="shared" si="2"/>
        <v/>
      </c>
      <c r="D77" s="8" t="str">
        <f t="shared" si="3"/>
        <v/>
      </c>
      <c r="H77" s="12" t="str">
        <f>IF(A77=0,"",VLOOKUP(B77,Materials!$A$2:$E$1001,6,FALSE))</f>
        <v/>
      </c>
    </row>
    <row r="78" spans="3:8" x14ac:dyDescent="0.2">
      <c r="C78" s="8" t="str">
        <f t="shared" si="2"/>
        <v/>
      </c>
      <c r="D78" s="8" t="str">
        <f t="shared" si="3"/>
        <v/>
      </c>
      <c r="H78" s="12" t="str">
        <f>IF(A78=0,"",VLOOKUP(B78,Materials!$A$2:$E$1001,6,FALSE))</f>
        <v/>
      </c>
    </row>
    <row r="79" spans="3:8" x14ac:dyDescent="0.2">
      <c r="C79" s="8" t="str">
        <f t="shared" si="2"/>
        <v/>
      </c>
      <c r="D79" s="8" t="str">
        <f t="shared" si="3"/>
        <v/>
      </c>
      <c r="H79" s="12" t="str">
        <f>IF(A79=0,"",VLOOKUP(B79,Materials!$A$2:$E$1001,6,FALSE))</f>
        <v/>
      </c>
    </row>
    <row r="80" spans="3:8" x14ac:dyDescent="0.2">
      <c r="C80" s="8" t="str">
        <f t="shared" si="2"/>
        <v/>
      </c>
      <c r="D80" s="8" t="str">
        <f t="shared" si="3"/>
        <v/>
      </c>
      <c r="H80" s="12" t="str">
        <f>IF(A80=0,"",VLOOKUP(B80,Materials!$A$2:$E$1001,6,FALSE))</f>
        <v/>
      </c>
    </row>
    <row r="81" spans="3:8" x14ac:dyDescent="0.2">
      <c r="C81" s="8" t="str">
        <f t="shared" si="2"/>
        <v/>
      </c>
      <c r="D81" s="8" t="str">
        <f t="shared" si="3"/>
        <v/>
      </c>
      <c r="H81" s="12" t="str">
        <f>IF(A81=0,"",VLOOKUP(B81,Materials!$A$2:$E$1001,6,FALSE))</f>
        <v/>
      </c>
    </row>
    <row r="82" spans="3:8" x14ac:dyDescent="0.2">
      <c r="C82" s="8" t="str">
        <f t="shared" si="2"/>
        <v/>
      </c>
      <c r="D82" s="8" t="str">
        <f t="shared" si="3"/>
        <v/>
      </c>
      <c r="H82" s="12" t="str">
        <f>IF(A82=0,"",VLOOKUP(B82,Materials!$A$2:$E$1001,6,FALSE))</f>
        <v/>
      </c>
    </row>
    <row r="83" spans="3:8" x14ac:dyDescent="0.2">
      <c r="C83" s="8" t="str">
        <f t="shared" si="2"/>
        <v/>
      </c>
      <c r="D83" s="8" t="str">
        <f t="shared" si="3"/>
        <v/>
      </c>
      <c r="H83" s="12" t="str">
        <f>IF(A83=0,"",VLOOKUP(B83,Materials!$A$2:$E$1001,6,FALSE))</f>
        <v/>
      </c>
    </row>
    <row r="84" spans="3:8" x14ac:dyDescent="0.2">
      <c r="C84" s="8" t="str">
        <f t="shared" si="2"/>
        <v/>
      </c>
      <c r="D84" s="8" t="str">
        <f t="shared" si="3"/>
        <v/>
      </c>
      <c r="H84" s="12" t="str">
        <f>IF(A84=0,"",VLOOKUP(B84,Materials!$A$2:$E$1001,6,FALSE))</f>
        <v/>
      </c>
    </row>
    <row r="85" spans="3:8" x14ac:dyDescent="0.2">
      <c r="C85" s="8" t="str">
        <f t="shared" si="2"/>
        <v/>
      </c>
      <c r="D85" s="8" t="str">
        <f t="shared" si="3"/>
        <v/>
      </c>
      <c r="H85" s="12" t="str">
        <f>IF(A85=0,"",VLOOKUP(B85,Materials!$A$2:$E$1001,6,FALSE))</f>
        <v/>
      </c>
    </row>
    <row r="86" spans="3:8" x14ac:dyDescent="0.2">
      <c r="C86" s="8" t="str">
        <f t="shared" si="2"/>
        <v/>
      </c>
      <c r="D86" s="8" t="str">
        <f t="shared" si="3"/>
        <v/>
      </c>
      <c r="H86" s="12" t="str">
        <f>IF(A86=0,"",VLOOKUP(B86,Materials!$A$2:$E$1001,6,FALSE))</f>
        <v/>
      </c>
    </row>
    <row r="87" spans="3:8" x14ac:dyDescent="0.2">
      <c r="C87" s="8" t="str">
        <f t="shared" si="2"/>
        <v/>
      </c>
      <c r="D87" s="8" t="str">
        <f t="shared" si="3"/>
        <v/>
      </c>
      <c r="H87" s="12" t="str">
        <f>IF(A87=0,"",VLOOKUP(B87,Materials!$A$2:$E$1001,6,FALSE))</f>
        <v/>
      </c>
    </row>
    <row r="88" spans="3:8" x14ac:dyDescent="0.2">
      <c r="C88" s="8" t="str">
        <f t="shared" si="2"/>
        <v/>
      </c>
      <c r="D88" s="8" t="str">
        <f t="shared" si="3"/>
        <v/>
      </c>
      <c r="H88" s="12" t="str">
        <f>IF(A88=0,"",VLOOKUP(B88,Materials!$A$2:$E$1001,6,FALSE))</f>
        <v/>
      </c>
    </row>
    <row r="89" spans="3:8" x14ac:dyDescent="0.2">
      <c r="C89" s="8" t="str">
        <f t="shared" si="2"/>
        <v/>
      </c>
      <c r="D89" s="8" t="str">
        <f t="shared" si="3"/>
        <v/>
      </c>
      <c r="H89" s="12" t="str">
        <f>IF(A89=0,"",VLOOKUP(B89,Materials!$A$2:$E$1001,6,FALSE))</f>
        <v/>
      </c>
    </row>
    <row r="90" spans="3:8" x14ac:dyDescent="0.2">
      <c r="C90" s="8" t="str">
        <f t="shared" si="2"/>
        <v/>
      </c>
      <c r="D90" s="8" t="str">
        <f t="shared" si="3"/>
        <v/>
      </c>
      <c r="H90" s="12" t="str">
        <f>IF(A90=0,"",VLOOKUP(B90,Materials!$A$2:$E$1001,6,FALSE))</f>
        <v/>
      </c>
    </row>
    <row r="91" spans="3:8" x14ac:dyDescent="0.2">
      <c r="C91" s="8" t="str">
        <f t="shared" si="2"/>
        <v/>
      </c>
      <c r="D91" s="8" t="str">
        <f t="shared" si="3"/>
        <v/>
      </c>
      <c r="H91" s="12" t="str">
        <f>IF(A91=0,"",VLOOKUP(B91,Materials!$A$2:$E$1001,6,FALSE))</f>
        <v/>
      </c>
    </row>
    <row r="92" spans="3:8" x14ac:dyDescent="0.2">
      <c r="C92" s="8" t="str">
        <f t="shared" si="2"/>
        <v/>
      </c>
      <c r="D92" s="8" t="str">
        <f t="shared" si="3"/>
        <v/>
      </c>
      <c r="H92" s="12" t="str">
        <f>IF(A92=0,"",VLOOKUP(B92,Materials!$A$2:$E$1001,6,FALSE))</f>
        <v/>
      </c>
    </row>
    <row r="93" spans="3:8" x14ac:dyDescent="0.2">
      <c r="C93" s="8" t="str">
        <f t="shared" si="2"/>
        <v/>
      </c>
      <c r="D93" s="8" t="str">
        <f t="shared" si="3"/>
        <v/>
      </c>
      <c r="H93" s="12" t="str">
        <f>IF(A93=0,"",VLOOKUP(B93,Materials!$A$2:$E$1001,6,FALSE))</f>
        <v/>
      </c>
    </row>
    <row r="94" spans="3:8" x14ac:dyDescent="0.2">
      <c r="C94" s="8" t="str">
        <f t="shared" si="2"/>
        <v/>
      </c>
      <c r="D94" s="8" t="str">
        <f t="shared" si="3"/>
        <v/>
      </c>
      <c r="H94" s="12" t="str">
        <f>IF(A94=0,"",VLOOKUP(B94,Materials!$A$2:$E$1001,6,FALSE))</f>
        <v/>
      </c>
    </row>
    <row r="95" spans="3:8" x14ac:dyDescent="0.2">
      <c r="C95" s="8" t="str">
        <f t="shared" si="2"/>
        <v/>
      </c>
      <c r="D95" s="8" t="str">
        <f t="shared" si="3"/>
        <v/>
      </c>
      <c r="H95" s="12" t="str">
        <f>IF(A95=0,"",VLOOKUP(B95,Materials!$A$2:$E$1001,6,FALSE))</f>
        <v/>
      </c>
    </row>
    <row r="96" spans="3:8" x14ac:dyDescent="0.2">
      <c r="C96" s="8" t="str">
        <f t="shared" si="2"/>
        <v/>
      </c>
      <c r="D96" s="8" t="str">
        <f t="shared" si="3"/>
        <v/>
      </c>
      <c r="H96" s="12" t="str">
        <f>IF(A96=0,"",VLOOKUP(B96,Materials!$A$2:$E$1001,6,FALSE))</f>
        <v/>
      </c>
    </row>
    <row r="97" spans="3:8" x14ac:dyDescent="0.2">
      <c r="C97" s="8" t="str">
        <f t="shared" si="2"/>
        <v/>
      </c>
      <c r="D97" s="8" t="str">
        <f t="shared" si="3"/>
        <v/>
      </c>
      <c r="H97" s="12" t="str">
        <f>IF(A97=0,"",VLOOKUP(B97,Materials!$A$2:$E$1001,6,FALSE))</f>
        <v/>
      </c>
    </row>
    <row r="98" spans="3:8" x14ac:dyDescent="0.2">
      <c r="C98" s="8" t="str">
        <f t="shared" si="2"/>
        <v/>
      </c>
      <c r="D98" s="8" t="str">
        <f t="shared" si="3"/>
        <v/>
      </c>
      <c r="H98" s="12" t="str">
        <f>IF(A98=0,"",VLOOKUP(B98,Materials!$A$2:$E$1001,6,FALSE))</f>
        <v/>
      </c>
    </row>
    <row r="99" spans="3:8" x14ac:dyDescent="0.2">
      <c r="C99" s="8" t="str">
        <f t="shared" si="2"/>
        <v/>
      </c>
      <c r="D99" s="8" t="str">
        <f t="shared" si="3"/>
        <v/>
      </c>
      <c r="H99" s="12" t="str">
        <f>IF(A99=0,"",VLOOKUP(B99,Materials!$A$2:$E$1001,6,FALSE))</f>
        <v/>
      </c>
    </row>
    <row r="100" spans="3:8" x14ac:dyDescent="0.2">
      <c r="C100" s="8" t="str">
        <f t="shared" si="2"/>
        <v/>
      </c>
      <c r="D100" s="8" t="str">
        <f t="shared" si="3"/>
        <v/>
      </c>
      <c r="H100" s="12" t="str">
        <f>IF(A100=0,"",VLOOKUP(B100,Materials!$A$2:$E$1001,6,FALSE))</f>
        <v/>
      </c>
    </row>
    <row r="101" spans="3:8" x14ac:dyDescent="0.2">
      <c r="C101" s="8" t="str">
        <f t="shared" si="2"/>
        <v/>
      </c>
      <c r="D101" s="8" t="str">
        <f t="shared" si="3"/>
        <v/>
      </c>
      <c r="H101" s="12" t="str">
        <f>IF(A101=0,"",VLOOKUP(B101,Materials!$A$2:$E$1001,6,FALSE))</f>
        <v/>
      </c>
    </row>
    <row r="102" spans="3:8" x14ac:dyDescent="0.2">
      <c r="C102" s="8" t="str">
        <f t="shared" si="2"/>
        <v/>
      </c>
      <c r="D102" s="8" t="str">
        <f t="shared" si="3"/>
        <v/>
      </c>
      <c r="H102" s="12" t="str">
        <f>IF(A102=0,"",VLOOKUP(B102,Materials!$A$2:$E$1001,6,FALSE))</f>
        <v/>
      </c>
    </row>
    <row r="103" spans="3:8" x14ac:dyDescent="0.2">
      <c r="C103" s="8" t="str">
        <f t="shared" si="2"/>
        <v/>
      </c>
      <c r="D103" s="8" t="str">
        <f t="shared" si="3"/>
        <v/>
      </c>
      <c r="H103" s="12" t="str">
        <f>IF(A103=0,"",VLOOKUP(B103,Materials!$A$2:$E$1001,6,FALSE))</f>
        <v/>
      </c>
    </row>
    <row r="104" spans="3:8" x14ac:dyDescent="0.2">
      <c r="C104" s="8" t="str">
        <f t="shared" si="2"/>
        <v/>
      </c>
      <c r="D104" s="8" t="str">
        <f t="shared" si="3"/>
        <v/>
      </c>
      <c r="H104" s="12" t="str">
        <f>IF(A104=0,"",VLOOKUP(B104,Materials!$A$2:$E$1001,6,FALSE))</f>
        <v/>
      </c>
    </row>
    <row r="105" spans="3:8" x14ac:dyDescent="0.2">
      <c r="C105" s="8" t="str">
        <f t="shared" si="2"/>
        <v/>
      </c>
      <c r="D105" s="8" t="str">
        <f t="shared" si="3"/>
        <v/>
      </c>
      <c r="H105" s="12" t="str">
        <f>IF(A105=0,"",VLOOKUP(B105,Materials!$A$2:$E$1001,6,FALSE))</f>
        <v/>
      </c>
    </row>
    <row r="106" spans="3:8" x14ac:dyDescent="0.2">
      <c r="C106" s="8" t="str">
        <f t="shared" si="2"/>
        <v/>
      </c>
      <c r="D106" s="8" t="str">
        <f t="shared" si="3"/>
        <v/>
      </c>
      <c r="H106" s="12" t="str">
        <f>IF(A106=0,"",VLOOKUP(B106,Materials!$A$2:$E$1001,6,FALSE))</f>
        <v/>
      </c>
    </row>
    <row r="107" spans="3:8" x14ac:dyDescent="0.2">
      <c r="C107" s="8" t="str">
        <f t="shared" si="2"/>
        <v/>
      </c>
      <c r="D107" s="8" t="str">
        <f t="shared" si="3"/>
        <v/>
      </c>
      <c r="H107" s="12" t="str">
        <f>IF(A107=0,"",VLOOKUP(B107,Materials!$A$2:$E$1001,6,FALSE))</f>
        <v/>
      </c>
    </row>
    <row r="108" spans="3:8" x14ac:dyDescent="0.2">
      <c r="C108" s="8" t="str">
        <f t="shared" si="2"/>
        <v/>
      </c>
      <c r="D108" s="8" t="str">
        <f t="shared" si="3"/>
        <v/>
      </c>
      <c r="H108" s="12" t="str">
        <f>IF(A108=0,"",VLOOKUP(B108,Materials!$A$2:$E$1001,6,FALSE))</f>
        <v/>
      </c>
    </row>
    <row r="109" spans="3:8" x14ac:dyDescent="0.2">
      <c r="C109" s="8" t="str">
        <f t="shared" si="2"/>
        <v/>
      </c>
      <c r="D109" s="8" t="str">
        <f t="shared" si="3"/>
        <v/>
      </c>
      <c r="H109" s="12" t="str">
        <f>IF(A109=0,"",VLOOKUP(B109,Materials!$A$2:$E$1001,6,FALSE))</f>
        <v/>
      </c>
    </row>
    <row r="110" spans="3:8" x14ac:dyDescent="0.2">
      <c r="C110" s="8" t="str">
        <f t="shared" si="2"/>
        <v/>
      </c>
      <c r="D110" s="8" t="str">
        <f t="shared" si="3"/>
        <v/>
      </c>
      <c r="H110" s="12" t="str">
        <f>IF(A110=0,"",VLOOKUP(B110,Materials!$A$2:$E$1001,6,FALSE))</f>
        <v/>
      </c>
    </row>
    <row r="111" spans="3:8" x14ac:dyDescent="0.2">
      <c r="C111" s="8" t="str">
        <f t="shared" si="2"/>
        <v/>
      </c>
      <c r="D111" s="8" t="str">
        <f t="shared" si="3"/>
        <v/>
      </c>
      <c r="H111" s="12" t="str">
        <f>IF(A111=0,"",VLOOKUP(B111,Materials!$A$2:$E$1001,6,FALSE))</f>
        <v/>
      </c>
    </row>
    <row r="112" spans="3:8" x14ac:dyDescent="0.2">
      <c r="C112" s="8" t="str">
        <f t="shared" si="2"/>
        <v/>
      </c>
      <c r="D112" s="8" t="str">
        <f t="shared" si="3"/>
        <v/>
      </c>
      <c r="H112" s="12" t="str">
        <f>IF(A112=0,"",VLOOKUP(B112,Materials!$A$2:$E$1001,6,FALSE))</f>
        <v/>
      </c>
    </row>
    <row r="113" spans="3:8" x14ac:dyDescent="0.2">
      <c r="C113" s="8" t="str">
        <f t="shared" si="2"/>
        <v/>
      </c>
      <c r="D113" s="8" t="str">
        <f t="shared" si="3"/>
        <v/>
      </c>
      <c r="H113" s="12" t="str">
        <f>IF(A113=0,"",VLOOKUP(B113,Materials!$A$2:$E$1001,6,FALSE))</f>
        <v/>
      </c>
    </row>
    <row r="114" spans="3:8" x14ac:dyDescent="0.2">
      <c r="C114" s="8" t="str">
        <f t="shared" si="2"/>
        <v/>
      </c>
      <c r="D114" s="8" t="str">
        <f t="shared" si="3"/>
        <v/>
      </c>
      <c r="H114" s="12" t="str">
        <f>IF(A114=0,"",VLOOKUP(B114,Materials!$A$2:$E$1001,6,FALSE))</f>
        <v/>
      </c>
    </row>
    <row r="115" spans="3:8" x14ac:dyDescent="0.2">
      <c r="C115" s="8" t="str">
        <f t="shared" si="2"/>
        <v/>
      </c>
      <c r="D115" s="8" t="str">
        <f t="shared" si="3"/>
        <v/>
      </c>
      <c r="H115" s="12" t="str">
        <f>IF(A115=0,"",VLOOKUP(B115,Materials!$A$2:$E$1001,6,FALSE))</f>
        <v/>
      </c>
    </row>
    <row r="116" spans="3:8" x14ac:dyDescent="0.2">
      <c r="C116" s="8" t="str">
        <f t="shared" si="2"/>
        <v/>
      </c>
      <c r="D116" s="8" t="str">
        <f t="shared" si="3"/>
        <v/>
      </c>
      <c r="H116" s="12" t="str">
        <f>IF(A116=0,"",VLOOKUP(B116,Materials!$A$2:$E$1001,6,FALSE))</f>
        <v/>
      </c>
    </row>
    <row r="117" spans="3:8" x14ac:dyDescent="0.2">
      <c r="C117" s="8" t="str">
        <f t="shared" si="2"/>
        <v/>
      </c>
      <c r="D117" s="8" t="str">
        <f t="shared" si="3"/>
        <v/>
      </c>
      <c r="H117" s="12" t="str">
        <f>IF(A117=0,"",VLOOKUP(B117,Materials!$A$2:$E$1001,6,FALSE))</f>
        <v/>
      </c>
    </row>
    <row r="118" spans="3:8" x14ac:dyDescent="0.2">
      <c r="C118" s="8" t="str">
        <f t="shared" si="2"/>
        <v/>
      </c>
      <c r="D118" s="8" t="str">
        <f t="shared" si="3"/>
        <v/>
      </c>
      <c r="H118" s="12" t="str">
        <f>IF(A118=0,"",VLOOKUP(B118,Materials!$A$2:$E$1001,6,FALSE))</f>
        <v/>
      </c>
    </row>
    <row r="119" spans="3:8" x14ac:dyDescent="0.2">
      <c r="C119" s="8" t="str">
        <f t="shared" si="2"/>
        <v/>
      </c>
      <c r="D119" s="8" t="str">
        <f t="shared" si="3"/>
        <v/>
      </c>
      <c r="H119" s="12" t="str">
        <f>IF(A119=0,"",VLOOKUP(B119,Materials!$A$2:$E$1001,6,FALSE))</f>
        <v/>
      </c>
    </row>
    <row r="120" spans="3:8" x14ac:dyDescent="0.2">
      <c r="C120" s="8" t="str">
        <f t="shared" si="2"/>
        <v/>
      </c>
      <c r="D120" s="8" t="str">
        <f t="shared" si="3"/>
        <v/>
      </c>
      <c r="H120" s="12" t="str">
        <f>IF(A120=0,"",VLOOKUP(B120,Materials!$A$2:$E$1001,6,FALSE))</f>
        <v/>
      </c>
    </row>
    <row r="121" spans="3:8" x14ac:dyDescent="0.2">
      <c r="C121" s="8" t="str">
        <f t="shared" si="2"/>
        <v/>
      </c>
      <c r="D121" s="8" t="str">
        <f t="shared" si="3"/>
        <v/>
      </c>
      <c r="H121" s="12" t="str">
        <f>IF(A121=0,"",VLOOKUP(B121,Materials!$A$2:$E$1001,6,FALSE))</f>
        <v/>
      </c>
    </row>
    <row r="122" spans="3:8" x14ac:dyDescent="0.2">
      <c r="C122" s="8" t="str">
        <f t="shared" si="2"/>
        <v/>
      </c>
      <c r="D122" s="8" t="str">
        <f t="shared" si="3"/>
        <v/>
      </c>
      <c r="H122" s="12" t="str">
        <f>IF(A122=0,"",VLOOKUP(B122,Materials!$A$2:$E$1001,6,FALSE))</f>
        <v/>
      </c>
    </row>
    <row r="123" spans="3:8" x14ac:dyDescent="0.2">
      <c r="C123" s="8" t="str">
        <f t="shared" si="2"/>
        <v/>
      </c>
      <c r="D123" s="8" t="str">
        <f t="shared" si="3"/>
        <v/>
      </c>
      <c r="H123" s="12" t="str">
        <f>IF(A123=0,"",VLOOKUP(B123,Materials!$A$2:$E$1001,6,FALSE))</f>
        <v/>
      </c>
    </row>
    <row r="124" spans="3:8" x14ac:dyDescent="0.2">
      <c r="C124" s="8" t="str">
        <f t="shared" si="2"/>
        <v/>
      </c>
      <c r="D124" s="8" t="str">
        <f t="shared" si="3"/>
        <v/>
      </c>
      <c r="H124" s="12" t="str">
        <f>IF(A124=0,"",VLOOKUP(B124,Materials!$A$2:$E$1001,6,FALSE))</f>
        <v/>
      </c>
    </row>
    <row r="125" spans="3:8" x14ac:dyDescent="0.2">
      <c r="C125" s="8" t="str">
        <f t="shared" si="2"/>
        <v/>
      </c>
      <c r="D125" s="8" t="str">
        <f t="shared" si="3"/>
        <v/>
      </c>
      <c r="H125" s="12" t="str">
        <f>IF(A125=0,"",VLOOKUP(B125,Materials!$A$2:$E$1001,6,FALSE))</f>
        <v/>
      </c>
    </row>
    <row r="126" spans="3:8" x14ac:dyDescent="0.2">
      <c r="C126" s="8" t="str">
        <f t="shared" si="2"/>
        <v/>
      </c>
      <c r="D126" s="8" t="str">
        <f t="shared" si="3"/>
        <v/>
      </c>
      <c r="H126" s="12" t="str">
        <f>IF(A126=0,"",VLOOKUP(B126,Materials!$A$2:$E$1001,6,FALSE))</f>
        <v/>
      </c>
    </row>
    <row r="127" spans="3:8" x14ac:dyDescent="0.2">
      <c r="C127" s="8" t="str">
        <f t="shared" si="2"/>
        <v/>
      </c>
      <c r="D127" s="8" t="str">
        <f t="shared" si="3"/>
        <v/>
      </c>
      <c r="H127" s="12" t="str">
        <f>IF(A127=0,"",VLOOKUP(B127,Materials!$A$2:$E$1001,6,FALSE))</f>
        <v/>
      </c>
    </row>
    <row r="128" spans="3:8" x14ac:dyDescent="0.2">
      <c r="C128" s="8" t="str">
        <f t="shared" si="2"/>
        <v/>
      </c>
      <c r="D128" s="8" t="str">
        <f t="shared" si="3"/>
        <v/>
      </c>
      <c r="H128" s="12" t="str">
        <f>IF(A128=0,"",VLOOKUP(B128,Materials!$A$2:$E$1001,6,FALSE))</f>
        <v/>
      </c>
    </row>
    <row r="129" spans="3:8" x14ac:dyDescent="0.2">
      <c r="C129" s="8" t="str">
        <f t="shared" si="2"/>
        <v/>
      </c>
      <c r="D129" s="8" t="str">
        <f t="shared" si="3"/>
        <v/>
      </c>
      <c r="H129" s="12" t="str">
        <f>IF(A129=0,"",VLOOKUP(B129,Materials!$A$2:$E$1001,6,FALSE))</f>
        <v/>
      </c>
    </row>
    <row r="130" spans="3:8" x14ac:dyDescent="0.2">
      <c r="C130" s="8" t="str">
        <f t="shared" ref="C130:C193" si="4">IF(A130=0,"",VLOOKUP(B130,MatDB,2,FALSE))</f>
        <v/>
      </c>
      <c r="D130" s="8" t="str">
        <f t="shared" si="3"/>
        <v/>
      </c>
      <c r="H130" s="12" t="str">
        <f>IF(A130=0,"",VLOOKUP(B130,Materials!$A$2:$E$1001,6,FALSE))</f>
        <v/>
      </c>
    </row>
    <row r="131" spans="3:8" x14ac:dyDescent="0.2">
      <c r="C131" s="8" t="str">
        <f t="shared" si="4"/>
        <v/>
      </c>
      <c r="D131" s="8" t="str">
        <f t="shared" ref="D131:D194" si="5">IF(A131=0,"","Concrete04")</f>
        <v/>
      </c>
      <c r="H131" s="12" t="str">
        <f>IF(A131=0,"",VLOOKUP(B131,Materials!$A$2:$E$1001,6,FALSE))</f>
        <v/>
      </c>
    </row>
    <row r="132" spans="3:8" x14ac:dyDescent="0.2">
      <c r="C132" s="8" t="str">
        <f t="shared" si="4"/>
        <v/>
      </c>
      <c r="D132" s="8" t="str">
        <f t="shared" si="5"/>
        <v/>
      </c>
      <c r="H132" s="12" t="str">
        <f>IF(A132=0,"",VLOOKUP(B132,Materials!$A$2:$E$1001,6,FALSE))</f>
        <v/>
      </c>
    </row>
    <row r="133" spans="3:8" x14ac:dyDescent="0.2">
      <c r="C133" s="8" t="str">
        <f t="shared" si="4"/>
        <v/>
      </c>
      <c r="D133" s="8" t="str">
        <f t="shared" si="5"/>
        <v/>
      </c>
      <c r="H133" s="12" t="str">
        <f>IF(A133=0,"",VLOOKUP(B133,Materials!$A$2:$E$1001,6,FALSE))</f>
        <v/>
      </c>
    </row>
    <row r="134" spans="3:8" x14ac:dyDescent="0.2">
      <c r="C134" s="8" t="str">
        <f t="shared" si="4"/>
        <v/>
      </c>
      <c r="D134" s="8" t="str">
        <f t="shared" si="5"/>
        <v/>
      </c>
      <c r="H134" s="12" t="str">
        <f>IF(A134=0,"",VLOOKUP(B134,Materials!$A$2:$E$1001,6,FALSE))</f>
        <v/>
      </c>
    </row>
    <row r="135" spans="3:8" x14ac:dyDescent="0.2">
      <c r="C135" s="8" t="str">
        <f t="shared" si="4"/>
        <v/>
      </c>
      <c r="D135" s="8" t="str">
        <f t="shared" si="5"/>
        <v/>
      </c>
      <c r="H135" s="12" t="str">
        <f>IF(A135=0,"",VLOOKUP(B135,Materials!$A$2:$E$1001,6,FALSE))</f>
        <v/>
      </c>
    </row>
    <row r="136" spans="3:8" x14ac:dyDescent="0.2">
      <c r="C136" s="8" t="str">
        <f t="shared" si="4"/>
        <v/>
      </c>
      <c r="D136" s="8" t="str">
        <f t="shared" si="5"/>
        <v/>
      </c>
      <c r="H136" s="12" t="str">
        <f>IF(A136=0,"",VLOOKUP(B136,Materials!$A$2:$E$1001,6,FALSE))</f>
        <v/>
      </c>
    </row>
    <row r="137" spans="3:8" x14ac:dyDescent="0.2">
      <c r="C137" s="8" t="str">
        <f t="shared" si="4"/>
        <v/>
      </c>
      <c r="D137" s="8" t="str">
        <f t="shared" si="5"/>
        <v/>
      </c>
      <c r="H137" s="12" t="str">
        <f>IF(A137=0,"",VLOOKUP(B137,Materials!$A$2:$E$1001,6,FALSE))</f>
        <v/>
      </c>
    </row>
    <row r="138" spans="3:8" x14ac:dyDescent="0.2">
      <c r="C138" s="8" t="str">
        <f t="shared" si="4"/>
        <v/>
      </c>
      <c r="D138" s="8" t="str">
        <f t="shared" si="5"/>
        <v/>
      </c>
      <c r="H138" s="12" t="str">
        <f>IF(A138=0,"",VLOOKUP(B138,Materials!$A$2:$E$1001,6,FALSE))</f>
        <v/>
      </c>
    </row>
    <row r="139" spans="3:8" x14ac:dyDescent="0.2">
      <c r="C139" s="8" t="str">
        <f t="shared" si="4"/>
        <v/>
      </c>
      <c r="D139" s="8" t="str">
        <f t="shared" si="5"/>
        <v/>
      </c>
      <c r="H139" s="12" t="str">
        <f>IF(A139=0,"",VLOOKUP(B139,Materials!$A$2:$E$1001,6,FALSE))</f>
        <v/>
      </c>
    </row>
    <row r="140" spans="3:8" x14ac:dyDescent="0.2">
      <c r="C140" s="8" t="str">
        <f t="shared" si="4"/>
        <v/>
      </c>
      <c r="D140" s="8" t="str">
        <f t="shared" si="5"/>
        <v/>
      </c>
      <c r="H140" s="12" t="str">
        <f>IF(A140=0,"",VLOOKUP(B140,Materials!$A$2:$E$1001,6,FALSE))</f>
        <v/>
      </c>
    </row>
    <row r="141" spans="3:8" x14ac:dyDescent="0.2">
      <c r="C141" s="8" t="str">
        <f t="shared" si="4"/>
        <v/>
      </c>
      <c r="D141" s="8" t="str">
        <f t="shared" si="5"/>
        <v/>
      </c>
      <c r="H141" s="12" t="str">
        <f>IF(A141=0,"",VLOOKUP(B141,Materials!$A$2:$E$1001,6,FALSE))</f>
        <v/>
      </c>
    </row>
    <row r="142" spans="3:8" x14ac:dyDescent="0.2">
      <c r="C142" s="8" t="str">
        <f t="shared" si="4"/>
        <v/>
      </c>
      <c r="D142" s="8" t="str">
        <f t="shared" si="5"/>
        <v/>
      </c>
      <c r="H142" s="12" t="str">
        <f>IF(A142=0,"",VLOOKUP(B142,Materials!$A$2:$E$1001,6,FALSE))</f>
        <v/>
      </c>
    </row>
    <row r="143" spans="3:8" x14ac:dyDescent="0.2">
      <c r="C143" s="8" t="str">
        <f t="shared" si="4"/>
        <v/>
      </c>
      <c r="D143" s="8" t="str">
        <f t="shared" si="5"/>
        <v/>
      </c>
      <c r="H143" s="12" t="str">
        <f>IF(A143=0,"",VLOOKUP(B143,Materials!$A$2:$E$1001,6,FALSE))</f>
        <v/>
      </c>
    </row>
    <row r="144" spans="3:8" x14ac:dyDescent="0.2">
      <c r="C144" s="8" t="str">
        <f t="shared" si="4"/>
        <v/>
      </c>
      <c r="D144" s="8" t="str">
        <f t="shared" si="5"/>
        <v/>
      </c>
      <c r="H144" s="12" t="str">
        <f>IF(A144=0,"",VLOOKUP(B144,Materials!$A$2:$E$1001,6,FALSE))</f>
        <v/>
      </c>
    </row>
    <row r="145" spans="3:8" x14ac:dyDescent="0.2">
      <c r="C145" s="8" t="str">
        <f t="shared" si="4"/>
        <v/>
      </c>
      <c r="D145" s="8" t="str">
        <f t="shared" si="5"/>
        <v/>
      </c>
      <c r="H145" s="12" t="str">
        <f>IF(A145=0,"",VLOOKUP(B145,Materials!$A$2:$E$1001,6,FALSE))</f>
        <v/>
      </c>
    </row>
    <row r="146" spans="3:8" x14ac:dyDescent="0.2">
      <c r="C146" s="8" t="str">
        <f t="shared" si="4"/>
        <v/>
      </c>
      <c r="D146" s="8" t="str">
        <f t="shared" si="5"/>
        <v/>
      </c>
      <c r="H146" s="12" t="str">
        <f>IF(A146=0,"",VLOOKUP(B146,Materials!$A$2:$E$1001,6,FALSE))</f>
        <v/>
      </c>
    </row>
    <row r="147" spans="3:8" x14ac:dyDescent="0.2">
      <c r="C147" s="8" t="str">
        <f t="shared" si="4"/>
        <v/>
      </c>
      <c r="D147" s="8" t="str">
        <f t="shared" si="5"/>
        <v/>
      </c>
      <c r="H147" s="12" t="str">
        <f>IF(A147=0,"",VLOOKUP(B147,Materials!$A$2:$E$1001,6,FALSE))</f>
        <v/>
      </c>
    </row>
    <row r="148" spans="3:8" x14ac:dyDescent="0.2">
      <c r="C148" s="8" t="str">
        <f t="shared" si="4"/>
        <v/>
      </c>
      <c r="D148" s="8" t="str">
        <f t="shared" si="5"/>
        <v/>
      </c>
      <c r="H148" s="12" t="str">
        <f>IF(A148=0,"",VLOOKUP(B148,Materials!$A$2:$E$1001,6,FALSE))</f>
        <v/>
      </c>
    </row>
    <row r="149" spans="3:8" x14ac:dyDescent="0.2">
      <c r="C149" s="8" t="str">
        <f t="shared" si="4"/>
        <v/>
      </c>
      <c r="D149" s="8" t="str">
        <f t="shared" si="5"/>
        <v/>
      </c>
      <c r="H149" s="12" t="str">
        <f>IF(A149=0,"",VLOOKUP(B149,Materials!$A$2:$E$1001,6,FALSE))</f>
        <v/>
      </c>
    </row>
    <row r="150" spans="3:8" x14ac:dyDescent="0.2">
      <c r="C150" s="8" t="str">
        <f t="shared" si="4"/>
        <v/>
      </c>
      <c r="D150" s="8" t="str">
        <f t="shared" si="5"/>
        <v/>
      </c>
      <c r="H150" s="12" t="str">
        <f>IF(A150=0,"",VLOOKUP(B150,Materials!$A$2:$E$1001,6,FALSE))</f>
        <v/>
      </c>
    </row>
    <row r="151" spans="3:8" x14ac:dyDescent="0.2">
      <c r="C151" s="8" t="str">
        <f t="shared" si="4"/>
        <v/>
      </c>
      <c r="D151" s="8" t="str">
        <f t="shared" si="5"/>
        <v/>
      </c>
      <c r="H151" s="12" t="str">
        <f>IF(A151=0,"",VLOOKUP(B151,Materials!$A$2:$E$1001,6,FALSE))</f>
        <v/>
      </c>
    </row>
    <row r="152" spans="3:8" x14ac:dyDescent="0.2">
      <c r="C152" s="8" t="str">
        <f t="shared" si="4"/>
        <v/>
      </c>
      <c r="D152" s="8" t="str">
        <f t="shared" si="5"/>
        <v/>
      </c>
      <c r="H152" s="12" t="str">
        <f>IF(A152=0,"",VLOOKUP(B152,Materials!$A$2:$E$1001,6,FALSE))</f>
        <v/>
      </c>
    </row>
    <row r="153" spans="3:8" x14ac:dyDescent="0.2">
      <c r="C153" s="8" t="str">
        <f t="shared" si="4"/>
        <v/>
      </c>
      <c r="D153" s="8" t="str">
        <f t="shared" si="5"/>
        <v/>
      </c>
      <c r="H153" s="12" t="str">
        <f>IF(A153=0,"",VLOOKUP(B153,Materials!$A$2:$E$1001,6,FALSE))</f>
        <v/>
      </c>
    </row>
    <row r="154" spans="3:8" x14ac:dyDescent="0.2">
      <c r="C154" s="8" t="str">
        <f t="shared" si="4"/>
        <v/>
      </c>
      <c r="D154" s="8" t="str">
        <f t="shared" si="5"/>
        <v/>
      </c>
      <c r="H154" s="12" t="str">
        <f>IF(A154=0,"",VLOOKUP(B154,Materials!$A$2:$E$1001,6,FALSE))</f>
        <v/>
      </c>
    </row>
    <row r="155" spans="3:8" x14ac:dyDescent="0.2">
      <c r="C155" s="8" t="str">
        <f t="shared" si="4"/>
        <v/>
      </c>
      <c r="D155" s="8" t="str">
        <f t="shared" si="5"/>
        <v/>
      </c>
      <c r="H155" s="12" t="str">
        <f>IF(A155=0,"",VLOOKUP(B155,Materials!$A$2:$E$1001,6,FALSE))</f>
        <v/>
      </c>
    </row>
    <row r="156" spans="3:8" x14ac:dyDescent="0.2">
      <c r="C156" s="8" t="str">
        <f t="shared" si="4"/>
        <v/>
      </c>
      <c r="D156" s="8" t="str">
        <f t="shared" si="5"/>
        <v/>
      </c>
      <c r="H156" s="12" t="str">
        <f>IF(A156=0,"",VLOOKUP(B156,Materials!$A$2:$E$1001,6,FALSE))</f>
        <v/>
      </c>
    </row>
    <row r="157" spans="3:8" x14ac:dyDescent="0.2">
      <c r="C157" s="8" t="str">
        <f t="shared" si="4"/>
        <v/>
      </c>
      <c r="D157" s="8" t="str">
        <f t="shared" si="5"/>
        <v/>
      </c>
      <c r="H157" s="12" t="str">
        <f>IF(A157=0,"",VLOOKUP(B157,Materials!$A$2:$E$1001,6,FALSE))</f>
        <v/>
      </c>
    </row>
    <row r="158" spans="3:8" x14ac:dyDescent="0.2">
      <c r="C158" s="8" t="str">
        <f t="shared" si="4"/>
        <v/>
      </c>
      <c r="D158" s="8" t="str">
        <f t="shared" si="5"/>
        <v/>
      </c>
      <c r="H158" s="12" t="str">
        <f>IF(A158=0,"",VLOOKUP(B158,Materials!$A$2:$E$1001,6,FALSE))</f>
        <v/>
      </c>
    </row>
    <row r="159" spans="3:8" x14ac:dyDescent="0.2">
      <c r="C159" s="8" t="str">
        <f t="shared" si="4"/>
        <v/>
      </c>
      <c r="D159" s="8" t="str">
        <f t="shared" si="5"/>
        <v/>
      </c>
      <c r="H159" s="12" t="str">
        <f>IF(A159=0,"",VLOOKUP(B159,Materials!$A$2:$E$1001,6,FALSE))</f>
        <v/>
      </c>
    </row>
    <row r="160" spans="3:8" x14ac:dyDescent="0.2">
      <c r="C160" s="8" t="str">
        <f t="shared" si="4"/>
        <v/>
      </c>
      <c r="D160" s="8" t="str">
        <f t="shared" si="5"/>
        <v/>
      </c>
      <c r="H160" s="12" t="str">
        <f>IF(A160=0,"",VLOOKUP(B160,Materials!$A$2:$E$1001,6,FALSE))</f>
        <v/>
      </c>
    </row>
    <row r="161" spans="3:8" x14ac:dyDescent="0.2">
      <c r="C161" s="8" t="str">
        <f t="shared" si="4"/>
        <v/>
      </c>
      <c r="D161" s="8" t="str">
        <f t="shared" si="5"/>
        <v/>
      </c>
      <c r="H161" s="12" t="str">
        <f>IF(A161=0,"",VLOOKUP(B161,Materials!$A$2:$E$1001,6,FALSE))</f>
        <v/>
      </c>
    </row>
    <row r="162" spans="3:8" x14ac:dyDescent="0.2">
      <c r="C162" s="8" t="str">
        <f t="shared" si="4"/>
        <v/>
      </c>
      <c r="D162" s="8" t="str">
        <f t="shared" si="5"/>
        <v/>
      </c>
      <c r="H162" s="12" t="str">
        <f>IF(A162=0,"",VLOOKUP(B162,Materials!$A$2:$E$1001,6,FALSE))</f>
        <v/>
      </c>
    </row>
    <row r="163" spans="3:8" x14ac:dyDescent="0.2">
      <c r="C163" s="8" t="str">
        <f t="shared" si="4"/>
        <v/>
      </c>
      <c r="D163" s="8" t="str">
        <f t="shared" si="5"/>
        <v/>
      </c>
      <c r="H163" s="12" t="str">
        <f>IF(A163=0,"",VLOOKUP(B163,Materials!$A$2:$E$1001,6,FALSE))</f>
        <v/>
      </c>
    </row>
    <row r="164" spans="3:8" x14ac:dyDescent="0.2">
      <c r="C164" s="8" t="str">
        <f t="shared" si="4"/>
        <v/>
      </c>
      <c r="D164" s="8" t="str">
        <f t="shared" si="5"/>
        <v/>
      </c>
      <c r="H164" s="12" t="str">
        <f>IF(A164=0,"",VLOOKUP(B164,Materials!$A$2:$E$1001,6,FALSE))</f>
        <v/>
      </c>
    </row>
    <row r="165" spans="3:8" x14ac:dyDescent="0.2">
      <c r="C165" s="8" t="str">
        <f t="shared" si="4"/>
        <v/>
      </c>
      <c r="D165" s="8" t="str">
        <f t="shared" si="5"/>
        <v/>
      </c>
      <c r="H165" s="12" t="str">
        <f>IF(A165=0,"",VLOOKUP(B165,Materials!$A$2:$E$1001,6,FALSE))</f>
        <v/>
      </c>
    </row>
    <row r="166" spans="3:8" x14ac:dyDescent="0.2">
      <c r="C166" s="8" t="str">
        <f t="shared" si="4"/>
        <v/>
      </c>
      <c r="D166" s="8" t="str">
        <f t="shared" si="5"/>
        <v/>
      </c>
      <c r="H166" s="12" t="str">
        <f>IF(A166=0,"",VLOOKUP(B166,Materials!$A$2:$E$1001,6,FALSE))</f>
        <v/>
      </c>
    </row>
    <row r="167" spans="3:8" x14ac:dyDescent="0.2">
      <c r="C167" s="8" t="str">
        <f t="shared" si="4"/>
        <v/>
      </c>
      <c r="D167" s="8" t="str">
        <f t="shared" si="5"/>
        <v/>
      </c>
      <c r="H167" s="12" t="str">
        <f>IF(A167=0,"",VLOOKUP(B167,Materials!$A$2:$E$1001,6,FALSE))</f>
        <v/>
      </c>
    </row>
    <row r="168" spans="3:8" x14ac:dyDescent="0.2">
      <c r="C168" s="8" t="str">
        <f t="shared" si="4"/>
        <v/>
      </c>
      <c r="D168" s="8" t="str">
        <f t="shared" si="5"/>
        <v/>
      </c>
      <c r="H168" s="12" t="str">
        <f>IF(A168=0,"",VLOOKUP(B168,Materials!$A$2:$E$1001,6,FALSE))</f>
        <v/>
      </c>
    </row>
    <row r="169" spans="3:8" x14ac:dyDescent="0.2">
      <c r="C169" s="8" t="str">
        <f t="shared" si="4"/>
        <v/>
      </c>
      <c r="D169" s="8" t="str">
        <f t="shared" si="5"/>
        <v/>
      </c>
      <c r="H169" s="12" t="str">
        <f>IF(A169=0,"",VLOOKUP(B169,Materials!$A$2:$E$1001,6,FALSE))</f>
        <v/>
      </c>
    </row>
    <row r="170" spans="3:8" x14ac:dyDescent="0.2">
      <c r="C170" s="8" t="str">
        <f t="shared" si="4"/>
        <v/>
      </c>
      <c r="D170" s="8" t="str">
        <f t="shared" si="5"/>
        <v/>
      </c>
      <c r="H170" s="12" t="str">
        <f>IF(A170=0,"",VLOOKUP(B170,Materials!$A$2:$E$1001,6,FALSE))</f>
        <v/>
      </c>
    </row>
    <row r="171" spans="3:8" x14ac:dyDescent="0.2">
      <c r="C171" s="8" t="str">
        <f t="shared" si="4"/>
        <v/>
      </c>
      <c r="D171" s="8" t="str">
        <f t="shared" si="5"/>
        <v/>
      </c>
      <c r="H171" s="12" t="str">
        <f>IF(A171=0,"",VLOOKUP(B171,Materials!$A$2:$E$1001,6,FALSE))</f>
        <v/>
      </c>
    </row>
    <row r="172" spans="3:8" x14ac:dyDescent="0.2">
      <c r="C172" s="8" t="str">
        <f t="shared" si="4"/>
        <v/>
      </c>
      <c r="D172" s="8" t="str">
        <f t="shared" si="5"/>
        <v/>
      </c>
      <c r="H172" s="12" t="str">
        <f>IF(A172=0,"",VLOOKUP(B172,Materials!$A$2:$E$1001,6,FALSE))</f>
        <v/>
      </c>
    </row>
    <row r="173" spans="3:8" x14ac:dyDescent="0.2">
      <c r="C173" s="8" t="str">
        <f t="shared" si="4"/>
        <v/>
      </c>
      <c r="D173" s="8" t="str">
        <f t="shared" si="5"/>
        <v/>
      </c>
      <c r="H173" s="12" t="str">
        <f>IF(A173=0,"",VLOOKUP(B173,Materials!$A$2:$E$1001,6,FALSE))</f>
        <v/>
      </c>
    </row>
    <row r="174" spans="3:8" x14ac:dyDescent="0.2">
      <c r="C174" s="8" t="str">
        <f t="shared" si="4"/>
        <v/>
      </c>
      <c r="D174" s="8" t="str">
        <f t="shared" si="5"/>
        <v/>
      </c>
      <c r="H174" s="12" t="str">
        <f>IF(A174=0,"",VLOOKUP(B174,Materials!$A$2:$E$1001,6,FALSE))</f>
        <v/>
      </c>
    </row>
    <row r="175" spans="3:8" x14ac:dyDescent="0.2">
      <c r="C175" s="8" t="str">
        <f t="shared" si="4"/>
        <v/>
      </c>
      <c r="D175" s="8" t="str">
        <f t="shared" si="5"/>
        <v/>
      </c>
      <c r="H175" s="12" t="str">
        <f>IF(A175=0,"",VLOOKUP(B175,Materials!$A$2:$E$1001,6,FALSE))</f>
        <v/>
      </c>
    </row>
    <row r="176" spans="3:8" x14ac:dyDescent="0.2">
      <c r="C176" s="8" t="str">
        <f t="shared" si="4"/>
        <v/>
      </c>
      <c r="D176" s="8" t="str">
        <f t="shared" si="5"/>
        <v/>
      </c>
      <c r="H176" s="12" t="str">
        <f>IF(A176=0,"",VLOOKUP(B176,Materials!$A$2:$E$1001,6,FALSE))</f>
        <v/>
      </c>
    </row>
    <row r="177" spans="3:8" x14ac:dyDescent="0.2">
      <c r="C177" s="8" t="str">
        <f t="shared" si="4"/>
        <v/>
      </c>
      <c r="D177" s="8" t="str">
        <f t="shared" si="5"/>
        <v/>
      </c>
      <c r="H177" s="12" t="str">
        <f>IF(A177=0,"",VLOOKUP(B177,Materials!$A$2:$E$1001,6,FALSE))</f>
        <v/>
      </c>
    </row>
    <row r="178" spans="3:8" x14ac:dyDescent="0.2">
      <c r="C178" s="8" t="str">
        <f t="shared" si="4"/>
        <v/>
      </c>
      <c r="D178" s="8" t="str">
        <f t="shared" si="5"/>
        <v/>
      </c>
      <c r="H178" s="12" t="str">
        <f>IF(A178=0,"",VLOOKUP(B178,Materials!$A$2:$E$1001,6,FALSE))</f>
        <v/>
      </c>
    </row>
    <row r="179" spans="3:8" x14ac:dyDescent="0.2">
      <c r="C179" s="8" t="str">
        <f t="shared" si="4"/>
        <v/>
      </c>
      <c r="D179" s="8" t="str">
        <f t="shared" si="5"/>
        <v/>
      </c>
      <c r="H179" s="12" t="str">
        <f>IF(A179=0,"",VLOOKUP(B179,Materials!$A$2:$E$1001,6,FALSE))</f>
        <v/>
      </c>
    </row>
    <row r="180" spans="3:8" x14ac:dyDescent="0.2">
      <c r="C180" s="8" t="str">
        <f t="shared" si="4"/>
        <v/>
      </c>
      <c r="D180" s="8" t="str">
        <f t="shared" si="5"/>
        <v/>
      </c>
      <c r="H180" s="12" t="str">
        <f>IF(A180=0,"",VLOOKUP(B180,Materials!$A$2:$E$1001,6,FALSE))</f>
        <v/>
      </c>
    </row>
    <row r="181" spans="3:8" x14ac:dyDescent="0.2">
      <c r="C181" s="8" t="str">
        <f t="shared" si="4"/>
        <v/>
      </c>
      <c r="D181" s="8" t="str">
        <f t="shared" si="5"/>
        <v/>
      </c>
      <c r="H181" s="12" t="str">
        <f>IF(A181=0,"",VLOOKUP(B181,Materials!$A$2:$E$1001,6,FALSE))</f>
        <v/>
      </c>
    </row>
    <row r="182" spans="3:8" x14ac:dyDescent="0.2">
      <c r="C182" s="8" t="str">
        <f t="shared" si="4"/>
        <v/>
      </c>
      <c r="D182" s="8" t="str">
        <f t="shared" si="5"/>
        <v/>
      </c>
      <c r="H182" s="12" t="str">
        <f>IF(A182=0,"",VLOOKUP(B182,Materials!$A$2:$E$1001,6,FALSE))</f>
        <v/>
      </c>
    </row>
    <row r="183" spans="3:8" x14ac:dyDescent="0.2">
      <c r="C183" s="8" t="str">
        <f t="shared" si="4"/>
        <v/>
      </c>
      <c r="D183" s="8" t="str">
        <f t="shared" si="5"/>
        <v/>
      </c>
      <c r="H183" s="12" t="str">
        <f>IF(A183=0,"",VLOOKUP(B183,Materials!$A$2:$E$1001,6,FALSE))</f>
        <v/>
      </c>
    </row>
    <row r="184" spans="3:8" x14ac:dyDescent="0.2">
      <c r="C184" s="8" t="str">
        <f t="shared" si="4"/>
        <v/>
      </c>
      <c r="D184" s="8" t="str">
        <f t="shared" si="5"/>
        <v/>
      </c>
      <c r="H184" s="12" t="str">
        <f>IF(A184=0,"",VLOOKUP(B184,Materials!$A$2:$E$1001,6,FALSE))</f>
        <v/>
      </c>
    </row>
    <row r="185" spans="3:8" x14ac:dyDescent="0.2">
      <c r="C185" s="8" t="str">
        <f t="shared" si="4"/>
        <v/>
      </c>
      <c r="D185" s="8" t="str">
        <f t="shared" si="5"/>
        <v/>
      </c>
      <c r="H185" s="12" t="str">
        <f>IF(A185=0,"",VLOOKUP(B185,Materials!$A$2:$E$1001,6,FALSE))</f>
        <v/>
      </c>
    </row>
    <row r="186" spans="3:8" x14ac:dyDescent="0.2">
      <c r="C186" s="8" t="str">
        <f t="shared" si="4"/>
        <v/>
      </c>
      <c r="D186" s="8" t="str">
        <f t="shared" si="5"/>
        <v/>
      </c>
      <c r="H186" s="12" t="str">
        <f>IF(A186=0,"",VLOOKUP(B186,Materials!$A$2:$E$1001,6,FALSE))</f>
        <v/>
      </c>
    </row>
    <row r="187" spans="3:8" x14ac:dyDescent="0.2">
      <c r="C187" s="8" t="str">
        <f t="shared" si="4"/>
        <v/>
      </c>
      <c r="D187" s="8" t="str">
        <f t="shared" si="5"/>
        <v/>
      </c>
      <c r="H187" s="12" t="str">
        <f>IF(A187=0,"",VLOOKUP(B187,Materials!$A$2:$E$1001,6,FALSE))</f>
        <v/>
      </c>
    </row>
    <row r="188" spans="3:8" x14ac:dyDescent="0.2">
      <c r="C188" s="8" t="str">
        <f t="shared" si="4"/>
        <v/>
      </c>
      <c r="D188" s="8" t="str">
        <f t="shared" si="5"/>
        <v/>
      </c>
      <c r="H188" s="12" t="str">
        <f>IF(A188=0,"",VLOOKUP(B188,Materials!$A$2:$E$1001,6,FALSE))</f>
        <v/>
      </c>
    </row>
    <row r="189" spans="3:8" x14ac:dyDescent="0.2">
      <c r="C189" s="8" t="str">
        <f t="shared" si="4"/>
        <v/>
      </c>
      <c r="D189" s="8" t="str">
        <f t="shared" si="5"/>
        <v/>
      </c>
      <c r="H189" s="12" t="str">
        <f>IF(A189=0,"",VLOOKUP(B189,Materials!$A$2:$E$1001,6,FALSE))</f>
        <v/>
      </c>
    </row>
    <row r="190" spans="3:8" x14ac:dyDescent="0.2">
      <c r="C190" s="8" t="str">
        <f t="shared" si="4"/>
        <v/>
      </c>
      <c r="D190" s="8" t="str">
        <f t="shared" si="5"/>
        <v/>
      </c>
      <c r="H190" s="12" t="str">
        <f>IF(A190=0,"",VLOOKUP(B190,Materials!$A$2:$E$1001,6,FALSE))</f>
        <v/>
      </c>
    </row>
    <row r="191" spans="3:8" x14ac:dyDescent="0.2">
      <c r="C191" s="8" t="str">
        <f t="shared" si="4"/>
        <v/>
      </c>
      <c r="D191" s="8" t="str">
        <f t="shared" si="5"/>
        <v/>
      </c>
      <c r="H191" s="12" t="str">
        <f>IF(A191=0,"",VLOOKUP(B191,Materials!$A$2:$E$1001,6,FALSE))</f>
        <v/>
      </c>
    </row>
    <row r="192" spans="3:8" x14ac:dyDescent="0.2">
      <c r="C192" s="8" t="str">
        <f t="shared" si="4"/>
        <v/>
      </c>
      <c r="D192" s="8" t="str">
        <f t="shared" si="5"/>
        <v/>
      </c>
      <c r="H192" s="12" t="str">
        <f>IF(A192=0,"",VLOOKUP(B192,Materials!$A$2:$E$1001,6,FALSE))</f>
        <v/>
      </c>
    </row>
    <row r="193" spans="3:8" x14ac:dyDescent="0.2">
      <c r="C193" s="8" t="str">
        <f t="shared" si="4"/>
        <v/>
      </c>
      <c r="D193" s="8" t="str">
        <f t="shared" si="5"/>
        <v/>
      </c>
      <c r="H193" s="12" t="str">
        <f>IF(A193=0,"",VLOOKUP(B193,Materials!$A$2:$E$1001,6,FALSE))</f>
        <v/>
      </c>
    </row>
    <row r="194" spans="3:8" x14ac:dyDescent="0.2">
      <c r="C194" s="8" t="str">
        <f t="shared" ref="C194:C257" si="6">IF(A194=0,"",VLOOKUP(B194,MatDB,2,FALSE))</f>
        <v/>
      </c>
      <c r="D194" s="8" t="str">
        <f t="shared" si="5"/>
        <v/>
      </c>
      <c r="H194" s="12" t="str">
        <f>IF(A194=0,"",VLOOKUP(B194,Materials!$A$2:$E$1001,6,FALSE))</f>
        <v/>
      </c>
    </row>
    <row r="195" spans="3:8" x14ac:dyDescent="0.2">
      <c r="C195" s="8" t="str">
        <f t="shared" si="6"/>
        <v/>
      </c>
      <c r="D195" s="8" t="str">
        <f t="shared" ref="D195:D258" si="7">IF(A195=0,"","Concrete04")</f>
        <v/>
      </c>
      <c r="H195" s="12" t="str">
        <f>IF(A195=0,"",VLOOKUP(B195,Materials!$A$2:$E$1001,6,FALSE))</f>
        <v/>
      </c>
    </row>
    <row r="196" spans="3:8" x14ac:dyDescent="0.2">
      <c r="C196" s="8" t="str">
        <f t="shared" si="6"/>
        <v/>
      </c>
      <c r="D196" s="8" t="str">
        <f t="shared" si="7"/>
        <v/>
      </c>
      <c r="H196" s="12" t="str">
        <f>IF(A196=0,"",VLOOKUP(B196,Materials!$A$2:$E$1001,6,FALSE))</f>
        <v/>
      </c>
    </row>
    <row r="197" spans="3:8" x14ac:dyDescent="0.2">
      <c r="C197" s="8" t="str">
        <f t="shared" si="6"/>
        <v/>
      </c>
      <c r="D197" s="8" t="str">
        <f t="shared" si="7"/>
        <v/>
      </c>
      <c r="H197" s="12" t="str">
        <f>IF(A197=0,"",VLOOKUP(B197,Materials!$A$2:$E$1001,6,FALSE))</f>
        <v/>
      </c>
    </row>
    <row r="198" spans="3:8" x14ac:dyDescent="0.2">
      <c r="C198" s="8" t="str">
        <f t="shared" si="6"/>
        <v/>
      </c>
      <c r="D198" s="8" t="str">
        <f t="shared" si="7"/>
        <v/>
      </c>
      <c r="H198" s="12" t="str">
        <f>IF(A198=0,"",VLOOKUP(B198,Materials!$A$2:$E$1001,6,FALSE))</f>
        <v/>
      </c>
    </row>
    <row r="199" spans="3:8" x14ac:dyDescent="0.2">
      <c r="C199" s="8" t="str">
        <f t="shared" si="6"/>
        <v/>
      </c>
      <c r="D199" s="8" t="str">
        <f t="shared" si="7"/>
        <v/>
      </c>
      <c r="H199" s="12" t="str">
        <f>IF(A199=0,"",VLOOKUP(B199,Materials!$A$2:$E$1001,6,FALSE))</f>
        <v/>
      </c>
    </row>
    <row r="200" spans="3:8" x14ac:dyDescent="0.2">
      <c r="C200" s="8" t="str">
        <f t="shared" si="6"/>
        <v/>
      </c>
      <c r="D200" s="8" t="str">
        <f t="shared" si="7"/>
        <v/>
      </c>
      <c r="H200" s="12" t="str">
        <f>IF(A200=0,"",VLOOKUP(B200,Materials!$A$2:$E$1001,6,FALSE))</f>
        <v/>
      </c>
    </row>
    <row r="201" spans="3:8" x14ac:dyDescent="0.2">
      <c r="C201" s="8" t="str">
        <f t="shared" si="6"/>
        <v/>
      </c>
      <c r="D201" s="8" t="str">
        <f t="shared" si="7"/>
        <v/>
      </c>
      <c r="H201" s="12" t="str">
        <f>IF(A201=0,"",VLOOKUP(B201,Materials!$A$2:$E$1001,6,FALSE))</f>
        <v/>
      </c>
    </row>
    <row r="202" spans="3:8" x14ac:dyDescent="0.2">
      <c r="C202" s="8" t="str">
        <f t="shared" si="6"/>
        <v/>
      </c>
      <c r="D202" s="8" t="str">
        <f t="shared" si="7"/>
        <v/>
      </c>
      <c r="H202" s="12" t="str">
        <f>IF(A202=0,"",VLOOKUP(B202,Materials!$A$2:$E$1001,6,FALSE))</f>
        <v/>
      </c>
    </row>
    <row r="203" spans="3:8" x14ac:dyDescent="0.2">
      <c r="C203" s="8" t="str">
        <f t="shared" si="6"/>
        <v/>
      </c>
      <c r="D203" s="8" t="str">
        <f t="shared" si="7"/>
        <v/>
      </c>
      <c r="H203" s="12" t="str">
        <f>IF(A203=0,"",VLOOKUP(B203,Materials!$A$2:$E$1001,6,FALSE))</f>
        <v/>
      </c>
    </row>
    <row r="204" spans="3:8" x14ac:dyDescent="0.2">
      <c r="C204" s="8" t="str">
        <f t="shared" si="6"/>
        <v/>
      </c>
      <c r="D204" s="8" t="str">
        <f t="shared" si="7"/>
        <v/>
      </c>
      <c r="H204" s="12" t="str">
        <f>IF(A204=0,"",VLOOKUP(B204,Materials!$A$2:$E$1001,6,FALSE))</f>
        <v/>
      </c>
    </row>
    <row r="205" spans="3:8" x14ac:dyDescent="0.2">
      <c r="C205" s="8" t="str">
        <f t="shared" si="6"/>
        <v/>
      </c>
      <c r="D205" s="8" t="str">
        <f t="shared" si="7"/>
        <v/>
      </c>
      <c r="H205" s="12" t="str">
        <f>IF(A205=0,"",VLOOKUP(B205,Materials!$A$2:$E$1001,6,FALSE))</f>
        <v/>
      </c>
    </row>
    <row r="206" spans="3:8" x14ac:dyDescent="0.2">
      <c r="C206" s="8" t="str">
        <f t="shared" si="6"/>
        <v/>
      </c>
      <c r="D206" s="8" t="str">
        <f t="shared" si="7"/>
        <v/>
      </c>
      <c r="H206" s="12" t="str">
        <f>IF(A206=0,"",VLOOKUP(B206,Materials!$A$2:$E$1001,6,FALSE))</f>
        <v/>
      </c>
    </row>
    <row r="207" spans="3:8" x14ac:dyDescent="0.2">
      <c r="C207" s="8" t="str">
        <f t="shared" si="6"/>
        <v/>
      </c>
      <c r="D207" s="8" t="str">
        <f t="shared" si="7"/>
        <v/>
      </c>
      <c r="H207" s="12" t="str">
        <f>IF(A207=0,"",VLOOKUP(B207,Materials!$A$2:$E$1001,6,FALSE))</f>
        <v/>
      </c>
    </row>
    <row r="208" spans="3:8" x14ac:dyDescent="0.2">
      <c r="C208" s="8" t="str">
        <f t="shared" si="6"/>
        <v/>
      </c>
      <c r="D208" s="8" t="str">
        <f t="shared" si="7"/>
        <v/>
      </c>
      <c r="H208" s="12" t="str">
        <f>IF(A208=0,"",VLOOKUP(B208,Materials!$A$2:$E$1001,6,FALSE))</f>
        <v/>
      </c>
    </row>
    <row r="209" spans="3:8" x14ac:dyDescent="0.2">
      <c r="C209" s="8" t="str">
        <f t="shared" si="6"/>
        <v/>
      </c>
      <c r="D209" s="8" t="str">
        <f t="shared" si="7"/>
        <v/>
      </c>
      <c r="H209" s="12" t="str">
        <f>IF(A209=0,"",VLOOKUP(B209,Materials!$A$2:$E$1001,6,FALSE))</f>
        <v/>
      </c>
    </row>
    <row r="210" spans="3:8" x14ac:dyDescent="0.2">
      <c r="C210" s="8" t="str">
        <f t="shared" si="6"/>
        <v/>
      </c>
      <c r="D210" s="8" t="str">
        <f t="shared" si="7"/>
        <v/>
      </c>
      <c r="H210" s="12" t="str">
        <f>IF(A210=0,"",VLOOKUP(B210,Materials!$A$2:$E$1001,6,FALSE))</f>
        <v/>
      </c>
    </row>
    <row r="211" spans="3:8" x14ac:dyDescent="0.2">
      <c r="C211" s="8" t="str">
        <f t="shared" si="6"/>
        <v/>
      </c>
      <c r="D211" s="8" t="str">
        <f t="shared" si="7"/>
        <v/>
      </c>
      <c r="H211" s="12" t="str">
        <f>IF(A211=0,"",VLOOKUP(B211,Materials!$A$2:$E$1001,6,FALSE))</f>
        <v/>
      </c>
    </row>
    <row r="212" spans="3:8" x14ac:dyDescent="0.2">
      <c r="C212" s="8" t="str">
        <f t="shared" si="6"/>
        <v/>
      </c>
      <c r="D212" s="8" t="str">
        <f t="shared" si="7"/>
        <v/>
      </c>
      <c r="H212" s="12" t="str">
        <f>IF(A212=0,"",VLOOKUP(B212,Materials!$A$2:$E$1001,6,FALSE))</f>
        <v/>
      </c>
    </row>
    <row r="213" spans="3:8" x14ac:dyDescent="0.2">
      <c r="C213" s="8" t="str">
        <f t="shared" si="6"/>
        <v/>
      </c>
      <c r="D213" s="8" t="str">
        <f t="shared" si="7"/>
        <v/>
      </c>
      <c r="H213" s="12" t="str">
        <f>IF(A213=0,"",VLOOKUP(B213,Materials!$A$2:$E$1001,6,FALSE))</f>
        <v/>
      </c>
    </row>
    <row r="214" spans="3:8" x14ac:dyDescent="0.2">
      <c r="C214" s="8" t="str">
        <f t="shared" si="6"/>
        <v/>
      </c>
      <c r="D214" s="8" t="str">
        <f t="shared" si="7"/>
        <v/>
      </c>
      <c r="H214" s="12" t="str">
        <f>IF(A214=0,"",VLOOKUP(B214,Materials!$A$2:$E$1001,6,FALSE))</f>
        <v/>
      </c>
    </row>
    <row r="215" spans="3:8" x14ac:dyDescent="0.2">
      <c r="C215" s="8" t="str">
        <f t="shared" si="6"/>
        <v/>
      </c>
      <c r="D215" s="8" t="str">
        <f t="shared" si="7"/>
        <v/>
      </c>
      <c r="H215" s="12" t="str">
        <f>IF(A215=0,"",VLOOKUP(B215,Materials!$A$2:$E$1001,6,FALSE))</f>
        <v/>
      </c>
    </row>
    <row r="216" spans="3:8" x14ac:dyDescent="0.2">
      <c r="C216" s="8" t="str">
        <f t="shared" si="6"/>
        <v/>
      </c>
      <c r="D216" s="8" t="str">
        <f t="shared" si="7"/>
        <v/>
      </c>
      <c r="H216" s="12" t="str">
        <f>IF(A216=0,"",VLOOKUP(B216,Materials!$A$2:$E$1001,6,FALSE))</f>
        <v/>
      </c>
    </row>
    <row r="217" spans="3:8" x14ac:dyDescent="0.2">
      <c r="C217" s="8" t="str">
        <f t="shared" si="6"/>
        <v/>
      </c>
      <c r="D217" s="8" t="str">
        <f t="shared" si="7"/>
        <v/>
      </c>
      <c r="H217" s="12" t="str">
        <f>IF(A217=0,"",VLOOKUP(B217,Materials!$A$2:$E$1001,6,FALSE))</f>
        <v/>
      </c>
    </row>
    <row r="218" spans="3:8" x14ac:dyDescent="0.2">
      <c r="C218" s="8" t="str">
        <f t="shared" si="6"/>
        <v/>
      </c>
      <c r="D218" s="8" t="str">
        <f t="shared" si="7"/>
        <v/>
      </c>
      <c r="H218" s="12" t="str">
        <f>IF(A218=0,"",VLOOKUP(B218,Materials!$A$2:$E$1001,6,FALSE))</f>
        <v/>
      </c>
    </row>
    <row r="219" spans="3:8" x14ac:dyDescent="0.2">
      <c r="C219" s="8" t="str">
        <f t="shared" si="6"/>
        <v/>
      </c>
      <c r="D219" s="8" t="str">
        <f t="shared" si="7"/>
        <v/>
      </c>
      <c r="H219" s="12" t="str">
        <f>IF(A219=0,"",VLOOKUP(B219,Materials!$A$2:$E$1001,6,FALSE))</f>
        <v/>
      </c>
    </row>
    <row r="220" spans="3:8" x14ac:dyDescent="0.2">
      <c r="C220" s="8" t="str">
        <f t="shared" si="6"/>
        <v/>
      </c>
      <c r="D220" s="8" t="str">
        <f t="shared" si="7"/>
        <v/>
      </c>
      <c r="H220" s="12" t="str">
        <f>IF(A220=0,"",VLOOKUP(B220,Materials!$A$2:$E$1001,6,FALSE))</f>
        <v/>
      </c>
    </row>
    <row r="221" spans="3:8" x14ac:dyDescent="0.2">
      <c r="C221" s="8" t="str">
        <f t="shared" si="6"/>
        <v/>
      </c>
      <c r="D221" s="8" t="str">
        <f t="shared" si="7"/>
        <v/>
      </c>
      <c r="H221" s="12" t="str">
        <f>IF(A221=0,"",VLOOKUP(B221,Materials!$A$2:$E$1001,6,FALSE))</f>
        <v/>
      </c>
    </row>
    <row r="222" spans="3:8" x14ac:dyDescent="0.2">
      <c r="C222" s="8" t="str">
        <f t="shared" si="6"/>
        <v/>
      </c>
      <c r="D222" s="8" t="str">
        <f t="shared" si="7"/>
        <v/>
      </c>
      <c r="H222" s="12" t="str">
        <f>IF(A222=0,"",VLOOKUP(B222,Materials!$A$2:$E$1001,6,FALSE))</f>
        <v/>
      </c>
    </row>
    <row r="223" spans="3:8" x14ac:dyDescent="0.2">
      <c r="C223" s="8" t="str">
        <f t="shared" si="6"/>
        <v/>
      </c>
      <c r="D223" s="8" t="str">
        <f t="shared" si="7"/>
        <v/>
      </c>
      <c r="H223" s="12" t="str">
        <f>IF(A223=0,"",VLOOKUP(B223,Materials!$A$2:$E$1001,6,FALSE))</f>
        <v/>
      </c>
    </row>
    <row r="224" spans="3:8" x14ac:dyDescent="0.2">
      <c r="C224" s="8" t="str">
        <f t="shared" si="6"/>
        <v/>
      </c>
      <c r="D224" s="8" t="str">
        <f t="shared" si="7"/>
        <v/>
      </c>
      <c r="H224" s="12" t="str">
        <f>IF(A224=0,"",VLOOKUP(B224,Materials!$A$2:$E$1001,6,FALSE))</f>
        <v/>
      </c>
    </row>
    <row r="225" spans="3:8" x14ac:dyDescent="0.2">
      <c r="C225" s="8" t="str">
        <f t="shared" si="6"/>
        <v/>
      </c>
      <c r="D225" s="8" t="str">
        <f t="shared" si="7"/>
        <v/>
      </c>
      <c r="H225" s="12" t="str">
        <f>IF(A225=0,"",VLOOKUP(B225,Materials!$A$2:$E$1001,6,FALSE))</f>
        <v/>
      </c>
    </row>
    <row r="226" spans="3:8" x14ac:dyDescent="0.2">
      <c r="C226" s="8" t="str">
        <f t="shared" si="6"/>
        <v/>
      </c>
      <c r="D226" s="8" t="str">
        <f t="shared" si="7"/>
        <v/>
      </c>
      <c r="H226" s="12" t="str">
        <f>IF(A226=0,"",VLOOKUP(B226,Materials!$A$2:$E$1001,6,FALSE))</f>
        <v/>
      </c>
    </row>
    <row r="227" spans="3:8" x14ac:dyDescent="0.2">
      <c r="C227" s="8" t="str">
        <f t="shared" si="6"/>
        <v/>
      </c>
      <c r="D227" s="8" t="str">
        <f t="shared" si="7"/>
        <v/>
      </c>
      <c r="H227" s="12" t="str">
        <f>IF(A227=0,"",VLOOKUP(B227,Materials!$A$2:$E$1001,6,FALSE))</f>
        <v/>
      </c>
    </row>
    <row r="228" spans="3:8" x14ac:dyDescent="0.2">
      <c r="C228" s="8" t="str">
        <f t="shared" si="6"/>
        <v/>
      </c>
      <c r="D228" s="8" t="str">
        <f t="shared" si="7"/>
        <v/>
      </c>
      <c r="H228" s="12" t="str">
        <f>IF(A228=0,"",VLOOKUP(B228,Materials!$A$2:$E$1001,6,FALSE))</f>
        <v/>
      </c>
    </row>
    <row r="229" spans="3:8" x14ac:dyDescent="0.2">
      <c r="C229" s="8" t="str">
        <f t="shared" si="6"/>
        <v/>
      </c>
      <c r="D229" s="8" t="str">
        <f t="shared" si="7"/>
        <v/>
      </c>
      <c r="H229" s="12" t="str">
        <f>IF(A229=0,"",VLOOKUP(B229,Materials!$A$2:$E$1001,6,FALSE))</f>
        <v/>
      </c>
    </row>
    <row r="230" spans="3:8" x14ac:dyDescent="0.2">
      <c r="C230" s="8" t="str">
        <f t="shared" si="6"/>
        <v/>
      </c>
      <c r="D230" s="8" t="str">
        <f t="shared" si="7"/>
        <v/>
      </c>
      <c r="H230" s="12" t="str">
        <f>IF(A230=0,"",VLOOKUP(B230,Materials!$A$2:$E$1001,6,FALSE))</f>
        <v/>
      </c>
    </row>
    <row r="231" spans="3:8" x14ac:dyDescent="0.2">
      <c r="C231" s="8" t="str">
        <f t="shared" si="6"/>
        <v/>
      </c>
      <c r="D231" s="8" t="str">
        <f t="shared" si="7"/>
        <v/>
      </c>
      <c r="H231" s="12" t="str">
        <f>IF(A231=0,"",VLOOKUP(B231,Materials!$A$2:$E$1001,6,FALSE))</f>
        <v/>
      </c>
    </row>
    <row r="232" spans="3:8" x14ac:dyDescent="0.2">
      <c r="C232" s="8" t="str">
        <f t="shared" si="6"/>
        <v/>
      </c>
      <c r="D232" s="8" t="str">
        <f t="shared" si="7"/>
        <v/>
      </c>
      <c r="H232" s="12" t="str">
        <f>IF(A232=0,"",VLOOKUP(B232,Materials!$A$2:$E$1001,6,FALSE))</f>
        <v/>
      </c>
    </row>
    <row r="233" spans="3:8" x14ac:dyDescent="0.2">
      <c r="C233" s="8" t="str">
        <f t="shared" si="6"/>
        <v/>
      </c>
      <c r="D233" s="8" t="str">
        <f t="shared" si="7"/>
        <v/>
      </c>
      <c r="H233" s="12" t="str">
        <f>IF(A233=0,"",VLOOKUP(B233,Materials!$A$2:$E$1001,6,FALSE))</f>
        <v/>
      </c>
    </row>
    <row r="234" spans="3:8" x14ac:dyDescent="0.2">
      <c r="C234" s="8" t="str">
        <f t="shared" si="6"/>
        <v/>
      </c>
      <c r="D234" s="8" t="str">
        <f t="shared" si="7"/>
        <v/>
      </c>
      <c r="H234" s="12" t="str">
        <f>IF(A234=0,"",VLOOKUP(B234,Materials!$A$2:$E$1001,6,FALSE))</f>
        <v/>
      </c>
    </row>
    <row r="235" spans="3:8" x14ac:dyDescent="0.2">
      <c r="C235" s="8" t="str">
        <f t="shared" si="6"/>
        <v/>
      </c>
      <c r="D235" s="8" t="str">
        <f t="shared" si="7"/>
        <v/>
      </c>
      <c r="H235" s="12" t="str">
        <f>IF(A235=0,"",VLOOKUP(B235,Materials!$A$2:$E$1001,6,FALSE))</f>
        <v/>
      </c>
    </row>
    <row r="236" spans="3:8" x14ac:dyDescent="0.2">
      <c r="C236" s="8" t="str">
        <f t="shared" si="6"/>
        <v/>
      </c>
      <c r="D236" s="8" t="str">
        <f t="shared" si="7"/>
        <v/>
      </c>
      <c r="H236" s="12" t="str">
        <f>IF(A236=0,"",VLOOKUP(B236,Materials!$A$2:$E$1001,6,FALSE))</f>
        <v/>
      </c>
    </row>
    <row r="237" spans="3:8" x14ac:dyDescent="0.2">
      <c r="C237" s="8" t="str">
        <f t="shared" si="6"/>
        <v/>
      </c>
      <c r="D237" s="8" t="str">
        <f t="shared" si="7"/>
        <v/>
      </c>
      <c r="H237" s="12" t="str">
        <f>IF(A237=0,"",VLOOKUP(B237,Materials!$A$2:$E$1001,6,FALSE))</f>
        <v/>
      </c>
    </row>
    <row r="238" spans="3:8" x14ac:dyDescent="0.2">
      <c r="C238" s="8" t="str">
        <f t="shared" si="6"/>
        <v/>
      </c>
      <c r="D238" s="8" t="str">
        <f t="shared" si="7"/>
        <v/>
      </c>
      <c r="H238" s="12" t="str">
        <f>IF(A238=0,"",VLOOKUP(B238,Materials!$A$2:$E$1001,6,FALSE))</f>
        <v/>
      </c>
    </row>
    <row r="239" spans="3:8" x14ac:dyDescent="0.2">
      <c r="C239" s="8" t="str">
        <f t="shared" si="6"/>
        <v/>
      </c>
      <c r="D239" s="8" t="str">
        <f t="shared" si="7"/>
        <v/>
      </c>
      <c r="H239" s="12" t="str">
        <f>IF(A239=0,"",VLOOKUP(B239,Materials!$A$2:$E$1001,6,FALSE))</f>
        <v/>
      </c>
    </row>
    <row r="240" spans="3:8" x14ac:dyDescent="0.2">
      <c r="C240" s="8" t="str">
        <f t="shared" si="6"/>
        <v/>
      </c>
      <c r="D240" s="8" t="str">
        <f t="shared" si="7"/>
        <v/>
      </c>
      <c r="H240" s="12" t="str">
        <f>IF(A240=0,"",VLOOKUP(B240,Materials!$A$2:$E$1001,6,FALSE))</f>
        <v/>
      </c>
    </row>
    <row r="241" spans="3:8" x14ac:dyDescent="0.2">
      <c r="C241" s="8" t="str">
        <f t="shared" si="6"/>
        <v/>
      </c>
      <c r="D241" s="8" t="str">
        <f t="shared" si="7"/>
        <v/>
      </c>
      <c r="H241" s="12" t="str">
        <f>IF(A241=0,"",VLOOKUP(B241,Materials!$A$2:$E$1001,6,FALSE))</f>
        <v/>
      </c>
    </row>
    <row r="242" spans="3:8" x14ac:dyDescent="0.2">
      <c r="C242" s="8" t="str">
        <f t="shared" si="6"/>
        <v/>
      </c>
      <c r="D242" s="8" t="str">
        <f t="shared" si="7"/>
        <v/>
      </c>
      <c r="H242" s="12" t="str">
        <f>IF(A242=0,"",VLOOKUP(B242,Materials!$A$2:$E$1001,6,FALSE))</f>
        <v/>
      </c>
    </row>
    <row r="243" spans="3:8" x14ac:dyDescent="0.2">
      <c r="C243" s="8" t="str">
        <f t="shared" si="6"/>
        <v/>
      </c>
      <c r="D243" s="8" t="str">
        <f t="shared" si="7"/>
        <v/>
      </c>
      <c r="H243" s="12" t="str">
        <f>IF(A243=0,"",VLOOKUP(B243,Materials!$A$2:$E$1001,6,FALSE))</f>
        <v/>
      </c>
    </row>
    <row r="244" spans="3:8" x14ac:dyDescent="0.2">
      <c r="C244" s="8" t="str">
        <f t="shared" si="6"/>
        <v/>
      </c>
      <c r="D244" s="8" t="str">
        <f t="shared" si="7"/>
        <v/>
      </c>
      <c r="H244" s="12" t="str">
        <f>IF(A244=0,"",VLOOKUP(B244,Materials!$A$2:$E$1001,6,FALSE))</f>
        <v/>
      </c>
    </row>
    <row r="245" spans="3:8" x14ac:dyDescent="0.2">
      <c r="C245" s="8" t="str">
        <f t="shared" si="6"/>
        <v/>
      </c>
      <c r="D245" s="8" t="str">
        <f t="shared" si="7"/>
        <v/>
      </c>
      <c r="H245" s="12" t="str">
        <f>IF(A245=0,"",VLOOKUP(B245,Materials!$A$2:$E$1001,6,FALSE))</f>
        <v/>
      </c>
    </row>
    <row r="246" spans="3:8" x14ac:dyDescent="0.2">
      <c r="C246" s="8" t="str">
        <f t="shared" si="6"/>
        <v/>
      </c>
      <c r="D246" s="8" t="str">
        <f t="shared" si="7"/>
        <v/>
      </c>
      <c r="H246" s="12" t="str">
        <f>IF(A246=0,"",VLOOKUP(B246,Materials!$A$2:$E$1001,6,FALSE))</f>
        <v/>
      </c>
    </row>
    <row r="247" spans="3:8" x14ac:dyDescent="0.2">
      <c r="C247" s="8" t="str">
        <f t="shared" si="6"/>
        <v/>
      </c>
      <c r="D247" s="8" t="str">
        <f t="shared" si="7"/>
        <v/>
      </c>
      <c r="H247" s="12" t="str">
        <f>IF(A247=0,"",VLOOKUP(B247,Materials!$A$2:$E$1001,6,FALSE))</f>
        <v/>
      </c>
    </row>
    <row r="248" spans="3:8" x14ac:dyDescent="0.2">
      <c r="C248" s="8" t="str">
        <f t="shared" si="6"/>
        <v/>
      </c>
      <c r="D248" s="8" t="str">
        <f t="shared" si="7"/>
        <v/>
      </c>
      <c r="H248" s="12" t="str">
        <f>IF(A248=0,"",VLOOKUP(B248,Materials!$A$2:$E$1001,6,FALSE))</f>
        <v/>
      </c>
    </row>
    <row r="249" spans="3:8" x14ac:dyDescent="0.2">
      <c r="C249" s="8" t="str">
        <f t="shared" si="6"/>
        <v/>
      </c>
      <c r="D249" s="8" t="str">
        <f t="shared" si="7"/>
        <v/>
      </c>
      <c r="H249" s="12" t="str">
        <f>IF(A249=0,"",VLOOKUP(B249,Materials!$A$2:$E$1001,6,FALSE))</f>
        <v/>
      </c>
    </row>
    <row r="250" spans="3:8" x14ac:dyDescent="0.2">
      <c r="C250" s="8" t="str">
        <f t="shared" si="6"/>
        <v/>
      </c>
      <c r="D250" s="8" t="str">
        <f t="shared" si="7"/>
        <v/>
      </c>
      <c r="H250" s="12" t="str">
        <f>IF(A250=0,"",VLOOKUP(B250,Materials!$A$2:$E$1001,6,FALSE))</f>
        <v/>
      </c>
    </row>
    <row r="251" spans="3:8" x14ac:dyDescent="0.2">
      <c r="C251" s="8" t="str">
        <f t="shared" si="6"/>
        <v/>
      </c>
      <c r="D251" s="8" t="str">
        <f t="shared" si="7"/>
        <v/>
      </c>
      <c r="H251" s="12" t="str">
        <f>IF(A251=0,"",VLOOKUP(B251,Materials!$A$2:$E$1001,6,FALSE))</f>
        <v/>
      </c>
    </row>
    <row r="252" spans="3:8" x14ac:dyDescent="0.2">
      <c r="C252" s="8" t="str">
        <f t="shared" si="6"/>
        <v/>
      </c>
      <c r="D252" s="8" t="str">
        <f t="shared" si="7"/>
        <v/>
      </c>
      <c r="H252" s="12" t="str">
        <f>IF(A252=0,"",VLOOKUP(B252,Materials!$A$2:$E$1001,6,FALSE))</f>
        <v/>
      </c>
    </row>
    <row r="253" spans="3:8" x14ac:dyDescent="0.2">
      <c r="C253" s="8" t="str">
        <f t="shared" si="6"/>
        <v/>
      </c>
      <c r="D253" s="8" t="str">
        <f t="shared" si="7"/>
        <v/>
      </c>
      <c r="H253" s="12" t="str">
        <f>IF(A253=0,"",VLOOKUP(B253,Materials!$A$2:$E$1001,6,FALSE))</f>
        <v/>
      </c>
    </row>
    <row r="254" spans="3:8" x14ac:dyDescent="0.2">
      <c r="C254" s="8" t="str">
        <f t="shared" si="6"/>
        <v/>
      </c>
      <c r="D254" s="8" t="str">
        <f t="shared" si="7"/>
        <v/>
      </c>
      <c r="H254" s="12" t="str">
        <f>IF(A254=0,"",VLOOKUP(B254,Materials!$A$2:$E$1001,6,FALSE))</f>
        <v/>
      </c>
    </row>
    <row r="255" spans="3:8" x14ac:dyDescent="0.2">
      <c r="C255" s="8" t="str">
        <f t="shared" si="6"/>
        <v/>
      </c>
      <c r="D255" s="8" t="str">
        <f t="shared" si="7"/>
        <v/>
      </c>
      <c r="H255" s="12" t="str">
        <f>IF(A255=0,"",VLOOKUP(B255,Materials!$A$2:$E$1001,6,FALSE))</f>
        <v/>
      </c>
    </row>
    <row r="256" spans="3:8" x14ac:dyDescent="0.2">
      <c r="C256" s="8" t="str">
        <f t="shared" si="6"/>
        <v/>
      </c>
      <c r="D256" s="8" t="str">
        <f t="shared" si="7"/>
        <v/>
      </c>
      <c r="H256" s="12" t="str">
        <f>IF(A256=0,"",VLOOKUP(B256,Materials!$A$2:$E$1001,6,FALSE))</f>
        <v/>
      </c>
    </row>
    <row r="257" spans="3:8" x14ac:dyDescent="0.2">
      <c r="C257" s="8" t="str">
        <f t="shared" si="6"/>
        <v/>
      </c>
      <c r="D257" s="8" t="str">
        <f t="shared" si="7"/>
        <v/>
      </c>
      <c r="H257" s="12" t="str">
        <f>IF(A257=0,"",VLOOKUP(B257,Materials!$A$2:$E$1001,6,FALSE))</f>
        <v/>
      </c>
    </row>
    <row r="258" spans="3:8" x14ac:dyDescent="0.2">
      <c r="C258" s="8" t="str">
        <f t="shared" ref="C258:C321" si="8">IF(A258=0,"",VLOOKUP(B258,MatDB,2,FALSE))</f>
        <v/>
      </c>
      <c r="D258" s="8" t="str">
        <f t="shared" si="7"/>
        <v/>
      </c>
      <c r="H258" s="12" t="str">
        <f>IF(A258=0,"",VLOOKUP(B258,Materials!$A$2:$E$1001,6,FALSE))</f>
        <v/>
      </c>
    </row>
    <row r="259" spans="3:8" x14ac:dyDescent="0.2">
      <c r="C259" s="8" t="str">
        <f t="shared" si="8"/>
        <v/>
      </c>
      <c r="D259" s="8" t="str">
        <f t="shared" ref="D259:D322" si="9">IF(A259=0,"","Concrete04")</f>
        <v/>
      </c>
      <c r="H259" s="12" t="str">
        <f>IF(A259=0,"",VLOOKUP(B259,Materials!$A$2:$E$1001,6,FALSE))</f>
        <v/>
      </c>
    </row>
    <row r="260" spans="3:8" x14ac:dyDescent="0.2">
      <c r="C260" s="8" t="str">
        <f t="shared" si="8"/>
        <v/>
      </c>
      <c r="D260" s="8" t="str">
        <f t="shared" si="9"/>
        <v/>
      </c>
      <c r="H260" s="12" t="str">
        <f>IF(A260=0,"",VLOOKUP(B260,Materials!$A$2:$E$1001,6,FALSE))</f>
        <v/>
      </c>
    </row>
    <row r="261" spans="3:8" x14ac:dyDescent="0.2">
      <c r="C261" s="8" t="str">
        <f t="shared" si="8"/>
        <v/>
      </c>
      <c r="D261" s="8" t="str">
        <f t="shared" si="9"/>
        <v/>
      </c>
      <c r="H261" s="12" t="str">
        <f>IF(A261=0,"",VLOOKUP(B261,Materials!$A$2:$E$1001,6,FALSE))</f>
        <v/>
      </c>
    </row>
    <row r="262" spans="3:8" x14ac:dyDescent="0.2">
      <c r="C262" s="8" t="str">
        <f t="shared" si="8"/>
        <v/>
      </c>
      <c r="D262" s="8" t="str">
        <f t="shared" si="9"/>
        <v/>
      </c>
      <c r="H262" s="12" t="str">
        <f>IF(A262=0,"",VLOOKUP(B262,Materials!$A$2:$E$1001,6,FALSE))</f>
        <v/>
      </c>
    </row>
    <row r="263" spans="3:8" x14ac:dyDescent="0.2">
      <c r="C263" s="8" t="str">
        <f t="shared" si="8"/>
        <v/>
      </c>
      <c r="D263" s="8" t="str">
        <f t="shared" si="9"/>
        <v/>
      </c>
      <c r="H263" s="12" t="str">
        <f>IF(A263=0,"",VLOOKUP(B263,Materials!$A$2:$E$1001,6,FALSE))</f>
        <v/>
      </c>
    </row>
    <row r="264" spans="3:8" x14ac:dyDescent="0.2">
      <c r="C264" s="8" t="str">
        <f t="shared" si="8"/>
        <v/>
      </c>
      <c r="D264" s="8" t="str">
        <f t="shared" si="9"/>
        <v/>
      </c>
      <c r="H264" s="12" t="str">
        <f>IF(A264=0,"",VLOOKUP(B264,Materials!$A$2:$E$1001,6,FALSE))</f>
        <v/>
      </c>
    </row>
    <row r="265" spans="3:8" x14ac:dyDescent="0.2">
      <c r="C265" s="8" t="str">
        <f t="shared" si="8"/>
        <v/>
      </c>
      <c r="D265" s="8" t="str">
        <f t="shared" si="9"/>
        <v/>
      </c>
      <c r="H265" s="12" t="str">
        <f>IF(A265=0,"",VLOOKUP(B265,Materials!$A$2:$E$1001,6,FALSE))</f>
        <v/>
      </c>
    </row>
    <row r="266" spans="3:8" x14ac:dyDescent="0.2">
      <c r="C266" s="8" t="str">
        <f t="shared" si="8"/>
        <v/>
      </c>
      <c r="D266" s="8" t="str">
        <f t="shared" si="9"/>
        <v/>
      </c>
      <c r="H266" s="12" t="str">
        <f>IF(A266=0,"",VLOOKUP(B266,Materials!$A$2:$E$1001,6,FALSE))</f>
        <v/>
      </c>
    </row>
    <row r="267" spans="3:8" x14ac:dyDescent="0.2">
      <c r="C267" s="8" t="str">
        <f t="shared" si="8"/>
        <v/>
      </c>
      <c r="D267" s="8" t="str">
        <f t="shared" si="9"/>
        <v/>
      </c>
      <c r="H267" s="12" t="str">
        <f>IF(A267=0,"",VLOOKUP(B267,Materials!$A$2:$E$1001,6,FALSE))</f>
        <v/>
      </c>
    </row>
    <row r="268" spans="3:8" x14ac:dyDescent="0.2">
      <c r="C268" s="8" t="str">
        <f t="shared" si="8"/>
        <v/>
      </c>
      <c r="D268" s="8" t="str">
        <f t="shared" si="9"/>
        <v/>
      </c>
      <c r="H268" s="12" t="str">
        <f>IF(A268=0,"",VLOOKUP(B268,Materials!$A$2:$E$1001,6,FALSE))</f>
        <v/>
      </c>
    </row>
    <row r="269" spans="3:8" x14ac:dyDescent="0.2">
      <c r="C269" s="8" t="str">
        <f t="shared" si="8"/>
        <v/>
      </c>
      <c r="D269" s="8" t="str">
        <f t="shared" si="9"/>
        <v/>
      </c>
      <c r="H269" s="12" t="str">
        <f>IF(A269=0,"",VLOOKUP(B269,Materials!$A$2:$E$1001,6,FALSE))</f>
        <v/>
      </c>
    </row>
    <row r="270" spans="3:8" x14ac:dyDescent="0.2">
      <c r="C270" s="8" t="str">
        <f t="shared" si="8"/>
        <v/>
      </c>
      <c r="D270" s="8" t="str">
        <f t="shared" si="9"/>
        <v/>
      </c>
      <c r="H270" s="12" t="str">
        <f>IF(A270=0,"",VLOOKUP(B270,Materials!$A$2:$E$1001,6,FALSE))</f>
        <v/>
      </c>
    </row>
    <row r="271" spans="3:8" x14ac:dyDescent="0.2">
      <c r="C271" s="8" t="str">
        <f t="shared" si="8"/>
        <v/>
      </c>
      <c r="D271" s="8" t="str">
        <f t="shared" si="9"/>
        <v/>
      </c>
      <c r="H271" s="12" t="str">
        <f>IF(A271=0,"",VLOOKUP(B271,Materials!$A$2:$E$1001,6,FALSE))</f>
        <v/>
      </c>
    </row>
    <row r="272" spans="3:8" x14ac:dyDescent="0.2">
      <c r="C272" s="8" t="str">
        <f t="shared" si="8"/>
        <v/>
      </c>
      <c r="D272" s="8" t="str">
        <f t="shared" si="9"/>
        <v/>
      </c>
      <c r="H272" s="12" t="str">
        <f>IF(A272=0,"",VLOOKUP(B272,Materials!$A$2:$E$1001,6,FALSE))</f>
        <v/>
      </c>
    </row>
    <row r="273" spans="3:8" x14ac:dyDescent="0.2">
      <c r="C273" s="8" t="str">
        <f t="shared" si="8"/>
        <v/>
      </c>
      <c r="D273" s="8" t="str">
        <f t="shared" si="9"/>
        <v/>
      </c>
      <c r="H273" s="12" t="str">
        <f>IF(A273=0,"",VLOOKUP(B273,Materials!$A$2:$E$1001,6,FALSE))</f>
        <v/>
      </c>
    </row>
    <row r="274" spans="3:8" x14ac:dyDescent="0.2">
      <c r="C274" s="8" t="str">
        <f t="shared" si="8"/>
        <v/>
      </c>
      <c r="D274" s="8" t="str">
        <f t="shared" si="9"/>
        <v/>
      </c>
      <c r="H274" s="12" t="str">
        <f>IF(A274=0,"",VLOOKUP(B274,Materials!$A$2:$E$1001,6,FALSE))</f>
        <v/>
      </c>
    </row>
    <row r="275" spans="3:8" x14ac:dyDescent="0.2">
      <c r="C275" s="8" t="str">
        <f t="shared" si="8"/>
        <v/>
      </c>
      <c r="D275" s="8" t="str">
        <f t="shared" si="9"/>
        <v/>
      </c>
      <c r="H275" s="12" t="str">
        <f>IF(A275=0,"",VLOOKUP(B275,Materials!$A$2:$E$1001,6,FALSE))</f>
        <v/>
      </c>
    </row>
    <row r="276" spans="3:8" x14ac:dyDescent="0.2">
      <c r="C276" s="8" t="str">
        <f t="shared" si="8"/>
        <v/>
      </c>
      <c r="D276" s="8" t="str">
        <f t="shared" si="9"/>
        <v/>
      </c>
      <c r="H276" s="12" t="str">
        <f>IF(A276=0,"",VLOOKUP(B276,Materials!$A$2:$E$1001,6,FALSE))</f>
        <v/>
      </c>
    </row>
    <row r="277" spans="3:8" x14ac:dyDescent="0.2">
      <c r="C277" s="8" t="str">
        <f t="shared" si="8"/>
        <v/>
      </c>
      <c r="D277" s="8" t="str">
        <f t="shared" si="9"/>
        <v/>
      </c>
      <c r="H277" s="12" t="str">
        <f>IF(A277=0,"",VLOOKUP(B277,Materials!$A$2:$E$1001,6,FALSE))</f>
        <v/>
      </c>
    </row>
    <row r="278" spans="3:8" x14ac:dyDescent="0.2">
      <c r="C278" s="8" t="str">
        <f t="shared" si="8"/>
        <v/>
      </c>
      <c r="D278" s="8" t="str">
        <f t="shared" si="9"/>
        <v/>
      </c>
      <c r="H278" s="12" t="str">
        <f>IF(A278=0,"",VLOOKUP(B278,Materials!$A$2:$E$1001,6,FALSE))</f>
        <v/>
      </c>
    </row>
    <row r="279" spans="3:8" x14ac:dyDescent="0.2">
      <c r="C279" s="8" t="str">
        <f t="shared" si="8"/>
        <v/>
      </c>
      <c r="D279" s="8" t="str">
        <f t="shared" si="9"/>
        <v/>
      </c>
      <c r="H279" s="12" t="str">
        <f>IF(A279=0,"",VLOOKUP(B279,Materials!$A$2:$E$1001,6,FALSE))</f>
        <v/>
      </c>
    </row>
    <row r="280" spans="3:8" x14ac:dyDescent="0.2">
      <c r="C280" s="8" t="str">
        <f t="shared" si="8"/>
        <v/>
      </c>
      <c r="D280" s="8" t="str">
        <f t="shared" si="9"/>
        <v/>
      </c>
      <c r="H280" s="12" t="str">
        <f>IF(A280=0,"",VLOOKUP(B280,Materials!$A$2:$E$1001,6,FALSE))</f>
        <v/>
      </c>
    </row>
    <row r="281" spans="3:8" x14ac:dyDescent="0.2">
      <c r="C281" s="8" t="str">
        <f t="shared" si="8"/>
        <v/>
      </c>
      <c r="D281" s="8" t="str">
        <f t="shared" si="9"/>
        <v/>
      </c>
      <c r="H281" s="12" t="str">
        <f>IF(A281=0,"",VLOOKUP(B281,Materials!$A$2:$E$1001,6,FALSE))</f>
        <v/>
      </c>
    </row>
    <row r="282" spans="3:8" x14ac:dyDescent="0.2">
      <c r="C282" s="8" t="str">
        <f t="shared" si="8"/>
        <v/>
      </c>
      <c r="D282" s="8" t="str">
        <f t="shared" si="9"/>
        <v/>
      </c>
      <c r="H282" s="12" t="str">
        <f>IF(A282=0,"",VLOOKUP(B282,Materials!$A$2:$E$1001,6,FALSE))</f>
        <v/>
      </c>
    </row>
    <row r="283" spans="3:8" x14ac:dyDescent="0.2">
      <c r="C283" s="8" t="str">
        <f t="shared" si="8"/>
        <v/>
      </c>
      <c r="D283" s="8" t="str">
        <f t="shared" si="9"/>
        <v/>
      </c>
      <c r="H283" s="12" t="str">
        <f>IF(A283=0,"",VLOOKUP(B283,Materials!$A$2:$E$1001,6,FALSE))</f>
        <v/>
      </c>
    </row>
    <row r="284" spans="3:8" x14ac:dyDescent="0.2">
      <c r="C284" s="8" t="str">
        <f t="shared" si="8"/>
        <v/>
      </c>
      <c r="D284" s="8" t="str">
        <f t="shared" si="9"/>
        <v/>
      </c>
      <c r="H284" s="12" t="str">
        <f>IF(A284=0,"",VLOOKUP(B284,Materials!$A$2:$E$1001,6,FALSE))</f>
        <v/>
      </c>
    </row>
    <row r="285" spans="3:8" x14ac:dyDescent="0.2">
      <c r="C285" s="8" t="str">
        <f t="shared" si="8"/>
        <v/>
      </c>
      <c r="D285" s="8" t="str">
        <f t="shared" si="9"/>
        <v/>
      </c>
      <c r="H285" s="12" t="str">
        <f>IF(A285=0,"",VLOOKUP(B285,Materials!$A$2:$E$1001,6,FALSE))</f>
        <v/>
      </c>
    </row>
    <row r="286" spans="3:8" x14ac:dyDescent="0.2">
      <c r="C286" s="8" t="str">
        <f t="shared" si="8"/>
        <v/>
      </c>
      <c r="D286" s="8" t="str">
        <f t="shared" si="9"/>
        <v/>
      </c>
      <c r="H286" s="12" t="str">
        <f>IF(A286=0,"",VLOOKUP(B286,Materials!$A$2:$E$1001,6,FALSE))</f>
        <v/>
      </c>
    </row>
    <row r="287" spans="3:8" x14ac:dyDescent="0.2">
      <c r="C287" s="8" t="str">
        <f t="shared" si="8"/>
        <v/>
      </c>
      <c r="D287" s="8" t="str">
        <f t="shared" si="9"/>
        <v/>
      </c>
      <c r="H287" s="12" t="str">
        <f>IF(A287=0,"",VLOOKUP(B287,Materials!$A$2:$E$1001,6,FALSE))</f>
        <v/>
      </c>
    </row>
    <row r="288" spans="3:8" x14ac:dyDescent="0.2">
      <c r="C288" s="8" t="str">
        <f t="shared" si="8"/>
        <v/>
      </c>
      <c r="D288" s="8" t="str">
        <f t="shared" si="9"/>
        <v/>
      </c>
      <c r="H288" s="12" t="str">
        <f>IF(A288=0,"",VLOOKUP(B288,Materials!$A$2:$E$1001,6,FALSE))</f>
        <v/>
      </c>
    </row>
    <row r="289" spans="3:8" x14ac:dyDescent="0.2">
      <c r="C289" s="8" t="str">
        <f t="shared" si="8"/>
        <v/>
      </c>
      <c r="D289" s="8" t="str">
        <f t="shared" si="9"/>
        <v/>
      </c>
      <c r="H289" s="12" t="str">
        <f>IF(A289=0,"",VLOOKUP(B289,Materials!$A$2:$E$1001,6,FALSE))</f>
        <v/>
      </c>
    </row>
    <row r="290" spans="3:8" x14ac:dyDescent="0.2">
      <c r="C290" s="8" t="str">
        <f t="shared" si="8"/>
        <v/>
      </c>
      <c r="D290" s="8" t="str">
        <f t="shared" si="9"/>
        <v/>
      </c>
      <c r="H290" s="12" t="str">
        <f>IF(A290=0,"",VLOOKUP(B290,Materials!$A$2:$E$1001,6,FALSE))</f>
        <v/>
      </c>
    </row>
    <row r="291" spans="3:8" x14ac:dyDescent="0.2">
      <c r="C291" s="8" t="str">
        <f t="shared" si="8"/>
        <v/>
      </c>
      <c r="D291" s="8" t="str">
        <f t="shared" si="9"/>
        <v/>
      </c>
      <c r="H291" s="12" t="str">
        <f>IF(A291=0,"",VLOOKUP(B291,Materials!$A$2:$E$1001,6,FALSE))</f>
        <v/>
      </c>
    </row>
    <row r="292" spans="3:8" x14ac:dyDescent="0.2">
      <c r="C292" s="8" t="str">
        <f t="shared" si="8"/>
        <v/>
      </c>
      <c r="D292" s="8" t="str">
        <f t="shared" si="9"/>
        <v/>
      </c>
      <c r="H292" s="12" t="str">
        <f>IF(A292=0,"",VLOOKUP(B292,Materials!$A$2:$E$1001,6,FALSE))</f>
        <v/>
      </c>
    </row>
    <row r="293" spans="3:8" x14ac:dyDescent="0.2">
      <c r="C293" s="8" t="str">
        <f t="shared" si="8"/>
        <v/>
      </c>
      <c r="D293" s="8" t="str">
        <f t="shared" si="9"/>
        <v/>
      </c>
      <c r="H293" s="12" t="str">
        <f>IF(A293=0,"",VLOOKUP(B293,Materials!$A$2:$E$1001,6,FALSE))</f>
        <v/>
      </c>
    </row>
    <row r="294" spans="3:8" x14ac:dyDescent="0.2">
      <c r="C294" s="8" t="str">
        <f t="shared" si="8"/>
        <v/>
      </c>
      <c r="D294" s="8" t="str">
        <f t="shared" si="9"/>
        <v/>
      </c>
      <c r="H294" s="12" t="str">
        <f>IF(A294=0,"",VLOOKUP(B294,Materials!$A$2:$E$1001,6,FALSE))</f>
        <v/>
      </c>
    </row>
    <row r="295" spans="3:8" x14ac:dyDescent="0.2">
      <c r="C295" s="8" t="str">
        <f t="shared" si="8"/>
        <v/>
      </c>
      <c r="D295" s="8" t="str">
        <f t="shared" si="9"/>
        <v/>
      </c>
      <c r="H295" s="12" t="str">
        <f>IF(A295=0,"",VLOOKUP(B295,Materials!$A$2:$E$1001,6,FALSE))</f>
        <v/>
      </c>
    </row>
    <row r="296" spans="3:8" x14ac:dyDescent="0.2">
      <c r="C296" s="8" t="str">
        <f t="shared" si="8"/>
        <v/>
      </c>
      <c r="D296" s="8" t="str">
        <f t="shared" si="9"/>
        <v/>
      </c>
      <c r="H296" s="12" t="str">
        <f>IF(A296=0,"",VLOOKUP(B296,Materials!$A$2:$E$1001,6,FALSE))</f>
        <v/>
      </c>
    </row>
    <row r="297" spans="3:8" x14ac:dyDescent="0.2">
      <c r="C297" s="8" t="str">
        <f t="shared" si="8"/>
        <v/>
      </c>
      <c r="D297" s="8" t="str">
        <f t="shared" si="9"/>
        <v/>
      </c>
      <c r="H297" s="12" t="str">
        <f>IF(A297=0,"",VLOOKUP(B297,Materials!$A$2:$E$1001,6,FALSE))</f>
        <v/>
      </c>
    </row>
    <row r="298" spans="3:8" x14ac:dyDescent="0.2">
      <c r="C298" s="8" t="str">
        <f t="shared" si="8"/>
        <v/>
      </c>
      <c r="D298" s="8" t="str">
        <f t="shared" si="9"/>
        <v/>
      </c>
      <c r="H298" s="12" t="str">
        <f>IF(A298=0,"",VLOOKUP(B298,Materials!$A$2:$E$1001,6,FALSE))</f>
        <v/>
      </c>
    </row>
    <row r="299" spans="3:8" x14ac:dyDescent="0.2">
      <c r="C299" s="8" t="str">
        <f t="shared" si="8"/>
        <v/>
      </c>
      <c r="D299" s="8" t="str">
        <f t="shared" si="9"/>
        <v/>
      </c>
      <c r="H299" s="12" t="str">
        <f>IF(A299=0,"",VLOOKUP(B299,Materials!$A$2:$E$1001,6,FALSE))</f>
        <v/>
      </c>
    </row>
    <row r="300" spans="3:8" x14ac:dyDescent="0.2">
      <c r="C300" s="8" t="str">
        <f t="shared" si="8"/>
        <v/>
      </c>
      <c r="D300" s="8" t="str">
        <f t="shared" si="9"/>
        <v/>
      </c>
      <c r="H300" s="12" t="str">
        <f>IF(A300=0,"",VLOOKUP(B300,Materials!$A$2:$E$1001,6,FALSE))</f>
        <v/>
      </c>
    </row>
    <row r="301" spans="3:8" x14ac:dyDescent="0.2">
      <c r="C301" s="8" t="str">
        <f t="shared" si="8"/>
        <v/>
      </c>
      <c r="D301" s="8" t="str">
        <f t="shared" si="9"/>
        <v/>
      </c>
      <c r="H301" s="12" t="str">
        <f>IF(A301=0,"",VLOOKUP(B301,Materials!$A$2:$E$1001,6,FALSE))</f>
        <v/>
      </c>
    </row>
    <row r="302" spans="3:8" x14ac:dyDescent="0.2">
      <c r="C302" s="8" t="str">
        <f t="shared" si="8"/>
        <v/>
      </c>
      <c r="D302" s="8" t="str">
        <f t="shared" si="9"/>
        <v/>
      </c>
      <c r="H302" s="12" t="str">
        <f>IF(A302=0,"",VLOOKUP(B302,Materials!$A$2:$E$1001,6,FALSE))</f>
        <v/>
      </c>
    </row>
    <row r="303" spans="3:8" x14ac:dyDescent="0.2">
      <c r="C303" s="8" t="str">
        <f t="shared" si="8"/>
        <v/>
      </c>
      <c r="D303" s="8" t="str">
        <f t="shared" si="9"/>
        <v/>
      </c>
      <c r="H303" s="12" t="str">
        <f>IF(A303=0,"",VLOOKUP(B303,Materials!$A$2:$E$1001,6,FALSE))</f>
        <v/>
      </c>
    </row>
    <row r="304" spans="3:8" x14ac:dyDescent="0.2">
      <c r="C304" s="8" t="str">
        <f t="shared" si="8"/>
        <v/>
      </c>
      <c r="D304" s="8" t="str">
        <f t="shared" si="9"/>
        <v/>
      </c>
      <c r="H304" s="12" t="str">
        <f>IF(A304=0,"",VLOOKUP(B304,Materials!$A$2:$E$1001,6,FALSE))</f>
        <v/>
      </c>
    </row>
    <row r="305" spans="3:8" x14ac:dyDescent="0.2">
      <c r="C305" s="8" t="str">
        <f t="shared" si="8"/>
        <v/>
      </c>
      <c r="D305" s="8" t="str">
        <f t="shared" si="9"/>
        <v/>
      </c>
      <c r="H305" s="12" t="str">
        <f>IF(A305=0,"",VLOOKUP(B305,Materials!$A$2:$E$1001,6,FALSE))</f>
        <v/>
      </c>
    </row>
    <row r="306" spans="3:8" x14ac:dyDescent="0.2">
      <c r="C306" s="8" t="str">
        <f t="shared" si="8"/>
        <v/>
      </c>
      <c r="D306" s="8" t="str">
        <f t="shared" si="9"/>
        <v/>
      </c>
      <c r="H306" s="12" t="str">
        <f>IF(A306=0,"",VLOOKUP(B306,Materials!$A$2:$E$1001,6,FALSE))</f>
        <v/>
      </c>
    </row>
    <row r="307" spans="3:8" x14ac:dyDescent="0.2">
      <c r="C307" s="8" t="str">
        <f t="shared" si="8"/>
        <v/>
      </c>
      <c r="D307" s="8" t="str">
        <f t="shared" si="9"/>
        <v/>
      </c>
      <c r="H307" s="12" t="str">
        <f>IF(A307=0,"",VLOOKUP(B307,Materials!$A$2:$E$1001,6,FALSE))</f>
        <v/>
      </c>
    </row>
    <row r="308" spans="3:8" x14ac:dyDescent="0.2">
      <c r="C308" s="8" t="str">
        <f t="shared" si="8"/>
        <v/>
      </c>
      <c r="D308" s="8" t="str">
        <f t="shared" si="9"/>
        <v/>
      </c>
      <c r="H308" s="12" t="str">
        <f>IF(A308=0,"",VLOOKUP(B308,Materials!$A$2:$E$1001,6,FALSE))</f>
        <v/>
      </c>
    </row>
    <row r="309" spans="3:8" x14ac:dyDescent="0.2">
      <c r="C309" s="8" t="str">
        <f t="shared" si="8"/>
        <v/>
      </c>
      <c r="D309" s="8" t="str">
        <f t="shared" si="9"/>
        <v/>
      </c>
      <c r="H309" s="12" t="str">
        <f>IF(A309=0,"",VLOOKUP(B309,Materials!$A$2:$E$1001,6,FALSE))</f>
        <v/>
      </c>
    </row>
    <row r="310" spans="3:8" x14ac:dyDescent="0.2">
      <c r="C310" s="8" t="str">
        <f t="shared" si="8"/>
        <v/>
      </c>
      <c r="D310" s="8" t="str">
        <f t="shared" si="9"/>
        <v/>
      </c>
      <c r="H310" s="12" t="str">
        <f>IF(A310=0,"",VLOOKUP(B310,Materials!$A$2:$E$1001,6,FALSE))</f>
        <v/>
      </c>
    </row>
    <row r="311" spans="3:8" x14ac:dyDescent="0.2">
      <c r="C311" s="8" t="str">
        <f t="shared" si="8"/>
        <v/>
      </c>
      <c r="D311" s="8" t="str">
        <f t="shared" si="9"/>
        <v/>
      </c>
      <c r="H311" s="12" t="str">
        <f>IF(A311=0,"",VLOOKUP(B311,Materials!$A$2:$E$1001,6,FALSE))</f>
        <v/>
      </c>
    </row>
    <row r="312" spans="3:8" x14ac:dyDescent="0.2">
      <c r="C312" s="8" t="str">
        <f t="shared" si="8"/>
        <v/>
      </c>
      <c r="D312" s="8" t="str">
        <f t="shared" si="9"/>
        <v/>
      </c>
      <c r="H312" s="12" t="str">
        <f>IF(A312=0,"",VLOOKUP(B312,Materials!$A$2:$E$1001,6,FALSE))</f>
        <v/>
      </c>
    </row>
    <row r="313" spans="3:8" x14ac:dyDescent="0.2">
      <c r="C313" s="8" t="str">
        <f t="shared" si="8"/>
        <v/>
      </c>
      <c r="D313" s="8" t="str">
        <f t="shared" si="9"/>
        <v/>
      </c>
      <c r="H313" s="12" t="str">
        <f>IF(A313=0,"",VLOOKUP(B313,Materials!$A$2:$E$1001,6,FALSE))</f>
        <v/>
      </c>
    </row>
    <row r="314" spans="3:8" x14ac:dyDescent="0.2">
      <c r="C314" s="8" t="str">
        <f t="shared" si="8"/>
        <v/>
      </c>
      <c r="D314" s="8" t="str">
        <f t="shared" si="9"/>
        <v/>
      </c>
      <c r="H314" s="12" t="str">
        <f>IF(A314=0,"",VLOOKUP(B314,Materials!$A$2:$E$1001,6,FALSE))</f>
        <v/>
      </c>
    </row>
    <row r="315" spans="3:8" x14ac:dyDescent="0.2">
      <c r="C315" s="8" t="str">
        <f t="shared" si="8"/>
        <v/>
      </c>
      <c r="D315" s="8" t="str">
        <f t="shared" si="9"/>
        <v/>
      </c>
      <c r="H315" s="12" t="str">
        <f>IF(A315=0,"",VLOOKUP(B315,Materials!$A$2:$E$1001,6,FALSE))</f>
        <v/>
      </c>
    </row>
    <row r="316" spans="3:8" x14ac:dyDescent="0.2">
      <c r="C316" s="8" t="str">
        <f t="shared" si="8"/>
        <v/>
      </c>
      <c r="D316" s="8" t="str">
        <f t="shared" si="9"/>
        <v/>
      </c>
      <c r="H316" s="12" t="str">
        <f>IF(A316=0,"",VLOOKUP(B316,Materials!$A$2:$E$1001,6,FALSE))</f>
        <v/>
      </c>
    </row>
    <row r="317" spans="3:8" x14ac:dyDescent="0.2">
      <c r="C317" s="8" t="str">
        <f t="shared" si="8"/>
        <v/>
      </c>
      <c r="D317" s="8" t="str">
        <f t="shared" si="9"/>
        <v/>
      </c>
      <c r="H317" s="12" t="str">
        <f>IF(A317=0,"",VLOOKUP(B317,Materials!$A$2:$E$1001,6,FALSE))</f>
        <v/>
      </c>
    </row>
    <row r="318" spans="3:8" x14ac:dyDescent="0.2">
      <c r="C318" s="8" t="str">
        <f t="shared" si="8"/>
        <v/>
      </c>
      <c r="D318" s="8" t="str">
        <f t="shared" si="9"/>
        <v/>
      </c>
      <c r="H318" s="12" t="str">
        <f>IF(A318=0,"",VLOOKUP(B318,Materials!$A$2:$E$1001,6,FALSE))</f>
        <v/>
      </c>
    </row>
    <row r="319" spans="3:8" x14ac:dyDescent="0.2">
      <c r="C319" s="8" t="str">
        <f t="shared" si="8"/>
        <v/>
      </c>
      <c r="D319" s="8" t="str">
        <f t="shared" si="9"/>
        <v/>
      </c>
      <c r="H319" s="12" t="str">
        <f>IF(A319=0,"",VLOOKUP(B319,Materials!$A$2:$E$1001,6,FALSE))</f>
        <v/>
      </c>
    </row>
    <row r="320" spans="3:8" x14ac:dyDescent="0.2">
      <c r="C320" s="8" t="str">
        <f t="shared" si="8"/>
        <v/>
      </c>
      <c r="D320" s="8" t="str">
        <f t="shared" si="9"/>
        <v/>
      </c>
      <c r="H320" s="12" t="str">
        <f>IF(A320=0,"",VLOOKUP(B320,Materials!$A$2:$E$1001,6,FALSE))</f>
        <v/>
      </c>
    </row>
    <row r="321" spans="3:8" x14ac:dyDescent="0.2">
      <c r="C321" s="8" t="str">
        <f t="shared" si="8"/>
        <v/>
      </c>
      <c r="D321" s="8" t="str">
        <f t="shared" si="9"/>
        <v/>
      </c>
      <c r="H321" s="12" t="str">
        <f>IF(A321=0,"",VLOOKUP(B321,Materials!$A$2:$E$1001,6,FALSE))</f>
        <v/>
      </c>
    </row>
    <row r="322" spans="3:8" x14ac:dyDescent="0.2">
      <c r="C322" s="8" t="str">
        <f t="shared" ref="C322:C385" si="10">IF(A322=0,"",VLOOKUP(B322,MatDB,2,FALSE))</f>
        <v/>
      </c>
      <c r="D322" s="8" t="str">
        <f t="shared" si="9"/>
        <v/>
      </c>
      <c r="H322" s="12" t="str">
        <f>IF(A322=0,"",VLOOKUP(B322,Materials!$A$2:$E$1001,6,FALSE))</f>
        <v/>
      </c>
    </row>
    <row r="323" spans="3:8" x14ac:dyDescent="0.2">
      <c r="C323" s="8" t="str">
        <f t="shared" si="10"/>
        <v/>
      </c>
      <c r="D323" s="8" t="str">
        <f t="shared" ref="D323:D386" si="11">IF(A323=0,"","Concrete04")</f>
        <v/>
      </c>
      <c r="H323" s="12" t="str">
        <f>IF(A323=0,"",VLOOKUP(B323,Materials!$A$2:$E$1001,6,FALSE))</f>
        <v/>
      </c>
    </row>
    <row r="324" spans="3:8" x14ac:dyDescent="0.2">
      <c r="C324" s="8" t="str">
        <f t="shared" si="10"/>
        <v/>
      </c>
      <c r="D324" s="8" t="str">
        <f t="shared" si="11"/>
        <v/>
      </c>
      <c r="H324" s="12" t="str">
        <f>IF(A324=0,"",VLOOKUP(B324,Materials!$A$2:$E$1001,6,FALSE))</f>
        <v/>
      </c>
    </row>
    <row r="325" spans="3:8" x14ac:dyDescent="0.2">
      <c r="C325" s="8" t="str">
        <f t="shared" si="10"/>
        <v/>
      </c>
      <c r="D325" s="8" t="str">
        <f t="shared" si="11"/>
        <v/>
      </c>
      <c r="H325" s="12" t="str">
        <f>IF(A325=0,"",VLOOKUP(B325,Materials!$A$2:$E$1001,6,FALSE))</f>
        <v/>
      </c>
    </row>
    <row r="326" spans="3:8" x14ac:dyDescent="0.2">
      <c r="C326" s="8" t="str">
        <f t="shared" si="10"/>
        <v/>
      </c>
      <c r="D326" s="8" t="str">
        <f t="shared" si="11"/>
        <v/>
      </c>
      <c r="H326" s="12" t="str">
        <f>IF(A326=0,"",VLOOKUP(B326,Materials!$A$2:$E$1001,6,FALSE))</f>
        <v/>
      </c>
    </row>
    <row r="327" spans="3:8" x14ac:dyDescent="0.2">
      <c r="C327" s="8" t="str">
        <f t="shared" si="10"/>
        <v/>
      </c>
      <c r="D327" s="8" t="str">
        <f t="shared" si="11"/>
        <v/>
      </c>
      <c r="H327" s="12" t="str">
        <f>IF(A327=0,"",VLOOKUP(B327,Materials!$A$2:$E$1001,6,FALSE))</f>
        <v/>
      </c>
    </row>
    <row r="328" spans="3:8" x14ac:dyDescent="0.2">
      <c r="C328" s="8" t="str">
        <f t="shared" si="10"/>
        <v/>
      </c>
      <c r="D328" s="8" t="str">
        <f t="shared" si="11"/>
        <v/>
      </c>
      <c r="H328" s="12" t="str">
        <f>IF(A328=0,"",VLOOKUP(B328,Materials!$A$2:$E$1001,6,FALSE))</f>
        <v/>
      </c>
    </row>
    <row r="329" spans="3:8" x14ac:dyDescent="0.2">
      <c r="C329" s="8" t="str">
        <f t="shared" si="10"/>
        <v/>
      </c>
      <c r="D329" s="8" t="str">
        <f t="shared" si="11"/>
        <v/>
      </c>
      <c r="H329" s="12" t="str">
        <f>IF(A329=0,"",VLOOKUP(B329,Materials!$A$2:$E$1001,6,FALSE))</f>
        <v/>
      </c>
    </row>
    <row r="330" spans="3:8" x14ac:dyDescent="0.2">
      <c r="C330" s="8" t="str">
        <f t="shared" si="10"/>
        <v/>
      </c>
      <c r="D330" s="8" t="str">
        <f t="shared" si="11"/>
        <v/>
      </c>
      <c r="H330" s="12" t="str">
        <f>IF(A330=0,"",VLOOKUP(B330,Materials!$A$2:$E$1001,6,FALSE))</f>
        <v/>
      </c>
    </row>
    <row r="331" spans="3:8" x14ac:dyDescent="0.2">
      <c r="C331" s="8" t="str">
        <f t="shared" si="10"/>
        <v/>
      </c>
      <c r="D331" s="8" t="str">
        <f t="shared" si="11"/>
        <v/>
      </c>
      <c r="H331" s="12" t="str">
        <f>IF(A331=0,"",VLOOKUP(B331,Materials!$A$2:$E$1001,6,FALSE))</f>
        <v/>
      </c>
    </row>
    <row r="332" spans="3:8" x14ac:dyDescent="0.2">
      <c r="C332" s="8" t="str">
        <f t="shared" si="10"/>
        <v/>
      </c>
      <c r="D332" s="8" t="str">
        <f t="shared" si="11"/>
        <v/>
      </c>
      <c r="H332" s="12" t="str">
        <f>IF(A332=0,"",VLOOKUP(B332,Materials!$A$2:$E$1001,6,FALSE))</f>
        <v/>
      </c>
    </row>
    <row r="333" spans="3:8" x14ac:dyDescent="0.2">
      <c r="C333" s="8" t="str">
        <f t="shared" si="10"/>
        <v/>
      </c>
      <c r="D333" s="8" t="str">
        <f t="shared" si="11"/>
        <v/>
      </c>
      <c r="H333" s="12" t="str">
        <f>IF(A333=0,"",VLOOKUP(B333,Materials!$A$2:$E$1001,6,FALSE))</f>
        <v/>
      </c>
    </row>
    <row r="334" spans="3:8" x14ac:dyDescent="0.2">
      <c r="C334" s="8" t="str">
        <f t="shared" si="10"/>
        <v/>
      </c>
      <c r="D334" s="8" t="str">
        <f t="shared" si="11"/>
        <v/>
      </c>
      <c r="H334" s="12" t="str">
        <f>IF(A334=0,"",VLOOKUP(B334,Materials!$A$2:$E$1001,6,FALSE))</f>
        <v/>
      </c>
    </row>
    <row r="335" spans="3:8" x14ac:dyDescent="0.2">
      <c r="C335" s="8" t="str">
        <f t="shared" si="10"/>
        <v/>
      </c>
      <c r="D335" s="8" t="str">
        <f t="shared" si="11"/>
        <v/>
      </c>
      <c r="H335" s="12" t="str">
        <f>IF(A335=0,"",VLOOKUP(B335,Materials!$A$2:$E$1001,6,FALSE))</f>
        <v/>
      </c>
    </row>
    <row r="336" spans="3:8" x14ac:dyDescent="0.2">
      <c r="C336" s="8" t="str">
        <f t="shared" si="10"/>
        <v/>
      </c>
      <c r="D336" s="8" t="str">
        <f t="shared" si="11"/>
        <v/>
      </c>
      <c r="H336" s="12" t="str">
        <f>IF(A336=0,"",VLOOKUP(B336,Materials!$A$2:$E$1001,6,FALSE))</f>
        <v/>
      </c>
    </row>
    <row r="337" spans="3:8" x14ac:dyDescent="0.2">
      <c r="C337" s="8" t="str">
        <f t="shared" si="10"/>
        <v/>
      </c>
      <c r="D337" s="8" t="str">
        <f t="shared" si="11"/>
        <v/>
      </c>
      <c r="H337" s="12" t="str">
        <f>IF(A337=0,"",VLOOKUP(B337,Materials!$A$2:$E$1001,6,FALSE))</f>
        <v/>
      </c>
    </row>
    <row r="338" spans="3:8" x14ac:dyDescent="0.2">
      <c r="C338" s="8" t="str">
        <f t="shared" si="10"/>
        <v/>
      </c>
      <c r="D338" s="8" t="str">
        <f t="shared" si="11"/>
        <v/>
      </c>
      <c r="H338" s="12" t="str">
        <f>IF(A338=0,"",VLOOKUP(B338,Materials!$A$2:$E$1001,6,FALSE))</f>
        <v/>
      </c>
    </row>
    <row r="339" spans="3:8" x14ac:dyDescent="0.2">
      <c r="C339" s="8" t="str">
        <f t="shared" si="10"/>
        <v/>
      </c>
      <c r="D339" s="8" t="str">
        <f t="shared" si="11"/>
        <v/>
      </c>
      <c r="H339" s="12" t="str">
        <f>IF(A339=0,"",VLOOKUP(B339,Materials!$A$2:$E$1001,6,FALSE))</f>
        <v/>
      </c>
    </row>
    <row r="340" spans="3:8" x14ac:dyDescent="0.2">
      <c r="C340" s="8" t="str">
        <f t="shared" si="10"/>
        <v/>
      </c>
      <c r="D340" s="8" t="str">
        <f t="shared" si="11"/>
        <v/>
      </c>
      <c r="H340" s="12" t="str">
        <f>IF(A340=0,"",VLOOKUP(B340,Materials!$A$2:$E$1001,6,FALSE))</f>
        <v/>
      </c>
    </row>
    <row r="341" spans="3:8" x14ac:dyDescent="0.2">
      <c r="C341" s="8" t="str">
        <f t="shared" si="10"/>
        <v/>
      </c>
      <c r="D341" s="8" t="str">
        <f t="shared" si="11"/>
        <v/>
      </c>
      <c r="H341" s="12" t="str">
        <f>IF(A341=0,"",VLOOKUP(B341,Materials!$A$2:$E$1001,6,FALSE))</f>
        <v/>
      </c>
    </row>
    <row r="342" spans="3:8" x14ac:dyDescent="0.2">
      <c r="C342" s="8" t="str">
        <f t="shared" si="10"/>
        <v/>
      </c>
      <c r="D342" s="8" t="str">
        <f t="shared" si="11"/>
        <v/>
      </c>
      <c r="H342" s="12" t="str">
        <f>IF(A342=0,"",VLOOKUP(B342,Materials!$A$2:$E$1001,6,FALSE))</f>
        <v/>
      </c>
    </row>
    <row r="343" spans="3:8" x14ac:dyDescent="0.2">
      <c r="C343" s="8" t="str">
        <f t="shared" si="10"/>
        <v/>
      </c>
      <c r="D343" s="8" t="str">
        <f t="shared" si="11"/>
        <v/>
      </c>
      <c r="H343" s="12" t="str">
        <f>IF(A343=0,"",VLOOKUP(B343,Materials!$A$2:$E$1001,6,FALSE))</f>
        <v/>
      </c>
    </row>
    <row r="344" spans="3:8" x14ac:dyDescent="0.2">
      <c r="C344" s="8" t="str">
        <f t="shared" si="10"/>
        <v/>
      </c>
      <c r="D344" s="8" t="str">
        <f t="shared" si="11"/>
        <v/>
      </c>
      <c r="H344" s="12" t="str">
        <f>IF(A344=0,"",VLOOKUP(B344,Materials!$A$2:$E$1001,6,FALSE))</f>
        <v/>
      </c>
    </row>
    <row r="345" spans="3:8" x14ac:dyDescent="0.2">
      <c r="C345" s="8" t="str">
        <f t="shared" si="10"/>
        <v/>
      </c>
      <c r="D345" s="8" t="str">
        <f t="shared" si="11"/>
        <v/>
      </c>
      <c r="H345" s="12" t="str">
        <f>IF(A345=0,"",VLOOKUP(B345,Materials!$A$2:$E$1001,6,FALSE))</f>
        <v/>
      </c>
    </row>
    <row r="346" spans="3:8" x14ac:dyDescent="0.2">
      <c r="C346" s="8" t="str">
        <f t="shared" si="10"/>
        <v/>
      </c>
      <c r="D346" s="8" t="str">
        <f t="shared" si="11"/>
        <v/>
      </c>
      <c r="H346" s="12" t="str">
        <f>IF(A346=0,"",VLOOKUP(B346,Materials!$A$2:$E$1001,6,FALSE))</f>
        <v/>
      </c>
    </row>
    <row r="347" spans="3:8" x14ac:dyDescent="0.2">
      <c r="C347" s="8" t="str">
        <f t="shared" si="10"/>
        <v/>
      </c>
      <c r="D347" s="8" t="str">
        <f t="shared" si="11"/>
        <v/>
      </c>
      <c r="H347" s="12" t="str">
        <f>IF(A347=0,"",VLOOKUP(B347,Materials!$A$2:$E$1001,6,FALSE))</f>
        <v/>
      </c>
    </row>
    <row r="348" spans="3:8" x14ac:dyDescent="0.2">
      <c r="C348" s="8" t="str">
        <f t="shared" si="10"/>
        <v/>
      </c>
      <c r="D348" s="8" t="str">
        <f t="shared" si="11"/>
        <v/>
      </c>
      <c r="H348" s="12" t="str">
        <f>IF(A348=0,"",VLOOKUP(B348,Materials!$A$2:$E$1001,6,FALSE))</f>
        <v/>
      </c>
    </row>
    <row r="349" spans="3:8" x14ac:dyDescent="0.2">
      <c r="C349" s="8" t="str">
        <f t="shared" si="10"/>
        <v/>
      </c>
      <c r="D349" s="8" t="str">
        <f t="shared" si="11"/>
        <v/>
      </c>
      <c r="H349" s="12" t="str">
        <f>IF(A349=0,"",VLOOKUP(B349,Materials!$A$2:$E$1001,6,FALSE))</f>
        <v/>
      </c>
    </row>
    <row r="350" spans="3:8" x14ac:dyDescent="0.2">
      <c r="C350" s="8" t="str">
        <f t="shared" si="10"/>
        <v/>
      </c>
      <c r="D350" s="8" t="str">
        <f t="shared" si="11"/>
        <v/>
      </c>
      <c r="H350" s="12" t="str">
        <f>IF(A350=0,"",VLOOKUP(B350,Materials!$A$2:$E$1001,6,FALSE))</f>
        <v/>
      </c>
    </row>
    <row r="351" spans="3:8" x14ac:dyDescent="0.2">
      <c r="C351" s="8" t="str">
        <f t="shared" si="10"/>
        <v/>
      </c>
      <c r="D351" s="8" t="str">
        <f t="shared" si="11"/>
        <v/>
      </c>
      <c r="H351" s="12" t="str">
        <f>IF(A351=0,"",VLOOKUP(B351,Materials!$A$2:$E$1001,6,FALSE))</f>
        <v/>
      </c>
    </row>
    <row r="352" spans="3:8" x14ac:dyDescent="0.2">
      <c r="C352" s="8" t="str">
        <f t="shared" si="10"/>
        <v/>
      </c>
      <c r="D352" s="8" t="str">
        <f t="shared" si="11"/>
        <v/>
      </c>
      <c r="H352" s="12" t="str">
        <f>IF(A352=0,"",VLOOKUP(B352,Materials!$A$2:$E$1001,6,FALSE))</f>
        <v/>
      </c>
    </row>
    <row r="353" spans="3:8" x14ac:dyDescent="0.2">
      <c r="C353" s="8" t="str">
        <f t="shared" si="10"/>
        <v/>
      </c>
      <c r="D353" s="8" t="str">
        <f t="shared" si="11"/>
        <v/>
      </c>
      <c r="H353" s="12" t="str">
        <f>IF(A353=0,"",VLOOKUP(B353,Materials!$A$2:$E$1001,6,FALSE))</f>
        <v/>
      </c>
    </row>
    <row r="354" spans="3:8" x14ac:dyDescent="0.2">
      <c r="C354" s="8" t="str">
        <f t="shared" si="10"/>
        <v/>
      </c>
      <c r="D354" s="8" t="str">
        <f t="shared" si="11"/>
        <v/>
      </c>
      <c r="H354" s="12" t="str">
        <f>IF(A354=0,"",VLOOKUP(B354,Materials!$A$2:$E$1001,6,FALSE))</f>
        <v/>
      </c>
    </row>
    <row r="355" spans="3:8" x14ac:dyDescent="0.2">
      <c r="C355" s="8" t="str">
        <f t="shared" si="10"/>
        <v/>
      </c>
      <c r="D355" s="8" t="str">
        <f t="shared" si="11"/>
        <v/>
      </c>
      <c r="H355" s="12" t="str">
        <f>IF(A355=0,"",VLOOKUP(B355,Materials!$A$2:$E$1001,6,FALSE))</f>
        <v/>
      </c>
    </row>
    <row r="356" spans="3:8" x14ac:dyDescent="0.2">
      <c r="C356" s="8" t="str">
        <f t="shared" si="10"/>
        <v/>
      </c>
      <c r="D356" s="8" t="str">
        <f t="shared" si="11"/>
        <v/>
      </c>
      <c r="H356" s="12" t="str">
        <f>IF(A356=0,"",VLOOKUP(B356,Materials!$A$2:$E$1001,6,FALSE))</f>
        <v/>
      </c>
    </row>
    <row r="357" spans="3:8" x14ac:dyDescent="0.2">
      <c r="C357" s="8" t="str">
        <f t="shared" si="10"/>
        <v/>
      </c>
      <c r="D357" s="8" t="str">
        <f t="shared" si="11"/>
        <v/>
      </c>
      <c r="H357" s="12" t="str">
        <f>IF(A357=0,"",VLOOKUP(B357,Materials!$A$2:$E$1001,6,FALSE))</f>
        <v/>
      </c>
    </row>
    <row r="358" spans="3:8" x14ac:dyDescent="0.2">
      <c r="C358" s="8" t="str">
        <f t="shared" si="10"/>
        <v/>
      </c>
      <c r="D358" s="8" t="str">
        <f t="shared" si="11"/>
        <v/>
      </c>
      <c r="H358" s="12" t="str">
        <f>IF(A358=0,"",VLOOKUP(B358,Materials!$A$2:$E$1001,6,FALSE))</f>
        <v/>
      </c>
    </row>
    <row r="359" spans="3:8" x14ac:dyDescent="0.2">
      <c r="C359" s="8" t="str">
        <f t="shared" si="10"/>
        <v/>
      </c>
      <c r="D359" s="8" t="str">
        <f t="shared" si="11"/>
        <v/>
      </c>
      <c r="H359" s="12" t="str">
        <f>IF(A359=0,"",VLOOKUP(B359,Materials!$A$2:$E$1001,6,FALSE))</f>
        <v/>
      </c>
    </row>
    <row r="360" spans="3:8" x14ac:dyDescent="0.2">
      <c r="C360" s="8" t="str">
        <f t="shared" si="10"/>
        <v/>
      </c>
      <c r="D360" s="8" t="str">
        <f t="shared" si="11"/>
        <v/>
      </c>
      <c r="H360" s="12" t="str">
        <f>IF(A360=0,"",VLOOKUP(B360,Materials!$A$2:$E$1001,6,FALSE))</f>
        <v/>
      </c>
    </row>
    <row r="361" spans="3:8" x14ac:dyDescent="0.2">
      <c r="C361" s="8" t="str">
        <f t="shared" si="10"/>
        <v/>
      </c>
      <c r="D361" s="8" t="str">
        <f t="shared" si="11"/>
        <v/>
      </c>
      <c r="H361" s="12" t="str">
        <f>IF(A361=0,"",VLOOKUP(B361,Materials!$A$2:$E$1001,6,FALSE))</f>
        <v/>
      </c>
    </row>
    <row r="362" spans="3:8" x14ac:dyDescent="0.2">
      <c r="C362" s="8" t="str">
        <f t="shared" si="10"/>
        <v/>
      </c>
      <c r="D362" s="8" t="str">
        <f t="shared" si="11"/>
        <v/>
      </c>
      <c r="H362" s="12" t="str">
        <f>IF(A362=0,"",VLOOKUP(B362,Materials!$A$2:$E$1001,6,FALSE))</f>
        <v/>
      </c>
    </row>
    <row r="363" spans="3:8" x14ac:dyDescent="0.2">
      <c r="C363" s="8" t="str">
        <f t="shared" si="10"/>
        <v/>
      </c>
      <c r="D363" s="8" t="str">
        <f t="shared" si="11"/>
        <v/>
      </c>
      <c r="H363" s="12" t="str">
        <f>IF(A363=0,"",VLOOKUP(B363,Materials!$A$2:$E$1001,6,FALSE))</f>
        <v/>
      </c>
    </row>
    <row r="364" spans="3:8" x14ac:dyDescent="0.2">
      <c r="C364" s="8" t="str">
        <f t="shared" si="10"/>
        <v/>
      </c>
      <c r="D364" s="8" t="str">
        <f t="shared" si="11"/>
        <v/>
      </c>
      <c r="H364" s="12" t="str">
        <f>IF(A364=0,"",VLOOKUP(B364,Materials!$A$2:$E$1001,6,FALSE))</f>
        <v/>
      </c>
    </row>
    <row r="365" spans="3:8" x14ac:dyDescent="0.2">
      <c r="C365" s="8" t="str">
        <f t="shared" si="10"/>
        <v/>
      </c>
      <c r="D365" s="8" t="str">
        <f t="shared" si="11"/>
        <v/>
      </c>
      <c r="H365" s="12" t="str">
        <f>IF(A365=0,"",VLOOKUP(B365,Materials!$A$2:$E$1001,6,FALSE))</f>
        <v/>
      </c>
    </row>
    <row r="366" spans="3:8" x14ac:dyDescent="0.2">
      <c r="C366" s="8" t="str">
        <f t="shared" si="10"/>
        <v/>
      </c>
      <c r="D366" s="8" t="str">
        <f t="shared" si="11"/>
        <v/>
      </c>
      <c r="H366" s="12" t="str">
        <f>IF(A366=0,"",VLOOKUP(B366,Materials!$A$2:$E$1001,6,FALSE))</f>
        <v/>
      </c>
    </row>
    <row r="367" spans="3:8" x14ac:dyDescent="0.2">
      <c r="C367" s="8" t="str">
        <f t="shared" si="10"/>
        <v/>
      </c>
      <c r="D367" s="8" t="str">
        <f t="shared" si="11"/>
        <v/>
      </c>
      <c r="H367" s="12" t="str">
        <f>IF(A367=0,"",VLOOKUP(B367,Materials!$A$2:$E$1001,6,FALSE))</f>
        <v/>
      </c>
    </row>
    <row r="368" spans="3:8" x14ac:dyDescent="0.2">
      <c r="C368" s="8" t="str">
        <f t="shared" si="10"/>
        <v/>
      </c>
      <c r="D368" s="8" t="str">
        <f t="shared" si="11"/>
        <v/>
      </c>
      <c r="H368" s="12" t="str">
        <f>IF(A368=0,"",VLOOKUP(B368,Materials!$A$2:$E$1001,6,FALSE))</f>
        <v/>
      </c>
    </row>
    <row r="369" spans="3:8" x14ac:dyDescent="0.2">
      <c r="C369" s="8" t="str">
        <f t="shared" si="10"/>
        <v/>
      </c>
      <c r="D369" s="8" t="str">
        <f t="shared" si="11"/>
        <v/>
      </c>
      <c r="H369" s="12" t="str">
        <f>IF(A369=0,"",VLOOKUP(B369,Materials!$A$2:$E$1001,6,FALSE))</f>
        <v/>
      </c>
    </row>
    <row r="370" spans="3:8" x14ac:dyDescent="0.2">
      <c r="C370" s="8" t="str">
        <f t="shared" si="10"/>
        <v/>
      </c>
      <c r="D370" s="8" t="str">
        <f t="shared" si="11"/>
        <v/>
      </c>
      <c r="H370" s="12" t="str">
        <f>IF(A370=0,"",VLOOKUP(B370,Materials!$A$2:$E$1001,6,FALSE))</f>
        <v/>
      </c>
    </row>
    <row r="371" spans="3:8" x14ac:dyDescent="0.2">
      <c r="C371" s="8" t="str">
        <f t="shared" si="10"/>
        <v/>
      </c>
      <c r="D371" s="8" t="str">
        <f t="shared" si="11"/>
        <v/>
      </c>
      <c r="H371" s="12" t="str">
        <f>IF(A371=0,"",VLOOKUP(B371,Materials!$A$2:$E$1001,6,FALSE))</f>
        <v/>
      </c>
    </row>
    <row r="372" spans="3:8" x14ac:dyDescent="0.2">
      <c r="C372" s="8" t="str">
        <f t="shared" si="10"/>
        <v/>
      </c>
      <c r="D372" s="8" t="str">
        <f t="shared" si="11"/>
        <v/>
      </c>
      <c r="H372" s="12" t="str">
        <f>IF(A372=0,"",VLOOKUP(B372,Materials!$A$2:$E$1001,6,FALSE))</f>
        <v/>
      </c>
    </row>
    <row r="373" spans="3:8" x14ac:dyDescent="0.2">
      <c r="C373" s="8" t="str">
        <f t="shared" si="10"/>
        <v/>
      </c>
      <c r="D373" s="8" t="str">
        <f t="shared" si="11"/>
        <v/>
      </c>
      <c r="H373" s="12" t="str">
        <f>IF(A373=0,"",VLOOKUP(B373,Materials!$A$2:$E$1001,6,FALSE))</f>
        <v/>
      </c>
    </row>
    <row r="374" spans="3:8" x14ac:dyDescent="0.2">
      <c r="C374" s="8" t="str">
        <f t="shared" si="10"/>
        <v/>
      </c>
      <c r="D374" s="8" t="str">
        <f t="shared" si="11"/>
        <v/>
      </c>
      <c r="H374" s="12" t="str">
        <f>IF(A374=0,"",VLOOKUP(B374,Materials!$A$2:$E$1001,6,FALSE))</f>
        <v/>
      </c>
    </row>
    <row r="375" spans="3:8" x14ac:dyDescent="0.2">
      <c r="C375" s="8" t="str">
        <f t="shared" si="10"/>
        <v/>
      </c>
      <c r="D375" s="8" t="str">
        <f t="shared" si="11"/>
        <v/>
      </c>
      <c r="H375" s="12" t="str">
        <f>IF(A375=0,"",VLOOKUP(B375,Materials!$A$2:$E$1001,6,FALSE))</f>
        <v/>
      </c>
    </row>
    <row r="376" spans="3:8" x14ac:dyDescent="0.2">
      <c r="C376" s="8" t="str">
        <f t="shared" si="10"/>
        <v/>
      </c>
      <c r="D376" s="8" t="str">
        <f t="shared" si="11"/>
        <v/>
      </c>
      <c r="H376" s="12" t="str">
        <f>IF(A376=0,"",VLOOKUP(B376,Materials!$A$2:$E$1001,6,FALSE))</f>
        <v/>
      </c>
    </row>
    <row r="377" spans="3:8" x14ac:dyDescent="0.2">
      <c r="C377" s="8" t="str">
        <f t="shared" si="10"/>
        <v/>
      </c>
      <c r="D377" s="8" t="str">
        <f t="shared" si="11"/>
        <v/>
      </c>
      <c r="H377" s="12" t="str">
        <f>IF(A377=0,"",VLOOKUP(B377,Materials!$A$2:$E$1001,6,FALSE))</f>
        <v/>
      </c>
    </row>
    <row r="378" spans="3:8" x14ac:dyDescent="0.2">
      <c r="C378" s="8" t="str">
        <f t="shared" si="10"/>
        <v/>
      </c>
      <c r="D378" s="8" t="str">
        <f t="shared" si="11"/>
        <v/>
      </c>
      <c r="H378" s="12" t="str">
        <f>IF(A378=0,"",VLOOKUP(B378,Materials!$A$2:$E$1001,6,FALSE))</f>
        <v/>
      </c>
    </row>
    <row r="379" spans="3:8" x14ac:dyDescent="0.2">
      <c r="C379" s="8" t="str">
        <f t="shared" si="10"/>
        <v/>
      </c>
      <c r="D379" s="8" t="str">
        <f t="shared" si="11"/>
        <v/>
      </c>
      <c r="H379" s="12" t="str">
        <f>IF(A379=0,"",VLOOKUP(B379,Materials!$A$2:$E$1001,6,FALSE))</f>
        <v/>
      </c>
    </row>
    <row r="380" spans="3:8" x14ac:dyDescent="0.2">
      <c r="C380" s="8" t="str">
        <f t="shared" si="10"/>
        <v/>
      </c>
      <c r="D380" s="8" t="str">
        <f t="shared" si="11"/>
        <v/>
      </c>
      <c r="H380" s="12" t="str">
        <f>IF(A380=0,"",VLOOKUP(B380,Materials!$A$2:$E$1001,6,FALSE))</f>
        <v/>
      </c>
    </row>
    <row r="381" spans="3:8" x14ac:dyDescent="0.2">
      <c r="C381" s="8" t="str">
        <f t="shared" si="10"/>
        <v/>
      </c>
      <c r="D381" s="8" t="str">
        <f t="shared" si="11"/>
        <v/>
      </c>
      <c r="H381" s="12" t="str">
        <f>IF(A381=0,"",VLOOKUP(B381,Materials!$A$2:$E$1001,6,FALSE))</f>
        <v/>
      </c>
    </row>
    <row r="382" spans="3:8" x14ac:dyDescent="0.2">
      <c r="C382" s="8" t="str">
        <f t="shared" si="10"/>
        <v/>
      </c>
      <c r="D382" s="8" t="str">
        <f t="shared" si="11"/>
        <v/>
      </c>
      <c r="H382" s="12" t="str">
        <f>IF(A382=0,"",VLOOKUP(B382,Materials!$A$2:$E$1001,6,FALSE))</f>
        <v/>
      </c>
    </row>
    <row r="383" spans="3:8" x14ac:dyDescent="0.2">
      <c r="C383" s="8" t="str">
        <f t="shared" si="10"/>
        <v/>
      </c>
      <c r="D383" s="8" t="str">
        <f t="shared" si="11"/>
        <v/>
      </c>
      <c r="H383" s="12" t="str">
        <f>IF(A383=0,"",VLOOKUP(B383,Materials!$A$2:$E$1001,6,FALSE))</f>
        <v/>
      </c>
    </row>
    <row r="384" spans="3:8" x14ac:dyDescent="0.2">
      <c r="C384" s="8" t="str">
        <f t="shared" si="10"/>
        <v/>
      </c>
      <c r="D384" s="8" t="str">
        <f t="shared" si="11"/>
        <v/>
      </c>
      <c r="H384" s="12" t="str">
        <f>IF(A384=0,"",VLOOKUP(B384,Materials!$A$2:$E$1001,6,FALSE))</f>
        <v/>
      </c>
    </row>
    <row r="385" spans="3:8" x14ac:dyDescent="0.2">
      <c r="C385" s="8" t="str">
        <f t="shared" si="10"/>
        <v/>
      </c>
      <c r="D385" s="8" t="str">
        <f t="shared" si="11"/>
        <v/>
      </c>
      <c r="H385" s="12" t="str">
        <f>IF(A385=0,"",VLOOKUP(B385,Materials!$A$2:$E$1001,6,FALSE))</f>
        <v/>
      </c>
    </row>
    <row r="386" spans="3:8" x14ac:dyDescent="0.2">
      <c r="C386" s="8" t="str">
        <f t="shared" ref="C386:C449" si="12">IF(A386=0,"",VLOOKUP(B386,MatDB,2,FALSE))</f>
        <v/>
      </c>
      <c r="D386" s="8" t="str">
        <f t="shared" si="11"/>
        <v/>
      </c>
      <c r="H386" s="12" t="str">
        <f>IF(A386=0,"",VLOOKUP(B386,Materials!$A$2:$E$1001,6,FALSE))</f>
        <v/>
      </c>
    </row>
    <row r="387" spans="3:8" x14ac:dyDescent="0.2">
      <c r="C387" s="8" t="str">
        <f t="shared" si="12"/>
        <v/>
      </c>
      <c r="D387" s="8" t="str">
        <f t="shared" ref="D387:D450" si="13">IF(A387=0,"","Concrete04")</f>
        <v/>
      </c>
      <c r="H387" s="12" t="str">
        <f>IF(A387=0,"",VLOOKUP(B387,Materials!$A$2:$E$1001,6,FALSE))</f>
        <v/>
      </c>
    </row>
    <row r="388" spans="3:8" x14ac:dyDescent="0.2">
      <c r="C388" s="8" t="str">
        <f t="shared" si="12"/>
        <v/>
      </c>
      <c r="D388" s="8" t="str">
        <f t="shared" si="13"/>
        <v/>
      </c>
      <c r="H388" s="12" t="str">
        <f>IF(A388=0,"",VLOOKUP(B388,Materials!$A$2:$E$1001,6,FALSE))</f>
        <v/>
      </c>
    </row>
    <row r="389" spans="3:8" x14ac:dyDescent="0.2">
      <c r="C389" s="8" t="str">
        <f t="shared" si="12"/>
        <v/>
      </c>
      <c r="D389" s="8" t="str">
        <f t="shared" si="13"/>
        <v/>
      </c>
      <c r="H389" s="12" t="str">
        <f>IF(A389=0,"",VLOOKUP(B389,Materials!$A$2:$E$1001,6,FALSE))</f>
        <v/>
      </c>
    </row>
    <row r="390" spans="3:8" x14ac:dyDescent="0.2">
      <c r="C390" s="8" t="str">
        <f t="shared" si="12"/>
        <v/>
      </c>
      <c r="D390" s="8" t="str">
        <f t="shared" si="13"/>
        <v/>
      </c>
      <c r="H390" s="12" t="str">
        <f>IF(A390=0,"",VLOOKUP(B390,Materials!$A$2:$E$1001,6,FALSE))</f>
        <v/>
      </c>
    </row>
    <row r="391" spans="3:8" x14ac:dyDescent="0.2">
      <c r="C391" s="8" t="str">
        <f t="shared" si="12"/>
        <v/>
      </c>
      <c r="D391" s="8" t="str">
        <f t="shared" si="13"/>
        <v/>
      </c>
      <c r="H391" s="12" t="str">
        <f>IF(A391=0,"",VLOOKUP(B391,Materials!$A$2:$E$1001,6,FALSE))</f>
        <v/>
      </c>
    </row>
    <row r="392" spans="3:8" x14ac:dyDescent="0.2">
      <c r="C392" s="8" t="str">
        <f t="shared" si="12"/>
        <v/>
      </c>
      <c r="D392" s="8" t="str">
        <f t="shared" si="13"/>
        <v/>
      </c>
      <c r="H392" s="12" t="str">
        <f>IF(A392=0,"",VLOOKUP(B392,Materials!$A$2:$E$1001,6,FALSE))</f>
        <v/>
      </c>
    </row>
    <row r="393" spans="3:8" x14ac:dyDescent="0.2">
      <c r="C393" s="8" t="str">
        <f t="shared" si="12"/>
        <v/>
      </c>
      <c r="D393" s="8" t="str">
        <f t="shared" si="13"/>
        <v/>
      </c>
      <c r="H393" s="12" t="str">
        <f>IF(A393=0,"",VLOOKUP(B393,Materials!$A$2:$E$1001,6,FALSE))</f>
        <v/>
      </c>
    </row>
    <row r="394" spans="3:8" x14ac:dyDescent="0.2">
      <c r="C394" s="8" t="str">
        <f t="shared" si="12"/>
        <v/>
      </c>
      <c r="D394" s="8" t="str">
        <f t="shared" si="13"/>
        <v/>
      </c>
      <c r="H394" s="12" t="str">
        <f>IF(A394=0,"",VLOOKUP(B394,Materials!$A$2:$E$1001,6,FALSE))</f>
        <v/>
      </c>
    </row>
    <row r="395" spans="3:8" x14ac:dyDescent="0.2">
      <c r="C395" s="8" t="str">
        <f t="shared" si="12"/>
        <v/>
      </c>
      <c r="D395" s="8" t="str">
        <f t="shared" si="13"/>
        <v/>
      </c>
      <c r="H395" s="12" t="str">
        <f>IF(A395=0,"",VLOOKUP(B395,Materials!$A$2:$E$1001,6,FALSE))</f>
        <v/>
      </c>
    </row>
    <row r="396" spans="3:8" x14ac:dyDescent="0.2">
      <c r="C396" s="8" t="str">
        <f t="shared" si="12"/>
        <v/>
      </c>
      <c r="D396" s="8" t="str">
        <f t="shared" si="13"/>
        <v/>
      </c>
      <c r="H396" s="12" t="str">
        <f>IF(A396=0,"",VLOOKUP(B396,Materials!$A$2:$E$1001,6,FALSE))</f>
        <v/>
      </c>
    </row>
    <row r="397" spans="3:8" x14ac:dyDescent="0.2">
      <c r="C397" s="8" t="str">
        <f t="shared" si="12"/>
        <v/>
      </c>
      <c r="D397" s="8" t="str">
        <f t="shared" si="13"/>
        <v/>
      </c>
      <c r="H397" s="12" t="str">
        <f>IF(A397=0,"",VLOOKUP(B397,Materials!$A$2:$E$1001,6,FALSE))</f>
        <v/>
      </c>
    </row>
    <row r="398" spans="3:8" x14ac:dyDescent="0.2">
      <c r="C398" s="8" t="str">
        <f t="shared" si="12"/>
        <v/>
      </c>
      <c r="D398" s="8" t="str">
        <f t="shared" si="13"/>
        <v/>
      </c>
      <c r="H398" s="12" t="str">
        <f>IF(A398=0,"",VLOOKUP(B398,Materials!$A$2:$E$1001,6,FALSE))</f>
        <v/>
      </c>
    </row>
    <row r="399" spans="3:8" x14ac:dyDescent="0.2">
      <c r="C399" s="8" t="str">
        <f t="shared" si="12"/>
        <v/>
      </c>
      <c r="D399" s="8" t="str">
        <f t="shared" si="13"/>
        <v/>
      </c>
      <c r="H399" s="12" t="str">
        <f>IF(A399=0,"",VLOOKUP(B399,Materials!$A$2:$E$1001,6,FALSE))</f>
        <v/>
      </c>
    </row>
    <row r="400" spans="3:8" x14ac:dyDescent="0.2">
      <c r="C400" s="8" t="str">
        <f t="shared" si="12"/>
        <v/>
      </c>
      <c r="D400" s="8" t="str">
        <f t="shared" si="13"/>
        <v/>
      </c>
      <c r="H400" s="12" t="str">
        <f>IF(A400=0,"",VLOOKUP(B400,Materials!$A$2:$E$1001,6,FALSE))</f>
        <v/>
      </c>
    </row>
    <row r="401" spans="3:8" x14ac:dyDescent="0.2">
      <c r="C401" s="8" t="str">
        <f t="shared" si="12"/>
        <v/>
      </c>
      <c r="D401" s="8" t="str">
        <f t="shared" si="13"/>
        <v/>
      </c>
      <c r="H401" s="12" t="str">
        <f>IF(A401=0,"",VLOOKUP(B401,Materials!$A$2:$E$1001,6,FALSE))</f>
        <v/>
      </c>
    </row>
    <row r="402" spans="3:8" x14ac:dyDescent="0.2">
      <c r="C402" s="8" t="str">
        <f t="shared" si="12"/>
        <v/>
      </c>
      <c r="D402" s="8" t="str">
        <f t="shared" si="13"/>
        <v/>
      </c>
      <c r="H402" s="12" t="str">
        <f>IF(A402=0,"",VLOOKUP(B402,Materials!$A$2:$E$1001,6,FALSE))</f>
        <v/>
      </c>
    </row>
    <row r="403" spans="3:8" x14ac:dyDescent="0.2">
      <c r="C403" s="8" t="str">
        <f t="shared" si="12"/>
        <v/>
      </c>
      <c r="D403" s="8" t="str">
        <f t="shared" si="13"/>
        <v/>
      </c>
      <c r="H403" s="12" t="str">
        <f>IF(A403=0,"",VLOOKUP(B403,Materials!$A$2:$E$1001,6,FALSE))</f>
        <v/>
      </c>
    </row>
    <row r="404" spans="3:8" x14ac:dyDescent="0.2">
      <c r="C404" s="8" t="str">
        <f t="shared" si="12"/>
        <v/>
      </c>
      <c r="D404" s="8" t="str">
        <f t="shared" si="13"/>
        <v/>
      </c>
      <c r="H404" s="12" t="str">
        <f>IF(A404=0,"",VLOOKUP(B404,Materials!$A$2:$E$1001,6,FALSE))</f>
        <v/>
      </c>
    </row>
    <row r="405" spans="3:8" x14ac:dyDescent="0.2">
      <c r="C405" s="8" t="str">
        <f t="shared" si="12"/>
        <v/>
      </c>
      <c r="D405" s="8" t="str">
        <f t="shared" si="13"/>
        <v/>
      </c>
      <c r="H405" s="12" t="str">
        <f>IF(A405=0,"",VLOOKUP(B405,Materials!$A$2:$E$1001,6,FALSE))</f>
        <v/>
      </c>
    </row>
    <row r="406" spans="3:8" x14ac:dyDescent="0.2">
      <c r="C406" s="8" t="str">
        <f t="shared" si="12"/>
        <v/>
      </c>
      <c r="D406" s="8" t="str">
        <f t="shared" si="13"/>
        <v/>
      </c>
      <c r="H406" s="12" t="str">
        <f>IF(A406=0,"",VLOOKUP(B406,Materials!$A$2:$E$1001,6,FALSE))</f>
        <v/>
      </c>
    </row>
    <row r="407" spans="3:8" x14ac:dyDescent="0.2">
      <c r="C407" s="8" t="str">
        <f t="shared" si="12"/>
        <v/>
      </c>
      <c r="D407" s="8" t="str">
        <f t="shared" si="13"/>
        <v/>
      </c>
      <c r="H407" s="12" t="str">
        <f>IF(A407=0,"",VLOOKUP(B407,Materials!$A$2:$E$1001,6,FALSE))</f>
        <v/>
      </c>
    </row>
    <row r="408" spans="3:8" x14ac:dyDescent="0.2">
      <c r="C408" s="8" t="str">
        <f t="shared" si="12"/>
        <v/>
      </c>
      <c r="D408" s="8" t="str">
        <f t="shared" si="13"/>
        <v/>
      </c>
      <c r="H408" s="12" t="str">
        <f>IF(A408=0,"",VLOOKUP(B408,Materials!$A$2:$E$1001,6,FALSE))</f>
        <v/>
      </c>
    </row>
    <row r="409" spans="3:8" x14ac:dyDescent="0.2">
      <c r="C409" s="8" t="str">
        <f t="shared" si="12"/>
        <v/>
      </c>
      <c r="D409" s="8" t="str">
        <f t="shared" si="13"/>
        <v/>
      </c>
      <c r="H409" s="12" t="str">
        <f>IF(A409=0,"",VLOOKUP(B409,Materials!$A$2:$E$1001,6,FALSE))</f>
        <v/>
      </c>
    </row>
    <row r="410" spans="3:8" x14ac:dyDescent="0.2">
      <c r="C410" s="8" t="str">
        <f t="shared" si="12"/>
        <v/>
      </c>
      <c r="D410" s="8" t="str">
        <f t="shared" si="13"/>
        <v/>
      </c>
      <c r="H410" s="12" t="str">
        <f>IF(A410=0,"",VLOOKUP(B410,Materials!$A$2:$E$1001,6,FALSE))</f>
        <v/>
      </c>
    </row>
    <row r="411" spans="3:8" x14ac:dyDescent="0.2">
      <c r="C411" s="8" t="str">
        <f t="shared" si="12"/>
        <v/>
      </c>
      <c r="D411" s="8" t="str">
        <f t="shared" si="13"/>
        <v/>
      </c>
      <c r="H411" s="12" t="str">
        <f>IF(A411=0,"",VLOOKUP(B411,Materials!$A$2:$E$1001,6,FALSE))</f>
        <v/>
      </c>
    </row>
    <row r="412" spans="3:8" x14ac:dyDescent="0.2">
      <c r="C412" s="8" t="str">
        <f t="shared" si="12"/>
        <v/>
      </c>
      <c r="D412" s="8" t="str">
        <f t="shared" si="13"/>
        <v/>
      </c>
      <c r="H412" s="12" t="str">
        <f>IF(A412=0,"",VLOOKUP(B412,Materials!$A$2:$E$1001,6,FALSE))</f>
        <v/>
      </c>
    </row>
    <row r="413" spans="3:8" x14ac:dyDescent="0.2">
      <c r="C413" s="8" t="str">
        <f t="shared" si="12"/>
        <v/>
      </c>
      <c r="D413" s="8" t="str">
        <f t="shared" si="13"/>
        <v/>
      </c>
      <c r="H413" s="12" t="str">
        <f>IF(A413=0,"",VLOOKUP(B413,Materials!$A$2:$E$1001,6,FALSE))</f>
        <v/>
      </c>
    </row>
    <row r="414" spans="3:8" x14ac:dyDescent="0.2">
      <c r="C414" s="8" t="str">
        <f t="shared" si="12"/>
        <v/>
      </c>
      <c r="D414" s="8" t="str">
        <f t="shared" si="13"/>
        <v/>
      </c>
      <c r="H414" s="12" t="str">
        <f>IF(A414=0,"",VLOOKUP(B414,Materials!$A$2:$E$1001,6,FALSE))</f>
        <v/>
      </c>
    </row>
    <row r="415" spans="3:8" x14ac:dyDescent="0.2">
      <c r="C415" s="8" t="str">
        <f t="shared" si="12"/>
        <v/>
      </c>
      <c r="D415" s="8" t="str">
        <f t="shared" si="13"/>
        <v/>
      </c>
      <c r="H415" s="12" t="str">
        <f>IF(A415=0,"",VLOOKUP(B415,Materials!$A$2:$E$1001,6,FALSE))</f>
        <v/>
      </c>
    </row>
    <row r="416" spans="3:8" x14ac:dyDescent="0.2">
      <c r="C416" s="8" t="str">
        <f t="shared" si="12"/>
        <v/>
      </c>
      <c r="D416" s="8" t="str">
        <f t="shared" si="13"/>
        <v/>
      </c>
      <c r="H416" s="12" t="str">
        <f>IF(A416=0,"",VLOOKUP(B416,Materials!$A$2:$E$1001,6,FALSE))</f>
        <v/>
      </c>
    </row>
    <row r="417" spans="3:8" x14ac:dyDescent="0.2">
      <c r="C417" s="8" t="str">
        <f t="shared" si="12"/>
        <v/>
      </c>
      <c r="D417" s="8" t="str">
        <f t="shared" si="13"/>
        <v/>
      </c>
      <c r="H417" s="12" t="str">
        <f>IF(A417=0,"",VLOOKUP(B417,Materials!$A$2:$E$1001,6,FALSE))</f>
        <v/>
      </c>
    </row>
    <row r="418" spans="3:8" x14ac:dyDescent="0.2">
      <c r="C418" s="8" t="str">
        <f t="shared" si="12"/>
        <v/>
      </c>
      <c r="D418" s="8" t="str">
        <f t="shared" si="13"/>
        <v/>
      </c>
      <c r="H418" s="12" t="str">
        <f>IF(A418=0,"",VLOOKUP(B418,Materials!$A$2:$E$1001,6,FALSE))</f>
        <v/>
      </c>
    </row>
    <row r="419" spans="3:8" x14ac:dyDescent="0.2">
      <c r="C419" s="8" t="str">
        <f t="shared" si="12"/>
        <v/>
      </c>
      <c r="D419" s="8" t="str">
        <f t="shared" si="13"/>
        <v/>
      </c>
      <c r="H419" s="12" t="str">
        <f>IF(A419=0,"",VLOOKUP(B419,Materials!$A$2:$E$1001,6,FALSE))</f>
        <v/>
      </c>
    </row>
    <row r="420" spans="3:8" x14ac:dyDescent="0.2">
      <c r="C420" s="8" t="str">
        <f t="shared" si="12"/>
        <v/>
      </c>
      <c r="D420" s="8" t="str">
        <f t="shared" si="13"/>
        <v/>
      </c>
      <c r="H420" s="12" t="str">
        <f>IF(A420=0,"",VLOOKUP(B420,Materials!$A$2:$E$1001,6,FALSE))</f>
        <v/>
      </c>
    </row>
    <row r="421" spans="3:8" x14ac:dyDescent="0.2">
      <c r="C421" s="8" t="str">
        <f t="shared" si="12"/>
        <v/>
      </c>
      <c r="D421" s="8" t="str">
        <f t="shared" si="13"/>
        <v/>
      </c>
      <c r="H421" s="12" t="str">
        <f>IF(A421=0,"",VLOOKUP(B421,Materials!$A$2:$E$1001,6,FALSE))</f>
        <v/>
      </c>
    </row>
    <row r="422" spans="3:8" x14ac:dyDescent="0.2">
      <c r="C422" s="8" t="str">
        <f t="shared" si="12"/>
        <v/>
      </c>
      <c r="D422" s="8" t="str">
        <f t="shared" si="13"/>
        <v/>
      </c>
      <c r="H422" s="12" t="str">
        <f>IF(A422=0,"",VLOOKUP(B422,Materials!$A$2:$E$1001,6,FALSE))</f>
        <v/>
      </c>
    </row>
    <row r="423" spans="3:8" x14ac:dyDescent="0.2">
      <c r="C423" s="8" t="str">
        <f t="shared" si="12"/>
        <v/>
      </c>
      <c r="D423" s="8" t="str">
        <f t="shared" si="13"/>
        <v/>
      </c>
      <c r="H423" s="12" t="str">
        <f>IF(A423=0,"",VLOOKUP(B423,Materials!$A$2:$E$1001,6,FALSE))</f>
        <v/>
      </c>
    </row>
    <row r="424" spans="3:8" x14ac:dyDescent="0.2">
      <c r="C424" s="8" t="str">
        <f t="shared" si="12"/>
        <v/>
      </c>
      <c r="D424" s="8" t="str">
        <f t="shared" si="13"/>
        <v/>
      </c>
      <c r="H424" s="12" t="str">
        <f>IF(A424=0,"",VLOOKUP(B424,Materials!$A$2:$E$1001,6,FALSE))</f>
        <v/>
      </c>
    </row>
    <row r="425" spans="3:8" x14ac:dyDescent="0.2">
      <c r="C425" s="8" t="str">
        <f t="shared" si="12"/>
        <v/>
      </c>
      <c r="D425" s="8" t="str">
        <f t="shared" si="13"/>
        <v/>
      </c>
      <c r="H425" s="12" t="str">
        <f>IF(A425=0,"",VLOOKUP(B425,Materials!$A$2:$E$1001,6,FALSE))</f>
        <v/>
      </c>
    </row>
    <row r="426" spans="3:8" x14ac:dyDescent="0.2">
      <c r="C426" s="8" t="str">
        <f t="shared" si="12"/>
        <v/>
      </c>
      <c r="D426" s="8" t="str">
        <f t="shared" si="13"/>
        <v/>
      </c>
      <c r="H426" s="12" t="str">
        <f>IF(A426=0,"",VLOOKUP(B426,Materials!$A$2:$E$1001,6,FALSE))</f>
        <v/>
      </c>
    </row>
    <row r="427" spans="3:8" x14ac:dyDescent="0.2">
      <c r="C427" s="8" t="str">
        <f t="shared" si="12"/>
        <v/>
      </c>
      <c r="D427" s="8" t="str">
        <f t="shared" si="13"/>
        <v/>
      </c>
      <c r="H427" s="12" t="str">
        <f>IF(A427=0,"",VLOOKUP(B427,Materials!$A$2:$E$1001,6,FALSE))</f>
        <v/>
      </c>
    </row>
    <row r="428" spans="3:8" x14ac:dyDescent="0.2">
      <c r="C428" s="8" t="str">
        <f t="shared" si="12"/>
        <v/>
      </c>
      <c r="D428" s="8" t="str">
        <f t="shared" si="13"/>
        <v/>
      </c>
      <c r="H428" s="12" t="str">
        <f>IF(A428=0,"",VLOOKUP(B428,Materials!$A$2:$E$1001,6,FALSE))</f>
        <v/>
      </c>
    </row>
    <row r="429" spans="3:8" x14ac:dyDescent="0.2">
      <c r="C429" s="8" t="str">
        <f t="shared" si="12"/>
        <v/>
      </c>
      <c r="D429" s="8" t="str">
        <f t="shared" si="13"/>
        <v/>
      </c>
      <c r="H429" s="12" t="str">
        <f>IF(A429=0,"",VLOOKUP(B429,Materials!$A$2:$E$1001,6,FALSE))</f>
        <v/>
      </c>
    </row>
    <row r="430" spans="3:8" x14ac:dyDescent="0.2">
      <c r="C430" s="8" t="str">
        <f t="shared" si="12"/>
        <v/>
      </c>
      <c r="D430" s="8" t="str">
        <f t="shared" si="13"/>
        <v/>
      </c>
      <c r="H430" s="12" t="str">
        <f>IF(A430=0,"",VLOOKUP(B430,Materials!$A$2:$E$1001,6,FALSE))</f>
        <v/>
      </c>
    </row>
    <row r="431" spans="3:8" x14ac:dyDescent="0.2">
      <c r="C431" s="8" t="str">
        <f t="shared" si="12"/>
        <v/>
      </c>
      <c r="D431" s="8" t="str">
        <f t="shared" si="13"/>
        <v/>
      </c>
      <c r="H431" s="12" t="str">
        <f>IF(A431=0,"",VLOOKUP(B431,Materials!$A$2:$E$1001,6,FALSE))</f>
        <v/>
      </c>
    </row>
    <row r="432" spans="3:8" x14ac:dyDescent="0.2">
      <c r="C432" s="8" t="str">
        <f t="shared" si="12"/>
        <v/>
      </c>
      <c r="D432" s="8" t="str">
        <f t="shared" si="13"/>
        <v/>
      </c>
      <c r="H432" s="12" t="str">
        <f>IF(A432=0,"",VLOOKUP(B432,Materials!$A$2:$E$1001,6,FALSE))</f>
        <v/>
      </c>
    </row>
    <row r="433" spans="3:8" x14ac:dyDescent="0.2">
      <c r="C433" s="8" t="str">
        <f t="shared" si="12"/>
        <v/>
      </c>
      <c r="D433" s="8" t="str">
        <f t="shared" si="13"/>
        <v/>
      </c>
      <c r="H433" s="12" t="str">
        <f>IF(A433=0,"",VLOOKUP(B433,Materials!$A$2:$E$1001,6,FALSE))</f>
        <v/>
      </c>
    </row>
    <row r="434" spans="3:8" x14ac:dyDescent="0.2">
      <c r="C434" s="8" t="str">
        <f t="shared" si="12"/>
        <v/>
      </c>
      <c r="D434" s="8" t="str">
        <f t="shared" si="13"/>
        <v/>
      </c>
      <c r="H434" s="12" t="str">
        <f>IF(A434=0,"",VLOOKUP(B434,Materials!$A$2:$E$1001,6,FALSE))</f>
        <v/>
      </c>
    </row>
    <row r="435" spans="3:8" x14ac:dyDescent="0.2">
      <c r="C435" s="8" t="str">
        <f t="shared" si="12"/>
        <v/>
      </c>
      <c r="D435" s="8" t="str">
        <f t="shared" si="13"/>
        <v/>
      </c>
      <c r="H435" s="12" t="str">
        <f>IF(A435=0,"",VLOOKUP(B435,Materials!$A$2:$E$1001,6,FALSE))</f>
        <v/>
      </c>
    </row>
    <row r="436" spans="3:8" x14ac:dyDescent="0.2">
      <c r="C436" s="8" t="str">
        <f t="shared" si="12"/>
        <v/>
      </c>
      <c r="D436" s="8" t="str">
        <f t="shared" si="13"/>
        <v/>
      </c>
      <c r="H436" s="12" t="str">
        <f>IF(A436=0,"",VLOOKUP(B436,Materials!$A$2:$E$1001,6,FALSE))</f>
        <v/>
      </c>
    </row>
    <row r="437" spans="3:8" x14ac:dyDescent="0.2">
      <c r="C437" s="8" t="str">
        <f t="shared" si="12"/>
        <v/>
      </c>
      <c r="D437" s="8" t="str">
        <f t="shared" si="13"/>
        <v/>
      </c>
      <c r="H437" s="12" t="str">
        <f>IF(A437=0,"",VLOOKUP(B437,Materials!$A$2:$E$1001,6,FALSE))</f>
        <v/>
      </c>
    </row>
    <row r="438" spans="3:8" x14ac:dyDescent="0.2">
      <c r="C438" s="8" t="str">
        <f t="shared" si="12"/>
        <v/>
      </c>
      <c r="D438" s="8" t="str">
        <f t="shared" si="13"/>
        <v/>
      </c>
      <c r="H438" s="12" t="str">
        <f>IF(A438=0,"",VLOOKUP(B438,Materials!$A$2:$E$1001,6,FALSE))</f>
        <v/>
      </c>
    </row>
    <row r="439" spans="3:8" x14ac:dyDescent="0.2">
      <c r="C439" s="8" t="str">
        <f t="shared" si="12"/>
        <v/>
      </c>
      <c r="D439" s="8" t="str">
        <f t="shared" si="13"/>
        <v/>
      </c>
      <c r="H439" s="12" t="str">
        <f>IF(A439=0,"",VLOOKUP(B439,Materials!$A$2:$E$1001,6,FALSE))</f>
        <v/>
      </c>
    </row>
    <row r="440" spans="3:8" x14ac:dyDescent="0.2">
      <c r="C440" s="8" t="str">
        <f t="shared" si="12"/>
        <v/>
      </c>
      <c r="D440" s="8" t="str">
        <f t="shared" si="13"/>
        <v/>
      </c>
      <c r="H440" s="12" t="str">
        <f>IF(A440=0,"",VLOOKUP(B440,Materials!$A$2:$E$1001,6,FALSE))</f>
        <v/>
      </c>
    </row>
    <row r="441" spans="3:8" x14ac:dyDescent="0.2">
      <c r="C441" s="8" t="str">
        <f t="shared" si="12"/>
        <v/>
      </c>
      <c r="D441" s="8" t="str">
        <f t="shared" si="13"/>
        <v/>
      </c>
      <c r="H441" s="12" t="str">
        <f>IF(A441=0,"",VLOOKUP(B441,Materials!$A$2:$E$1001,6,FALSE))</f>
        <v/>
      </c>
    </row>
    <row r="442" spans="3:8" x14ac:dyDescent="0.2">
      <c r="C442" s="8" t="str">
        <f t="shared" si="12"/>
        <v/>
      </c>
      <c r="D442" s="8" t="str">
        <f t="shared" si="13"/>
        <v/>
      </c>
      <c r="H442" s="12" t="str">
        <f>IF(A442=0,"",VLOOKUP(B442,Materials!$A$2:$E$1001,6,FALSE))</f>
        <v/>
      </c>
    </row>
    <row r="443" spans="3:8" x14ac:dyDescent="0.2">
      <c r="C443" s="8" t="str">
        <f t="shared" si="12"/>
        <v/>
      </c>
      <c r="D443" s="8" t="str">
        <f t="shared" si="13"/>
        <v/>
      </c>
      <c r="H443" s="12" t="str">
        <f>IF(A443=0,"",VLOOKUP(B443,Materials!$A$2:$E$1001,6,FALSE))</f>
        <v/>
      </c>
    </row>
    <row r="444" spans="3:8" x14ac:dyDescent="0.2">
      <c r="C444" s="8" t="str">
        <f t="shared" si="12"/>
        <v/>
      </c>
      <c r="D444" s="8" t="str">
        <f t="shared" si="13"/>
        <v/>
      </c>
      <c r="H444" s="12" t="str">
        <f>IF(A444=0,"",VLOOKUP(B444,Materials!$A$2:$E$1001,6,FALSE))</f>
        <v/>
      </c>
    </row>
    <row r="445" spans="3:8" x14ac:dyDescent="0.2">
      <c r="C445" s="8" t="str">
        <f t="shared" si="12"/>
        <v/>
      </c>
      <c r="D445" s="8" t="str">
        <f t="shared" si="13"/>
        <v/>
      </c>
      <c r="H445" s="12" t="str">
        <f>IF(A445=0,"",VLOOKUP(B445,Materials!$A$2:$E$1001,6,FALSE))</f>
        <v/>
      </c>
    </row>
    <row r="446" spans="3:8" x14ac:dyDescent="0.2">
      <c r="C446" s="8" t="str">
        <f t="shared" si="12"/>
        <v/>
      </c>
      <c r="D446" s="8" t="str">
        <f t="shared" si="13"/>
        <v/>
      </c>
      <c r="H446" s="12" t="str">
        <f>IF(A446=0,"",VLOOKUP(B446,Materials!$A$2:$E$1001,6,FALSE))</f>
        <v/>
      </c>
    </row>
    <row r="447" spans="3:8" x14ac:dyDescent="0.2">
      <c r="C447" s="8" t="str">
        <f t="shared" si="12"/>
        <v/>
      </c>
      <c r="D447" s="8" t="str">
        <f t="shared" si="13"/>
        <v/>
      </c>
      <c r="H447" s="12" t="str">
        <f>IF(A447=0,"",VLOOKUP(B447,Materials!$A$2:$E$1001,6,FALSE))</f>
        <v/>
      </c>
    </row>
    <row r="448" spans="3:8" x14ac:dyDescent="0.2">
      <c r="C448" s="8" t="str">
        <f t="shared" si="12"/>
        <v/>
      </c>
      <c r="D448" s="8" t="str">
        <f t="shared" si="13"/>
        <v/>
      </c>
      <c r="H448" s="12" t="str">
        <f>IF(A448=0,"",VLOOKUP(B448,Materials!$A$2:$E$1001,6,FALSE))</f>
        <v/>
      </c>
    </row>
    <row r="449" spans="3:8" x14ac:dyDescent="0.2">
      <c r="C449" s="8" t="str">
        <f t="shared" si="12"/>
        <v/>
      </c>
      <c r="D449" s="8" t="str">
        <f t="shared" si="13"/>
        <v/>
      </c>
      <c r="H449" s="12" t="str">
        <f>IF(A449=0,"",VLOOKUP(B449,Materials!$A$2:$E$1001,6,FALSE))</f>
        <v/>
      </c>
    </row>
    <row r="450" spans="3:8" x14ac:dyDescent="0.2">
      <c r="C450" s="8" t="str">
        <f t="shared" ref="C450:C513" si="14">IF(A450=0,"",VLOOKUP(B450,MatDB,2,FALSE))</f>
        <v/>
      </c>
      <c r="D450" s="8" t="str">
        <f t="shared" si="13"/>
        <v/>
      </c>
      <c r="H450" s="12" t="str">
        <f>IF(A450=0,"",VLOOKUP(B450,Materials!$A$2:$E$1001,6,FALSE))</f>
        <v/>
      </c>
    </row>
    <row r="451" spans="3:8" x14ac:dyDescent="0.2">
      <c r="C451" s="8" t="str">
        <f t="shared" si="14"/>
        <v/>
      </c>
      <c r="D451" s="8" t="str">
        <f t="shared" ref="D451:D514" si="15">IF(A451=0,"","Concrete04")</f>
        <v/>
      </c>
      <c r="H451" s="12" t="str">
        <f>IF(A451=0,"",VLOOKUP(B451,Materials!$A$2:$E$1001,6,FALSE))</f>
        <v/>
      </c>
    </row>
    <row r="452" spans="3:8" x14ac:dyDescent="0.2">
      <c r="C452" s="8" t="str">
        <f t="shared" si="14"/>
        <v/>
      </c>
      <c r="D452" s="8" t="str">
        <f t="shared" si="15"/>
        <v/>
      </c>
      <c r="H452" s="12" t="str">
        <f>IF(A452=0,"",VLOOKUP(B452,Materials!$A$2:$E$1001,6,FALSE))</f>
        <v/>
      </c>
    </row>
    <row r="453" spans="3:8" x14ac:dyDescent="0.2">
      <c r="C453" s="8" t="str">
        <f t="shared" si="14"/>
        <v/>
      </c>
      <c r="D453" s="8" t="str">
        <f t="shared" si="15"/>
        <v/>
      </c>
      <c r="H453" s="12" t="str">
        <f>IF(A453=0,"",VLOOKUP(B453,Materials!$A$2:$E$1001,6,FALSE))</f>
        <v/>
      </c>
    </row>
    <row r="454" spans="3:8" x14ac:dyDescent="0.2">
      <c r="C454" s="8" t="str">
        <f t="shared" si="14"/>
        <v/>
      </c>
      <c r="D454" s="8" t="str">
        <f t="shared" si="15"/>
        <v/>
      </c>
      <c r="H454" s="12" t="str">
        <f>IF(A454=0,"",VLOOKUP(B454,Materials!$A$2:$E$1001,6,FALSE))</f>
        <v/>
      </c>
    </row>
    <row r="455" spans="3:8" x14ac:dyDescent="0.2">
      <c r="C455" s="8" t="str">
        <f t="shared" si="14"/>
        <v/>
      </c>
      <c r="D455" s="8" t="str">
        <f t="shared" si="15"/>
        <v/>
      </c>
      <c r="H455" s="12" t="str">
        <f>IF(A455=0,"",VLOOKUP(B455,Materials!$A$2:$E$1001,6,FALSE))</f>
        <v/>
      </c>
    </row>
    <row r="456" spans="3:8" x14ac:dyDescent="0.2">
      <c r="C456" s="8" t="str">
        <f t="shared" si="14"/>
        <v/>
      </c>
      <c r="D456" s="8" t="str">
        <f t="shared" si="15"/>
        <v/>
      </c>
      <c r="H456" s="12" t="str">
        <f>IF(A456=0,"",VLOOKUP(B456,Materials!$A$2:$E$1001,6,FALSE))</f>
        <v/>
      </c>
    </row>
    <row r="457" spans="3:8" x14ac:dyDescent="0.2">
      <c r="C457" s="8" t="str">
        <f t="shared" si="14"/>
        <v/>
      </c>
      <c r="D457" s="8" t="str">
        <f t="shared" si="15"/>
        <v/>
      </c>
      <c r="H457" s="12" t="str">
        <f>IF(A457=0,"",VLOOKUP(B457,Materials!$A$2:$E$1001,6,FALSE))</f>
        <v/>
      </c>
    </row>
    <row r="458" spans="3:8" x14ac:dyDescent="0.2">
      <c r="C458" s="8" t="str">
        <f t="shared" si="14"/>
        <v/>
      </c>
      <c r="D458" s="8" t="str">
        <f t="shared" si="15"/>
        <v/>
      </c>
      <c r="H458" s="12" t="str">
        <f>IF(A458=0,"",VLOOKUP(B458,Materials!$A$2:$E$1001,6,FALSE))</f>
        <v/>
      </c>
    </row>
    <row r="459" spans="3:8" x14ac:dyDescent="0.2">
      <c r="C459" s="8" t="str">
        <f t="shared" si="14"/>
        <v/>
      </c>
      <c r="D459" s="8" t="str">
        <f t="shared" si="15"/>
        <v/>
      </c>
      <c r="H459" s="12" t="str">
        <f>IF(A459=0,"",VLOOKUP(B459,Materials!$A$2:$E$1001,6,FALSE))</f>
        <v/>
      </c>
    </row>
    <row r="460" spans="3:8" x14ac:dyDescent="0.2">
      <c r="C460" s="8" t="str">
        <f t="shared" si="14"/>
        <v/>
      </c>
      <c r="D460" s="8" t="str">
        <f t="shared" si="15"/>
        <v/>
      </c>
      <c r="H460" s="12" t="str">
        <f>IF(A460=0,"",VLOOKUP(B460,Materials!$A$2:$E$1001,6,FALSE))</f>
        <v/>
      </c>
    </row>
    <row r="461" spans="3:8" x14ac:dyDescent="0.2">
      <c r="C461" s="8" t="str">
        <f t="shared" si="14"/>
        <v/>
      </c>
      <c r="D461" s="8" t="str">
        <f t="shared" si="15"/>
        <v/>
      </c>
      <c r="H461" s="12" t="str">
        <f>IF(A461=0,"",VLOOKUP(B461,Materials!$A$2:$E$1001,6,FALSE))</f>
        <v/>
      </c>
    </row>
    <row r="462" spans="3:8" x14ac:dyDescent="0.2">
      <c r="C462" s="8" t="str">
        <f t="shared" si="14"/>
        <v/>
      </c>
      <c r="D462" s="8" t="str">
        <f t="shared" si="15"/>
        <v/>
      </c>
      <c r="H462" s="12" t="str">
        <f>IF(A462=0,"",VLOOKUP(B462,Materials!$A$2:$E$1001,6,FALSE))</f>
        <v/>
      </c>
    </row>
    <row r="463" spans="3:8" x14ac:dyDescent="0.2">
      <c r="C463" s="8" t="str">
        <f t="shared" si="14"/>
        <v/>
      </c>
      <c r="D463" s="8" t="str">
        <f t="shared" si="15"/>
        <v/>
      </c>
      <c r="H463" s="12" t="str">
        <f>IF(A463=0,"",VLOOKUP(B463,Materials!$A$2:$E$1001,6,FALSE))</f>
        <v/>
      </c>
    </row>
    <row r="464" spans="3:8" x14ac:dyDescent="0.2">
      <c r="C464" s="8" t="str">
        <f t="shared" si="14"/>
        <v/>
      </c>
      <c r="D464" s="8" t="str">
        <f t="shared" si="15"/>
        <v/>
      </c>
      <c r="H464" s="12" t="str">
        <f>IF(A464=0,"",VLOOKUP(B464,Materials!$A$2:$E$1001,6,FALSE))</f>
        <v/>
      </c>
    </row>
    <row r="465" spans="3:8" x14ac:dyDescent="0.2">
      <c r="C465" s="8" t="str">
        <f t="shared" si="14"/>
        <v/>
      </c>
      <c r="D465" s="8" t="str">
        <f t="shared" si="15"/>
        <v/>
      </c>
      <c r="H465" s="12" t="str">
        <f>IF(A465=0,"",VLOOKUP(B465,Materials!$A$2:$E$1001,6,FALSE))</f>
        <v/>
      </c>
    </row>
    <row r="466" spans="3:8" x14ac:dyDescent="0.2">
      <c r="C466" s="8" t="str">
        <f t="shared" si="14"/>
        <v/>
      </c>
      <c r="D466" s="8" t="str">
        <f t="shared" si="15"/>
        <v/>
      </c>
      <c r="H466" s="12" t="str">
        <f>IF(A466=0,"",VLOOKUP(B466,Materials!$A$2:$E$1001,6,FALSE))</f>
        <v/>
      </c>
    </row>
    <row r="467" spans="3:8" x14ac:dyDescent="0.2">
      <c r="C467" s="8" t="str">
        <f t="shared" si="14"/>
        <v/>
      </c>
      <c r="D467" s="8" t="str">
        <f t="shared" si="15"/>
        <v/>
      </c>
      <c r="H467" s="12" t="str">
        <f>IF(A467=0,"",VLOOKUP(B467,Materials!$A$2:$E$1001,6,FALSE))</f>
        <v/>
      </c>
    </row>
    <row r="468" spans="3:8" x14ac:dyDescent="0.2">
      <c r="C468" s="8" t="str">
        <f t="shared" si="14"/>
        <v/>
      </c>
      <c r="D468" s="8" t="str">
        <f t="shared" si="15"/>
        <v/>
      </c>
      <c r="H468" s="12" t="str">
        <f>IF(A468=0,"",VLOOKUP(B468,Materials!$A$2:$E$1001,6,FALSE))</f>
        <v/>
      </c>
    </row>
    <row r="469" spans="3:8" x14ac:dyDescent="0.2">
      <c r="C469" s="8" t="str">
        <f t="shared" si="14"/>
        <v/>
      </c>
      <c r="D469" s="8" t="str">
        <f t="shared" si="15"/>
        <v/>
      </c>
      <c r="H469" s="12" t="str">
        <f>IF(A469=0,"",VLOOKUP(B469,Materials!$A$2:$E$1001,6,FALSE))</f>
        <v/>
      </c>
    </row>
    <row r="470" spans="3:8" x14ac:dyDescent="0.2">
      <c r="C470" s="8" t="str">
        <f t="shared" si="14"/>
        <v/>
      </c>
      <c r="D470" s="8" t="str">
        <f t="shared" si="15"/>
        <v/>
      </c>
      <c r="H470" s="12" t="str">
        <f>IF(A470=0,"",VLOOKUP(B470,Materials!$A$2:$E$1001,6,FALSE))</f>
        <v/>
      </c>
    </row>
    <row r="471" spans="3:8" x14ac:dyDescent="0.2">
      <c r="C471" s="8" t="str">
        <f t="shared" si="14"/>
        <v/>
      </c>
      <c r="D471" s="8" t="str">
        <f t="shared" si="15"/>
        <v/>
      </c>
      <c r="H471" s="12" t="str">
        <f>IF(A471=0,"",VLOOKUP(B471,Materials!$A$2:$E$1001,6,FALSE))</f>
        <v/>
      </c>
    </row>
    <row r="472" spans="3:8" x14ac:dyDescent="0.2">
      <c r="C472" s="8" t="str">
        <f t="shared" si="14"/>
        <v/>
      </c>
      <c r="D472" s="8" t="str">
        <f t="shared" si="15"/>
        <v/>
      </c>
      <c r="H472" s="12" t="str">
        <f>IF(A472=0,"",VLOOKUP(B472,Materials!$A$2:$E$1001,6,FALSE))</f>
        <v/>
      </c>
    </row>
    <row r="473" spans="3:8" x14ac:dyDescent="0.2">
      <c r="C473" s="8" t="str">
        <f t="shared" si="14"/>
        <v/>
      </c>
      <c r="D473" s="8" t="str">
        <f t="shared" si="15"/>
        <v/>
      </c>
      <c r="H473" s="12" t="str">
        <f>IF(A473=0,"",VLOOKUP(B473,Materials!$A$2:$E$1001,6,FALSE))</f>
        <v/>
      </c>
    </row>
    <row r="474" spans="3:8" x14ac:dyDescent="0.2">
      <c r="C474" s="8" t="str">
        <f t="shared" si="14"/>
        <v/>
      </c>
      <c r="D474" s="8" t="str">
        <f t="shared" si="15"/>
        <v/>
      </c>
      <c r="H474" s="12" t="str">
        <f>IF(A474=0,"",VLOOKUP(B474,Materials!$A$2:$E$1001,6,FALSE))</f>
        <v/>
      </c>
    </row>
    <row r="475" spans="3:8" x14ac:dyDescent="0.2">
      <c r="C475" s="8" t="str">
        <f t="shared" si="14"/>
        <v/>
      </c>
      <c r="D475" s="8" t="str">
        <f t="shared" si="15"/>
        <v/>
      </c>
      <c r="H475" s="12" t="str">
        <f>IF(A475=0,"",VLOOKUP(B475,Materials!$A$2:$E$1001,6,FALSE))</f>
        <v/>
      </c>
    </row>
    <row r="476" spans="3:8" x14ac:dyDescent="0.2">
      <c r="C476" s="8" t="str">
        <f t="shared" si="14"/>
        <v/>
      </c>
      <c r="D476" s="8" t="str">
        <f t="shared" si="15"/>
        <v/>
      </c>
      <c r="H476" s="12" t="str">
        <f>IF(A476=0,"",VLOOKUP(B476,Materials!$A$2:$E$1001,6,FALSE))</f>
        <v/>
      </c>
    </row>
    <row r="477" spans="3:8" x14ac:dyDescent="0.2">
      <c r="C477" s="8" t="str">
        <f t="shared" si="14"/>
        <v/>
      </c>
      <c r="D477" s="8" t="str">
        <f t="shared" si="15"/>
        <v/>
      </c>
      <c r="H477" s="12" t="str">
        <f>IF(A477=0,"",VLOOKUP(B477,Materials!$A$2:$E$1001,6,FALSE))</f>
        <v/>
      </c>
    </row>
    <row r="478" spans="3:8" x14ac:dyDescent="0.2">
      <c r="C478" s="8" t="str">
        <f t="shared" si="14"/>
        <v/>
      </c>
      <c r="D478" s="8" t="str">
        <f t="shared" si="15"/>
        <v/>
      </c>
      <c r="H478" s="12" t="str">
        <f>IF(A478=0,"",VLOOKUP(B478,Materials!$A$2:$E$1001,6,FALSE))</f>
        <v/>
      </c>
    </row>
    <row r="479" spans="3:8" x14ac:dyDescent="0.2">
      <c r="C479" s="8" t="str">
        <f t="shared" si="14"/>
        <v/>
      </c>
      <c r="D479" s="8" t="str">
        <f t="shared" si="15"/>
        <v/>
      </c>
      <c r="H479" s="12" t="str">
        <f>IF(A479=0,"",VLOOKUP(B479,Materials!$A$2:$E$1001,6,FALSE))</f>
        <v/>
      </c>
    </row>
    <row r="480" spans="3:8" x14ac:dyDescent="0.2">
      <c r="C480" s="8" t="str">
        <f t="shared" si="14"/>
        <v/>
      </c>
      <c r="D480" s="8" t="str">
        <f t="shared" si="15"/>
        <v/>
      </c>
      <c r="H480" s="12" t="str">
        <f>IF(A480=0,"",VLOOKUP(B480,Materials!$A$2:$E$1001,6,FALSE))</f>
        <v/>
      </c>
    </row>
    <row r="481" spans="3:8" x14ac:dyDescent="0.2">
      <c r="C481" s="8" t="str">
        <f t="shared" si="14"/>
        <v/>
      </c>
      <c r="D481" s="8" t="str">
        <f t="shared" si="15"/>
        <v/>
      </c>
      <c r="H481" s="12" t="str">
        <f>IF(A481=0,"",VLOOKUP(B481,Materials!$A$2:$E$1001,6,FALSE))</f>
        <v/>
      </c>
    </row>
    <row r="482" spans="3:8" x14ac:dyDescent="0.2">
      <c r="C482" s="8" t="str">
        <f t="shared" si="14"/>
        <v/>
      </c>
      <c r="D482" s="8" t="str">
        <f t="shared" si="15"/>
        <v/>
      </c>
      <c r="H482" s="12" t="str">
        <f>IF(A482=0,"",VLOOKUP(B482,Materials!$A$2:$E$1001,6,FALSE))</f>
        <v/>
      </c>
    </row>
    <row r="483" spans="3:8" x14ac:dyDescent="0.2">
      <c r="C483" s="8" t="str">
        <f t="shared" si="14"/>
        <v/>
      </c>
      <c r="D483" s="8" t="str">
        <f t="shared" si="15"/>
        <v/>
      </c>
      <c r="H483" s="12" t="str">
        <f>IF(A483=0,"",VLOOKUP(B483,Materials!$A$2:$E$1001,6,FALSE))</f>
        <v/>
      </c>
    </row>
    <row r="484" spans="3:8" x14ac:dyDescent="0.2">
      <c r="C484" s="8" t="str">
        <f t="shared" si="14"/>
        <v/>
      </c>
      <c r="D484" s="8" t="str">
        <f t="shared" si="15"/>
        <v/>
      </c>
      <c r="H484" s="12" t="str">
        <f>IF(A484=0,"",VLOOKUP(B484,Materials!$A$2:$E$1001,6,FALSE))</f>
        <v/>
      </c>
    </row>
    <row r="485" spans="3:8" x14ac:dyDescent="0.2">
      <c r="C485" s="8" t="str">
        <f t="shared" si="14"/>
        <v/>
      </c>
      <c r="D485" s="8" t="str">
        <f t="shared" si="15"/>
        <v/>
      </c>
      <c r="H485" s="12" t="str">
        <f>IF(A485=0,"",VLOOKUP(B485,Materials!$A$2:$E$1001,6,FALSE))</f>
        <v/>
      </c>
    </row>
    <row r="486" spans="3:8" x14ac:dyDescent="0.2">
      <c r="C486" s="8" t="str">
        <f t="shared" si="14"/>
        <v/>
      </c>
      <c r="D486" s="8" t="str">
        <f t="shared" si="15"/>
        <v/>
      </c>
      <c r="H486" s="12" t="str">
        <f>IF(A486=0,"",VLOOKUP(B486,Materials!$A$2:$E$1001,6,FALSE))</f>
        <v/>
      </c>
    </row>
    <row r="487" spans="3:8" x14ac:dyDescent="0.2">
      <c r="C487" s="8" t="str">
        <f t="shared" si="14"/>
        <v/>
      </c>
      <c r="D487" s="8" t="str">
        <f t="shared" si="15"/>
        <v/>
      </c>
      <c r="H487" s="12" t="str">
        <f>IF(A487=0,"",VLOOKUP(B487,Materials!$A$2:$E$1001,6,FALSE))</f>
        <v/>
      </c>
    </row>
    <row r="488" spans="3:8" x14ac:dyDescent="0.2">
      <c r="C488" s="8" t="str">
        <f t="shared" si="14"/>
        <v/>
      </c>
      <c r="D488" s="8" t="str">
        <f t="shared" si="15"/>
        <v/>
      </c>
      <c r="H488" s="12" t="str">
        <f>IF(A488=0,"",VLOOKUP(B488,Materials!$A$2:$E$1001,6,FALSE))</f>
        <v/>
      </c>
    </row>
    <row r="489" spans="3:8" x14ac:dyDescent="0.2">
      <c r="C489" s="8" t="str">
        <f t="shared" si="14"/>
        <v/>
      </c>
      <c r="D489" s="8" t="str">
        <f t="shared" si="15"/>
        <v/>
      </c>
      <c r="H489" s="12" t="str">
        <f>IF(A489=0,"",VLOOKUP(B489,Materials!$A$2:$E$1001,6,FALSE))</f>
        <v/>
      </c>
    </row>
    <row r="490" spans="3:8" x14ac:dyDescent="0.2">
      <c r="C490" s="8" t="str">
        <f t="shared" si="14"/>
        <v/>
      </c>
      <c r="D490" s="8" t="str">
        <f t="shared" si="15"/>
        <v/>
      </c>
      <c r="H490" s="12" t="str">
        <f>IF(A490=0,"",VLOOKUP(B490,Materials!$A$2:$E$1001,6,FALSE))</f>
        <v/>
      </c>
    </row>
    <row r="491" spans="3:8" x14ac:dyDescent="0.2">
      <c r="C491" s="8" t="str">
        <f t="shared" si="14"/>
        <v/>
      </c>
      <c r="D491" s="8" t="str">
        <f t="shared" si="15"/>
        <v/>
      </c>
      <c r="H491" s="12" t="str">
        <f>IF(A491=0,"",VLOOKUP(B491,Materials!$A$2:$E$1001,6,FALSE))</f>
        <v/>
      </c>
    </row>
    <row r="492" spans="3:8" x14ac:dyDescent="0.2">
      <c r="C492" s="8" t="str">
        <f t="shared" si="14"/>
        <v/>
      </c>
      <c r="D492" s="8" t="str">
        <f t="shared" si="15"/>
        <v/>
      </c>
      <c r="H492" s="12" t="str">
        <f>IF(A492=0,"",VLOOKUP(B492,Materials!$A$2:$E$1001,6,FALSE))</f>
        <v/>
      </c>
    </row>
    <row r="493" spans="3:8" x14ac:dyDescent="0.2">
      <c r="C493" s="8" t="str">
        <f t="shared" si="14"/>
        <v/>
      </c>
      <c r="D493" s="8" t="str">
        <f t="shared" si="15"/>
        <v/>
      </c>
      <c r="H493" s="12" t="str">
        <f>IF(A493=0,"",VLOOKUP(B493,Materials!$A$2:$E$1001,6,FALSE))</f>
        <v/>
      </c>
    </row>
    <row r="494" spans="3:8" x14ac:dyDescent="0.2">
      <c r="C494" s="8" t="str">
        <f t="shared" si="14"/>
        <v/>
      </c>
      <c r="D494" s="8" t="str">
        <f t="shared" si="15"/>
        <v/>
      </c>
      <c r="H494" s="12" t="str">
        <f>IF(A494=0,"",VLOOKUP(B494,Materials!$A$2:$E$1001,6,FALSE))</f>
        <v/>
      </c>
    </row>
    <row r="495" spans="3:8" x14ac:dyDescent="0.2">
      <c r="C495" s="8" t="str">
        <f t="shared" si="14"/>
        <v/>
      </c>
      <c r="D495" s="8" t="str">
        <f t="shared" si="15"/>
        <v/>
      </c>
      <c r="H495" s="12" t="str">
        <f>IF(A495=0,"",VLOOKUP(B495,Materials!$A$2:$E$1001,6,FALSE))</f>
        <v/>
      </c>
    </row>
    <row r="496" spans="3:8" x14ac:dyDescent="0.2">
      <c r="C496" s="8" t="str">
        <f t="shared" si="14"/>
        <v/>
      </c>
      <c r="D496" s="8" t="str">
        <f t="shared" si="15"/>
        <v/>
      </c>
      <c r="H496" s="12" t="str">
        <f>IF(A496=0,"",VLOOKUP(B496,Materials!$A$2:$E$1001,6,FALSE))</f>
        <v/>
      </c>
    </row>
    <row r="497" spans="3:8" x14ac:dyDescent="0.2">
      <c r="C497" s="8" t="str">
        <f t="shared" si="14"/>
        <v/>
      </c>
      <c r="D497" s="8" t="str">
        <f t="shared" si="15"/>
        <v/>
      </c>
      <c r="H497" s="12" t="str">
        <f>IF(A497=0,"",VLOOKUP(B497,Materials!$A$2:$E$1001,6,FALSE))</f>
        <v/>
      </c>
    </row>
    <row r="498" spans="3:8" x14ac:dyDescent="0.2">
      <c r="C498" s="8" t="str">
        <f t="shared" si="14"/>
        <v/>
      </c>
      <c r="D498" s="8" t="str">
        <f t="shared" si="15"/>
        <v/>
      </c>
      <c r="H498" s="12" t="str">
        <f>IF(A498=0,"",VLOOKUP(B498,Materials!$A$2:$E$1001,6,FALSE))</f>
        <v/>
      </c>
    </row>
    <row r="499" spans="3:8" x14ac:dyDescent="0.2">
      <c r="C499" s="8" t="str">
        <f t="shared" si="14"/>
        <v/>
      </c>
      <c r="D499" s="8" t="str">
        <f t="shared" si="15"/>
        <v/>
      </c>
      <c r="H499" s="12" t="str">
        <f>IF(A499=0,"",VLOOKUP(B499,Materials!$A$2:$E$1001,6,FALSE))</f>
        <v/>
      </c>
    </row>
    <row r="500" spans="3:8" x14ac:dyDescent="0.2">
      <c r="C500" s="8" t="str">
        <f t="shared" si="14"/>
        <v/>
      </c>
      <c r="D500" s="8" t="str">
        <f t="shared" si="15"/>
        <v/>
      </c>
      <c r="H500" s="12" t="str">
        <f>IF(A500=0,"",VLOOKUP(B500,Materials!$A$2:$E$1001,6,FALSE))</f>
        <v/>
      </c>
    </row>
    <row r="501" spans="3:8" x14ac:dyDescent="0.2">
      <c r="C501" s="8" t="str">
        <f t="shared" si="14"/>
        <v/>
      </c>
      <c r="D501" s="8" t="str">
        <f t="shared" si="15"/>
        <v/>
      </c>
      <c r="H501" s="12" t="str">
        <f>IF(A501=0,"",VLOOKUP(B501,Materials!$A$2:$E$1001,6,FALSE))</f>
        <v/>
      </c>
    </row>
    <row r="502" spans="3:8" x14ac:dyDescent="0.2">
      <c r="C502" s="8" t="str">
        <f t="shared" si="14"/>
        <v/>
      </c>
      <c r="D502" s="8" t="str">
        <f t="shared" si="15"/>
        <v/>
      </c>
      <c r="H502" s="12" t="str">
        <f>IF(A502=0,"",VLOOKUP(B502,Materials!$A$2:$E$1001,6,FALSE))</f>
        <v/>
      </c>
    </row>
    <row r="503" spans="3:8" x14ac:dyDescent="0.2">
      <c r="C503" s="8" t="str">
        <f t="shared" si="14"/>
        <v/>
      </c>
      <c r="D503" s="8" t="str">
        <f t="shared" si="15"/>
        <v/>
      </c>
      <c r="H503" s="12" t="str">
        <f>IF(A503=0,"",VLOOKUP(B503,Materials!$A$2:$E$1001,6,FALSE))</f>
        <v/>
      </c>
    </row>
    <row r="504" spans="3:8" x14ac:dyDescent="0.2">
      <c r="C504" s="8" t="str">
        <f t="shared" si="14"/>
        <v/>
      </c>
      <c r="D504" s="8" t="str">
        <f t="shared" si="15"/>
        <v/>
      </c>
      <c r="H504" s="12" t="str">
        <f>IF(A504=0,"",VLOOKUP(B504,Materials!$A$2:$E$1001,6,FALSE))</f>
        <v/>
      </c>
    </row>
    <row r="505" spans="3:8" x14ac:dyDescent="0.2">
      <c r="C505" s="8" t="str">
        <f t="shared" si="14"/>
        <v/>
      </c>
      <c r="D505" s="8" t="str">
        <f t="shared" si="15"/>
        <v/>
      </c>
      <c r="H505" s="12" t="str">
        <f>IF(A505=0,"",VLOOKUP(B505,Materials!$A$2:$E$1001,6,FALSE))</f>
        <v/>
      </c>
    </row>
    <row r="506" spans="3:8" x14ac:dyDescent="0.2">
      <c r="C506" s="8" t="str">
        <f t="shared" si="14"/>
        <v/>
      </c>
      <c r="D506" s="8" t="str">
        <f t="shared" si="15"/>
        <v/>
      </c>
      <c r="H506" s="12" t="str">
        <f>IF(A506=0,"",VLOOKUP(B506,Materials!$A$2:$E$1001,6,FALSE))</f>
        <v/>
      </c>
    </row>
    <row r="507" spans="3:8" x14ac:dyDescent="0.2">
      <c r="C507" s="8" t="str">
        <f t="shared" si="14"/>
        <v/>
      </c>
      <c r="D507" s="8" t="str">
        <f t="shared" si="15"/>
        <v/>
      </c>
      <c r="H507" s="12" t="str">
        <f>IF(A507=0,"",VLOOKUP(B507,Materials!$A$2:$E$1001,6,FALSE))</f>
        <v/>
      </c>
    </row>
    <row r="508" spans="3:8" x14ac:dyDescent="0.2">
      <c r="C508" s="8" t="str">
        <f t="shared" si="14"/>
        <v/>
      </c>
      <c r="D508" s="8" t="str">
        <f t="shared" si="15"/>
        <v/>
      </c>
      <c r="H508" s="12" t="str">
        <f>IF(A508=0,"",VLOOKUP(B508,Materials!$A$2:$E$1001,6,FALSE))</f>
        <v/>
      </c>
    </row>
    <row r="509" spans="3:8" x14ac:dyDescent="0.2">
      <c r="C509" s="8" t="str">
        <f t="shared" si="14"/>
        <v/>
      </c>
      <c r="D509" s="8" t="str">
        <f t="shared" si="15"/>
        <v/>
      </c>
      <c r="H509" s="12" t="str">
        <f>IF(A509=0,"",VLOOKUP(B509,Materials!$A$2:$E$1001,6,FALSE))</f>
        <v/>
      </c>
    </row>
    <row r="510" spans="3:8" x14ac:dyDescent="0.2">
      <c r="C510" s="8" t="str">
        <f t="shared" si="14"/>
        <v/>
      </c>
      <c r="D510" s="8" t="str">
        <f t="shared" si="15"/>
        <v/>
      </c>
      <c r="H510" s="12" t="str">
        <f>IF(A510=0,"",VLOOKUP(B510,Materials!$A$2:$E$1001,6,FALSE))</f>
        <v/>
      </c>
    </row>
    <row r="511" spans="3:8" x14ac:dyDescent="0.2">
      <c r="C511" s="8" t="str">
        <f t="shared" si="14"/>
        <v/>
      </c>
      <c r="D511" s="8" t="str">
        <f t="shared" si="15"/>
        <v/>
      </c>
      <c r="H511" s="12" t="str">
        <f>IF(A511=0,"",VLOOKUP(B511,Materials!$A$2:$E$1001,6,FALSE))</f>
        <v/>
      </c>
    </row>
    <row r="512" spans="3:8" x14ac:dyDescent="0.2">
      <c r="C512" s="8" t="str">
        <f t="shared" si="14"/>
        <v/>
      </c>
      <c r="D512" s="8" t="str">
        <f t="shared" si="15"/>
        <v/>
      </c>
      <c r="H512" s="12" t="str">
        <f>IF(A512=0,"",VLOOKUP(B512,Materials!$A$2:$E$1001,6,FALSE))</f>
        <v/>
      </c>
    </row>
    <row r="513" spans="3:8" x14ac:dyDescent="0.2">
      <c r="C513" s="8" t="str">
        <f t="shared" si="14"/>
        <v/>
      </c>
      <c r="D513" s="8" t="str">
        <f t="shared" si="15"/>
        <v/>
      </c>
      <c r="H513" s="12" t="str">
        <f>IF(A513=0,"",VLOOKUP(B513,Materials!$A$2:$E$1001,6,FALSE))</f>
        <v/>
      </c>
    </row>
    <row r="514" spans="3:8" x14ac:dyDescent="0.2">
      <c r="C514" s="8" t="str">
        <f t="shared" ref="C514:C577" si="16">IF(A514=0,"",VLOOKUP(B514,MatDB,2,FALSE))</f>
        <v/>
      </c>
      <c r="D514" s="8" t="str">
        <f t="shared" si="15"/>
        <v/>
      </c>
      <c r="H514" s="12" t="str">
        <f>IF(A514=0,"",VLOOKUP(B514,Materials!$A$2:$E$1001,6,FALSE))</f>
        <v/>
      </c>
    </row>
    <row r="515" spans="3:8" x14ac:dyDescent="0.2">
      <c r="C515" s="8" t="str">
        <f t="shared" si="16"/>
        <v/>
      </c>
      <c r="D515" s="8" t="str">
        <f t="shared" ref="D515:D578" si="17">IF(A515=0,"","Concrete04")</f>
        <v/>
      </c>
      <c r="H515" s="12" t="str">
        <f>IF(A515=0,"",VLOOKUP(B515,Materials!$A$2:$E$1001,6,FALSE))</f>
        <v/>
      </c>
    </row>
    <row r="516" spans="3:8" x14ac:dyDescent="0.2">
      <c r="C516" s="8" t="str">
        <f t="shared" si="16"/>
        <v/>
      </c>
      <c r="D516" s="8" t="str">
        <f t="shared" si="17"/>
        <v/>
      </c>
      <c r="H516" s="12" t="str">
        <f>IF(A516=0,"",VLOOKUP(B516,Materials!$A$2:$E$1001,6,FALSE))</f>
        <v/>
      </c>
    </row>
    <row r="517" spans="3:8" x14ac:dyDescent="0.2">
      <c r="C517" s="8" t="str">
        <f t="shared" si="16"/>
        <v/>
      </c>
      <c r="D517" s="8" t="str">
        <f t="shared" si="17"/>
        <v/>
      </c>
      <c r="H517" s="12" t="str">
        <f>IF(A517=0,"",VLOOKUP(B517,Materials!$A$2:$E$1001,6,FALSE))</f>
        <v/>
      </c>
    </row>
    <row r="518" spans="3:8" x14ac:dyDescent="0.2">
      <c r="C518" s="8" t="str">
        <f t="shared" si="16"/>
        <v/>
      </c>
      <c r="D518" s="8" t="str">
        <f t="shared" si="17"/>
        <v/>
      </c>
      <c r="H518" s="12" t="str">
        <f>IF(A518=0,"",VLOOKUP(B518,Materials!$A$2:$E$1001,6,FALSE))</f>
        <v/>
      </c>
    </row>
    <row r="519" spans="3:8" x14ac:dyDescent="0.2">
      <c r="C519" s="8" t="str">
        <f t="shared" si="16"/>
        <v/>
      </c>
      <c r="D519" s="8" t="str">
        <f t="shared" si="17"/>
        <v/>
      </c>
      <c r="H519" s="12" t="str">
        <f>IF(A519=0,"",VLOOKUP(B519,Materials!$A$2:$E$1001,6,FALSE))</f>
        <v/>
      </c>
    </row>
    <row r="520" spans="3:8" x14ac:dyDescent="0.2">
      <c r="C520" s="8" t="str">
        <f t="shared" si="16"/>
        <v/>
      </c>
      <c r="D520" s="8" t="str">
        <f t="shared" si="17"/>
        <v/>
      </c>
      <c r="H520" s="12" t="str">
        <f>IF(A520=0,"",VLOOKUP(B520,Materials!$A$2:$E$1001,6,FALSE))</f>
        <v/>
      </c>
    </row>
    <row r="521" spans="3:8" x14ac:dyDescent="0.2">
      <c r="C521" s="8" t="str">
        <f t="shared" si="16"/>
        <v/>
      </c>
      <c r="D521" s="8" t="str">
        <f t="shared" si="17"/>
        <v/>
      </c>
      <c r="H521" s="12" t="str">
        <f>IF(A521=0,"",VLOOKUP(B521,Materials!$A$2:$E$1001,6,FALSE))</f>
        <v/>
      </c>
    </row>
    <row r="522" spans="3:8" x14ac:dyDescent="0.2">
      <c r="C522" s="8" t="str">
        <f t="shared" si="16"/>
        <v/>
      </c>
      <c r="D522" s="8" t="str">
        <f t="shared" si="17"/>
        <v/>
      </c>
      <c r="H522" s="12" t="str">
        <f>IF(A522=0,"",VLOOKUP(B522,Materials!$A$2:$E$1001,6,FALSE))</f>
        <v/>
      </c>
    </row>
    <row r="523" spans="3:8" x14ac:dyDescent="0.2">
      <c r="C523" s="8" t="str">
        <f t="shared" si="16"/>
        <v/>
      </c>
      <c r="D523" s="8" t="str">
        <f t="shared" si="17"/>
        <v/>
      </c>
      <c r="H523" s="12" t="str">
        <f>IF(A523=0,"",VLOOKUP(B523,Materials!$A$2:$E$1001,6,FALSE))</f>
        <v/>
      </c>
    </row>
    <row r="524" spans="3:8" x14ac:dyDescent="0.2">
      <c r="C524" s="8" t="str">
        <f t="shared" si="16"/>
        <v/>
      </c>
      <c r="D524" s="8" t="str">
        <f t="shared" si="17"/>
        <v/>
      </c>
      <c r="H524" s="12" t="str">
        <f>IF(A524=0,"",VLOOKUP(B524,Materials!$A$2:$E$1001,6,FALSE))</f>
        <v/>
      </c>
    </row>
    <row r="525" spans="3:8" x14ac:dyDescent="0.2">
      <c r="C525" s="8" t="str">
        <f t="shared" si="16"/>
        <v/>
      </c>
      <c r="D525" s="8" t="str">
        <f t="shared" si="17"/>
        <v/>
      </c>
      <c r="H525" s="12" t="str">
        <f>IF(A525=0,"",VLOOKUP(B525,Materials!$A$2:$E$1001,6,FALSE))</f>
        <v/>
      </c>
    </row>
    <row r="526" spans="3:8" x14ac:dyDescent="0.2">
      <c r="C526" s="8" t="str">
        <f t="shared" si="16"/>
        <v/>
      </c>
      <c r="D526" s="8" t="str">
        <f t="shared" si="17"/>
        <v/>
      </c>
      <c r="H526" s="12" t="str">
        <f>IF(A526=0,"",VLOOKUP(B526,Materials!$A$2:$E$1001,6,FALSE))</f>
        <v/>
      </c>
    </row>
    <row r="527" spans="3:8" x14ac:dyDescent="0.2">
      <c r="C527" s="8" t="str">
        <f t="shared" si="16"/>
        <v/>
      </c>
      <c r="D527" s="8" t="str">
        <f t="shared" si="17"/>
        <v/>
      </c>
      <c r="H527" s="12" t="str">
        <f>IF(A527=0,"",VLOOKUP(B527,Materials!$A$2:$E$1001,6,FALSE))</f>
        <v/>
      </c>
    </row>
    <row r="528" spans="3:8" x14ac:dyDescent="0.2">
      <c r="C528" s="8" t="str">
        <f t="shared" si="16"/>
        <v/>
      </c>
      <c r="D528" s="8" t="str">
        <f t="shared" si="17"/>
        <v/>
      </c>
      <c r="H528" s="12" t="str">
        <f>IF(A528=0,"",VLOOKUP(B528,Materials!$A$2:$E$1001,6,FALSE))</f>
        <v/>
      </c>
    </row>
    <row r="529" spans="3:8" x14ac:dyDescent="0.2">
      <c r="C529" s="8" t="str">
        <f t="shared" si="16"/>
        <v/>
      </c>
      <c r="D529" s="8" t="str">
        <f t="shared" si="17"/>
        <v/>
      </c>
      <c r="H529" s="12" t="str">
        <f>IF(A529=0,"",VLOOKUP(B529,Materials!$A$2:$E$1001,6,FALSE))</f>
        <v/>
      </c>
    </row>
    <row r="530" spans="3:8" x14ac:dyDescent="0.2">
      <c r="C530" s="8" t="str">
        <f t="shared" si="16"/>
        <v/>
      </c>
      <c r="D530" s="8" t="str">
        <f t="shared" si="17"/>
        <v/>
      </c>
      <c r="H530" s="12" t="str">
        <f>IF(A530=0,"",VLOOKUP(B530,Materials!$A$2:$E$1001,6,FALSE))</f>
        <v/>
      </c>
    </row>
    <row r="531" spans="3:8" x14ac:dyDescent="0.2">
      <c r="C531" s="8" t="str">
        <f t="shared" si="16"/>
        <v/>
      </c>
      <c r="D531" s="8" t="str">
        <f t="shared" si="17"/>
        <v/>
      </c>
      <c r="H531" s="12" t="str">
        <f>IF(A531=0,"",VLOOKUP(B531,Materials!$A$2:$E$1001,6,FALSE))</f>
        <v/>
      </c>
    </row>
    <row r="532" spans="3:8" x14ac:dyDescent="0.2">
      <c r="C532" s="8" t="str">
        <f t="shared" si="16"/>
        <v/>
      </c>
      <c r="D532" s="8" t="str">
        <f t="shared" si="17"/>
        <v/>
      </c>
      <c r="H532" s="12" t="str">
        <f>IF(A532=0,"",VLOOKUP(B532,Materials!$A$2:$E$1001,6,FALSE))</f>
        <v/>
      </c>
    </row>
    <row r="533" spans="3:8" x14ac:dyDescent="0.2">
      <c r="C533" s="8" t="str">
        <f t="shared" si="16"/>
        <v/>
      </c>
      <c r="D533" s="8" t="str">
        <f t="shared" si="17"/>
        <v/>
      </c>
      <c r="H533" s="12" t="str">
        <f>IF(A533=0,"",VLOOKUP(B533,Materials!$A$2:$E$1001,6,FALSE))</f>
        <v/>
      </c>
    </row>
    <row r="534" spans="3:8" x14ac:dyDescent="0.2">
      <c r="C534" s="8" t="str">
        <f t="shared" si="16"/>
        <v/>
      </c>
      <c r="D534" s="8" t="str">
        <f t="shared" si="17"/>
        <v/>
      </c>
      <c r="H534" s="12" t="str">
        <f>IF(A534=0,"",VLOOKUP(B534,Materials!$A$2:$E$1001,6,FALSE))</f>
        <v/>
      </c>
    </row>
    <row r="535" spans="3:8" x14ac:dyDescent="0.2">
      <c r="C535" s="8" t="str">
        <f t="shared" si="16"/>
        <v/>
      </c>
      <c r="D535" s="8" t="str">
        <f t="shared" si="17"/>
        <v/>
      </c>
      <c r="H535" s="12" t="str">
        <f>IF(A535=0,"",VLOOKUP(B535,Materials!$A$2:$E$1001,6,FALSE))</f>
        <v/>
      </c>
    </row>
    <row r="536" spans="3:8" x14ac:dyDescent="0.2">
      <c r="C536" s="8" t="str">
        <f t="shared" si="16"/>
        <v/>
      </c>
      <c r="D536" s="8" t="str">
        <f t="shared" si="17"/>
        <v/>
      </c>
      <c r="H536" s="12" t="str">
        <f>IF(A536=0,"",VLOOKUP(B536,Materials!$A$2:$E$1001,6,FALSE))</f>
        <v/>
      </c>
    </row>
    <row r="537" spans="3:8" x14ac:dyDescent="0.2">
      <c r="C537" s="8" t="str">
        <f t="shared" si="16"/>
        <v/>
      </c>
      <c r="D537" s="8" t="str">
        <f t="shared" si="17"/>
        <v/>
      </c>
      <c r="H537" s="12" t="str">
        <f>IF(A537=0,"",VLOOKUP(B537,Materials!$A$2:$E$1001,6,FALSE))</f>
        <v/>
      </c>
    </row>
    <row r="538" spans="3:8" x14ac:dyDescent="0.2">
      <c r="C538" s="8" t="str">
        <f t="shared" si="16"/>
        <v/>
      </c>
      <c r="D538" s="8" t="str">
        <f t="shared" si="17"/>
        <v/>
      </c>
      <c r="H538" s="12" t="str">
        <f>IF(A538=0,"",VLOOKUP(B538,Materials!$A$2:$E$1001,6,FALSE))</f>
        <v/>
      </c>
    </row>
    <row r="539" spans="3:8" x14ac:dyDescent="0.2">
      <c r="C539" s="8" t="str">
        <f t="shared" si="16"/>
        <v/>
      </c>
      <c r="D539" s="8" t="str">
        <f t="shared" si="17"/>
        <v/>
      </c>
      <c r="H539" s="12" t="str">
        <f>IF(A539=0,"",VLOOKUP(B539,Materials!$A$2:$E$1001,6,FALSE))</f>
        <v/>
      </c>
    </row>
    <row r="540" spans="3:8" x14ac:dyDescent="0.2">
      <c r="C540" s="8" t="str">
        <f t="shared" si="16"/>
        <v/>
      </c>
      <c r="D540" s="8" t="str">
        <f t="shared" si="17"/>
        <v/>
      </c>
      <c r="H540" s="12" t="str">
        <f>IF(A540=0,"",VLOOKUP(B540,Materials!$A$2:$E$1001,6,FALSE))</f>
        <v/>
      </c>
    </row>
    <row r="541" spans="3:8" x14ac:dyDescent="0.2">
      <c r="C541" s="8" t="str">
        <f t="shared" si="16"/>
        <v/>
      </c>
      <c r="D541" s="8" t="str">
        <f t="shared" si="17"/>
        <v/>
      </c>
      <c r="H541" s="12" t="str">
        <f>IF(A541=0,"",VLOOKUP(B541,Materials!$A$2:$E$1001,6,FALSE))</f>
        <v/>
      </c>
    </row>
    <row r="542" spans="3:8" x14ac:dyDescent="0.2">
      <c r="C542" s="8" t="str">
        <f t="shared" si="16"/>
        <v/>
      </c>
      <c r="D542" s="8" t="str">
        <f t="shared" si="17"/>
        <v/>
      </c>
      <c r="H542" s="12" t="str">
        <f>IF(A542=0,"",VLOOKUP(B542,Materials!$A$2:$E$1001,6,FALSE))</f>
        <v/>
      </c>
    </row>
    <row r="543" spans="3:8" x14ac:dyDescent="0.2">
      <c r="C543" s="8" t="str">
        <f t="shared" si="16"/>
        <v/>
      </c>
      <c r="D543" s="8" t="str">
        <f t="shared" si="17"/>
        <v/>
      </c>
      <c r="H543" s="12" t="str">
        <f>IF(A543=0,"",VLOOKUP(B543,Materials!$A$2:$E$1001,6,FALSE))</f>
        <v/>
      </c>
    </row>
    <row r="544" spans="3:8" x14ac:dyDescent="0.2">
      <c r="C544" s="8" t="str">
        <f t="shared" si="16"/>
        <v/>
      </c>
      <c r="D544" s="8" t="str">
        <f t="shared" si="17"/>
        <v/>
      </c>
      <c r="H544" s="12" t="str">
        <f>IF(A544=0,"",VLOOKUP(B544,Materials!$A$2:$E$1001,6,FALSE))</f>
        <v/>
      </c>
    </row>
    <row r="545" spans="3:8" x14ac:dyDescent="0.2">
      <c r="C545" s="8" t="str">
        <f t="shared" si="16"/>
        <v/>
      </c>
      <c r="D545" s="8" t="str">
        <f t="shared" si="17"/>
        <v/>
      </c>
      <c r="H545" s="12" t="str">
        <f>IF(A545=0,"",VLOOKUP(B545,Materials!$A$2:$E$1001,6,FALSE))</f>
        <v/>
      </c>
    </row>
    <row r="546" spans="3:8" x14ac:dyDescent="0.2">
      <c r="C546" s="8" t="str">
        <f t="shared" si="16"/>
        <v/>
      </c>
      <c r="D546" s="8" t="str">
        <f t="shared" si="17"/>
        <v/>
      </c>
      <c r="H546" s="12" t="str">
        <f>IF(A546=0,"",VLOOKUP(B546,Materials!$A$2:$E$1001,6,FALSE))</f>
        <v/>
      </c>
    </row>
    <row r="547" spans="3:8" x14ac:dyDescent="0.2">
      <c r="C547" s="8" t="str">
        <f t="shared" si="16"/>
        <v/>
      </c>
      <c r="D547" s="8" t="str">
        <f t="shared" si="17"/>
        <v/>
      </c>
      <c r="H547" s="12" t="str">
        <f>IF(A547=0,"",VLOOKUP(B547,Materials!$A$2:$E$1001,6,FALSE))</f>
        <v/>
      </c>
    </row>
    <row r="548" spans="3:8" x14ac:dyDescent="0.2">
      <c r="C548" s="8" t="str">
        <f t="shared" si="16"/>
        <v/>
      </c>
      <c r="D548" s="8" t="str">
        <f t="shared" si="17"/>
        <v/>
      </c>
      <c r="H548" s="12" t="str">
        <f>IF(A548=0,"",VLOOKUP(B548,Materials!$A$2:$E$1001,6,FALSE))</f>
        <v/>
      </c>
    </row>
    <row r="549" spans="3:8" x14ac:dyDescent="0.2">
      <c r="C549" s="8" t="str">
        <f t="shared" si="16"/>
        <v/>
      </c>
      <c r="D549" s="8" t="str">
        <f t="shared" si="17"/>
        <v/>
      </c>
      <c r="H549" s="12" t="str">
        <f>IF(A549=0,"",VLOOKUP(B549,Materials!$A$2:$E$1001,6,FALSE))</f>
        <v/>
      </c>
    </row>
    <row r="550" spans="3:8" x14ac:dyDescent="0.2">
      <c r="C550" s="8" t="str">
        <f t="shared" si="16"/>
        <v/>
      </c>
      <c r="D550" s="8" t="str">
        <f t="shared" si="17"/>
        <v/>
      </c>
      <c r="H550" s="12" t="str">
        <f>IF(A550=0,"",VLOOKUP(B550,Materials!$A$2:$E$1001,6,FALSE))</f>
        <v/>
      </c>
    </row>
    <row r="551" spans="3:8" x14ac:dyDescent="0.2">
      <c r="C551" s="8" t="str">
        <f t="shared" si="16"/>
        <v/>
      </c>
      <c r="D551" s="8" t="str">
        <f t="shared" si="17"/>
        <v/>
      </c>
      <c r="H551" s="12" t="str">
        <f>IF(A551=0,"",VLOOKUP(B551,Materials!$A$2:$E$1001,6,FALSE))</f>
        <v/>
      </c>
    </row>
    <row r="552" spans="3:8" x14ac:dyDescent="0.2">
      <c r="C552" s="8" t="str">
        <f t="shared" si="16"/>
        <v/>
      </c>
      <c r="D552" s="8" t="str">
        <f t="shared" si="17"/>
        <v/>
      </c>
      <c r="H552" s="12" t="str">
        <f>IF(A552=0,"",VLOOKUP(B552,Materials!$A$2:$E$1001,6,FALSE))</f>
        <v/>
      </c>
    </row>
    <row r="553" spans="3:8" x14ac:dyDescent="0.2">
      <c r="C553" s="8" t="str">
        <f t="shared" si="16"/>
        <v/>
      </c>
      <c r="D553" s="8" t="str">
        <f t="shared" si="17"/>
        <v/>
      </c>
      <c r="H553" s="12" t="str">
        <f>IF(A553=0,"",VLOOKUP(B553,Materials!$A$2:$E$1001,6,FALSE))</f>
        <v/>
      </c>
    </row>
    <row r="554" spans="3:8" x14ac:dyDescent="0.2">
      <c r="C554" s="8" t="str">
        <f t="shared" si="16"/>
        <v/>
      </c>
      <c r="D554" s="8" t="str">
        <f t="shared" si="17"/>
        <v/>
      </c>
      <c r="H554" s="12" t="str">
        <f>IF(A554=0,"",VLOOKUP(B554,Materials!$A$2:$E$1001,6,FALSE))</f>
        <v/>
      </c>
    </row>
    <row r="555" spans="3:8" x14ac:dyDescent="0.2">
      <c r="C555" s="8" t="str">
        <f t="shared" si="16"/>
        <v/>
      </c>
      <c r="D555" s="8" t="str">
        <f t="shared" si="17"/>
        <v/>
      </c>
      <c r="H555" s="12" t="str">
        <f>IF(A555=0,"",VLOOKUP(B555,Materials!$A$2:$E$1001,6,FALSE))</f>
        <v/>
      </c>
    </row>
    <row r="556" spans="3:8" x14ac:dyDescent="0.2">
      <c r="C556" s="8" t="str">
        <f t="shared" si="16"/>
        <v/>
      </c>
      <c r="D556" s="8" t="str">
        <f t="shared" si="17"/>
        <v/>
      </c>
      <c r="H556" s="12" t="str">
        <f>IF(A556=0,"",VLOOKUP(B556,Materials!$A$2:$E$1001,6,FALSE))</f>
        <v/>
      </c>
    </row>
    <row r="557" spans="3:8" x14ac:dyDescent="0.2">
      <c r="C557" s="8" t="str">
        <f t="shared" si="16"/>
        <v/>
      </c>
      <c r="D557" s="8" t="str">
        <f t="shared" si="17"/>
        <v/>
      </c>
      <c r="H557" s="12" t="str">
        <f>IF(A557=0,"",VLOOKUP(B557,Materials!$A$2:$E$1001,6,FALSE))</f>
        <v/>
      </c>
    </row>
    <row r="558" spans="3:8" x14ac:dyDescent="0.2">
      <c r="C558" s="8" t="str">
        <f t="shared" si="16"/>
        <v/>
      </c>
      <c r="D558" s="8" t="str">
        <f t="shared" si="17"/>
        <v/>
      </c>
      <c r="H558" s="12" t="str">
        <f>IF(A558=0,"",VLOOKUP(B558,Materials!$A$2:$E$1001,6,FALSE))</f>
        <v/>
      </c>
    </row>
    <row r="559" spans="3:8" x14ac:dyDescent="0.2">
      <c r="C559" s="8" t="str">
        <f t="shared" si="16"/>
        <v/>
      </c>
      <c r="D559" s="8" t="str">
        <f t="shared" si="17"/>
        <v/>
      </c>
      <c r="H559" s="12" t="str">
        <f>IF(A559=0,"",VLOOKUP(B559,Materials!$A$2:$E$1001,6,FALSE))</f>
        <v/>
      </c>
    </row>
    <row r="560" spans="3:8" x14ac:dyDescent="0.2">
      <c r="C560" s="8" t="str">
        <f t="shared" si="16"/>
        <v/>
      </c>
      <c r="D560" s="8" t="str">
        <f t="shared" si="17"/>
        <v/>
      </c>
      <c r="H560" s="12" t="str">
        <f>IF(A560=0,"",VLOOKUP(B560,Materials!$A$2:$E$1001,6,FALSE))</f>
        <v/>
      </c>
    </row>
    <row r="561" spans="3:8" x14ac:dyDescent="0.2">
      <c r="C561" s="8" t="str">
        <f t="shared" si="16"/>
        <v/>
      </c>
      <c r="D561" s="8" t="str">
        <f t="shared" si="17"/>
        <v/>
      </c>
      <c r="H561" s="12" t="str">
        <f>IF(A561=0,"",VLOOKUP(B561,Materials!$A$2:$E$1001,6,FALSE))</f>
        <v/>
      </c>
    </row>
    <row r="562" spans="3:8" x14ac:dyDescent="0.2">
      <c r="C562" s="8" t="str">
        <f t="shared" si="16"/>
        <v/>
      </c>
      <c r="D562" s="8" t="str">
        <f t="shared" si="17"/>
        <v/>
      </c>
      <c r="H562" s="12" t="str">
        <f>IF(A562=0,"",VLOOKUP(B562,Materials!$A$2:$E$1001,6,FALSE))</f>
        <v/>
      </c>
    </row>
    <row r="563" spans="3:8" x14ac:dyDescent="0.2">
      <c r="C563" s="8" t="str">
        <f t="shared" si="16"/>
        <v/>
      </c>
      <c r="D563" s="8" t="str">
        <f t="shared" si="17"/>
        <v/>
      </c>
      <c r="H563" s="12" t="str">
        <f>IF(A563=0,"",VLOOKUP(B563,Materials!$A$2:$E$1001,6,FALSE))</f>
        <v/>
      </c>
    </row>
    <row r="564" spans="3:8" x14ac:dyDescent="0.2">
      <c r="C564" s="8" t="str">
        <f t="shared" si="16"/>
        <v/>
      </c>
      <c r="D564" s="8" t="str">
        <f t="shared" si="17"/>
        <v/>
      </c>
      <c r="H564" s="12" t="str">
        <f>IF(A564=0,"",VLOOKUP(B564,Materials!$A$2:$E$1001,6,FALSE))</f>
        <v/>
      </c>
    </row>
    <row r="565" spans="3:8" x14ac:dyDescent="0.2">
      <c r="C565" s="8" t="str">
        <f t="shared" si="16"/>
        <v/>
      </c>
      <c r="D565" s="8" t="str">
        <f t="shared" si="17"/>
        <v/>
      </c>
      <c r="H565" s="12" t="str">
        <f>IF(A565=0,"",VLOOKUP(B565,Materials!$A$2:$E$1001,6,FALSE))</f>
        <v/>
      </c>
    </row>
    <row r="566" spans="3:8" x14ac:dyDescent="0.2">
      <c r="C566" s="8" t="str">
        <f t="shared" si="16"/>
        <v/>
      </c>
      <c r="D566" s="8" t="str">
        <f t="shared" si="17"/>
        <v/>
      </c>
      <c r="H566" s="12" t="str">
        <f>IF(A566=0,"",VLOOKUP(B566,Materials!$A$2:$E$1001,6,FALSE))</f>
        <v/>
      </c>
    </row>
    <row r="567" spans="3:8" x14ac:dyDescent="0.2">
      <c r="C567" s="8" t="str">
        <f t="shared" si="16"/>
        <v/>
      </c>
      <c r="D567" s="8" t="str">
        <f t="shared" si="17"/>
        <v/>
      </c>
      <c r="H567" s="12" t="str">
        <f>IF(A567=0,"",VLOOKUP(B567,Materials!$A$2:$E$1001,6,FALSE))</f>
        <v/>
      </c>
    </row>
    <row r="568" spans="3:8" x14ac:dyDescent="0.2">
      <c r="C568" s="8" t="str">
        <f t="shared" si="16"/>
        <v/>
      </c>
      <c r="D568" s="8" t="str">
        <f t="shared" si="17"/>
        <v/>
      </c>
      <c r="H568" s="12" t="str">
        <f>IF(A568=0,"",VLOOKUP(B568,Materials!$A$2:$E$1001,6,FALSE))</f>
        <v/>
      </c>
    </row>
    <row r="569" spans="3:8" x14ac:dyDescent="0.2">
      <c r="C569" s="8" t="str">
        <f t="shared" si="16"/>
        <v/>
      </c>
      <c r="D569" s="8" t="str">
        <f t="shared" si="17"/>
        <v/>
      </c>
      <c r="H569" s="12" t="str">
        <f>IF(A569=0,"",VLOOKUP(B569,Materials!$A$2:$E$1001,6,FALSE))</f>
        <v/>
      </c>
    </row>
    <row r="570" spans="3:8" x14ac:dyDescent="0.2">
      <c r="C570" s="8" t="str">
        <f t="shared" si="16"/>
        <v/>
      </c>
      <c r="D570" s="8" t="str">
        <f t="shared" si="17"/>
        <v/>
      </c>
      <c r="H570" s="12" t="str">
        <f>IF(A570=0,"",VLOOKUP(B570,Materials!$A$2:$E$1001,6,FALSE))</f>
        <v/>
      </c>
    </row>
    <row r="571" spans="3:8" x14ac:dyDescent="0.2">
      <c r="C571" s="8" t="str">
        <f t="shared" si="16"/>
        <v/>
      </c>
      <c r="D571" s="8" t="str">
        <f t="shared" si="17"/>
        <v/>
      </c>
      <c r="H571" s="12" t="str">
        <f>IF(A571=0,"",VLOOKUP(B571,Materials!$A$2:$E$1001,6,FALSE))</f>
        <v/>
      </c>
    </row>
    <row r="572" spans="3:8" x14ac:dyDescent="0.2">
      <c r="C572" s="8" t="str">
        <f t="shared" si="16"/>
        <v/>
      </c>
      <c r="D572" s="8" t="str">
        <f t="shared" si="17"/>
        <v/>
      </c>
      <c r="H572" s="12" t="str">
        <f>IF(A572=0,"",VLOOKUP(B572,Materials!$A$2:$E$1001,6,FALSE))</f>
        <v/>
      </c>
    </row>
    <row r="573" spans="3:8" x14ac:dyDescent="0.2">
      <c r="C573" s="8" t="str">
        <f t="shared" si="16"/>
        <v/>
      </c>
      <c r="D573" s="8" t="str">
        <f t="shared" si="17"/>
        <v/>
      </c>
      <c r="H573" s="12" t="str">
        <f>IF(A573=0,"",VLOOKUP(B573,Materials!$A$2:$E$1001,6,FALSE))</f>
        <v/>
      </c>
    </row>
    <row r="574" spans="3:8" x14ac:dyDescent="0.2">
      <c r="C574" s="8" t="str">
        <f t="shared" si="16"/>
        <v/>
      </c>
      <c r="D574" s="8" t="str">
        <f t="shared" si="17"/>
        <v/>
      </c>
      <c r="H574" s="12" t="str">
        <f>IF(A574=0,"",VLOOKUP(B574,Materials!$A$2:$E$1001,6,FALSE))</f>
        <v/>
      </c>
    </row>
    <row r="575" spans="3:8" x14ac:dyDescent="0.2">
      <c r="C575" s="8" t="str">
        <f t="shared" si="16"/>
        <v/>
      </c>
      <c r="D575" s="8" t="str">
        <f t="shared" si="17"/>
        <v/>
      </c>
      <c r="H575" s="12" t="str">
        <f>IF(A575=0,"",VLOOKUP(B575,Materials!$A$2:$E$1001,6,FALSE))</f>
        <v/>
      </c>
    </row>
    <row r="576" spans="3:8" x14ac:dyDescent="0.2">
      <c r="C576" s="8" t="str">
        <f t="shared" si="16"/>
        <v/>
      </c>
      <c r="D576" s="8" t="str">
        <f t="shared" si="17"/>
        <v/>
      </c>
      <c r="H576" s="12" t="str">
        <f>IF(A576=0,"",VLOOKUP(B576,Materials!$A$2:$E$1001,6,FALSE))</f>
        <v/>
      </c>
    </row>
    <row r="577" spans="3:8" x14ac:dyDescent="0.2">
      <c r="C577" s="8" t="str">
        <f t="shared" si="16"/>
        <v/>
      </c>
      <c r="D577" s="8" t="str">
        <f t="shared" si="17"/>
        <v/>
      </c>
      <c r="H577" s="12" t="str">
        <f>IF(A577=0,"",VLOOKUP(B577,Materials!$A$2:$E$1001,6,FALSE))</f>
        <v/>
      </c>
    </row>
    <row r="578" spans="3:8" x14ac:dyDescent="0.2">
      <c r="C578" s="8" t="str">
        <f t="shared" ref="C578:C641" si="18">IF(A578=0,"",VLOOKUP(B578,MatDB,2,FALSE))</f>
        <v/>
      </c>
      <c r="D578" s="8" t="str">
        <f t="shared" si="17"/>
        <v/>
      </c>
      <c r="H578" s="12" t="str">
        <f>IF(A578=0,"",VLOOKUP(B578,Materials!$A$2:$E$1001,6,FALSE))</f>
        <v/>
      </c>
    </row>
    <row r="579" spans="3:8" x14ac:dyDescent="0.2">
      <c r="C579" s="8" t="str">
        <f t="shared" si="18"/>
        <v/>
      </c>
      <c r="D579" s="8" t="str">
        <f t="shared" ref="D579:D642" si="19">IF(A579=0,"","Concrete04")</f>
        <v/>
      </c>
      <c r="H579" s="12" t="str">
        <f>IF(A579=0,"",VLOOKUP(B579,Materials!$A$2:$E$1001,6,FALSE))</f>
        <v/>
      </c>
    </row>
    <row r="580" spans="3:8" x14ac:dyDescent="0.2">
      <c r="C580" s="8" t="str">
        <f t="shared" si="18"/>
        <v/>
      </c>
      <c r="D580" s="8" t="str">
        <f t="shared" si="19"/>
        <v/>
      </c>
      <c r="H580" s="12" t="str">
        <f>IF(A580=0,"",VLOOKUP(B580,Materials!$A$2:$E$1001,6,FALSE))</f>
        <v/>
      </c>
    </row>
    <row r="581" spans="3:8" x14ac:dyDescent="0.2">
      <c r="C581" s="8" t="str">
        <f t="shared" si="18"/>
        <v/>
      </c>
      <c r="D581" s="8" t="str">
        <f t="shared" si="19"/>
        <v/>
      </c>
      <c r="H581" s="12" t="str">
        <f>IF(A581=0,"",VLOOKUP(B581,Materials!$A$2:$E$1001,6,FALSE))</f>
        <v/>
      </c>
    </row>
    <row r="582" spans="3:8" x14ac:dyDescent="0.2">
      <c r="C582" s="8" t="str">
        <f t="shared" si="18"/>
        <v/>
      </c>
      <c r="D582" s="8" t="str">
        <f t="shared" si="19"/>
        <v/>
      </c>
      <c r="H582" s="12" t="str">
        <f>IF(A582=0,"",VLOOKUP(B582,Materials!$A$2:$E$1001,6,FALSE))</f>
        <v/>
      </c>
    </row>
    <row r="583" spans="3:8" x14ac:dyDescent="0.2">
      <c r="C583" s="8" t="str">
        <f t="shared" si="18"/>
        <v/>
      </c>
      <c r="D583" s="8" t="str">
        <f t="shared" si="19"/>
        <v/>
      </c>
      <c r="H583" s="12" t="str">
        <f>IF(A583=0,"",VLOOKUP(B583,Materials!$A$2:$E$1001,6,FALSE))</f>
        <v/>
      </c>
    </row>
    <row r="584" spans="3:8" x14ac:dyDescent="0.2">
      <c r="C584" s="8" t="str">
        <f t="shared" si="18"/>
        <v/>
      </c>
      <c r="D584" s="8" t="str">
        <f t="shared" si="19"/>
        <v/>
      </c>
      <c r="H584" s="12" t="str">
        <f>IF(A584=0,"",VLOOKUP(B584,Materials!$A$2:$E$1001,6,FALSE))</f>
        <v/>
      </c>
    </row>
    <row r="585" spans="3:8" x14ac:dyDescent="0.2">
      <c r="C585" s="8" t="str">
        <f t="shared" si="18"/>
        <v/>
      </c>
      <c r="D585" s="8" t="str">
        <f t="shared" si="19"/>
        <v/>
      </c>
      <c r="H585" s="12" t="str">
        <f>IF(A585=0,"",VLOOKUP(B585,Materials!$A$2:$E$1001,6,FALSE))</f>
        <v/>
      </c>
    </row>
    <row r="586" spans="3:8" x14ac:dyDescent="0.2">
      <c r="C586" s="8" t="str">
        <f t="shared" si="18"/>
        <v/>
      </c>
      <c r="D586" s="8" t="str">
        <f t="shared" si="19"/>
        <v/>
      </c>
      <c r="H586" s="12" t="str">
        <f>IF(A586=0,"",VLOOKUP(B586,Materials!$A$2:$E$1001,6,FALSE))</f>
        <v/>
      </c>
    </row>
    <row r="587" spans="3:8" x14ac:dyDescent="0.2">
      <c r="C587" s="8" t="str">
        <f t="shared" si="18"/>
        <v/>
      </c>
      <c r="D587" s="8" t="str">
        <f t="shared" si="19"/>
        <v/>
      </c>
      <c r="H587" s="12" t="str">
        <f>IF(A587=0,"",VLOOKUP(B587,Materials!$A$2:$E$1001,6,FALSE))</f>
        <v/>
      </c>
    </row>
    <row r="588" spans="3:8" x14ac:dyDescent="0.2">
      <c r="C588" s="8" t="str">
        <f t="shared" si="18"/>
        <v/>
      </c>
      <c r="D588" s="8" t="str">
        <f t="shared" si="19"/>
        <v/>
      </c>
      <c r="H588" s="12" t="str">
        <f>IF(A588=0,"",VLOOKUP(B588,Materials!$A$2:$E$1001,6,FALSE))</f>
        <v/>
      </c>
    </row>
    <row r="589" spans="3:8" x14ac:dyDescent="0.2">
      <c r="C589" s="8" t="str">
        <f t="shared" si="18"/>
        <v/>
      </c>
      <c r="D589" s="8" t="str">
        <f t="shared" si="19"/>
        <v/>
      </c>
      <c r="H589" s="12" t="str">
        <f>IF(A589=0,"",VLOOKUP(B589,Materials!$A$2:$E$1001,6,FALSE))</f>
        <v/>
      </c>
    </row>
    <row r="590" spans="3:8" x14ac:dyDescent="0.2">
      <c r="C590" s="8" t="str">
        <f t="shared" si="18"/>
        <v/>
      </c>
      <c r="D590" s="8" t="str">
        <f t="shared" si="19"/>
        <v/>
      </c>
      <c r="H590" s="12" t="str">
        <f>IF(A590=0,"",VLOOKUP(B590,Materials!$A$2:$E$1001,6,FALSE))</f>
        <v/>
      </c>
    </row>
    <row r="591" spans="3:8" x14ac:dyDescent="0.2">
      <c r="C591" s="8" t="str">
        <f t="shared" si="18"/>
        <v/>
      </c>
      <c r="D591" s="8" t="str">
        <f t="shared" si="19"/>
        <v/>
      </c>
      <c r="H591" s="12" t="str">
        <f>IF(A591=0,"",VLOOKUP(B591,Materials!$A$2:$E$1001,6,FALSE))</f>
        <v/>
      </c>
    </row>
    <row r="592" spans="3:8" x14ac:dyDescent="0.2">
      <c r="C592" s="8" t="str">
        <f t="shared" si="18"/>
        <v/>
      </c>
      <c r="D592" s="8" t="str">
        <f t="shared" si="19"/>
        <v/>
      </c>
      <c r="H592" s="12" t="str">
        <f>IF(A592=0,"",VLOOKUP(B592,Materials!$A$2:$E$1001,6,FALSE))</f>
        <v/>
      </c>
    </row>
    <row r="593" spans="3:8" x14ac:dyDescent="0.2">
      <c r="C593" s="8" t="str">
        <f t="shared" si="18"/>
        <v/>
      </c>
      <c r="D593" s="8" t="str">
        <f t="shared" si="19"/>
        <v/>
      </c>
      <c r="H593" s="12" t="str">
        <f>IF(A593=0,"",VLOOKUP(B593,Materials!$A$2:$E$1001,6,FALSE))</f>
        <v/>
      </c>
    </row>
    <row r="594" spans="3:8" x14ac:dyDescent="0.2">
      <c r="C594" s="8" t="str">
        <f t="shared" si="18"/>
        <v/>
      </c>
      <c r="D594" s="8" t="str">
        <f t="shared" si="19"/>
        <v/>
      </c>
      <c r="H594" s="12" t="str">
        <f>IF(A594=0,"",VLOOKUP(B594,Materials!$A$2:$E$1001,6,FALSE))</f>
        <v/>
      </c>
    </row>
    <row r="595" spans="3:8" x14ac:dyDescent="0.2">
      <c r="C595" s="8" t="str">
        <f t="shared" si="18"/>
        <v/>
      </c>
      <c r="D595" s="8" t="str">
        <f t="shared" si="19"/>
        <v/>
      </c>
      <c r="H595" s="12" t="str">
        <f>IF(A595=0,"",VLOOKUP(B595,Materials!$A$2:$E$1001,6,FALSE))</f>
        <v/>
      </c>
    </row>
    <row r="596" spans="3:8" x14ac:dyDescent="0.2">
      <c r="C596" s="8" t="str">
        <f t="shared" si="18"/>
        <v/>
      </c>
      <c r="D596" s="8" t="str">
        <f t="shared" si="19"/>
        <v/>
      </c>
      <c r="H596" s="12" t="str">
        <f>IF(A596=0,"",VLOOKUP(B596,Materials!$A$2:$E$1001,6,FALSE))</f>
        <v/>
      </c>
    </row>
    <row r="597" spans="3:8" x14ac:dyDescent="0.2">
      <c r="C597" s="8" t="str">
        <f t="shared" si="18"/>
        <v/>
      </c>
      <c r="D597" s="8" t="str">
        <f t="shared" si="19"/>
        <v/>
      </c>
      <c r="H597" s="12" t="str">
        <f>IF(A597=0,"",VLOOKUP(B597,Materials!$A$2:$E$1001,6,FALSE))</f>
        <v/>
      </c>
    </row>
    <row r="598" spans="3:8" x14ac:dyDescent="0.2">
      <c r="C598" s="8" t="str">
        <f t="shared" si="18"/>
        <v/>
      </c>
      <c r="D598" s="8" t="str">
        <f t="shared" si="19"/>
        <v/>
      </c>
      <c r="H598" s="12" t="str">
        <f>IF(A598=0,"",VLOOKUP(B598,Materials!$A$2:$E$1001,6,FALSE))</f>
        <v/>
      </c>
    </row>
    <row r="599" spans="3:8" x14ac:dyDescent="0.2">
      <c r="C599" s="8" t="str">
        <f t="shared" si="18"/>
        <v/>
      </c>
      <c r="D599" s="8" t="str">
        <f t="shared" si="19"/>
        <v/>
      </c>
      <c r="H599" s="12" t="str">
        <f>IF(A599=0,"",VLOOKUP(B599,Materials!$A$2:$E$1001,6,FALSE))</f>
        <v/>
      </c>
    </row>
    <row r="600" spans="3:8" x14ac:dyDescent="0.2">
      <c r="C600" s="8" t="str">
        <f t="shared" si="18"/>
        <v/>
      </c>
      <c r="D600" s="8" t="str">
        <f t="shared" si="19"/>
        <v/>
      </c>
      <c r="H600" s="12" t="str">
        <f>IF(A600=0,"",VLOOKUP(B600,Materials!$A$2:$E$1001,6,FALSE))</f>
        <v/>
      </c>
    </row>
    <row r="601" spans="3:8" x14ac:dyDescent="0.2">
      <c r="C601" s="8" t="str">
        <f t="shared" si="18"/>
        <v/>
      </c>
      <c r="D601" s="8" t="str">
        <f t="shared" si="19"/>
        <v/>
      </c>
      <c r="H601" s="12" t="str">
        <f>IF(A601=0,"",VLOOKUP(B601,Materials!$A$2:$E$1001,6,FALSE))</f>
        <v/>
      </c>
    </row>
    <row r="602" spans="3:8" x14ac:dyDescent="0.2">
      <c r="C602" s="8" t="str">
        <f t="shared" si="18"/>
        <v/>
      </c>
      <c r="D602" s="8" t="str">
        <f t="shared" si="19"/>
        <v/>
      </c>
      <c r="H602" s="12" t="str">
        <f>IF(A602=0,"",VLOOKUP(B602,Materials!$A$2:$E$1001,6,FALSE))</f>
        <v/>
      </c>
    </row>
    <row r="603" spans="3:8" x14ac:dyDescent="0.2">
      <c r="C603" s="8" t="str">
        <f t="shared" si="18"/>
        <v/>
      </c>
      <c r="D603" s="8" t="str">
        <f t="shared" si="19"/>
        <v/>
      </c>
      <c r="H603" s="12" t="str">
        <f>IF(A603=0,"",VLOOKUP(B603,Materials!$A$2:$E$1001,6,FALSE))</f>
        <v/>
      </c>
    </row>
    <row r="604" spans="3:8" x14ac:dyDescent="0.2">
      <c r="C604" s="8" t="str">
        <f t="shared" si="18"/>
        <v/>
      </c>
      <c r="D604" s="8" t="str">
        <f t="shared" si="19"/>
        <v/>
      </c>
      <c r="H604" s="12" t="str">
        <f>IF(A604=0,"",VLOOKUP(B604,Materials!$A$2:$E$1001,6,FALSE))</f>
        <v/>
      </c>
    </row>
    <row r="605" spans="3:8" x14ac:dyDescent="0.2">
      <c r="C605" s="8" t="str">
        <f t="shared" si="18"/>
        <v/>
      </c>
      <c r="D605" s="8" t="str">
        <f t="shared" si="19"/>
        <v/>
      </c>
      <c r="H605" s="12" t="str">
        <f>IF(A605=0,"",VLOOKUP(B605,Materials!$A$2:$E$1001,6,FALSE))</f>
        <v/>
      </c>
    </row>
    <row r="606" spans="3:8" x14ac:dyDescent="0.2">
      <c r="C606" s="8" t="str">
        <f t="shared" si="18"/>
        <v/>
      </c>
      <c r="D606" s="8" t="str">
        <f t="shared" si="19"/>
        <v/>
      </c>
      <c r="H606" s="12" t="str">
        <f>IF(A606=0,"",VLOOKUP(B606,Materials!$A$2:$E$1001,6,FALSE))</f>
        <v/>
      </c>
    </row>
    <row r="607" spans="3:8" x14ac:dyDescent="0.2">
      <c r="C607" s="8" t="str">
        <f t="shared" si="18"/>
        <v/>
      </c>
      <c r="D607" s="8" t="str">
        <f t="shared" si="19"/>
        <v/>
      </c>
      <c r="H607" s="12" t="str">
        <f>IF(A607=0,"",VLOOKUP(B607,Materials!$A$2:$E$1001,6,FALSE))</f>
        <v/>
      </c>
    </row>
    <row r="608" spans="3:8" x14ac:dyDescent="0.2">
      <c r="C608" s="8" t="str">
        <f t="shared" si="18"/>
        <v/>
      </c>
      <c r="D608" s="8" t="str">
        <f t="shared" si="19"/>
        <v/>
      </c>
      <c r="H608" s="12" t="str">
        <f>IF(A608=0,"",VLOOKUP(B608,Materials!$A$2:$E$1001,6,FALSE))</f>
        <v/>
      </c>
    </row>
    <row r="609" spans="3:8" x14ac:dyDescent="0.2">
      <c r="C609" s="8" t="str">
        <f t="shared" si="18"/>
        <v/>
      </c>
      <c r="D609" s="8" t="str">
        <f t="shared" si="19"/>
        <v/>
      </c>
      <c r="H609" s="12" t="str">
        <f>IF(A609=0,"",VLOOKUP(B609,Materials!$A$2:$E$1001,6,FALSE))</f>
        <v/>
      </c>
    </row>
    <row r="610" spans="3:8" x14ac:dyDescent="0.2">
      <c r="C610" s="8" t="str">
        <f t="shared" si="18"/>
        <v/>
      </c>
      <c r="D610" s="8" t="str">
        <f t="shared" si="19"/>
        <v/>
      </c>
      <c r="H610" s="12" t="str">
        <f>IF(A610=0,"",VLOOKUP(B610,Materials!$A$2:$E$1001,6,FALSE))</f>
        <v/>
      </c>
    </row>
    <row r="611" spans="3:8" x14ac:dyDescent="0.2">
      <c r="C611" s="8" t="str">
        <f t="shared" si="18"/>
        <v/>
      </c>
      <c r="D611" s="8" t="str">
        <f t="shared" si="19"/>
        <v/>
      </c>
      <c r="H611" s="12" t="str">
        <f>IF(A611=0,"",VLOOKUP(B611,Materials!$A$2:$E$1001,6,FALSE))</f>
        <v/>
      </c>
    </row>
    <row r="612" spans="3:8" x14ac:dyDescent="0.2">
      <c r="C612" s="8" t="str">
        <f t="shared" si="18"/>
        <v/>
      </c>
      <c r="D612" s="8" t="str">
        <f t="shared" si="19"/>
        <v/>
      </c>
      <c r="H612" s="12" t="str">
        <f>IF(A612=0,"",VLOOKUP(B612,Materials!$A$2:$E$1001,6,FALSE))</f>
        <v/>
      </c>
    </row>
    <row r="613" spans="3:8" x14ac:dyDescent="0.2">
      <c r="C613" s="8" t="str">
        <f t="shared" si="18"/>
        <v/>
      </c>
      <c r="D613" s="8" t="str">
        <f t="shared" si="19"/>
        <v/>
      </c>
      <c r="H613" s="12" t="str">
        <f>IF(A613=0,"",VLOOKUP(B613,Materials!$A$2:$E$1001,6,FALSE))</f>
        <v/>
      </c>
    </row>
    <row r="614" spans="3:8" x14ac:dyDescent="0.2">
      <c r="C614" s="8" t="str">
        <f t="shared" si="18"/>
        <v/>
      </c>
      <c r="D614" s="8" t="str">
        <f t="shared" si="19"/>
        <v/>
      </c>
      <c r="H614" s="12" t="str">
        <f>IF(A614=0,"",VLOOKUP(B614,Materials!$A$2:$E$1001,6,FALSE))</f>
        <v/>
      </c>
    </row>
    <row r="615" spans="3:8" x14ac:dyDescent="0.2">
      <c r="C615" s="8" t="str">
        <f t="shared" si="18"/>
        <v/>
      </c>
      <c r="D615" s="8" t="str">
        <f t="shared" si="19"/>
        <v/>
      </c>
      <c r="H615" s="12" t="str">
        <f>IF(A615=0,"",VLOOKUP(B615,Materials!$A$2:$E$1001,6,FALSE))</f>
        <v/>
      </c>
    </row>
    <row r="616" spans="3:8" x14ac:dyDescent="0.2">
      <c r="C616" s="8" t="str">
        <f t="shared" si="18"/>
        <v/>
      </c>
      <c r="D616" s="8" t="str">
        <f t="shared" si="19"/>
        <v/>
      </c>
      <c r="H616" s="12" t="str">
        <f>IF(A616=0,"",VLOOKUP(B616,Materials!$A$2:$E$1001,6,FALSE))</f>
        <v/>
      </c>
    </row>
    <row r="617" spans="3:8" x14ac:dyDescent="0.2">
      <c r="C617" s="8" t="str">
        <f t="shared" si="18"/>
        <v/>
      </c>
      <c r="D617" s="8" t="str">
        <f t="shared" si="19"/>
        <v/>
      </c>
      <c r="H617" s="12" t="str">
        <f>IF(A617=0,"",VLOOKUP(B617,Materials!$A$2:$E$1001,6,FALSE))</f>
        <v/>
      </c>
    </row>
    <row r="618" spans="3:8" x14ac:dyDescent="0.2">
      <c r="C618" s="8" t="str">
        <f t="shared" si="18"/>
        <v/>
      </c>
      <c r="D618" s="8" t="str">
        <f t="shared" si="19"/>
        <v/>
      </c>
      <c r="H618" s="12" t="str">
        <f>IF(A618=0,"",VLOOKUP(B618,Materials!$A$2:$E$1001,6,FALSE))</f>
        <v/>
      </c>
    </row>
    <row r="619" spans="3:8" x14ac:dyDescent="0.2">
      <c r="C619" s="8" t="str">
        <f t="shared" si="18"/>
        <v/>
      </c>
      <c r="D619" s="8" t="str">
        <f t="shared" si="19"/>
        <v/>
      </c>
      <c r="H619" s="12" t="str">
        <f>IF(A619=0,"",VLOOKUP(B619,Materials!$A$2:$E$1001,6,FALSE))</f>
        <v/>
      </c>
    </row>
    <row r="620" spans="3:8" x14ac:dyDescent="0.2">
      <c r="C620" s="8" t="str">
        <f t="shared" si="18"/>
        <v/>
      </c>
      <c r="D620" s="8" t="str">
        <f t="shared" si="19"/>
        <v/>
      </c>
      <c r="H620" s="12" t="str">
        <f>IF(A620=0,"",VLOOKUP(B620,Materials!$A$2:$E$1001,6,FALSE))</f>
        <v/>
      </c>
    </row>
    <row r="621" spans="3:8" x14ac:dyDescent="0.2">
      <c r="C621" s="8" t="str">
        <f t="shared" si="18"/>
        <v/>
      </c>
      <c r="D621" s="8" t="str">
        <f t="shared" si="19"/>
        <v/>
      </c>
      <c r="H621" s="12" t="str">
        <f>IF(A621=0,"",VLOOKUP(B621,Materials!$A$2:$E$1001,6,FALSE))</f>
        <v/>
      </c>
    </row>
    <row r="622" spans="3:8" x14ac:dyDescent="0.2">
      <c r="C622" s="8" t="str">
        <f t="shared" si="18"/>
        <v/>
      </c>
      <c r="D622" s="8" t="str">
        <f t="shared" si="19"/>
        <v/>
      </c>
      <c r="H622" s="12" t="str">
        <f>IF(A622=0,"",VLOOKUP(B622,Materials!$A$2:$E$1001,6,FALSE))</f>
        <v/>
      </c>
    </row>
    <row r="623" spans="3:8" x14ac:dyDescent="0.2">
      <c r="C623" s="8" t="str">
        <f t="shared" si="18"/>
        <v/>
      </c>
      <c r="D623" s="8" t="str">
        <f t="shared" si="19"/>
        <v/>
      </c>
      <c r="H623" s="12" t="str">
        <f>IF(A623=0,"",VLOOKUP(B623,Materials!$A$2:$E$1001,6,FALSE))</f>
        <v/>
      </c>
    </row>
    <row r="624" spans="3:8" x14ac:dyDescent="0.2">
      <c r="C624" s="8" t="str">
        <f t="shared" si="18"/>
        <v/>
      </c>
      <c r="D624" s="8" t="str">
        <f t="shared" si="19"/>
        <v/>
      </c>
      <c r="H624" s="12" t="str">
        <f>IF(A624=0,"",VLOOKUP(B624,Materials!$A$2:$E$1001,6,FALSE))</f>
        <v/>
      </c>
    </row>
    <row r="625" spans="3:8" x14ac:dyDescent="0.2">
      <c r="C625" s="8" t="str">
        <f t="shared" si="18"/>
        <v/>
      </c>
      <c r="D625" s="8" t="str">
        <f t="shared" si="19"/>
        <v/>
      </c>
      <c r="H625" s="12" t="str">
        <f>IF(A625=0,"",VLOOKUP(B625,Materials!$A$2:$E$1001,6,FALSE))</f>
        <v/>
      </c>
    </row>
    <row r="626" spans="3:8" x14ac:dyDescent="0.2">
      <c r="C626" s="8" t="str">
        <f t="shared" si="18"/>
        <v/>
      </c>
      <c r="D626" s="8" t="str">
        <f t="shared" si="19"/>
        <v/>
      </c>
      <c r="H626" s="12" t="str">
        <f>IF(A626=0,"",VLOOKUP(B626,Materials!$A$2:$E$1001,6,FALSE))</f>
        <v/>
      </c>
    </row>
    <row r="627" spans="3:8" x14ac:dyDescent="0.2">
      <c r="C627" s="8" t="str">
        <f t="shared" si="18"/>
        <v/>
      </c>
      <c r="D627" s="8" t="str">
        <f t="shared" si="19"/>
        <v/>
      </c>
      <c r="H627" s="12" t="str">
        <f>IF(A627=0,"",VLOOKUP(B627,Materials!$A$2:$E$1001,6,FALSE))</f>
        <v/>
      </c>
    </row>
    <row r="628" spans="3:8" x14ac:dyDescent="0.2">
      <c r="C628" s="8" t="str">
        <f t="shared" si="18"/>
        <v/>
      </c>
      <c r="D628" s="8" t="str">
        <f t="shared" si="19"/>
        <v/>
      </c>
      <c r="H628" s="12" t="str">
        <f>IF(A628=0,"",VLOOKUP(B628,Materials!$A$2:$E$1001,6,FALSE))</f>
        <v/>
      </c>
    </row>
    <row r="629" spans="3:8" x14ac:dyDescent="0.2">
      <c r="C629" s="8" t="str">
        <f t="shared" si="18"/>
        <v/>
      </c>
      <c r="D629" s="8" t="str">
        <f t="shared" si="19"/>
        <v/>
      </c>
      <c r="H629" s="12" t="str">
        <f>IF(A629=0,"",VLOOKUP(B629,Materials!$A$2:$E$1001,6,FALSE))</f>
        <v/>
      </c>
    </row>
    <row r="630" spans="3:8" x14ac:dyDescent="0.2">
      <c r="C630" s="8" t="str">
        <f t="shared" si="18"/>
        <v/>
      </c>
      <c r="D630" s="8" t="str">
        <f t="shared" si="19"/>
        <v/>
      </c>
      <c r="H630" s="12" t="str">
        <f>IF(A630=0,"",VLOOKUP(B630,Materials!$A$2:$E$1001,6,FALSE))</f>
        <v/>
      </c>
    </row>
    <row r="631" spans="3:8" x14ac:dyDescent="0.2">
      <c r="C631" s="8" t="str">
        <f t="shared" si="18"/>
        <v/>
      </c>
      <c r="D631" s="8" t="str">
        <f t="shared" si="19"/>
        <v/>
      </c>
      <c r="H631" s="12" t="str">
        <f>IF(A631=0,"",VLOOKUP(B631,Materials!$A$2:$E$1001,6,FALSE))</f>
        <v/>
      </c>
    </row>
    <row r="632" spans="3:8" x14ac:dyDescent="0.2">
      <c r="C632" s="8" t="str">
        <f t="shared" si="18"/>
        <v/>
      </c>
      <c r="D632" s="8" t="str">
        <f t="shared" si="19"/>
        <v/>
      </c>
      <c r="H632" s="12" t="str">
        <f>IF(A632=0,"",VLOOKUP(B632,Materials!$A$2:$E$1001,6,FALSE))</f>
        <v/>
      </c>
    </row>
    <row r="633" spans="3:8" x14ac:dyDescent="0.2">
      <c r="C633" s="8" t="str">
        <f t="shared" si="18"/>
        <v/>
      </c>
      <c r="D633" s="8" t="str">
        <f t="shared" si="19"/>
        <v/>
      </c>
      <c r="H633" s="12" t="str">
        <f>IF(A633=0,"",VLOOKUP(B633,Materials!$A$2:$E$1001,6,FALSE))</f>
        <v/>
      </c>
    </row>
    <row r="634" spans="3:8" x14ac:dyDescent="0.2">
      <c r="C634" s="8" t="str">
        <f t="shared" si="18"/>
        <v/>
      </c>
      <c r="D634" s="8" t="str">
        <f t="shared" si="19"/>
        <v/>
      </c>
      <c r="H634" s="12" t="str">
        <f>IF(A634=0,"",VLOOKUP(B634,Materials!$A$2:$E$1001,6,FALSE))</f>
        <v/>
      </c>
    </row>
    <row r="635" spans="3:8" x14ac:dyDescent="0.2">
      <c r="C635" s="8" t="str">
        <f t="shared" si="18"/>
        <v/>
      </c>
      <c r="D635" s="8" t="str">
        <f t="shared" si="19"/>
        <v/>
      </c>
      <c r="H635" s="12" t="str">
        <f>IF(A635=0,"",VLOOKUP(B635,Materials!$A$2:$E$1001,6,FALSE))</f>
        <v/>
      </c>
    </row>
    <row r="636" spans="3:8" x14ac:dyDescent="0.2">
      <c r="C636" s="8" t="str">
        <f t="shared" si="18"/>
        <v/>
      </c>
      <c r="D636" s="8" t="str">
        <f t="shared" si="19"/>
        <v/>
      </c>
      <c r="H636" s="12" t="str">
        <f>IF(A636=0,"",VLOOKUP(B636,Materials!$A$2:$E$1001,6,FALSE))</f>
        <v/>
      </c>
    </row>
    <row r="637" spans="3:8" x14ac:dyDescent="0.2">
      <c r="C637" s="8" t="str">
        <f t="shared" si="18"/>
        <v/>
      </c>
      <c r="D637" s="8" t="str">
        <f t="shared" si="19"/>
        <v/>
      </c>
      <c r="H637" s="12" t="str">
        <f>IF(A637=0,"",VLOOKUP(B637,Materials!$A$2:$E$1001,6,FALSE))</f>
        <v/>
      </c>
    </row>
    <row r="638" spans="3:8" x14ac:dyDescent="0.2">
      <c r="C638" s="8" t="str">
        <f t="shared" si="18"/>
        <v/>
      </c>
      <c r="D638" s="8" t="str">
        <f t="shared" si="19"/>
        <v/>
      </c>
      <c r="H638" s="12" t="str">
        <f>IF(A638=0,"",VLOOKUP(B638,Materials!$A$2:$E$1001,6,FALSE))</f>
        <v/>
      </c>
    </row>
    <row r="639" spans="3:8" x14ac:dyDescent="0.2">
      <c r="C639" s="8" t="str">
        <f t="shared" si="18"/>
        <v/>
      </c>
      <c r="D639" s="8" t="str">
        <f t="shared" si="19"/>
        <v/>
      </c>
      <c r="H639" s="12" t="str">
        <f>IF(A639=0,"",VLOOKUP(B639,Materials!$A$2:$E$1001,6,FALSE))</f>
        <v/>
      </c>
    </row>
    <row r="640" spans="3:8" x14ac:dyDescent="0.2">
      <c r="C640" s="8" t="str">
        <f t="shared" si="18"/>
        <v/>
      </c>
      <c r="D640" s="8" t="str">
        <f t="shared" si="19"/>
        <v/>
      </c>
      <c r="H640" s="12" t="str">
        <f>IF(A640=0,"",VLOOKUP(B640,Materials!$A$2:$E$1001,6,FALSE))</f>
        <v/>
      </c>
    </row>
    <row r="641" spans="3:8" x14ac:dyDescent="0.2">
      <c r="C641" s="8" t="str">
        <f t="shared" si="18"/>
        <v/>
      </c>
      <c r="D641" s="8" t="str">
        <f t="shared" si="19"/>
        <v/>
      </c>
      <c r="H641" s="12" t="str">
        <f>IF(A641=0,"",VLOOKUP(B641,Materials!$A$2:$E$1001,6,FALSE))</f>
        <v/>
      </c>
    </row>
    <row r="642" spans="3:8" x14ac:dyDescent="0.2">
      <c r="C642" s="8" t="str">
        <f t="shared" ref="C642:C705" si="20">IF(A642=0,"",VLOOKUP(B642,MatDB,2,FALSE))</f>
        <v/>
      </c>
      <c r="D642" s="8" t="str">
        <f t="shared" si="19"/>
        <v/>
      </c>
      <c r="H642" s="12" t="str">
        <f>IF(A642=0,"",VLOOKUP(B642,Materials!$A$2:$E$1001,6,FALSE))</f>
        <v/>
      </c>
    </row>
    <row r="643" spans="3:8" x14ac:dyDescent="0.2">
      <c r="C643" s="8" t="str">
        <f t="shared" si="20"/>
        <v/>
      </c>
      <c r="D643" s="8" t="str">
        <f t="shared" ref="D643:D706" si="21">IF(A643=0,"","Concrete04")</f>
        <v/>
      </c>
      <c r="H643" s="12" t="str">
        <f>IF(A643=0,"",VLOOKUP(B643,Materials!$A$2:$E$1001,6,FALSE))</f>
        <v/>
      </c>
    </row>
    <row r="644" spans="3:8" x14ac:dyDescent="0.2">
      <c r="C644" s="8" t="str">
        <f t="shared" si="20"/>
        <v/>
      </c>
      <c r="D644" s="8" t="str">
        <f t="shared" si="21"/>
        <v/>
      </c>
      <c r="H644" s="12" t="str">
        <f>IF(A644=0,"",VLOOKUP(B644,Materials!$A$2:$E$1001,6,FALSE))</f>
        <v/>
      </c>
    </row>
    <row r="645" spans="3:8" x14ac:dyDescent="0.2">
      <c r="C645" s="8" t="str">
        <f t="shared" si="20"/>
        <v/>
      </c>
      <c r="D645" s="8" t="str">
        <f t="shared" si="21"/>
        <v/>
      </c>
      <c r="H645" s="12" t="str">
        <f>IF(A645=0,"",VLOOKUP(B645,Materials!$A$2:$E$1001,6,FALSE))</f>
        <v/>
      </c>
    </row>
    <row r="646" spans="3:8" x14ac:dyDescent="0.2">
      <c r="C646" s="8" t="str">
        <f t="shared" si="20"/>
        <v/>
      </c>
      <c r="D646" s="8" t="str">
        <f t="shared" si="21"/>
        <v/>
      </c>
      <c r="H646" s="12" t="str">
        <f>IF(A646=0,"",VLOOKUP(B646,Materials!$A$2:$E$1001,6,FALSE))</f>
        <v/>
      </c>
    </row>
    <row r="647" spans="3:8" x14ac:dyDescent="0.2">
      <c r="C647" s="8" t="str">
        <f t="shared" si="20"/>
        <v/>
      </c>
      <c r="D647" s="8" t="str">
        <f t="shared" si="21"/>
        <v/>
      </c>
      <c r="H647" s="12" t="str">
        <f>IF(A647=0,"",VLOOKUP(B647,Materials!$A$2:$E$1001,6,FALSE))</f>
        <v/>
      </c>
    </row>
    <row r="648" spans="3:8" x14ac:dyDescent="0.2">
      <c r="C648" s="8" t="str">
        <f t="shared" si="20"/>
        <v/>
      </c>
      <c r="D648" s="8" t="str">
        <f t="shared" si="21"/>
        <v/>
      </c>
      <c r="H648" s="12" t="str">
        <f>IF(A648=0,"",VLOOKUP(B648,Materials!$A$2:$E$1001,6,FALSE))</f>
        <v/>
      </c>
    </row>
    <row r="649" spans="3:8" x14ac:dyDescent="0.2">
      <c r="C649" s="8" t="str">
        <f t="shared" si="20"/>
        <v/>
      </c>
      <c r="D649" s="8" t="str">
        <f t="shared" si="21"/>
        <v/>
      </c>
      <c r="H649" s="12" t="str">
        <f>IF(A649=0,"",VLOOKUP(B649,Materials!$A$2:$E$1001,6,FALSE))</f>
        <v/>
      </c>
    </row>
    <row r="650" spans="3:8" x14ac:dyDescent="0.2">
      <c r="C650" s="8" t="str">
        <f t="shared" si="20"/>
        <v/>
      </c>
      <c r="D650" s="8" t="str">
        <f t="shared" si="21"/>
        <v/>
      </c>
      <c r="H650" s="12" t="str">
        <f>IF(A650=0,"",VLOOKUP(B650,Materials!$A$2:$E$1001,6,FALSE))</f>
        <v/>
      </c>
    </row>
    <row r="651" spans="3:8" x14ac:dyDescent="0.2">
      <c r="C651" s="8" t="str">
        <f t="shared" si="20"/>
        <v/>
      </c>
      <c r="D651" s="8" t="str">
        <f t="shared" si="21"/>
        <v/>
      </c>
      <c r="H651" s="12" t="str">
        <f>IF(A651=0,"",VLOOKUP(B651,Materials!$A$2:$E$1001,6,FALSE))</f>
        <v/>
      </c>
    </row>
    <row r="652" spans="3:8" x14ac:dyDescent="0.2">
      <c r="C652" s="8" t="str">
        <f t="shared" si="20"/>
        <v/>
      </c>
      <c r="D652" s="8" t="str">
        <f t="shared" si="21"/>
        <v/>
      </c>
      <c r="H652" s="12" t="str">
        <f>IF(A652=0,"",VLOOKUP(B652,Materials!$A$2:$E$1001,6,FALSE))</f>
        <v/>
      </c>
    </row>
    <row r="653" spans="3:8" x14ac:dyDescent="0.2">
      <c r="C653" s="8" t="str">
        <f t="shared" si="20"/>
        <v/>
      </c>
      <c r="D653" s="8" t="str">
        <f t="shared" si="21"/>
        <v/>
      </c>
      <c r="H653" s="12" t="str">
        <f>IF(A653=0,"",VLOOKUP(B653,Materials!$A$2:$E$1001,6,FALSE))</f>
        <v/>
      </c>
    </row>
    <row r="654" spans="3:8" x14ac:dyDescent="0.2">
      <c r="C654" s="8" t="str">
        <f t="shared" si="20"/>
        <v/>
      </c>
      <c r="D654" s="8" t="str">
        <f t="shared" si="21"/>
        <v/>
      </c>
      <c r="H654" s="12" t="str">
        <f>IF(A654=0,"",VLOOKUP(B654,Materials!$A$2:$E$1001,6,FALSE))</f>
        <v/>
      </c>
    </row>
    <row r="655" spans="3:8" x14ac:dyDescent="0.2">
      <c r="C655" s="8" t="str">
        <f t="shared" si="20"/>
        <v/>
      </c>
      <c r="D655" s="8" t="str">
        <f t="shared" si="21"/>
        <v/>
      </c>
      <c r="H655" s="12" t="str">
        <f>IF(A655=0,"",VLOOKUP(B655,Materials!$A$2:$E$1001,6,FALSE))</f>
        <v/>
      </c>
    </row>
    <row r="656" spans="3:8" x14ac:dyDescent="0.2">
      <c r="C656" s="8" t="str">
        <f t="shared" si="20"/>
        <v/>
      </c>
      <c r="D656" s="8" t="str">
        <f t="shared" si="21"/>
        <v/>
      </c>
      <c r="H656" s="12" t="str">
        <f>IF(A656=0,"",VLOOKUP(B656,Materials!$A$2:$E$1001,6,FALSE))</f>
        <v/>
      </c>
    </row>
    <row r="657" spans="3:8" x14ac:dyDescent="0.2">
      <c r="C657" s="8" t="str">
        <f t="shared" si="20"/>
        <v/>
      </c>
      <c r="D657" s="8" t="str">
        <f t="shared" si="21"/>
        <v/>
      </c>
      <c r="H657" s="12" t="str">
        <f>IF(A657=0,"",VLOOKUP(B657,Materials!$A$2:$E$1001,6,FALSE))</f>
        <v/>
      </c>
    </row>
    <row r="658" spans="3:8" x14ac:dyDescent="0.2">
      <c r="C658" s="8" t="str">
        <f t="shared" si="20"/>
        <v/>
      </c>
      <c r="D658" s="8" t="str">
        <f t="shared" si="21"/>
        <v/>
      </c>
      <c r="H658" s="12" t="str">
        <f>IF(A658=0,"",VLOOKUP(B658,Materials!$A$2:$E$1001,6,FALSE))</f>
        <v/>
      </c>
    </row>
    <row r="659" spans="3:8" x14ac:dyDescent="0.2">
      <c r="C659" s="8" t="str">
        <f t="shared" si="20"/>
        <v/>
      </c>
      <c r="D659" s="8" t="str">
        <f t="shared" si="21"/>
        <v/>
      </c>
      <c r="H659" s="12" t="str">
        <f>IF(A659=0,"",VLOOKUP(B659,Materials!$A$2:$E$1001,6,FALSE))</f>
        <v/>
      </c>
    </row>
    <row r="660" spans="3:8" x14ac:dyDescent="0.2">
      <c r="C660" s="8" t="str">
        <f t="shared" si="20"/>
        <v/>
      </c>
      <c r="D660" s="8" t="str">
        <f t="shared" si="21"/>
        <v/>
      </c>
      <c r="H660" s="12" t="str">
        <f>IF(A660=0,"",VLOOKUP(B660,Materials!$A$2:$E$1001,6,FALSE))</f>
        <v/>
      </c>
    </row>
    <row r="661" spans="3:8" x14ac:dyDescent="0.2">
      <c r="C661" s="8" t="str">
        <f t="shared" si="20"/>
        <v/>
      </c>
      <c r="D661" s="8" t="str">
        <f t="shared" si="21"/>
        <v/>
      </c>
      <c r="H661" s="12" t="str">
        <f>IF(A661=0,"",VLOOKUP(B661,Materials!$A$2:$E$1001,6,FALSE))</f>
        <v/>
      </c>
    </row>
    <row r="662" spans="3:8" x14ac:dyDescent="0.2">
      <c r="C662" s="8" t="str">
        <f t="shared" si="20"/>
        <v/>
      </c>
      <c r="D662" s="8" t="str">
        <f t="shared" si="21"/>
        <v/>
      </c>
      <c r="H662" s="12" t="str">
        <f>IF(A662=0,"",VLOOKUP(B662,Materials!$A$2:$E$1001,6,FALSE))</f>
        <v/>
      </c>
    </row>
    <row r="663" spans="3:8" x14ac:dyDescent="0.2">
      <c r="C663" s="8" t="str">
        <f t="shared" si="20"/>
        <v/>
      </c>
      <c r="D663" s="8" t="str">
        <f t="shared" si="21"/>
        <v/>
      </c>
      <c r="H663" s="12" t="str">
        <f>IF(A663=0,"",VLOOKUP(B663,Materials!$A$2:$E$1001,6,FALSE))</f>
        <v/>
      </c>
    </row>
    <row r="664" spans="3:8" x14ac:dyDescent="0.2">
      <c r="C664" s="8" t="str">
        <f t="shared" si="20"/>
        <v/>
      </c>
      <c r="D664" s="8" t="str">
        <f t="shared" si="21"/>
        <v/>
      </c>
      <c r="H664" s="12" t="str">
        <f>IF(A664=0,"",VLOOKUP(B664,Materials!$A$2:$E$1001,6,FALSE))</f>
        <v/>
      </c>
    </row>
    <row r="665" spans="3:8" x14ac:dyDescent="0.2">
      <c r="C665" s="8" t="str">
        <f t="shared" si="20"/>
        <v/>
      </c>
      <c r="D665" s="8" t="str">
        <f t="shared" si="21"/>
        <v/>
      </c>
      <c r="H665" s="12" t="str">
        <f>IF(A665=0,"",VLOOKUP(B665,Materials!$A$2:$E$1001,6,FALSE))</f>
        <v/>
      </c>
    </row>
    <row r="666" spans="3:8" x14ac:dyDescent="0.2">
      <c r="C666" s="8" t="str">
        <f t="shared" si="20"/>
        <v/>
      </c>
      <c r="D666" s="8" t="str">
        <f t="shared" si="21"/>
        <v/>
      </c>
      <c r="H666" s="12" t="str">
        <f>IF(A666=0,"",VLOOKUP(B666,Materials!$A$2:$E$1001,6,FALSE))</f>
        <v/>
      </c>
    </row>
    <row r="667" spans="3:8" x14ac:dyDescent="0.2">
      <c r="C667" s="8" t="str">
        <f t="shared" si="20"/>
        <v/>
      </c>
      <c r="D667" s="8" t="str">
        <f t="shared" si="21"/>
        <v/>
      </c>
      <c r="H667" s="12" t="str">
        <f>IF(A667=0,"",VLOOKUP(B667,Materials!$A$2:$E$1001,6,FALSE))</f>
        <v/>
      </c>
    </row>
    <row r="668" spans="3:8" x14ac:dyDescent="0.2">
      <c r="C668" s="8" t="str">
        <f t="shared" si="20"/>
        <v/>
      </c>
      <c r="D668" s="8" t="str">
        <f t="shared" si="21"/>
        <v/>
      </c>
      <c r="H668" s="12" t="str">
        <f>IF(A668=0,"",VLOOKUP(B668,Materials!$A$2:$E$1001,6,FALSE))</f>
        <v/>
      </c>
    </row>
    <row r="669" spans="3:8" x14ac:dyDescent="0.2">
      <c r="C669" s="8" t="str">
        <f t="shared" si="20"/>
        <v/>
      </c>
      <c r="D669" s="8" t="str">
        <f t="shared" si="21"/>
        <v/>
      </c>
      <c r="H669" s="12" t="str">
        <f>IF(A669=0,"",VLOOKUP(B669,Materials!$A$2:$E$1001,6,FALSE))</f>
        <v/>
      </c>
    </row>
    <row r="670" spans="3:8" x14ac:dyDescent="0.2">
      <c r="C670" s="8" t="str">
        <f t="shared" si="20"/>
        <v/>
      </c>
      <c r="D670" s="8" t="str">
        <f t="shared" si="21"/>
        <v/>
      </c>
      <c r="H670" s="12" t="str">
        <f>IF(A670=0,"",VLOOKUP(B670,Materials!$A$2:$E$1001,6,FALSE))</f>
        <v/>
      </c>
    </row>
    <row r="671" spans="3:8" x14ac:dyDescent="0.2">
      <c r="C671" s="8" t="str">
        <f t="shared" si="20"/>
        <v/>
      </c>
      <c r="D671" s="8" t="str">
        <f t="shared" si="21"/>
        <v/>
      </c>
      <c r="H671" s="12" t="str">
        <f>IF(A671=0,"",VLOOKUP(B671,Materials!$A$2:$E$1001,6,FALSE))</f>
        <v/>
      </c>
    </row>
    <row r="672" spans="3:8" x14ac:dyDescent="0.2">
      <c r="C672" s="8" t="str">
        <f t="shared" si="20"/>
        <v/>
      </c>
      <c r="D672" s="8" t="str">
        <f t="shared" si="21"/>
        <v/>
      </c>
      <c r="H672" s="12" t="str">
        <f>IF(A672=0,"",VLOOKUP(B672,Materials!$A$2:$E$1001,6,FALSE))</f>
        <v/>
      </c>
    </row>
    <row r="673" spans="3:8" x14ac:dyDescent="0.2">
      <c r="C673" s="8" t="str">
        <f t="shared" si="20"/>
        <v/>
      </c>
      <c r="D673" s="8" t="str">
        <f t="shared" si="21"/>
        <v/>
      </c>
      <c r="H673" s="12" t="str">
        <f>IF(A673=0,"",VLOOKUP(B673,Materials!$A$2:$E$1001,6,FALSE))</f>
        <v/>
      </c>
    </row>
    <row r="674" spans="3:8" x14ac:dyDescent="0.2">
      <c r="C674" s="8" t="str">
        <f t="shared" si="20"/>
        <v/>
      </c>
      <c r="D674" s="8" t="str">
        <f t="shared" si="21"/>
        <v/>
      </c>
      <c r="H674" s="12" t="str">
        <f>IF(A674=0,"",VLOOKUP(B674,Materials!$A$2:$E$1001,6,FALSE))</f>
        <v/>
      </c>
    </row>
    <row r="675" spans="3:8" x14ac:dyDescent="0.2">
      <c r="C675" s="8" t="str">
        <f t="shared" si="20"/>
        <v/>
      </c>
      <c r="D675" s="8" t="str">
        <f t="shared" si="21"/>
        <v/>
      </c>
      <c r="H675" s="12" t="str">
        <f>IF(A675=0,"",VLOOKUP(B675,Materials!$A$2:$E$1001,6,FALSE))</f>
        <v/>
      </c>
    </row>
    <row r="676" spans="3:8" x14ac:dyDescent="0.2">
      <c r="C676" s="8" t="str">
        <f t="shared" si="20"/>
        <v/>
      </c>
      <c r="D676" s="8" t="str">
        <f t="shared" si="21"/>
        <v/>
      </c>
      <c r="H676" s="12" t="str">
        <f>IF(A676=0,"",VLOOKUP(B676,Materials!$A$2:$E$1001,6,FALSE))</f>
        <v/>
      </c>
    </row>
    <row r="677" spans="3:8" x14ac:dyDescent="0.2">
      <c r="C677" s="8" t="str">
        <f t="shared" si="20"/>
        <v/>
      </c>
      <c r="D677" s="8" t="str">
        <f t="shared" si="21"/>
        <v/>
      </c>
      <c r="H677" s="12" t="str">
        <f>IF(A677=0,"",VLOOKUP(B677,Materials!$A$2:$E$1001,6,FALSE))</f>
        <v/>
      </c>
    </row>
    <row r="678" spans="3:8" x14ac:dyDescent="0.2">
      <c r="C678" s="8" t="str">
        <f t="shared" si="20"/>
        <v/>
      </c>
      <c r="D678" s="8" t="str">
        <f t="shared" si="21"/>
        <v/>
      </c>
      <c r="H678" s="12" t="str">
        <f>IF(A678=0,"",VLOOKUP(B678,Materials!$A$2:$E$1001,6,FALSE))</f>
        <v/>
      </c>
    </row>
    <row r="679" spans="3:8" x14ac:dyDescent="0.2">
      <c r="C679" s="8" t="str">
        <f t="shared" si="20"/>
        <v/>
      </c>
      <c r="D679" s="8" t="str">
        <f t="shared" si="21"/>
        <v/>
      </c>
      <c r="H679" s="12" t="str">
        <f>IF(A679=0,"",VLOOKUP(B679,Materials!$A$2:$E$1001,6,FALSE))</f>
        <v/>
      </c>
    </row>
    <row r="680" spans="3:8" x14ac:dyDescent="0.2">
      <c r="C680" s="8" t="str">
        <f t="shared" si="20"/>
        <v/>
      </c>
      <c r="D680" s="8" t="str">
        <f t="shared" si="21"/>
        <v/>
      </c>
      <c r="H680" s="12" t="str">
        <f>IF(A680=0,"",VLOOKUP(B680,Materials!$A$2:$E$1001,6,FALSE))</f>
        <v/>
      </c>
    </row>
    <row r="681" spans="3:8" x14ac:dyDescent="0.2">
      <c r="C681" s="8" t="str">
        <f t="shared" si="20"/>
        <v/>
      </c>
      <c r="D681" s="8" t="str">
        <f t="shared" si="21"/>
        <v/>
      </c>
      <c r="H681" s="12" t="str">
        <f>IF(A681=0,"",VLOOKUP(B681,Materials!$A$2:$E$1001,6,FALSE))</f>
        <v/>
      </c>
    </row>
    <row r="682" spans="3:8" x14ac:dyDescent="0.2">
      <c r="C682" s="8" t="str">
        <f t="shared" si="20"/>
        <v/>
      </c>
      <c r="D682" s="8" t="str">
        <f t="shared" si="21"/>
        <v/>
      </c>
      <c r="H682" s="12" t="str">
        <f>IF(A682=0,"",VLOOKUP(B682,Materials!$A$2:$E$1001,6,FALSE))</f>
        <v/>
      </c>
    </row>
    <row r="683" spans="3:8" x14ac:dyDescent="0.2">
      <c r="C683" s="8" t="str">
        <f t="shared" si="20"/>
        <v/>
      </c>
      <c r="D683" s="8" t="str">
        <f t="shared" si="21"/>
        <v/>
      </c>
      <c r="H683" s="12" t="str">
        <f>IF(A683=0,"",VLOOKUP(B683,Materials!$A$2:$E$1001,6,FALSE))</f>
        <v/>
      </c>
    </row>
    <row r="684" spans="3:8" x14ac:dyDescent="0.2">
      <c r="C684" s="8" t="str">
        <f t="shared" si="20"/>
        <v/>
      </c>
      <c r="D684" s="8" t="str">
        <f t="shared" si="21"/>
        <v/>
      </c>
      <c r="H684" s="12" t="str">
        <f>IF(A684=0,"",VLOOKUP(B684,Materials!$A$2:$E$1001,6,FALSE))</f>
        <v/>
      </c>
    </row>
    <row r="685" spans="3:8" x14ac:dyDescent="0.2">
      <c r="C685" s="8" t="str">
        <f t="shared" si="20"/>
        <v/>
      </c>
      <c r="D685" s="8" t="str">
        <f t="shared" si="21"/>
        <v/>
      </c>
      <c r="H685" s="12" t="str">
        <f>IF(A685=0,"",VLOOKUP(B685,Materials!$A$2:$E$1001,6,FALSE))</f>
        <v/>
      </c>
    </row>
    <row r="686" spans="3:8" x14ac:dyDescent="0.2">
      <c r="C686" s="8" t="str">
        <f t="shared" si="20"/>
        <v/>
      </c>
      <c r="D686" s="8" t="str">
        <f t="shared" si="21"/>
        <v/>
      </c>
      <c r="H686" s="12" t="str">
        <f>IF(A686=0,"",VLOOKUP(B686,Materials!$A$2:$E$1001,6,FALSE))</f>
        <v/>
      </c>
    </row>
    <row r="687" spans="3:8" x14ac:dyDescent="0.2">
      <c r="C687" s="8" t="str">
        <f t="shared" si="20"/>
        <v/>
      </c>
      <c r="D687" s="8" t="str">
        <f t="shared" si="21"/>
        <v/>
      </c>
      <c r="H687" s="12" t="str">
        <f>IF(A687=0,"",VLOOKUP(B687,Materials!$A$2:$E$1001,6,FALSE))</f>
        <v/>
      </c>
    </row>
    <row r="688" spans="3:8" x14ac:dyDescent="0.2">
      <c r="C688" s="8" t="str">
        <f t="shared" si="20"/>
        <v/>
      </c>
      <c r="D688" s="8" t="str">
        <f t="shared" si="21"/>
        <v/>
      </c>
      <c r="H688" s="12" t="str">
        <f>IF(A688=0,"",VLOOKUP(B688,Materials!$A$2:$E$1001,6,FALSE))</f>
        <v/>
      </c>
    </row>
    <row r="689" spans="3:8" x14ac:dyDescent="0.2">
      <c r="C689" s="8" t="str">
        <f t="shared" si="20"/>
        <v/>
      </c>
      <c r="D689" s="8" t="str">
        <f t="shared" si="21"/>
        <v/>
      </c>
      <c r="H689" s="12" t="str">
        <f>IF(A689=0,"",VLOOKUP(B689,Materials!$A$2:$E$1001,6,FALSE))</f>
        <v/>
      </c>
    </row>
    <row r="690" spans="3:8" x14ac:dyDescent="0.2">
      <c r="C690" s="8" t="str">
        <f t="shared" si="20"/>
        <v/>
      </c>
      <c r="D690" s="8" t="str">
        <f t="shared" si="21"/>
        <v/>
      </c>
      <c r="H690" s="12" t="str">
        <f>IF(A690=0,"",VLOOKUP(B690,Materials!$A$2:$E$1001,6,FALSE))</f>
        <v/>
      </c>
    </row>
    <row r="691" spans="3:8" x14ac:dyDescent="0.2">
      <c r="C691" s="8" t="str">
        <f t="shared" si="20"/>
        <v/>
      </c>
      <c r="D691" s="8" t="str">
        <f t="shared" si="21"/>
        <v/>
      </c>
      <c r="H691" s="12" t="str">
        <f>IF(A691=0,"",VLOOKUP(B691,Materials!$A$2:$E$1001,6,FALSE))</f>
        <v/>
      </c>
    </row>
    <row r="692" spans="3:8" x14ac:dyDescent="0.2">
      <c r="C692" s="8" t="str">
        <f t="shared" si="20"/>
        <v/>
      </c>
      <c r="D692" s="8" t="str">
        <f t="shared" si="21"/>
        <v/>
      </c>
      <c r="H692" s="12" t="str">
        <f>IF(A692=0,"",VLOOKUP(B692,Materials!$A$2:$E$1001,6,FALSE))</f>
        <v/>
      </c>
    </row>
    <row r="693" spans="3:8" x14ac:dyDescent="0.2">
      <c r="C693" s="8" t="str">
        <f t="shared" si="20"/>
        <v/>
      </c>
      <c r="D693" s="8" t="str">
        <f t="shared" si="21"/>
        <v/>
      </c>
      <c r="H693" s="12" t="str">
        <f>IF(A693=0,"",VLOOKUP(B693,Materials!$A$2:$E$1001,6,FALSE))</f>
        <v/>
      </c>
    </row>
    <row r="694" spans="3:8" x14ac:dyDescent="0.2">
      <c r="C694" s="8" t="str">
        <f t="shared" si="20"/>
        <v/>
      </c>
      <c r="D694" s="8" t="str">
        <f t="shared" si="21"/>
        <v/>
      </c>
      <c r="H694" s="12" t="str">
        <f>IF(A694=0,"",VLOOKUP(B694,Materials!$A$2:$E$1001,6,FALSE))</f>
        <v/>
      </c>
    </row>
    <row r="695" spans="3:8" x14ac:dyDescent="0.2">
      <c r="C695" s="8" t="str">
        <f t="shared" si="20"/>
        <v/>
      </c>
      <c r="D695" s="8" t="str">
        <f t="shared" si="21"/>
        <v/>
      </c>
      <c r="H695" s="12" t="str">
        <f>IF(A695=0,"",VLOOKUP(B695,Materials!$A$2:$E$1001,6,FALSE))</f>
        <v/>
      </c>
    </row>
    <row r="696" spans="3:8" x14ac:dyDescent="0.2">
      <c r="C696" s="8" t="str">
        <f t="shared" si="20"/>
        <v/>
      </c>
      <c r="D696" s="8" t="str">
        <f t="shared" si="21"/>
        <v/>
      </c>
      <c r="H696" s="12" t="str">
        <f>IF(A696=0,"",VLOOKUP(B696,Materials!$A$2:$E$1001,6,FALSE))</f>
        <v/>
      </c>
    </row>
    <row r="697" spans="3:8" x14ac:dyDescent="0.2">
      <c r="C697" s="8" t="str">
        <f t="shared" si="20"/>
        <v/>
      </c>
      <c r="D697" s="8" t="str">
        <f t="shared" si="21"/>
        <v/>
      </c>
      <c r="H697" s="12" t="str">
        <f>IF(A697=0,"",VLOOKUP(B697,Materials!$A$2:$E$1001,6,FALSE))</f>
        <v/>
      </c>
    </row>
    <row r="698" spans="3:8" x14ac:dyDescent="0.2">
      <c r="C698" s="8" t="str">
        <f t="shared" si="20"/>
        <v/>
      </c>
      <c r="D698" s="8" t="str">
        <f t="shared" si="21"/>
        <v/>
      </c>
      <c r="H698" s="12" t="str">
        <f>IF(A698=0,"",VLOOKUP(B698,Materials!$A$2:$E$1001,6,FALSE))</f>
        <v/>
      </c>
    </row>
    <row r="699" spans="3:8" x14ac:dyDescent="0.2">
      <c r="C699" s="8" t="str">
        <f t="shared" si="20"/>
        <v/>
      </c>
      <c r="D699" s="8" t="str">
        <f t="shared" si="21"/>
        <v/>
      </c>
      <c r="H699" s="12" t="str">
        <f>IF(A699=0,"",VLOOKUP(B699,Materials!$A$2:$E$1001,6,FALSE))</f>
        <v/>
      </c>
    </row>
    <row r="700" spans="3:8" x14ac:dyDescent="0.2">
      <c r="C700" s="8" t="str">
        <f t="shared" si="20"/>
        <v/>
      </c>
      <c r="D700" s="8" t="str">
        <f t="shared" si="21"/>
        <v/>
      </c>
      <c r="H700" s="12" t="str">
        <f>IF(A700=0,"",VLOOKUP(B700,Materials!$A$2:$E$1001,6,FALSE))</f>
        <v/>
      </c>
    </row>
    <row r="701" spans="3:8" x14ac:dyDescent="0.2">
      <c r="C701" s="8" t="str">
        <f t="shared" si="20"/>
        <v/>
      </c>
      <c r="D701" s="8" t="str">
        <f t="shared" si="21"/>
        <v/>
      </c>
      <c r="H701" s="12" t="str">
        <f>IF(A701=0,"",VLOOKUP(B701,Materials!$A$2:$E$1001,6,FALSE))</f>
        <v/>
      </c>
    </row>
    <row r="702" spans="3:8" x14ac:dyDescent="0.2">
      <c r="C702" s="8" t="str">
        <f t="shared" si="20"/>
        <v/>
      </c>
      <c r="D702" s="8" t="str">
        <f t="shared" si="21"/>
        <v/>
      </c>
      <c r="H702" s="12" t="str">
        <f>IF(A702=0,"",VLOOKUP(B702,Materials!$A$2:$E$1001,6,FALSE))</f>
        <v/>
      </c>
    </row>
    <row r="703" spans="3:8" x14ac:dyDescent="0.2">
      <c r="C703" s="8" t="str">
        <f t="shared" si="20"/>
        <v/>
      </c>
      <c r="D703" s="8" t="str">
        <f t="shared" si="21"/>
        <v/>
      </c>
      <c r="H703" s="12" t="str">
        <f>IF(A703=0,"",VLOOKUP(B703,Materials!$A$2:$E$1001,6,FALSE))</f>
        <v/>
      </c>
    </row>
    <row r="704" spans="3:8" x14ac:dyDescent="0.2">
      <c r="C704" s="8" t="str">
        <f t="shared" si="20"/>
        <v/>
      </c>
      <c r="D704" s="8" t="str">
        <f t="shared" si="21"/>
        <v/>
      </c>
      <c r="H704" s="12" t="str">
        <f>IF(A704=0,"",VLOOKUP(B704,Materials!$A$2:$E$1001,6,FALSE))</f>
        <v/>
      </c>
    </row>
    <row r="705" spans="3:8" x14ac:dyDescent="0.2">
      <c r="C705" s="8" t="str">
        <f t="shared" si="20"/>
        <v/>
      </c>
      <c r="D705" s="8" t="str">
        <f t="shared" si="21"/>
        <v/>
      </c>
      <c r="H705" s="12" t="str">
        <f>IF(A705=0,"",VLOOKUP(B705,Materials!$A$2:$E$1001,6,FALSE))</f>
        <v/>
      </c>
    </row>
    <row r="706" spans="3:8" x14ac:dyDescent="0.2">
      <c r="C706" s="8" t="str">
        <f t="shared" ref="C706:C769" si="22">IF(A706=0,"",VLOOKUP(B706,MatDB,2,FALSE))</f>
        <v/>
      </c>
      <c r="D706" s="8" t="str">
        <f t="shared" si="21"/>
        <v/>
      </c>
      <c r="H706" s="12" t="str">
        <f>IF(A706=0,"",VLOOKUP(B706,Materials!$A$2:$E$1001,6,FALSE))</f>
        <v/>
      </c>
    </row>
    <row r="707" spans="3:8" x14ac:dyDescent="0.2">
      <c r="C707" s="8" t="str">
        <f t="shared" si="22"/>
        <v/>
      </c>
      <c r="D707" s="8" t="str">
        <f t="shared" ref="D707:D770" si="23">IF(A707=0,"","Concrete04")</f>
        <v/>
      </c>
      <c r="H707" s="12" t="str">
        <f>IF(A707=0,"",VLOOKUP(B707,Materials!$A$2:$E$1001,6,FALSE))</f>
        <v/>
      </c>
    </row>
    <row r="708" spans="3:8" x14ac:dyDescent="0.2">
      <c r="C708" s="8" t="str">
        <f t="shared" si="22"/>
        <v/>
      </c>
      <c r="D708" s="8" t="str">
        <f t="shared" si="23"/>
        <v/>
      </c>
      <c r="H708" s="12" t="str">
        <f>IF(A708=0,"",VLOOKUP(B708,Materials!$A$2:$E$1001,6,FALSE))</f>
        <v/>
      </c>
    </row>
    <row r="709" spans="3:8" x14ac:dyDescent="0.2">
      <c r="C709" s="8" t="str">
        <f t="shared" si="22"/>
        <v/>
      </c>
      <c r="D709" s="8" t="str">
        <f t="shared" si="23"/>
        <v/>
      </c>
      <c r="H709" s="12" t="str">
        <f>IF(A709=0,"",VLOOKUP(B709,Materials!$A$2:$E$1001,6,FALSE))</f>
        <v/>
      </c>
    </row>
    <row r="710" spans="3:8" x14ac:dyDescent="0.2">
      <c r="C710" s="8" t="str">
        <f t="shared" si="22"/>
        <v/>
      </c>
      <c r="D710" s="8" t="str">
        <f t="shared" si="23"/>
        <v/>
      </c>
      <c r="H710" s="12" t="str">
        <f>IF(A710=0,"",VLOOKUP(B710,Materials!$A$2:$E$1001,6,FALSE))</f>
        <v/>
      </c>
    </row>
    <row r="711" spans="3:8" x14ac:dyDescent="0.2">
      <c r="C711" s="8" t="str">
        <f t="shared" si="22"/>
        <v/>
      </c>
      <c r="D711" s="8" t="str">
        <f t="shared" si="23"/>
        <v/>
      </c>
      <c r="H711" s="12" t="str">
        <f>IF(A711=0,"",VLOOKUP(B711,Materials!$A$2:$E$1001,6,FALSE))</f>
        <v/>
      </c>
    </row>
    <row r="712" spans="3:8" x14ac:dyDescent="0.2">
      <c r="C712" s="8" t="str">
        <f t="shared" si="22"/>
        <v/>
      </c>
      <c r="D712" s="8" t="str">
        <f t="shared" si="23"/>
        <v/>
      </c>
      <c r="H712" s="12" t="str">
        <f>IF(A712=0,"",VLOOKUP(B712,Materials!$A$2:$E$1001,6,FALSE))</f>
        <v/>
      </c>
    </row>
    <row r="713" spans="3:8" x14ac:dyDescent="0.2">
      <c r="C713" s="8" t="str">
        <f t="shared" si="22"/>
        <v/>
      </c>
      <c r="D713" s="8" t="str">
        <f t="shared" si="23"/>
        <v/>
      </c>
      <c r="H713" s="12" t="str">
        <f>IF(A713=0,"",VLOOKUP(B713,Materials!$A$2:$E$1001,6,FALSE))</f>
        <v/>
      </c>
    </row>
    <row r="714" spans="3:8" x14ac:dyDescent="0.2">
      <c r="C714" s="8" t="str">
        <f t="shared" si="22"/>
        <v/>
      </c>
      <c r="D714" s="8" t="str">
        <f t="shared" si="23"/>
        <v/>
      </c>
      <c r="H714" s="12" t="str">
        <f>IF(A714=0,"",VLOOKUP(B714,Materials!$A$2:$E$1001,6,FALSE))</f>
        <v/>
      </c>
    </row>
    <row r="715" spans="3:8" x14ac:dyDescent="0.2">
      <c r="C715" s="8" t="str">
        <f t="shared" si="22"/>
        <v/>
      </c>
      <c r="D715" s="8" t="str">
        <f t="shared" si="23"/>
        <v/>
      </c>
      <c r="H715" s="12" t="str">
        <f>IF(A715=0,"",VLOOKUP(B715,Materials!$A$2:$E$1001,6,FALSE))</f>
        <v/>
      </c>
    </row>
    <row r="716" spans="3:8" x14ac:dyDescent="0.2">
      <c r="C716" s="8" t="str">
        <f t="shared" si="22"/>
        <v/>
      </c>
      <c r="D716" s="8" t="str">
        <f t="shared" si="23"/>
        <v/>
      </c>
      <c r="H716" s="12" t="str">
        <f>IF(A716=0,"",VLOOKUP(B716,Materials!$A$2:$E$1001,6,FALSE))</f>
        <v/>
      </c>
    </row>
    <row r="717" spans="3:8" x14ac:dyDescent="0.2">
      <c r="C717" s="8" t="str">
        <f t="shared" si="22"/>
        <v/>
      </c>
      <c r="D717" s="8" t="str">
        <f t="shared" si="23"/>
        <v/>
      </c>
      <c r="H717" s="12" t="str">
        <f>IF(A717=0,"",VLOOKUP(B717,Materials!$A$2:$E$1001,6,FALSE))</f>
        <v/>
      </c>
    </row>
    <row r="718" spans="3:8" x14ac:dyDescent="0.2">
      <c r="C718" s="8" t="str">
        <f t="shared" si="22"/>
        <v/>
      </c>
      <c r="D718" s="8" t="str">
        <f t="shared" si="23"/>
        <v/>
      </c>
      <c r="H718" s="12" t="str">
        <f>IF(A718=0,"",VLOOKUP(B718,Materials!$A$2:$E$1001,6,FALSE))</f>
        <v/>
      </c>
    </row>
    <row r="719" spans="3:8" x14ac:dyDescent="0.2">
      <c r="C719" s="8" t="str">
        <f t="shared" si="22"/>
        <v/>
      </c>
      <c r="D719" s="8" t="str">
        <f t="shared" si="23"/>
        <v/>
      </c>
      <c r="H719" s="12" t="str">
        <f>IF(A719=0,"",VLOOKUP(B719,Materials!$A$2:$E$1001,6,FALSE))</f>
        <v/>
      </c>
    </row>
    <row r="720" spans="3:8" x14ac:dyDescent="0.2">
      <c r="C720" s="8" t="str">
        <f t="shared" si="22"/>
        <v/>
      </c>
      <c r="D720" s="8" t="str">
        <f t="shared" si="23"/>
        <v/>
      </c>
      <c r="H720" s="12" t="str">
        <f>IF(A720=0,"",VLOOKUP(B720,Materials!$A$2:$E$1001,6,FALSE))</f>
        <v/>
      </c>
    </row>
    <row r="721" spans="3:8" x14ac:dyDescent="0.2">
      <c r="C721" s="8" t="str">
        <f t="shared" si="22"/>
        <v/>
      </c>
      <c r="D721" s="8" t="str">
        <f t="shared" si="23"/>
        <v/>
      </c>
      <c r="H721" s="12" t="str">
        <f>IF(A721=0,"",VLOOKUP(B721,Materials!$A$2:$E$1001,6,FALSE))</f>
        <v/>
      </c>
    </row>
    <row r="722" spans="3:8" x14ac:dyDescent="0.2">
      <c r="C722" s="8" t="str">
        <f t="shared" si="22"/>
        <v/>
      </c>
      <c r="D722" s="8" t="str">
        <f t="shared" si="23"/>
        <v/>
      </c>
      <c r="H722" s="12" t="str">
        <f>IF(A722=0,"",VLOOKUP(B722,Materials!$A$2:$E$1001,6,FALSE))</f>
        <v/>
      </c>
    </row>
    <row r="723" spans="3:8" x14ac:dyDescent="0.2">
      <c r="C723" s="8" t="str">
        <f t="shared" si="22"/>
        <v/>
      </c>
      <c r="D723" s="8" t="str">
        <f t="shared" si="23"/>
        <v/>
      </c>
      <c r="H723" s="12" t="str">
        <f>IF(A723=0,"",VLOOKUP(B723,Materials!$A$2:$E$1001,6,FALSE))</f>
        <v/>
      </c>
    </row>
    <row r="724" spans="3:8" x14ac:dyDescent="0.2">
      <c r="C724" s="8" t="str">
        <f t="shared" si="22"/>
        <v/>
      </c>
      <c r="D724" s="8" t="str">
        <f t="shared" si="23"/>
        <v/>
      </c>
      <c r="H724" s="12" t="str">
        <f>IF(A724=0,"",VLOOKUP(B724,Materials!$A$2:$E$1001,6,FALSE))</f>
        <v/>
      </c>
    </row>
    <row r="725" spans="3:8" x14ac:dyDescent="0.2">
      <c r="C725" s="8" t="str">
        <f t="shared" si="22"/>
        <v/>
      </c>
      <c r="D725" s="8" t="str">
        <f t="shared" si="23"/>
        <v/>
      </c>
      <c r="H725" s="12" t="str">
        <f>IF(A725=0,"",VLOOKUP(B725,Materials!$A$2:$E$1001,6,FALSE))</f>
        <v/>
      </c>
    </row>
    <row r="726" spans="3:8" x14ac:dyDescent="0.2">
      <c r="C726" s="8" t="str">
        <f t="shared" si="22"/>
        <v/>
      </c>
      <c r="D726" s="8" t="str">
        <f t="shared" si="23"/>
        <v/>
      </c>
      <c r="H726" s="12" t="str">
        <f>IF(A726=0,"",VLOOKUP(B726,Materials!$A$2:$E$1001,6,FALSE))</f>
        <v/>
      </c>
    </row>
    <row r="727" spans="3:8" x14ac:dyDescent="0.2">
      <c r="C727" s="8" t="str">
        <f t="shared" si="22"/>
        <v/>
      </c>
      <c r="D727" s="8" t="str">
        <f t="shared" si="23"/>
        <v/>
      </c>
      <c r="H727" s="12" t="str">
        <f>IF(A727=0,"",VLOOKUP(B727,Materials!$A$2:$E$1001,6,FALSE))</f>
        <v/>
      </c>
    </row>
    <row r="728" spans="3:8" x14ac:dyDescent="0.2">
      <c r="C728" s="8" t="str">
        <f t="shared" si="22"/>
        <v/>
      </c>
      <c r="D728" s="8" t="str">
        <f t="shared" si="23"/>
        <v/>
      </c>
      <c r="H728" s="12" t="str">
        <f>IF(A728=0,"",VLOOKUP(B728,Materials!$A$2:$E$1001,6,FALSE))</f>
        <v/>
      </c>
    </row>
    <row r="729" spans="3:8" x14ac:dyDescent="0.2">
      <c r="C729" s="8" t="str">
        <f t="shared" si="22"/>
        <v/>
      </c>
      <c r="D729" s="8" t="str">
        <f t="shared" si="23"/>
        <v/>
      </c>
      <c r="H729" s="12" t="str">
        <f>IF(A729=0,"",VLOOKUP(B729,Materials!$A$2:$E$1001,6,FALSE))</f>
        <v/>
      </c>
    </row>
    <row r="730" spans="3:8" x14ac:dyDescent="0.2">
      <c r="C730" s="8" t="str">
        <f t="shared" si="22"/>
        <v/>
      </c>
      <c r="D730" s="8" t="str">
        <f t="shared" si="23"/>
        <v/>
      </c>
      <c r="H730" s="12" t="str">
        <f>IF(A730=0,"",VLOOKUP(B730,Materials!$A$2:$E$1001,6,FALSE))</f>
        <v/>
      </c>
    </row>
    <row r="731" spans="3:8" x14ac:dyDescent="0.2">
      <c r="C731" s="8" t="str">
        <f t="shared" si="22"/>
        <v/>
      </c>
      <c r="D731" s="8" t="str">
        <f t="shared" si="23"/>
        <v/>
      </c>
      <c r="H731" s="12" t="str">
        <f>IF(A731=0,"",VLOOKUP(B731,Materials!$A$2:$E$1001,6,FALSE))</f>
        <v/>
      </c>
    </row>
    <row r="732" spans="3:8" x14ac:dyDescent="0.2">
      <c r="C732" s="8" t="str">
        <f t="shared" si="22"/>
        <v/>
      </c>
      <c r="D732" s="8" t="str">
        <f t="shared" si="23"/>
        <v/>
      </c>
      <c r="H732" s="12" t="str">
        <f>IF(A732=0,"",VLOOKUP(B732,Materials!$A$2:$E$1001,6,FALSE))</f>
        <v/>
      </c>
    </row>
    <row r="733" spans="3:8" x14ac:dyDescent="0.2">
      <c r="C733" s="8" t="str">
        <f t="shared" si="22"/>
        <v/>
      </c>
      <c r="D733" s="8" t="str">
        <f t="shared" si="23"/>
        <v/>
      </c>
      <c r="H733" s="12" t="str">
        <f>IF(A733=0,"",VLOOKUP(B733,Materials!$A$2:$E$1001,6,FALSE))</f>
        <v/>
      </c>
    </row>
    <row r="734" spans="3:8" x14ac:dyDescent="0.2">
      <c r="C734" s="8" t="str">
        <f t="shared" si="22"/>
        <v/>
      </c>
      <c r="D734" s="8" t="str">
        <f t="shared" si="23"/>
        <v/>
      </c>
      <c r="H734" s="12" t="str">
        <f>IF(A734=0,"",VLOOKUP(B734,Materials!$A$2:$E$1001,6,FALSE))</f>
        <v/>
      </c>
    </row>
    <row r="735" spans="3:8" x14ac:dyDescent="0.2">
      <c r="C735" s="8" t="str">
        <f t="shared" si="22"/>
        <v/>
      </c>
      <c r="D735" s="8" t="str">
        <f t="shared" si="23"/>
        <v/>
      </c>
      <c r="H735" s="12" t="str">
        <f>IF(A735=0,"",VLOOKUP(B735,Materials!$A$2:$E$1001,6,FALSE))</f>
        <v/>
      </c>
    </row>
    <row r="736" spans="3:8" x14ac:dyDescent="0.2">
      <c r="C736" s="8" t="str">
        <f t="shared" si="22"/>
        <v/>
      </c>
      <c r="D736" s="8" t="str">
        <f t="shared" si="23"/>
        <v/>
      </c>
      <c r="H736" s="12" t="str">
        <f>IF(A736=0,"",VLOOKUP(B736,Materials!$A$2:$E$1001,6,FALSE))</f>
        <v/>
      </c>
    </row>
    <row r="737" spans="3:8" x14ac:dyDescent="0.2">
      <c r="C737" s="8" t="str">
        <f t="shared" si="22"/>
        <v/>
      </c>
      <c r="D737" s="8" t="str">
        <f t="shared" si="23"/>
        <v/>
      </c>
      <c r="H737" s="12" t="str">
        <f>IF(A737=0,"",VLOOKUP(B737,Materials!$A$2:$E$1001,6,FALSE))</f>
        <v/>
      </c>
    </row>
    <row r="738" spans="3:8" x14ac:dyDescent="0.2">
      <c r="C738" s="8" t="str">
        <f t="shared" si="22"/>
        <v/>
      </c>
      <c r="D738" s="8" t="str">
        <f t="shared" si="23"/>
        <v/>
      </c>
      <c r="H738" s="12" t="str">
        <f>IF(A738=0,"",VLOOKUP(B738,Materials!$A$2:$E$1001,6,FALSE))</f>
        <v/>
      </c>
    </row>
    <row r="739" spans="3:8" x14ac:dyDescent="0.2">
      <c r="C739" s="8" t="str">
        <f t="shared" si="22"/>
        <v/>
      </c>
      <c r="D739" s="8" t="str">
        <f t="shared" si="23"/>
        <v/>
      </c>
      <c r="H739" s="12" t="str">
        <f>IF(A739=0,"",VLOOKUP(B739,Materials!$A$2:$E$1001,6,FALSE))</f>
        <v/>
      </c>
    </row>
    <row r="740" spans="3:8" x14ac:dyDescent="0.2">
      <c r="C740" s="8" t="str">
        <f t="shared" si="22"/>
        <v/>
      </c>
      <c r="D740" s="8" t="str">
        <f t="shared" si="23"/>
        <v/>
      </c>
      <c r="H740" s="12" t="str">
        <f>IF(A740=0,"",VLOOKUP(B740,Materials!$A$2:$E$1001,6,FALSE))</f>
        <v/>
      </c>
    </row>
    <row r="741" spans="3:8" x14ac:dyDescent="0.2">
      <c r="C741" s="8" t="str">
        <f t="shared" si="22"/>
        <v/>
      </c>
      <c r="D741" s="8" t="str">
        <f t="shared" si="23"/>
        <v/>
      </c>
      <c r="H741" s="12" t="str">
        <f>IF(A741=0,"",VLOOKUP(B741,Materials!$A$2:$E$1001,6,FALSE))</f>
        <v/>
      </c>
    </row>
    <row r="742" spans="3:8" x14ac:dyDescent="0.2">
      <c r="C742" s="8" t="str">
        <f t="shared" si="22"/>
        <v/>
      </c>
      <c r="D742" s="8" t="str">
        <f t="shared" si="23"/>
        <v/>
      </c>
      <c r="H742" s="12" t="str">
        <f>IF(A742=0,"",VLOOKUP(B742,Materials!$A$2:$E$1001,6,FALSE))</f>
        <v/>
      </c>
    </row>
    <row r="743" spans="3:8" x14ac:dyDescent="0.2">
      <c r="C743" s="8" t="str">
        <f t="shared" si="22"/>
        <v/>
      </c>
      <c r="D743" s="8" t="str">
        <f t="shared" si="23"/>
        <v/>
      </c>
      <c r="H743" s="12" t="str">
        <f>IF(A743=0,"",VLOOKUP(B743,Materials!$A$2:$E$1001,6,FALSE))</f>
        <v/>
      </c>
    </row>
    <row r="744" spans="3:8" x14ac:dyDescent="0.2">
      <c r="C744" s="8" t="str">
        <f t="shared" si="22"/>
        <v/>
      </c>
      <c r="D744" s="8" t="str">
        <f t="shared" si="23"/>
        <v/>
      </c>
      <c r="H744" s="12" t="str">
        <f>IF(A744=0,"",VLOOKUP(B744,Materials!$A$2:$E$1001,6,FALSE))</f>
        <v/>
      </c>
    </row>
    <row r="745" spans="3:8" x14ac:dyDescent="0.2">
      <c r="C745" s="8" t="str">
        <f t="shared" si="22"/>
        <v/>
      </c>
      <c r="D745" s="8" t="str">
        <f t="shared" si="23"/>
        <v/>
      </c>
      <c r="H745" s="12" t="str">
        <f>IF(A745=0,"",VLOOKUP(B745,Materials!$A$2:$E$1001,6,FALSE))</f>
        <v/>
      </c>
    </row>
    <row r="746" spans="3:8" x14ac:dyDescent="0.2">
      <c r="C746" s="8" t="str">
        <f t="shared" si="22"/>
        <v/>
      </c>
      <c r="D746" s="8" t="str">
        <f t="shared" si="23"/>
        <v/>
      </c>
      <c r="H746" s="12" t="str">
        <f>IF(A746=0,"",VLOOKUP(B746,Materials!$A$2:$E$1001,6,FALSE))</f>
        <v/>
      </c>
    </row>
    <row r="747" spans="3:8" x14ac:dyDescent="0.2">
      <c r="C747" s="8" t="str">
        <f t="shared" si="22"/>
        <v/>
      </c>
      <c r="D747" s="8" t="str">
        <f t="shared" si="23"/>
        <v/>
      </c>
      <c r="H747" s="12" t="str">
        <f>IF(A747=0,"",VLOOKUP(B747,Materials!$A$2:$E$1001,6,FALSE))</f>
        <v/>
      </c>
    </row>
    <row r="748" spans="3:8" x14ac:dyDescent="0.2">
      <c r="C748" s="8" t="str">
        <f t="shared" si="22"/>
        <v/>
      </c>
      <c r="D748" s="8" t="str">
        <f t="shared" si="23"/>
        <v/>
      </c>
      <c r="H748" s="12" t="str">
        <f>IF(A748=0,"",VLOOKUP(B748,Materials!$A$2:$E$1001,6,FALSE))</f>
        <v/>
      </c>
    </row>
    <row r="749" spans="3:8" x14ac:dyDescent="0.2">
      <c r="C749" s="8" t="str">
        <f t="shared" si="22"/>
        <v/>
      </c>
      <c r="D749" s="8" t="str">
        <f t="shared" si="23"/>
        <v/>
      </c>
      <c r="H749" s="12" t="str">
        <f>IF(A749=0,"",VLOOKUP(B749,Materials!$A$2:$E$1001,6,FALSE))</f>
        <v/>
      </c>
    </row>
    <row r="750" spans="3:8" x14ac:dyDescent="0.2">
      <c r="C750" s="8" t="str">
        <f t="shared" si="22"/>
        <v/>
      </c>
      <c r="D750" s="8" t="str">
        <f t="shared" si="23"/>
        <v/>
      </c>
      <c r="H750" s="12" t="str">
        <f>IF(A750=0,"",VLOOKUP(B750,Materials!$A$2:$E$1001,6,FALSE))</f>
        <v/>
      </c>
    </row>
    <row r="751" spans="3:8" x14ac:dyDescent="0.2">
      <c r="C751" s="8" t="str">
        <f t="shared" si="22"/>
        <v/>
      </c>
      <c r="D751" s="8" t="str">
        <f t="shared" si="23"/>
        <v/>
      </c>
      <c r="H751" s="12" t="str">
        <f>IF(A751=0,"",VLOOKUP(B751,Materials!$A$2:$E$1001,6,FALSE))</f>
        <v/>
      </c>
    </row>
    <row r="752" spans="3:8" x14ac:dyDescent="0.2">
      <c r="C752" s="8" t="str">
        <f t="shared" si="22"/>
        <v/>
      </c>
      <c r="D752" s="8" t="str">
        <f t="shared" si="23"/>
        <v/>
      </c>
      <c r="H752" s="12" t="str">
        <f>IF(A752=0,"",VLOOKUP(B752,Materials!$A$2:$E$1001,6,FALSE))</f>
        <v/>
      </c>
    </row>
    <row r="753" spans="3:8" x14ac:dyDescent="0.2">
      <c r="C753" s="8" t="str">
        <f t="shared" si="22"/>
        <v/>
      </c>
      <c r="D753" s="8" t="str">
        <f t="shared" si="23"/>
        <v/>
      </c>
      <c r="H753" s="12" t="str">
        <f>IF(A753=0,"",VLOOKUP(B753,Materials!$A$2:$E$1001,6,FALSE))</f>
        <v/>
      </c>
    </row>
    <row r="754" spans="3:8" x14ac:dyDescent="0.2">
      <c r="C754" s="8" t="str">
        <f t="shared" si="22"/>
        <v/>
      </c>
      <c r="D754" s="8" t="str">
        <f t="shared" si="23"/>
        <v/>
      </c>
      <c r="H754" s="12" t="str">
        <f>IF(A754=0,"",VLOOKUP(B754,Materials!$A$2:$E$1001,6,FALSE))</f>
        <v/>
      </c>
    </row>
    <row r="755" spans="3:8" x14ac:dyDescent="0.2">
      <c r="C755" s="8" t="str">
        <f t="shared" si="22"/>
        <v/>
      </c>
      <c r="D755" s="8" t="str">
        <f t="shared" si="23"/>
        <v/>
      </c>
      <c r="H755" s="12" t="str">
        <f>IF(A755=0,"",VLOOKUP(B755,Materials!$A$2:$E$1001,6,FALSE))</f>
        <v/>
      </c>
    </row>
    <row r="756" spans="3:8" x14ac:dyDescent="0.2">
      <c r="C756" s="8" t="str">
        <f t="shared" si="22"/>
        <v/>
      </c>
      <c r="D756" s="8" t="str">
        <f t="shared" si="23"/>
        <v/>
      </c>
      <c r="H756" s="12" t="str">
        <f>IF(A756=0,"",VLOOKUP(B756,Materials!$A$2:$E$1001,6,FALSE))</f>
        <v/>
      </c>
    </row>
    <row r="757" spans="3:8" x14ac:dyDescent="0.2">
      <c r="C757" s="8" t="str">
        <f t="shared" si="22"/>
        <v/>
      </c>
      <c r="D757" s="8" t="str">
        <f t="shared" si="23"/>
        <v/>
      </c>
      <c r="H757" s="12" t="str">
        <f>IF(A757=0,"",VLOOKUP(B757,Materials!$A$2:$E$1001,6,FALSE))</f>
        <v/>
      </c>
    </row>
    <row r="758" spans="3:8" x14ac:dyDescent="0.2">
      <c r="C758" s="8" t="str">
        <f t="shared" si="22"/>
        <v/>
      </c>
      <c r="D758" s="8" t="str">
        <f t="shared" si="23"/>
        <v/>
      </c>
      <c r="H758" s="12" t="str">
        <f>IF(A758=0,"",VLOOKUP(B758,Materials!$A$2:$E$1001,6,FALSE))</f>
        <v/>
      </c>
    </row>
    <row r="759" spans="3:8" x14ac:dyDescent="0.2">
      <c r="C759" s="8" t="str">
        <f t="shared" si="22"/>
        <v/>
      </c>
      <c r="D759" s="8" t="str">
        <f t="shared" si="23"/>
        <v/>
      </c>
      <c r="H759" s="12" t="str">
        <f>IF(A759=0,"",VLOOKUP(B759,Materials!$A$2:$E$1001,6,FALSE))</f>
        <v/>
      </c>
    </row>
    <row r="760" spans="3:8" x14ac:dyDescent="0.2">
      <c r="C760" s="8" t="str">
        <f t="shared" si="22"/>
        <v/>
      </c>
      <c r="D760" s="8" t="str">
        <f t="shared" si="23"/>
        <v/>
      </c>
      <c r="H760" s="12" t="str">
        <f>IF(A760=0,"",VLOOKUP(B760,Materials!$A$2:$E$1001,6,FALSE))</f>
        <v/>
      </c>
    </row>
    <row r="761" spans="3:8" x14ac:dyDescent="0.2">
      <c r="C761" s="8" t="str">
        <f t="shared" si="22"/>
        <v/>
      </c>
      <c r="D761" s="8" t="str">
        <f t="shared" si="23"/>
        <v/>
      </c>
      <c r="H761" s="12" t="str">
        <f>IF(A761=0,"",VLOOKUP(B761,Materials!$A$2:$E$1001,6,FALSE))</f>
        <v/>
      </c>
    </row>
    <row r="762" spans="3:8" x14ac:dyDescent="0.2">
      <c r="C762" s="8" t="str">
        <f t="shared" si="22"/>
        <v/>
      </c>
      <c r="D762" s="8" t="str">
        <f t="shared" si="23"/>
        <v/>
      </c>
      <c r="H762" s="12" t="str">
        <f>IF(A762=0,"",VLOOKUP(B762,Materials!$A$2:$E$1001,6,FALSE))</f>
        <v/>
      </c>
    </row>
    <row r="763" spans="3:8" x14ac:dyDescent="0.2">
      <c r="C763" s="8" t="str">
        <f t="shared" si="22"/>
        <v/>
      </c>
      <c r="D763" s="8" t="str">
        <f t="shared" si="23"/>
        <v/>
      </c>
      <c r="H763" s="12" t="str">
        <f>IF(A763=0,"",VLOOKUP(B763,Materials!$A$2:$E$1001,6,FALSE))</f>
        <v/>
      </c>
    </row>
    <row r="764" spans="3:8" x14ac:dyDescent="0.2">
      <c r="C764" s="8" t="str">
        <f t="shared" si="22"/>
        <v/>
      </c>
      <c r="D764" s="8" t="str">
        <f t="shared" si="23"/>
        <v/>
      </c>
      <c r="H764" s="12" t="str">
        <f>IF(A764=0,"",VLOOKUP(B764,Materials!$A$2:$E$1001,6,FALSE))</f>
        <v/>
      </c>
    </row>
    <row r="765" spans="3:8" x14ac:dyDescent="0.2">
      <c r="C765" s="8" t="str">
        <f t="shared" si="22"/>
        <v/>
      </c>
      <c r="D765" s="8" t="str">
        <f t="shared" si="23"/>
        <v/>
      </c>
      <c r="H765" s="12" t="str">
        <f>IF(A765=0,"",VLOOKUP(B765,Materials!$A$2:$E$1001,6,FALSE))</f>
        <v/>
      </c>
    </row>
    <row r="766" spans="3:8" x14ac:dyDescent="0.2">
      <c r="C766" s="8" t="str">
        <f t="shared" si="22"/>
        <v/>
      </c>
      <c r="D766" s="8" t="str">
        <f t="shared" si="23"/>
        <v/>
      </c>
      <c r="H766" s="12" t="str">
        <f>IF(A766=0,"",VLOOKUP(B766,Materials!$A$2:$E$1001,6,FALSE))</f>
        <v/>
      </c>
    </row>
    <row r="767" spans="3:8" x14ac:dyDescent="0.2">
      <c r="C767" s="8" t="str">
        <f t="shared" si="22"/>
        <v/>
      </c>
      <c r="D767" s="8" t="str">
        <f t="shared" si="23"/>
        <v/>
      </c>
      <c r="H767" s="12" t="str">
        <f>IF(A767=0,"",VLOOKUP(B767,Materials!$A$2:$E$1001,6,FALSE))</f>
        <v/>
      </c>
    </row>
    <row r="768" spans="3:8" x14ac:dyDescent="0.2">
      <c r="C768" s="8" t="str">
        <f t="shared" si="22"/>
        <v/>
      </c>
      <c r="D768" s="8" t="str">
        <f t="shared" si="23"/>
        <v/>
      </c>
      <c r="H768" s="12" t="str">
        <f>IF(A768=0,"",VLOOKUP(B768,Materials!$A$2:$E$1001,6,FALSE))</f>
        <v/>
      </c>
    </row>
    <row r="769" spans="3:8" x14ac:dyDescent="0.2">
      <c r="C769" s="8" t="str">
        <f t="shared" si="22"/>
        <v/>
      </c>
      <c r="D769" s="8" t="str">
        <f t="shared" si="23"/>
        <v/>
      </c>
      <c r="H769" s="12" t="str">
        <f>IF(A769=0,"",VLOOKUP(B769,Materials!$A$2:$E$1001,6,FALSE))</f>
        <v/>
      </c>
    </row>
    <row r="770" spans="3:8" x14ac:dyDescent="0.2">
      <c r="C770" s="8" t="str">
        <f t="shared" ref="C770:C833" si="24">IF(A770=0,"",VLOOKUP(B770,MatDB,2,FALSE))</f>
        <v/>
      </c>
      <c r="D770" s="8" t="str">
        <f t="shared" si="23"/>
        <v/>
      </c>
      <c r="H770" s="12" t="str">
        <f>IF(A770=0,"",VLOOKUP(B770,Materials!$A$2:$E$1001,6,FALSE))</f>
        <v/>
      </c>
    </row>
    <row r="771" spans="3:8" x14ac:dyDescent="0.2">
      <c r="C771" s="8" t="str">
        <f t="shared" si="24"/>
        <v/>
      </c>
      <c r="D771" s="8" t="str">
        <f t="shared" ref="D771:D834" si="25">IF(A771=0,"","Concrete04")</f>
        <v/>
      </c>
      <c r="H771" s="12" t="str">
        <f>IF(A771=0,"",VLOOKUP(B771,Materials!$A$2:$E$1001,6,FALSE))</f>
        <v/>
      </c>
    </row>
    <row r="772" spans="3:8" x14ac:dyDescent="0.2">
      <c r="C772" s="8" t="str">
        <f t="shared" si="24"/>
        <v/>
      </c>
      <c r="D772" s="8" t="str">
        <f t="shared" si="25"/>
        <v/>
      </c>
      <c r="H772" s="12" t="str">
        <f>IF(A772=0,"",VLOOKUP(B772,Materials!$A$2:$E$1001,6,FALSE))</f>
        <v/>
      </c>
    </row>
    <row r="773" spans="3:8" x14ac:dyDescent="0.2">
      <c r="C773" s="8" t="str">
        <f t="shared" si="24"/>
        <v/>
      </c>
      <c r="D773" s="8" t="str">
        <f t="shared" si="25"/>
        <v/>
      </c>
      <c r="H773" s="12" t="str">
        <f>IF(A773=0,"",VLOOKUP(B773,Materials!$A$2:$E$1001,6,FALSE))</f>
        <v/>
      </c>
    </row>
    <row r="774" spans="3:8" x14ac:dyDescent="0.2">
      <c r="C774" s="8" t="str">
        <f t="shared" si="24"/>
        <v/>
      </c>
      <c r="D774" s="8" t="str">
        <f t="shared" si="25"/>
        <v/>
      </c>
      <c r="H774" s="12" t="str">
        <f>IF(A774=0,"",VLOOKUP(B774,Materials!$A$2:$E$1001,6,FALSE))</f>
        <v/>
      </c>
    </row>
    <row r="775" spans="3:8" x14ac:dyDescent="0.2">
      <c r="C775" s="8" t="str">
        <f t="shared" si="24"/>
        <v/>
      </c>
      <c r="D775" s="8" t="str">
        <f t="shared" si="25"/>
        <v/>
      </c>
      <c r="H775" s="12" t="str">
        <f>IF(A775=0,"",VLOOKUP(B775,Materials!$A$2:$E$1001,6,FALSE))</f>
        <v/>
      </c>
    </row>
    <row r="776" spans="3:8" x14ac:dyDescent="0.2">
      <c r="C776" s="8" t="str">
        <f t="shared" si="24"/>
        <v/>
      </c>
      <c r="D776" s="8" t="str">
        <f t="shared" si="25"/>
        <v/>
      </c>
      <c r="H776" s="12" t="str">
        <f>IF(A776=0,"",VLOOKUP(B776,Materials!$A$2:$E$1001,6,FALSE))</f>
        <v/>
      </c>
    </row>
    <row r="777" spans="3:8" x14ac:dyDescent="0.2">
      <c r="C777" s="8" t="str">
        <f t="shared" si="24"/>
        <v/>
      </c>
      <c r="D777" s="8" t="str">
        <f t="shared" si="25"/>
        <v/>
      </c>
      <c r="H777" s="12" t="str">
        <f>IF(A777=0,"",VLOOKUP(B777,Materials!$A$2:$E$1001,6,FALSE))</f>
        <v/>
      </c>
    </row>
    <row r="778" spans="3:8" x14ac:dyDescent="0.2">
      <c r="C778" s="8" t="str">
        <f t="shared" si="24"/>
        <v/>
      </c>
      <c r="D778" s="8" t="str">
        <f t="shared" si="25"/>
        <v/>
      </c>
      <c r="H778" s="12" t="str">
        <f>IF(A778=0,"",VLOOKUP(B778,Materials!$A$2:$E$1001,6,FALSE))</f>
        <v/>
      </c>
    </row>
    <row r="779" spans="3:8" x14ac:dyDescent="0.2">
      <c r="C779" s="8" t="str">
        <f t="shared" si="24"/>
        <v/>
      </c>
      <c r="D779" s="8" t="str">
        <f t="shared" si="25"/>
        <v/>
      </c>
      <c r="H779" s="12" t="str">
        <f>IF(A779=0,"",VLOOKUP(B779,Materials!$A$2:$E$1001,6,FALSE))</f>
        <v/>
      </c>
    </row>
    <row r="780" spans="3:8" x14ac:dyDescent="0.2">
      <c r="C780" s="8" t="str">
        <f t="shared" si="24"/>
        <v/>
      </c>
      <c r="D780" s="8" t="str">
        <f t="shared" si="25"/>
        <v/>
      </c>
      <c r="H780" s="12" t="str">
        <f>IF(A780=0,"",VLOOKUP(B780,Materials!$A$2:$E$1001,6,FALSE))</f>
        <v/>
      </c>
    </row>
    <row r="781" spans="3:8" x14ac:dyDescent="0.2">
      <c r="C781" s="8" t="str">
        <f t="shared" si="24"/>
        <v/>
      </c>
      <c r="D781" s="8" t="str">
        <f t="shared" si="25"/>
        <v/>
      </c>
      <c r="H781" s="12" t="str">
        <f>IF(A781=0,"",VLOOKUP(B781,Materials!$A$2:$E$1001,6,FALSE))</f>
        <v/>
      </c>
    </row>
    <row r="782" spans="3:8" x14ac:dyDescent="0.2">
      <c r="C782" s="8" t="str">
        <f t="shared" si="24"/>
        <v/>
      </c>
      <c r="D782" s="8" t="str">
        <f t="shared" si="25"/>
        <v/>
      </c>
      <c r="H782" s="12" t="str">
        <f>IF(A782=0,"",VLOOKUP(B782,Materials!$A$2:$E$1001,6,FALSE))</f>
        <v/>
      </c>
    </row>
    <row r="783" spans="3:8" x14ac:dyDescent="0.2">
      <c r="C783" s="8" t="str">
        <f t="shared" si="24"/>
        <v/>
      </c>
      <c r="D783" s="8" t="str">
        <f t="shared" si="25"/>
        <v/>
      </c>
      <c r="H783" s="12" t="str">
        <f>IF(A783=0,"",VLOOKUP(B783,Materials!$A$2:$E$1001,6,FALSE))</f>
        <v/>
      </c>
    </row>
    <row r="784" spans="3:8" x14ac:dyDescent="0.2">
      <c r="C784" s="8" t="str">
        <f t="shared" si="24"/>
        <v/>
      </c>
      <c r="D784" s="8" t="str">
        <f t="shared" si="25"/>
        <v/>
      </c>
      <c r="H784" s="12" t="str">
        <f>IF(A784=0,"",VLOOKUP(B784,Materials!$A$2:$E$1001,6,FALSE))</f>
        <v/>
      </c>
    </row>
    <row r="785" spans="3:8" x14ac:dyDescent="0.2">
      <c r="C785" s="8" t="str">
        <f t="shared" si="24"/>
        <v/>
      </c>
      <c r="D785" s="8" t="str">
        <f t="shared" si="25"/>
        <v/>
      </c>
      <c r="H785" s="12" t="str">
        <f>IF(A785=0,"",VLOOKUP(B785,Materials!$A$2:$E$1001,6,FALSE))</f>
        <v/>
      </c>
    </row>
    <row r="786" spans="3:8" x14ac:dyDescent="0.2">
      <c r="C786" s="8" t="str">
        <f t="shared" si="24"/>
        <v/>
      </c>
      <c r="D786" s="8" t="str">
        <f t="shared" si="25"/>
        <v/>
      </c>
      <c r="H786" s="12" t="str">
        <f>IF(A786=0,"",VLOOKUP(B786,Materials!$A$2:$E$1001,6,FALSE))</f>
        <v/>
      </c>
    </row>
    <row r="787" spans="3:8" x14ac:dyDescent="0.2">
      <c r="C787" s="8" t="str">
        <f t="shared" si="24"/>
        <v/>
      </c>
      <c r="D787" s="8" t="str">
        <f t="shared" si="25"/>
        <v/>
      </c>
      <c r="H787" s="12" t="str">
        <f>IF(A787=0,"",VLOOKUP(B787,Materials!$A$2:$E$1001,6,FALSE))</f>
        <v/>
      </c>
    </row>
    <row r="788" spans="3:8" x14ac:dyDescent="0.2">
      <c r="C788" s="8" t="str">
        <f t="shared" si="24"/>
        <v/>
      </c>
      <c r="D788" s="8" t="str">
        <f t="shared" si="25"/>
        <v/>
      </c>
      <c r="H788" s="12" t="str">
        <f>IF(A788=0,"",VLOOKUP(B788,Materials!$A$2:$E$1001,6,FALSE))</f>
        <v/>
      </c>
    </row>
    <row r="789" spans="3:8" x14ac:dyDescent="0.2">
      <c r="C789" s="8" t="str">
        <f t="shared" si="24"/>
        <v/>
      </c>
      <c r="D789" s="8" t="str">
        <f t="shared" si="25"/>
        <v/>
      </c>
      <c r="H789" s="12" t="str">
        <f>IF(A789=0,"",VLOOKUP(B789,Materials!$A$2:$E$1001,6,FALSE))</f>
        <v/>
      </c>
    </row>
    <row r="790" spans="3:8" x14ac:dyDescent="0.2">
      <c r="C790" s="8" t="str">
        <f t="shared" si="24"/>
        <v/>
      </c>
      <c r="D790" s="8" t="str">
        <f t="shared" si="25"/>
        <v/>
      </c>
      <c r="H790" s="12" t="str">
        <f>IF(A790=0,"",VLOOKUP(B790,Materials!$A$2:$E$1001,6,FALSE))</f>
        <v/>
      </c>
    </row>
    <row r="791" spans="3:8" x14ac:dyDescent="0.2">
      <c r="C791" s="8" t="str">
        <f t="shared" si="24"/>
        <v/>
      </c>
      <c r="D791" s="8" t="str">
        <f t="shared" si="25"/>
        <v/>
      </c>
      <c r="H791" s="12" t="str">
        <f>IF(A791=0,"",VLOOKUP(B791,Materials!$A$2:$E$1001,6,FALSE))</f>
        <v/>
      </c>
    </row>
    <row r="792" spans="3:8" x14ac:dyDescent="0.2">
      <c r="C792" s="8" t="str">
        <f t="shared" si="24"/>
        <v/>
      </c>
      <c r="D792" s="8" t="str">
        <f t="shared" si="25"/>
        <v/>
      </c>
      <c r="H792" s="12" t="str">
        <f>IF(A792=0,"",VLOOKUP(B792,Materials!$A$2:$E$1001,6,FALSE))</f>
        <v/>
      </c>
    </row>
    <row r="793" spans="3:8" x14ac:dyDescent="0.2">
      <c r="C793" s="8" t="str">
        <f t="shared" si="24"/>
        <v/>
      </c>
      <c r="D793" s="8" t="str">
        <f t="shared" si="25"/>
        <v/>
      </c>
      <c r="H793" s="12" t="str">
        <f>IF(A793=0,"",VLOOKUP(B793,Materials!$A$2:$E$1001,6,FALSE))</f>
        <v/>
      </c>
    </row>
    <row r="794" spans="3:8" x14ac:dyDescent="0.2">
      <c r="C794" s="8" t="str">
        <f t="shared" si="24"/>
        <v/>
      </c>
      <c r="D794" s="8" t="str">
        <f t="shared" si="25"/>
        <v/>
      </c>
      <c r="H794" s="12" t="str">
        <f>IF(A794=0,"",VLOOKUP(B794,Materials!$A$2:$E$1001,6,FALSE))</f>
        <v/>
      </c>
    </row>
    <row r="795" spans="3:8" x14ac:dyDescent="0.2">
      <c r="C795" s="8" t="str">
        <f t="shared" si="24"/>
        <v/>
      </c>
      <c r="D795" s="8" t="str">
        <f t="shared" si="25"/>
        <v/>
      </c>
      <c r="H795" s="12" t="str">
        <f>IF(A795=0,"",VLOOKUP(B795,Materials!$A$2:$E$1001,6,FALSE))</f>
        <v/>
      </c>
    </row>
    <row r="796" spans="3:8" x14ac:dyDescent="0.2">
      <c r="C796" s="8" t="str">
        <f t="shared" si="24"/>
        <v/>
      </c>
      <c r="D796" s="8" t="str">
        <f t="shared" si="25"/>
        <v/>
      </c>
      <c r="H796" s="12" t="str">
        <f>IF(A796=0,"",VLOOKUP(B796,Materials!$A$2:$E$1001,6,FALSE))</f>
        <v/>
      </c>
    </row>
    <row r="797" spans="3:8" x14ac:dyDescent="0.2">
      <c r="C797" s="8" t="str">
        <f t="shared" si="24"/>
        <v/>
      </c>
      <c r="D797" s="8" t="str">
        <f t="shared" si="25"/>
        <v/>
      </c>
      <c r="H797" s="12" t="str">
        <f>IF(A797=0,"",VLOOKUP(B797,Materials!$A$2:$E$1001,6,FALSE))</f>
        <v/>
      </c>
    </row>
    <row r="798" spans="3:8" x14ac:dyDescent="0.2">
      <c r="C798" s="8" t="str">
        <f t="shared" si="24"/>
        <v/>
      </c>
      <c r="D798" s="8" t="str">
        <f t="shared" si="25"/>
        <v/>
      </c>
      <c r="H798" s="12" t="str">
        <f>IF(A798=0,"",VLOOKUP(B798,Materials!$A$2:$E$1001,6,FALSE))</f>
        <v/>
      </c>
    </row>
    <row r="799" spans="3:8" x14ac:dyDescent="0.2">
      <c r="C799" s="8" t="str">
        <f t="shared" si="24"/>
        <v/>
      </c>
      <c r="D799" s="8" t="str">
        <f t="shared" si="25"/>
        <v/>
      </c>
      <c r="H799" s="12" t="str">
        <f>IF(A799=0,"",VLOOKUP(B799,Materials!$A$2:$E$1001,6,FALSE))</f>
        <v/>
      </c>
    </row>
    <row r="800" spans="3:8" x14ac:dyDescent="0.2">
      <c r="C800" s="8" t="str">
        <f t="shared" si="24"/>
        <v/>
      </c>
      <c r="D800" s="8" t="str">
        <f t="shared" si="25"/>
        <v/>
      </c>
      <c r="H800" s="12" t="str">
        <f>IF(A800=0,"",VLOOKUP(B800,Materials!$A$2:$E$1001,6,FALSE))</f>
        <v/>
      </c>
    </row>
    <row r="801" spans="3:8" x14ac:dyDescent="0.2">
      <c r="C801" s="8" t="str">
        <f t="shared" si="24"/>
        <v/>
      </c>
      <c r="D801" s="8" t="str">
        <f t="shared" si="25"/>
        <v/>
      </c>
      <c r="H801" s="12" t="str">
        <f>IF(A801=0,"",VLOOKUP(B801,Materials!$A$2:$E$1001,6,FALSE))</f>
        <v/>
      </c>
    </row>
    <row r="802" spans="3:8" x14ac:dyDescent="0.2">
      <c r="C802" s="8" t="str">
        <f t="shared" si="24"/>
        <v/>
      </c>
      <c r="D802" s="8" t="str">
        <f t="shared" si="25"/>
        <v/>
      </c>
      <c r="H802" s="12" t="str">
        <f>IF(A802=0,"",VLOOKUP(B802,Materials!$A$2:$E$1001,6,FALSE))</f>
        <v/>
      </c>
    </row>
    <row r="803" spans="3:8" x14ac:dyDescent="0.2">
      <c r="C803" s="8" t="str">
        <f t="shared" si="24"/>
        <v/>
      </c>
      <c r="D803" s="8" t="str">
        <f t="shared" si="25"/>
        <v/>
      </c>
      <c r="H803" s="12" t="str">
        <f>IF(A803=0,"",VLOOKUP(B803,Materials!$A$2:$E$1001,6,FALSE))</f>
        <v/>
      </c>
    </row>
    <row r="804" spans="3:8" x14ac:dyDescent="0.2">
      <c r="C804" s="8" t="str">
        <f t="shared" si="24"/>
        <v/>
      </c>
      <c r="D804" s="8" t="str">
        <f t="shared" si="25"/>
        <v/>
      </c>
      <c r="H804" s="12" t="str">
        <f>IF(A804=0,"",VLOOKUP(B804,Materials!$A$2:$E$1001,6,FALSE))</f>
        <v/>
      </c>
    </row>
    <row r="805" spans="3:8" x14ac:dyDescent="0.2">
      <c r="C805" s="8" t="str">
        <f t="shared" si="24"/>
        <v/>
      </c>
      <c r="D805" s="8" t="str">
        <f t="shared" si="25"/>
        <v/>
      </c>
      <c r="H805" s="12" t="str">
        <f>IF(A805=0,"",VLOOKUP(B805,Materials!$A$2:$E$1001,6,FALSE))</f>
        <v/>
      </c>
    </row>
    <row r="806" spans="3:8" x14ac:dyDescent="0.2">
      <c r="C806" s="8" t="str">
        <f t="shared" si="24"/>
        <v/>
      </c>
      <c r="D806" s="8" t="str">
        <f t="shared" si="25"/>
        <v/>
      </c>
      <c r="H806" s="12" t="str">
        <f>IF(A806=0,"",VLOOKUP(B806,Materials!$A$2:$E$1001,6,FALSE))</f>
        <v/>
      </c>
    </row>
    <row r="807" spans="3:8" x14ac:dyDescent="0.2">
      <c r="C807" s="8" t="str">
        <f t="shared" si="24"/>
        <v/>
      </c>
      <c r="D807" s="8" t="str">
        <f t="shared" si="25"/>
        <v/>
      </c>
      <c r="H807" s="12" t="str">
        <f>IF(A807=0,"",VLOOKUP(B807,Materials!$A$2:$E$1001,6,FALSE))</f>
        <v/>
      </c>
    </row>
    <row r="808" spans="3:8" x14ac:dyDescent="0.2">
      <c r="C808" s="8" t="str">
        <f t="shared" si="24"/>
        <v/>
      </c>
      <c r="D808" s="8" t="str">
        <f t="shared" si="25"/>
        <v/>
      </c>
      <c r="H808" s="12" t="str">
        <f>IF(A808=0,"",VLOOKUP(B808,Materials!$A$2:$E$1001,6,FALSE))</f>
        <v/>
      </c>
    </row>
    <row r="809" spans="3:8" x14ac:dyDescent="0.2">
      <c r="C809" s="8" t="str">
        <f t="shared" si="24"/>
        <v/>
      </c>
      <c r="D809" s="8" t="str">
        <f t="shared" si="25"/>
        <v/>
      </c>
      <c r="H809" s="12" t="str">
        <f>IF(A809=0,"",VLOOKUP(B809,Materials!$A$2:$E$1001,6,FALSE))</f>
        <v/>
      </c>
    </row>
    <row r="810" spans="3:8" x14ac:dyDescent="0.2">
      <c r="C810" s="8" t="str">
        <f t="shared" si="24"/>
        <v/>
      </c>
      <c r="D810" s="8" t="str">
        <f t="shared" si="25"/>
        <v/>
      </c>
      <c r="H810" s="12" t="str">
        <f>IF(A810=0,"",VLOOKUP(B810,Materials!$A$2:$E$1001,6,FALSE))</f>
        <v/>
      </c>
    </row>
    <row r="811" spans="3:8" x14ac:dyDescent="0.2">
      <c r="C811" s="8" t="str">
        <f t="shared" si="24"/>
        <v/>
      </c>
      <c r="D811" s="8" t="str">
        <f t="shared" si="25"/>
        <v/>
      </c>
      <c r="H811" s="12" t="str">
        <f>IF(A811=0,"",VLOOKUP(B811,Materials!$A$2:$E$1001,6,FALSE))</f>
        <v/>
      </c>
    </row>
    <row r="812" spans="3:8" x14ac:dyDescent="0.2">
      <c r="C812" s="8" t="str">
        <f t="shared" si="24"/>
        <v/>
      </c>
      <c r="D812" s="8" t="str">
        <f t="shared" si="25"/>
        <v/>
      </c>
      <c r="H812" s="12" t="str">
        <f>IF(A812=0,"",VLOOKUP(B812,Materials!$A$2:$E$1001,6,FALSE))</f>
        <v/>
      </c>
    </row>
    <row r="813" spans="3:8" x14ac:dyDescent="0.2">
      <c r="C813" s="8" t="str">
        <f t="shared" si="24"/>
        <v/>
      </c>
      <c r="D813" s="8" t="str">
        <f t="shared" si="25"/>
        <v/>
      </c>
      <c r="H813" s="12" t="str">
        <f>IF(A813=0,"",VLOOKUP(B813,Materials!$A$2:$E$1001,6,FALSE))</f>
        <v/>
      </c>
    </row>
    <row r="814" spans="3:8" x14ac:dyDescent="0.2">
      <c r="C814" s="8" t="str">
        <f t="shared" si="24"/>
        <v/>
      </c>
      <c r="D814" s="8" t="str">
        <f t="shared" si="25"/>
        <v/>
      </c>
      <c r="H814" s="12" t="str">
        <f>IF(A814=0,"",VLOOKUP(B814,Materials!$A$2:$E$1001,6,FALSE))</f>
        <v/>
      </c>
    </row>
    <row r="815" spans="3:8" x14ac:dyDescent="0.2">
      <c r="C815" s="8" t="str">
        <f t="shared" si="24"/>
        <v/>
      </c>
      <c r="D815" s="8" t="str">
        <f t="shared" si="25"/>
        <v/>
      </c>
      <c r="H815" s="12" t="str">
        <f>IF(A815=0,"",VLOOKUP(B815,Materials!$A$2:$E$1001,6,FALSE))</f>
        <v/>
      </c>
    </row>
    <row r="816" spans="3:8" x14ac:dyDescent="0.2">
      <c r="C816" s="8" t="str">
        <f t="shared" si="24"/>
        <v/>
      </c>
      <c r="D816" s="8" t="str">
        <f t="shared" si="25"/>
        <v/>
      </c>
      <c r="H816" s="12" t="str">
        <f>IF(A816=0,"",VLOOKUP(B816,Materials!$A$2:$E$1001,6,FALSE))</f>
        <v/>
      </c>
    </row>
    <row r="817" spans="3:8" x14ac:dyDescent="0.2">
      <c r="C817" s="8" t="str">
        <f t="shared" si="24"/>
        <v/>
      </c>
      <c r="D817" s="8" t="str">
        <f t="shared" si="25"/>
        <v/>
      </c>
      <c r="H817" s="12" t="str">
        <f>IF(A817=0,"",VLOOKUP(B817,Materials!$A$2:$E$1001,6,FALSE))</f>
        <v/>
      </c>
    </row>
    <row r="818" spans="3:8" x14ac:dyDescent="0.2">
      <c r="C818" s="8" t="str">
        <f t="shared" si="24"/>
        <v/>
      </c>
      <c r="D818" s="8" t="str">
        <f t="shared" si="25"/>
        <v/>
      </c>
      <c r="H818" s="12" t="str">
        <f>IF(A818=0,"",VLOOKUP(B818,Materials!$A$2:$E$1001,6,FALSE))</f>
        <v/>
      </c>
    </row>
    <row r="819" spans="3:8" x14ac:dyDescent="0.2">
      <c r="C819" s="8" t="str">
        <f t="shared" si="24"/>
        <v/>
      </c>
      <c r="D819" s="8" t="str">
        <f t="shared" si="25"/>
        <v/>
      </c>
      <c r="H819" s="12" t="str">
        <f>IF(A819=0,"",VLOOKUP(B819,Materials!$A$2:$E$1001,6,FALSE))</f>
        <v/>
      </c>
    </row>
    <row r="820" spans="3:8" x14ac:dyDescent="0.2">
      <c r="C820" s="8" t="str">
        <f t="shared" si="24"/>
        <v/>
      </c>
      <c r="D820" s="8" t="str">
        <f t="shared" si="25"/>
        <v/>
      </c>
      <c r="H820" s="12" t="str">
        <f>IF(A820=0,"",VLOOKUP(B820,Materials!$A$2:$E$1001,6,FALSE))</f>
        <v/>
      </c>
    </row>
    <row r="821" spans="3:8" x14ac:dyDescent="0.2">
      <c r="C821" s="8" t="str">
        <f t="shared" si="24"/>
        <v/>
      </c>
      <c r="D821" s="8" t="str">
        <f t="shared" si="25"/>
        <v/>
      </c>
      <c r="H821" s="12" t="str">
        <f>IF(A821=0,"",VLOOKUP(B821,Materials!$A$2:$E$1001,6,FALSE))</f>
        <v/>
      </c>
    </row>
    <row r="822" spans="3:8" x14ac:dyDescent="0.2">
      <c r="C822" s="8" t="str">
        <f t="shared" si="24"/>
        <v/>
      </c>
      <c r="D822" s="8" t="str">
        <f t="shared" si="25"/>
        <v/>
      </c>
      <c r="H822" s="12" t="str">
        <f>IF(A822=0,"",VLOOKUP(B822,Materials!$A$2:$E$1001,6,FALSE))</f>
        <v/>
      </c>
    </row>
    <row r="823" spans="3:8" x14ac:dyDescent="0.2">
      <c r="C823" s="8" t="str">
        <f t="shared" si="24"/>
        <v/>
      </c>
      <c r="D823" s="8" t="str">
        <f t="shared" si="25"/>
        <v/>
      </c>
      <c r="H823" s="12" t="str">
        <f>IF(A823=0,"",VLOOKUP(B823,Materials!$A$2:$E$1001,6,FALSE))</f>
        <v/>
      </c>
    </row>
    <row r="824" spans="3:8" x14ac:dyDescent="0.2">
      <c r="C824" s="8" t="str">
        <f t="shared" si="24"/>
        <v/>
      </c>
      <c r="D824" s="8" t="str">
        <f t="shared" si="25"/>
        <v/>
      </c>
      <c r="H824" s="12" t="str">
        <f>IF(A824=0,"",VLOOKUP(B824,Materials!$A$2:$E$1001,6,FALSE))</f>
        <v/>
      </c>
    </row>
    <row r="825" spans="3:8" x14ac:dyDescent="0.2">
      <c r="C825" s="8" t="str">
        <f t="shared" si="24"/>
        <v/>
      </c>
      <c r="D825" s="8" t="str">
        <f t="shared" si="25"/>
        <v/>
      </c>
      <c r="H825" s="12" t="str">
        <f>IF(A825=0,"",VLOOKUP(B825,Materials!$A$2:$E$1001,6,FALSE))</f>
        <v/>
      </c>
    </row>
    <row r="826" spans="3:8" x14ac:dyDescent="0.2">
      <c r="C826" s="8" t="str">
        <f t="shared" si="24"/>
        <v/>
      </c>
      <c r="D826" s="8" t="str">
        <f t="shared" si="25"/>
        <v/>
      </c>
      <c r="H826" s="12" t="str">
        <f>IF(A826=0,"",VLOOKUP(B826,Materials!$A$2:$E$1001,6,FALSE))</f>
        <v/>
      </c>
    </row>
    <row r="827" spans="3:8" x14ac:dyDescent="0.2">
      <c r="C827" s="8" t="str">
        <f t="shared" si="24"/>
        <v/>
      </c>
      <c r="D827" s="8" t="str">
        <f t="shared" si="25"/>
        <v/>
      </c>
      <c r="H827" s="12" t="str">
        <f>IF(A827=0,"",VLOOKUP(B827,Materials!$A$2:$E$1001,6,FALSE))</f>
        <v/>
      </c>
    </row>
    <row r="828" spans="3:8" x14ac:dyDescent="0.2">
      <c r="C828" s="8" t="str">
        <f t="shared" si="24"/>
        <v/>
      </c>
      <c r="D828" s="8" t="str">
        <f t="shared" si="25"/>
        <v/>
      </c>
      <c r="H828" s="12" t="str">
        <f>IF(A828=0,"",VLOOKUP(B828,Materials!$A$2:$E$1001,6,FALSE))</f>
        <v/>
      </c>
    </row>
    <row r="829" spans="3:8" x14ac:dyDescent="0.2">
      <c r="C829" s="8" t="str">
        <f t="shared" si="24"/>
        <v/>
      </c>
      <c r="D829" s="8" t="str">
        <f t="shared" si="25"/>
        <v/>
      </c>
      <c r="H829" s="12" t="str">
        <f>IF(A829=0,"",VLOOKUP(B829,Materials!$A$2:$E$1001,6,FALSE))</f>
        <v/>
      </c>
    </row>
    <row r="830" spans="3:8" x14ac:dyDescent="0.2">
      <c r="C830" s="8" t="str">
        <f t="shared" si="24"/>
        <v/>
      </c>
      <c r="D830" s="8" t="str">
        <f t="shared" si="25"/>
        <v/>
      </c>
      <c r="H830" s="12" t="str">
        <f>IF(A830=0,"",VLOOKUP(B830,Materials!$A$2:$E$1001,6,FALSE))</f>
        <v/>
      </c>
    </row>
    <row r="831" spans="3:8" x14ac:dyDescent="0.2">
      <c r="C831" s="8" t="str">
        <f t="shared" si="24"/>
        <v/>
      </c>
      <c r="D831" s="8" t="str">
        <f t="shared" si="25"/>
        <v/>
      </c>
      <c r="H831" s="12" t="str">
        <f>IF(A831=0,"",VLOOKUP(B831,Materials!$A$2:$E$1001,6,FALSE))</f>
        <v/>
      </c>
    </row>
    <row r="832" spans="3:8" x14ac:dyDescent="0.2">
      <c r="C832" s="8" t="str">
        <f t="shared" si="24"/>
        <v/>
      </c>
      <c r="D832" s="8" t="str">
        <f t="shared" si="25"/>
        <v/>
      </c>
      <c r="H832" s="12" t="str">
        <f>IF(A832=0,"",VLOOKUP(B832,Materials!$A$2:$E$1001,6,FALSE))</f>
        <v/>
      </c>
    </row>
    <row r="833" spans="3:8" x14ac:dyDescent="0.2">
      <c r="C833" s="8" t="str">
        <f t="shared" si="24"/>
        <v/>
      </c>
      <c r="D833" s="8" t="str">
        <f t="shared" si="25"/>
        <v/>
      </c>
      <c r="H833" s="12" t="str">
        <f>IF(A833=0,"",VLOOKUP(B833,Materials!$A$2:$E$1001,6,FALSE))</f>
        <v/>
      </c>
    </row>
    <row r="834" spans="3:8" x14ac:dyDescent="0.2">
      <c r="C834" s="8" t="str">
        <f t="shared" ref="C834:C897" si="26">IF(A834=0,"",VLOOKUP(B834,MatDB,2,FALSE))</f>
        <v/>
      </c>
      <c r="D834" s="8" t="str">
        <f t="shared" si="25"/>
        <v/>
      </c>
      <c r="H834" s="12" t="str">
        <f>IF(A834=0,"",VLOOKUP(B834,Materials!$A$2:$E$1001,6,FALSE))</f>
        <v/>
      </c>
    </row>
    <row r="835" spans="3:8" x14ac:dyDescent="0.2">
      <c r="C835" s="8" t="str">
        <f t="shared" si="26"/>
        <v/>
      </c>
      <c r="D835" s="8" t="str">
        <f t="shared" ref="D835:D898" si="27">IF(A835=0,"","Concrete04")</f>
        <v/>
      </c>
      <c r="H835" s="12" t="str">
        <f>IF(A835=0,"",VLOOKUP(B835,Materials!$A$2:$E$1001,6,FALSE))</f>
        <v/>
      </c>
    </row>
    <row r="836" spans="3:8" x14ac:dyDescent="0.2">
      <c r="C836" s="8" t="str">
        <f t="shared" si="26"/>
        <v/>
      </c>
      <c r="D836" s="8" t="str">
        <f t="shared" si="27"/>
        <v/>
      </c>
      <c r="H836" s="12" t="str">
        <f>IF(A836=0,"",VLOOKUP(B836,Materials!$A$2:$E$1001,6,FALSE))</f>
        <v/>
      </c>
    </row>
    <row r="837" spans="3:8" x14ac:dyDescent="0.2">
      <c r="C837" s="8" t="str">
        <f t="shared" si="26"/>
        <v/>
      </c>
      <c r="D837" s="8" t="str">
        <f t="shared" si="27"/>
        <v/>
      </c>
      <c r="H837" s="12" t="str">
        <f>IF(A837=0,"",VLOOKUP(B837,Materials!$A$2:$E$1001,6,FALSE))</f>
        <v/>
      </c>
    </row>
    <row r="838" spans="3:8" x14ac:dyDescent="0.2">
      <c r="C838" s="8" t="str">
        <f t="shared" si="26"/>
        <v/>
      </c>
      <c r="D838" s="8" t="str">
        <f t="shared" si="27"/>
        <v/>
      </c>
      <c r="H838" s="12" t="str">
        <f>IF(A838=0,"",VLOOKUP(B838,Materials!$A$2:$E$1001,6,FALSE))</f>
        <v/>
      </c>
    </row>
    <row r="839" spans="3:8" x14ac:dyDescent="0.2">
      <c r="C839" s="8" t="str">
        <f t="shared" si="26"/>
        <v/>
      </c>
      <c r="D839" s="8" t="str">
        <f t="shared" si="27"/>
        <v/>
      </c>
      <c r="H839" s="12" t="str">
        <f>IF(A839=0,"",VLOOKUP(B839,Materials!$A$2:$E$1001,6,FALSE))</f>
        <v/>
      </c>
    </row>
    <row r="840" spans="3:8" x14ac:dyDescent="0.2">
      <c r="C840" s="8" t="str">
        <f t="shared" si="26"/>
        <v/>
      </c>
      <c r="D840" s="8" t="str">
        <f t="shared" si="27"/>
        <v/>
      </c>
      <c r="H840" s="12" t="str">
        <f>IF(A840=0,"",VLOOKUP(B840,Materials!$A$2:$E$1001,6,FALSE))</f>
        <v/>
      </c>
    </row>
    <row r="841" spans="3:8" x14ac:dyDescent="0.2">
      <c r="C841" s="8" t="str">
        <f t="shared" si="26"/>
        <v/>
      </c>
      <c r="D841" s="8" t="str">
        <f t="shared" si="27"/>
        <v/>
      </c>
      <c r="H841" s="12" t="str">
        <f>IF(A841=0,"",VLOOKUP(B841,Materials!$A$2:$E$1001,6,FALSE))</f>
        <v/>
      </c>
    </row>
    <row r="842" spans="3:8" x14ac:dyDescent="0.2">
      <c r="C842" s="8" t="str">
        <f t="shared" si="26"/>
        <v/>
      </c>
      <c r="D842" s="8" t="str">
        <f t="shared" si="27"/>
        <v/>
      </c>
      <c r="H842" s="12" t="str">
        <f>IF(A842=0,"",VLOOKUP(B842,Materials!$A$2:$E$1001,6,FALSE))</f>
        <v/>
      </c>
    </row>
    <row r="843" spans="3:8" x14ac:dyDescent="0.2">
      <c r="C843" s="8" t="str">
        <f t="shared" si="26"/>
        <v/>
      </c>
      <c r="D843" s="8" t="str">
        <f t="shared" si="27"/>
        <v/>
      </c>
      <c r="H843" s="12" t="str">
        <f>IF(A843=0,"",VLOOKUP(B843,Materials!$A$2:$E$1001,6,FALSE))</f>
        <v/>
      </c>
    </row>
    <row r="844" spans="3:8" x14ac:dyDescent="0.2">
      <c r="C844" s="8" t="str">
        <f t="shared" si="26"/>
        <v/>
      </c>
      <c r="D844" s="8" t="str">
        <f t="shared" si="27"/>
        <v/>
      </c>
      <c r="H844" s="12" t="str">
        <f>IF(A844=0,"",VLOOKUP(B844,Materials!$A$2:$E$1001,6,FALSE))</f>
        <v/>
      </c>
    </row>
    <row r="845" spans="3:8" x14ac:dyDescent="0.2">
      <c r="C845" s="8" t="str">
        <f t="shared" si="26"/>
        <v/>
      </c>
      <c r="D845" s="8" t="str">
        <f t="shared" si="27"/>
        <v/>
      </c>
      <c r="H845" s="12" t="str">
        <f>IF(A845=0,"",VLOOKUP(B845,Materials!$A$2:$E$1001,6,FALSE))</f>
        <v/>
      </c>
    </row>
    <row r="846" spans="3:8" x14ac:dyDescent="0.2">
      <c r="C846" s="8" t="str">
        <f t="shared" si="26"/>
        <v/>
      </c>
      <c r="D846" s="8" t="str">
        <f t="shared" si="27"/>
        <v/>
      </c>
      <c r="H846" s="12" t="str">
        <f>IF(A846=0,"",VLOOKUP(B846,Materials!$A$2:$E$1001,6,FALSE))</f>
        <v/>
      </c>
    </row>
    <row r="847" spans="3:8" x14ac:dyDescent="0.2">
      <c r="C847" s="8" t="str">
        <f t="shared" si="26"/>
        <v/>
      </c>
      <c r="D847" s="8" t="str">
        <f t="shared" si="27"/>
        <v/>
      </c>
      <c r="H847" s="12" t="str">
        <f>IF(A847=0,"",VLOOKUP(B847,Materials!$A$2:$E$1001,6,FALSE))</f>
        <v/>
      </c>
    </row>
    <row r="848" spans="3:8" x14ac:dyDescent="0.2">
      <c r="C848" s="8" t="str">
        <f t="shared" si="26"/>
        <v/>
      </c>
      <c r="D848" s="8" t="str">
        <f t="shared" si="27"/>
        <v/>
      </c>
      <c r="H848" s="12" t="str">
        <f>IF(A848=0,"",VLOOKUP(B848,Materials!$A$2:$E$1001,6,FALSE))</f>
        <v/>
      </c>
    </row>
    <row r="849" spans="3:8" x14ac:dyDescent="0.2">
      <c r="C849" s="8" t="str">
        <f t="shared" si="26"/>
        <v/>
      </c>
      <c r="D849" s="8" t="str">
        <f t="shared" si="27"/>
        <v/>
      </c>
      <c r="H849" s="12" t="str">
        <f>IF(A849=0,"",VLOOKUP(B849,Materials!$A$2:$E$1001,6,FALSE))</f>
        <v/>
      </c>
    </row>
    <row r="850" spans="3:8" x14ac:dyDescent="0.2">
      <c r="C850" s="8" t="str">
        <f t="shared" si="26"/>
        <v/>
      </c>
      <c r="D850" s="8" t="str">
        <f t="shared" si="27"/>
        <v/>
      </c>
      <c r="H850" s="12" t="str">
        <f>IF(A850=0,"",VLOOKUP(B850,Materials!$A$2:$E$1001,6,FALSE))</f>
        <v/>
      </c>
    </row>
    <row r="851" spans="3:8" x14ac:dyDescent="0.2">
      <c r="C851" s="8" t="str">
        <f t="shared" si="26"/>
        <v/>
      </c>
      <c r="D851" s="8" t="str">
        <f t="shared" si="27"/>
        <v/>
      </c>
      <c r="H851" s="12" t="str">
        <f>IF(A851=0,"",VLOOKUP(B851,Materials!$A$2:$E$1001,6,FALSE))</f>
        <v/>
      </c>
    </row>
    <row r="852" spans="3:8" x14ac:dyDescent="0.2">
      <c r="C852" s="8" t="str">
        <f t="shared" si="26"/>
        <v/>
      </c>
      <c r="D852" s="8" t="str">
        <f t="shared" si="27"/>
        <v/>
      </c>
      <c r="H852" s="12" t="str">
        <f>IF(A852=0,"",VLOOKUP(B852,Materials!$A$2:$E$1001,6,FALSE))</f>
        <v/>
      </c>
    </row>
    <row r="853" spans="3:8" x14ac:dyDescent="0.2">
      <c r="C853" s="8" t="str">
        <f t="shared" si="26"/>
        <v/>
      </c>
      <c r="D853" s="8" t="str">
        <f t="shared" si="27"/>
        <v/>
      </c>
      <c r="H853" s="12" t="str">
        <f>IF(A853=0,"",VLOOKUP(B853,Materials!$A$2:$E$1001,6,FALSE))</f>
        <v/>
      </c>
    </row>
    <row r="854" spans="3:8" x14ac:dyDescent="0.2">
      <c r="C854" s="8" t="str">
        <f t="shared" si="26"/>
        <v/>
      </c>
      <c r="D854" s="8" t="str">
        <f t="shared" si="27"/>
        <v/>
      </c>
      <c r="H854" s="12" t="str">
        <f>IF(A854=0,"",VLOOKUP(B854,Materials!$A$2:$E$1001,6,FALSE))</f>
        <v/>
      </c>
    </row>
    <row r="855" spans="3:8" x14ac:dyDescent="0.2">
      <c r="C855" s="8" t="str">
        <f t="shared" si="26"/>
        <v/>
      </c>
      <c r="D855" s="8" t="str">
        <f t="shared" si="27"/>
        <v/>
      </c>
      <c r="H855" s="12" t="str">
        <f>IF(A855=0,"",VLOOKUP(B855,Materials!$A$2:$E$1001,6,FALSE))</f>
        <v/>
      </c>
    </row>
    <row r="856" spans="3:8" x14ac:dyDescent="0.2">
      <c r="C856" s="8" t="str">
        <f t="shared" si="26"/>
        <v/>
      </c>
      <c r="D856" s="8" t="str">
        <f t="shared" si="27"/>
        <v/>
      </c>
      <c r="H856" s="12" t="str">
        <f>IF(A856=0,"",VLOOKUP(B856,Materials!$A$2:$E$1001,6,FALSE))</f>
        <v/>
      </c>
    </row>
    <row r="857" spans="3:8" x14ac:dyDescent="0.2">
      <c r="C857" s="8" t="str">
        <f t="shared" si="26"/>
        <v/>
      </c>
      <c r="D857" s="8" t="str">
        <f t="shared" si="27"/>
        <v/>
      </c>
      <c r="H857" s="12" t="str">
        <f>IF(A857=0,"",VLOOKUP(B857,Materials!$A$2:$E$1001,6,FALSE))</f>
        <v/>
      </c>
    </row>
    <row r="858" spans="3:8" x14ac:dyDescent="0.2">
      <c r="C858" s="8" t="str">
        <f t="shared" si="26"/>
        <v/>
      </c>
      <c r="D858" s="8" t="str">
        <f t="shared" si="27"/>
        <v/>
      </c>
      <c r="H858" s="12" t="str">
        <f>IF(A858=0,"",VLOOKUP(B858,Materials!$A$2:$E$1001,6,FALSE))</f>
        <v/>
      </c>
    </row>
    <row r="859" spans="3:8" x14ac:dyDescent="0.2">
      <c r="C859" s="8" t="str">
        <f t="shared" si="26"/>
        <v/>
      </c>
      <c r="D859" s="8" t="str">
        <f t="shared" si="27"/>
        <v/>
      </c>
      <c r="H859" s="12" t="str">
        <f>IF(A859=0,"",VLOOKUP(B859,Materials!$A$2:$E$1001,6,FALSE))</f>
        <v/>
      </c>
    </row>
    <row r="860" spans="3:8" x14ac:dyDescent="0.2">
      <c r="C860" s="8" t="str">
        <f t="shared" si="26"/>
        <v/>
      </c>
      <c r="D860" s="8" t="str">
        <f t="shared" si="27"/>
        <v/>
      </c>
      <c r="H860" s="12" t="str">
        <f>IF(A860=0,"",VLOOKUP(B860,Materials!$A$2:$E$1001,6,FALSE))</f>
        <v/>
      </c>
    </row>
    <row r="861" spans="3:8" x14ac:dyDescent="0.2">
      <c r="C861" s="8" t="str">
        <f t="shared" si="26"/>
        <v/>
      </c>
      <c r="D861" s="8" t="str">
        <f t="shared" si="27"/>
        <v/>
      </c>
      <c r="H861" s="12" t="str">
        <f>IF(A861=0,"",VLOOKUP(B861,Materials!$A$2:$E$1001,6,FALSE))</f>
        <v/>
      </c>
    </row>
    <row r="862" spans="3:8" x14ac:dyDescent="0.2">
      <c r="C862" s="8" t="str">
        <f t="shared" si="26"/>
        <v/>
      </c>
      <c r="D862" s="8" t="str">
        <f t="shared" si="27"/>
        <v/>
      </c>
      <c r="H862" s="12" t="str">
        <f>IF(A862=0,"",VLOOKUP(B862,Materials!$A$2:$E$1001,6,FALSE))</f>
        <v/>
      </c>
    </row>
    <row r="863" spans="3:8" x14ac:dyDescent="0.2">
      <c r="C863" s="8" t="str">
        <f t="shared" si="26"/>
        <v/>
      </c>
      <c r="D863" s="8" t="str">
        <f t="shared" si="27"/>
        <v/>
      </c>
      <c r="H863" s="12" t="str">
        <f>IF(A863=0,"",VLOOKUP(B863,Materials!$A$2:$E$1001,6,FALSE))</f>
        <v/>
      </c>
    </row>
    <row r="864" spans="3:8" x14ac:dyDescent="0.2">
      <c r="C864" s="8" t="str">
        <f t="shared" si="26"/>
        <v/>
      </c>
      <c r="D864" s="8" t="str">
        <f t="shared" si="27"/>
        <v/>
      </c>
      <c r="H864" s="12" t="str">
        <f>IF(A864=0,"",VLOOKUP(B864,Materials!$A$2:$E$1001,6,FALSE))</f>
        <v/>
      </c>
    </row>
    <row r="865" spans="3:8" x14ac:dyDescent="0.2">
      <c r="C865" s="8" t="str">
        <f t="shared" si="26"/>
        <v/>
      </c>
      <c r="D865" s="8" t="str">
        <f t="shared" si="27"/>
        <v/>
      </c>
      <c r="H865" s="12" t="str">
        <f>IF(A865=0,"",VLOOKUP(B865,Materials!$A$2:$E$1001,6,FALSE))</f>
        <v/>
      </c>
    </row>
    <row r="866" spans="3:8" x14ac:dyDescent="0.2">
      <c r="C866" s="8" t="str">
        <f t="shared" si="26"/>
        <v/>
      </c>
      <c r="D866" s="8" t="str">
        <f t="shared" si="27"/>
        <v/>
      </c>
      <c r="H866" s="12" t="str">
        <f>IF(A866=0,"",VLOOKUP(B866,Materials!$A$2:$E$1001,6,FALSE))</f>
        <v/>
      </c>
    </row>
    <row r="867" spans="3:8" x14ac:dyDescent="0.2">
      <c r="C867" s="8" t="str">
        <f t="shared" si="26"/>
        <v/>
      </c>
      <c r="D867" s="8" t="str">
        <f t="shared" si="27"/>
        <v/>
      </c>
      <c r="H867" s="12" t="str">
        <f>IF(A867=0,"",VLOOKUP(B867,Materials!$A$2:$E$1001,6,FALSE))</f>
        <v/>
      </c>
    </row>
    <row r="868" spans="3:8" x14ac:dyDescent="0.2">
      <c r="C868" s="8" t="str">
        <f t="shared" si="26"/>
        <v/>
      </c>
      <c r="D868" s="8" t="str">
        <f t="shared" si="27"/>
        <v/>
      </c>
      <c r="H868" s="12" t="str">
        <f>IF(A868=0,"",VLOOKUP(B868,Materials!$A$2:$E$1001,6,FALSE))</f>
        <v/>
      </c>
    </row>
    <row r="869" spans="3:8" x14ac:dyDescent="0.2">
      <c r="C869" s="8" t="str">
        <f t="shared" si="26"/>
        <v/>
      </c>
      <c r="D869" s="8" t="str">
        <f t="shared" si="27"/>
        <v/>
      </c>
      <c r="H869" s="12" t="str">
        <f>IF(A869=0,"",VLOOKUP(B869,Materials!$A$2:$E$1001,6,FALSE))</f>
        <v/>
      </c>
    </row>
    <row r="870" spans="3:8" x14ac:dyDescent="0.2">
      <c r="C870" s="8" t="str">
        <f t="shared" si="26"/>
        <v/>
      </c>
      <c r="D870" s="8" t="str">
        <f t="shared" si="27"/>
        <v/>
      </c>
      <c r="H870" s="12" t="str">
        <f>IF(A870=0,"",VLOOKUP(B870,Materials!$A$2:$E$1001,6,FALSE))</f>
        <v/>
      </c>
    </row>
    <row r="871" spans="3:8" x14ac:dyDescent="0.2">
      <c r="C871" s="8" t="str">
        <f t="shared" si="26"/>
        <v/>
      </c>
      <c r="D871" s="8" t="str">
        <f t="shared" si="27"/>
        <v/>
      </c>
      <c r="H871" s="12" t="str">
        <f>IF(A871=0,"",VLOOKUP(B871,Materials!$A$2:$E$1001,6,FALSE))</f>
        <v/>
      </c>
    </row>
    <row r="872" spans="3:8" x14ac:dyDescent="0.2">
      <c r="C872" s="8" t="str">
        <f t="shared" si="26"/>
        <v/>
      </c>
      <c r="D872" s="8" t="str">
        <f t="shared" si="27"/>
        <v/>
      </c>
      <c r="H872" s="12" t="str">
        <f>IF(A872=0,"",VLOOKUP(B872,Materials!$A$2:$E$1001,6,FALSE))</f>
        <v/>
      </c>
    </row>
    <row r="873" spans="3:8" x14ac:dyDescent="0.2">
      <c r="C873" s="8" t="str">
        <f t="shared" si="26"/>
        <v/>
      </c>
      <c r="D873" s="8" t="str">
        <f t="shared" si="27"/>
        <v/>
      </c>
      <c r="H873" s="12" t="str">
        <f>IF(A873=0,"",VLOOKUP(B873,Materials!$A$2:$E$1001,6,FALSE))</f>
        <v/>
      </c>
    </row>
    <row r="874" spans="3:8" x14ac:dyDescent="0.2">
      <c r="C874" s="8" t="str">
        <f t="shared" si="26"/>
        <v/>
      </c>
      <c r="D874" s="8" t="str">
        <f t="shared" si="27"/>
        <v/>
      </c>
      <c r="H874" s="12" t="str">
        <f>IF(A874=0,"",VLOOKUP(B874,Materials!$A$2:$E$1001,6,FALSE))</f>
        <v/>
      </c>
    </row>
    <row r="875" spans="3:8" x14ac:dyDescent="0.2">
      <c r="C875" s="8" t="str">
        <f t="shared" si="26"/>
        <v/>
      </c>
      <c r="D875" s="8" t="str">
        <f t="shared" si="27"/>
        <v/>
      </c>
      <c r="H875" s="12" t="str">
        <f>IF(A875=0,"",VLOOKUP(B875,Materials!$A$2:$E$1001,6,FALSE))</f>
        <v/>
      </c>
    </row>
    <row r="876" spans="3:8" x14ac:dyDescent="0.2">
      <c r="C876" s="8" t="str">
        <f t="shared" si="26"/>
        <v/>
      </c>
      <c r="D876" s="8" t="str">
        <f t="shared" si="27"/>
        <v/>
      </c>
      <c r="H876" s="12" t="str">
        <f>IF(A876=0,"",VLOOKUP(B876,Materials!$A$2:$E$1001,6,FALSE))</f>
        <v/>
      </c>
    </row>
    <row r="877" spans="3:8" x14ac:dyDescent="0.2">
      <c r="C877" s="8" t="str">
        <f t="shared" si="26"/>
        <v/>
      </c>
      <c r="D877" s="8" t="str">
        <f t="shared" si="27"/>
        <v/>
      </c>
      <c r="H877" s="12" t="str">
        <f>IF(A877=0,"",VLOOKUP(B877,Materials!$A$2:$E$1001,6,FALSE))</f>
        <v/>
      </c>
    </row>
    <row r="878" spans="3:8" x14ac:dyDescent="0.2">
      <c r="C878" s="8" t="str">
        <f t="shared" si="26"/>
        <v/>
      </c>
      <c r="D878" s="8" t="str">
        <f t="shared" si="27"/>
        <v/>
      </c>
      <c r="H878" s="12" t="str">
        <f>IF(A878=0,"",VLOOKUP(B878,Materials!$A$2:$E$1001,6,FALSE))</f>
        <v/>
      </c>
    </row>
    <row r="879" spans="3:8" x14ac:dyDescent="0.2">
      <c r="C879" s="8" t="str">
        <f t="shared" si="26"/>
        <v/>
      </c>
      <c r="D879" s="8" t="str">
        <f t="shared" si="27"/>
        <v/>
      </c>
      <c r="H879" s="12" t="str">
        <f>IF(A879=0,"",VLOOKUP(B879,Materials!$A$2:$E$1001,6,FALSE))</f>
        <v/>
      </c>
    </row>
    <row r="880" spans="3:8" x14ac:dyDescent="0.2">
      <c r="C880" s="8" t="str">
        <f t="shared" si="26"/>
        <v/>
      </c>
      <c r="D880" s="8" t="str">
        <f t="shared" si="27"/>
        <v/>
      </c>
      <c r="H880" s="12" t="str">
        <f>IF(A880=0,"",VLOOKUP(B880,Materials!$A$2:$E$1001,6,FALSE))</f>
        <v/>
      </c>
    </row>
    <row r="881" spans="3:8" x14ac:dyDescent="0.2">
      <c r="C881" s="8" t="str">
        <f t="shared" si="26"/>
        <v/>
      </c>
      <c r="D881" s="8" t="str">
        <f t="shared" si="27"/>
        <v/>
      </c>
      <c r="H881" s="12" t="str">
        <f>IF(A881=0,"",VLOOKUP(B881,Materials!$A$2:$E$1001,6,FALSE))</f>
        <v/>
      </c>
    </row>
    <row r="882" spans="3:8" x14ac:dyDescent="0.2">
      <c r="C882" s="8" t="str">
        <f t="shared" si="26"/>
        <v/>
      </c>
      <c r="D882" s="8" t="str">
        <f t="shared" si="27"/>
        <v/>
      </c>
      <c r="H882" s="12" t="str">
        <f>IF(A882=0,"",VLOOKUP(B882,Materials!$A$2:$E$1001,6,FALSE))</f>
        <v/>
      </c>
    </row>
    <row r="883" spans="3:8" x14ac:dyDescent="0.2">
      <c r="C883" s="8" t="str">
        <f t="shared" si="26"/>
        <v/>
      </c>
      <c r="D883" s="8" t="str">
        <f t="shared" si="27"/>
        <v/>
      </c>
      <c r="H883" s="12" t="str">
        <f>IF(A883=0,"",VLOOKUP(B883,Materials!$A$2:$E$1001,6,FALSE))</f>
        <v/>
      </c>
    </row>
    <row r="884" spans="3:8" x14ac:dyDescent="0.2">
      <c r="C884" s="8" t="str">
        <f t="shared" si="26"/>
        <v/>
      </c>
      <c r="D884" s="8" t="str">
        <f t="shared" si="27"/>
        <v/>
      </c>
      <c r="H884" s="12" t="str">
        <f>IF(A884=0,"",VLOOKUP(B884,Materials!$A$2:$E$1001,6,FALSE))</f>
        <v/>
      </c>
    </row>
    <row r="885" spans="3:8" x14ac:dyDescent="0.2">
      <c r="C885" s="8" t="str">
        <f t="shared" si="26"/>
        <v/>
      </c>
      <c r="D885" s="8" t="str">
        <f t="shared" si="27"/>
        <v/>
      </c>
      <c r="H885" s="12" t="str">
        <f>IF(A885=0,"",VLOOKUP(B885,Materials!$A$2:$E$1001,6,FALSE))</f>
        <v/>
      </c>
    </row>
    <row r="886" spans="3:8" x14ac:dyDescent="0.2">
      <c r="C886" s="8" t="str">
        <f t="shared" si="26"/>
        <v/>
      </c>
      <c r="D886" s="8" t="str">
        <f t="shared" si="27"/>
        <v/>
      </c>
      <c r="H886" s="12" t="str">
        <f>IF(A886=0,"",VLOOKUP(B886,Materials!$A$2:$E$1001,6,FALSE))</f>
        <v/>
      </c>
    </row>
    <row r="887" spans="3:8" x14ac:dyDescent="0.2">
      <c r="C887" s="8" t="str">
        <f t="shared" si="26"/>
        <v/>
      </c>
      <c r="D887" s="8" t="str">
        <f t="shared" si="27"/>
        <v/>
      </c>
      <c r="H887" s="12" t="str">
        <f>IF(A887=0,"",VLOOKUP(B887,Materials!$A$2:$E$1001,6,FALSE))</f>
        <v/>
      </c>
    </row>
    <row r="888" spans="3:8" x14ac:dyDescent="0.2">
      <c r="C888" s="8" t="str">
        <f t="shared" si="26"/>
        <v/>
      </c>
      <c r="D888" s="8" t="str">
        <f t="shared" si="27"/>
        <v/>
      </c>
      <c r="H888" s="12" t="str">
        <f>IF(A888=0,"",VLOOKUP(B888,Materials!$A$2:$E$1001,6,FALSE))</f>
        <v/>
      </c>
    </row>
    <row r="889" spans="3:8" x14ac:dyDescent="0.2">
      <c r="C889" s="8" t="str">
        <f t="shared" si="26"/>
        <v/>
      </c>
      <c r="D889" s="8" t="str">
        <f t="shared" si="27"/>
        <v/>
      </c>
      <c r="H889" s="12" t="str">
        <f>IF(A889=0,"",VLOOKUP(B889,Materials!$A$2:$E$1001,6,FALSE))</f>
        <v/>
      </c>
    </row>
    <row r="890" spans="3:8" x14ac:dyDescent="0.2">
      <c r="C890" s="8" t="str">
        <f t="shared" si="26"/>
        <v/>
      </c>
      <c r="D890" s="8" t="str">
        <f t="shared" si="27"/>
        <v/>
      </c>
      <c r="H890" s="12" t="str">
        <f>IF(A890=0,"",VLOOKUP(B890,Materials!$A$2:$E$1001,6,FALSE))</f>
        <v/>
      </c>
    </row>
    <row r="891" spans="3:8" x14ac:dyDescent="0.2">
      <c r="C891" s="8" t="str">
        <f t="shared" si="26"/>
        <v/>
      </c>
      <c r="D891" s="8" t="str">
        <f t="shared" si="27"/>
        <v/>
      </c>
      <c r="H891" s="12" t="str">
        <f>IF(A891=0,"",VLOOKUP(B891,Materials!$A$2:$E$1001,6,FALSE))</f>
        <v/>
      </c>
    </row>
    <row r="892" spans="3:8" x14ac:dyDescent="0.2">
      <c r="C892" s="8" t="str">
        <f t="shared" si="26"/>
        <v/>
      </c>
      <c r="D892" s="8" t="str">
        <f t="shared" si="27"/>
        <v/>
      </c>
      <c r="H892" s="12" t="str">
        <f>IF(A892=0,"",VLOOKUP(B892,Materials!$A$2:$E$1001,6,FALSE))</f>
        <v/>
      </c>
    </row>
    <row r="893" spans="3:8" x14ac:dyDescent="0.2">
      <c r="C893" s="8" t="str">
        <f t="shared" si="26"/>
        <v/>
      </c>
      <c r="D893" s="8" t="str">
        <f t="shared" si="27"/>
        <v/>
      </c>
      <c r="H893" s="12" t="str">
        <f>IF(A893=0,"",VLOOKUP(B893,Materials!$A$2:$E$1001,6,FALSE))</f>
        <v/>
      </c>
    </row>
    <row r="894" spans="3:8" x14ac:dyDescent="0.2">
      <c r="C894" s="8" t="str">
        <f t="shared" si="26"/>
        <v/>
      </c>
      <c r="D894" s="8" t="str">
        <f t="shared" si="27"/>
        <v/>
      </c>
      <c r="H894" s="12" t="str">
        <f>IF(A894=0,"",VLOOKUP(B894,Materials!$A$2:$E$1001,6,FALSE))</f>
        <v/>
      </c>
    </row>
    <row r="895" spans="3:8" x14ac:dyDescent="0.2">
      <c r="C895" s="8" t="str">
        <f t="shared" si="26"/>
        <v/>
      </c>
      <c r="D895" s="8" t="str">
        <f t="shared" si="27"/>
        <v/>
      </c>
      <c r="H895" s="12" t="str">
        <f>IF(A895=0,"",VLOOKUP(B895,Materials!$A$2:$E$1001,6,FALSE))</f>
        <v/>
      </c>
    </row>
    <row r="896" spans="3:8" x14ac:dyDescent="0.2">
      <c r="C896" s="8" t="str">
        <f t="shared" si="26"/>
        <v/>
      </c>
      <c r="D896" s="8" t="str">
        <f t="shared" si="27"/>
        <v/>
      </c>
      <c r="H896" s="12" t="str">
        <f>IF(A896=0,"",VLOOKUP(B896,Materials!$A$2:$E$1001,6,FALSE))</f>
        <v/>
      </c>
    </row>
    <row r="897" spans="3:8" x14ac:dyDescent="0.2">
      <c r="C897" s="8" t="str">
        <f t="shared" si="26"/>
        <v/>
      </c>
      <c r="D897" s="8" t="str">
        <f t="shared" si="27"/>
        <v/>
      </c>
      <c r="H897" s="12" t="str">
        <f>IF(A897=0,"",VLOOKUP(B897,Materials!$A$2:$E$1001,6,FALSE))</f>
        <v/>
      </c>
    </row>
    <row r="898" spans="3:8" x14ac:dyDescent="0.2">
      <c r="C898" s="8" t="str">
        <f t="shared" ref="C898:C961" si="28">IF(A898=0,"",VLOOKUP(B898,MatDB,2,FALSE))</f>
        <v/>
      </c>
      <c r="D898" s="8" t="str">
        <f t="shared" si="27"/>
        <v/>
      </c>
      <c r="H898" s="12" t="str">
        <f>IF(A898=0,"",VLOOKUP(B898,Materials!$A$2:$E$1001,6,FALSE))</f>
        <v/>
      </c>
    </row>
    <row r="899" spans="3:8" x14ac:dyDescent="0.2">
      <c r="C899" s="8" t="str">
        <f t="shared" si="28"/>
        <v/>
      </c>
      <c r="D899" s="8" t="str">
        <f t="shared" ref="D899:D962" si="29">IF(A899=0,"","Concrete04")</f>
        <v/>
      </c>
      <c r="H899" s="12" t="str">
        <f>IF(A899=0,"",VLOOKUP(B899,Materials!$A$2:$E$1001,6,FALSE))</f>
        <v/>
      </c>
    </row>
    <row r="900" spans="3:8" x14ac:dyDescent="0.2">
      <c r="C900" s="8" t="str">
        <f t="shared" si="28"/>
        <v/>
      </c>
      <c r="D900" s="8" t="str">
        <f t="shared" si="29"/>
        <v/>
      </c>
      <c r="H900" s="12" t="str">
        <f>IF(A900=0,"",VLOOKUP(B900,Materials!$A$2:$E$1001,6,FALSE))</f>
        <v/>
      </c>
    </row>
    <row r="901" spans="3:8" x14ac:dyDescent="0.2">
      <c r="C901" s="8" t="str">
        <f t="shared" si="28"/>
        <v/>
      </c>
      <c r="D901" s="8" t="str">
        <f t="shared" si="29"/>
        <v/>
      </c>
      <c r="H901" s="12" t="str">
        <f>IF(A901=0,"",VLOOKUP(B901,Materials!$A$2:$E$1001,6,FALSE))</f>
        <v/>
      </c>
    </row>
    <row r="902" spans="3:8" x14ac:dyDescent="0.2">
      <c r="C902" s="8" t="str">
        <f t="shared" si="28"/>
        <v/>
      </c>
      <c r="D902" s="8" t="str">
        <f t="shared" si="29"/>
        <v/>
      </c>
      <c r="H902" s="12" t="str">
        <f>IF(A902=0,"",VLOOKUP(B902,Materials!$A$2:$E$1001,6,FALSE))</f>
        <v/>
      </c>
    </row>
    <row r="903" spans="3:8" x14ac:dyDescent="0.2">
      <c r="C903" s="8" t="str">
        <f t="shared" si="28"/>
        <v/>
      </c>
      <c r="D903" s="8" t="str">
        <f t="shared" si="29"/>
        <v/>
      </c>
      <c r="H903" s="12" t="str">
        <f>IF(A903=0,"",VLOOKUP(B903,Materials!$A$2:$E$1001,6,FALSE))</f>
        <v/>
      </c>
    </row>
    <row r="904" spans="3:8" x14ac:dyDescent="0.2">
      <c r="C904" s="8" t="str">
        <f t="shared" si="28"/>
        <v/>
      </c>
      <c r="D904" s="8" t="str">
        <f t="shared" si="29"/>
        <v/>
      </c>
      <c r="H904" s="12" t="str">
        <f>IF(A904=0,"",VLOOKUP(B904,Materials!$A$2:$E$1001,6,FALSE))</f>
        <v/>
      </c>
    </row>
    <row r="905" spans="3:8" x14ac:dyDescent="0.2">
      <c r="C905" s="8" t="str">
        <f t="shared" si="28"/>
        <v/>
      </c>
      <c r="D905" s="8" t="str">
        <f t="shared" si="29"/>
        <v/>
      </c>
      <c r="H905" s="12" t="str">
        <f>IF(A905=0,"",VLOOKUP(B905,Materials!$A$2:$E$1001,6,FALSE))</f>
        <v/>
      </c>
    </row>
    <row r="906" spans="3:8" x14ac:dyDescent="0.2">
      <c r="C906" s="8" t="str">
        <f t="shared" si="28"/>
        <v/>
      </c>
      <c r="D906" s="8" t="str">
        <f t="shared" si="29"/>
        <v/>
      </c>
      <c r="H906" s="12" t="str">
        <f>IF(A906=0,"",VLOOKUP(B906,Materials!$A$2:$E$1001,6,FALSE))</f>
        <v/>
      </c>
    </row>
    <row r="907" spans="3:8" x14ac:dyDescent="0.2">
      <c r="C907" s="8" t="str">
        <f t="shared" si="28"/>
        <v/>
      </c>
      <c r="D907" s="8" t="str">
        <f t="shared" si="29"/>
        <v/>
      </c>
      <c r="H907" s="12" t="str">
        <f>IF(A907=0,"",VLOOKUP(B907,Materials!$A$2:$E$1001,6,FALSE))</f>
        <v/>
      </c>
    </row>
    <row r="908" spans="3:8" x14ac:dyDescent="0.2">
      <c r="C908" s="8" t="str">
        <f t="shared" si="28"/>
        <v/>
      </c>
      <c r="D908" s="8" t="str">
        <f t="shared" si="29"/>
        <v/>
      </c>
      <c r="H908" s="12" t="str">
        <f>IF(A908=0,"",VLOOKUP(B908,Materials!$A$2:$E$1001,6,FALSE))</f>
        <v/>
      </c>
    </row>
    <row r="909" spans="3:8" x14ac:dyDescent="0.2">
      <c r="C909" s="8" t="str">
        <f t="shared" si="28"/>
        <v/>
      </c>
      <c r="D909" s="8" t="str">
        <f t="shared" si="29"/>
        <v/>
      </c>
      <c r="H909" s="12" t="str">
        <f>IF(A909=0,"",VLOOKUP(B909,Materials!$A$2:$E$1001,6,FALSE))</f>
        <v/>
      </c>
    </row>
    <row r="910" spans="3:8" x14ac:dyDescent="0.2">
      <c r="C910" s="8" t="str">
        <f t="shared" si="28"/>
        <v/>
      </c>
      <c r="D910" s="8" t="str">
        <f t="shared" si="29"/>
        <v/>
      </c>
      <c r="H910" s="12" t="str">
        <f>IF(A910=0,"",VLOOKUP(B910,Materials!$A$2:$E$1001,6,FALSE))</f>
        <v/>
      </c>
    </row>
    <row r="911" spans="3:8" x14ac:dyDescent="0.2">
      <c r="C911" s="8" t="str">
        <f t="shared" si="28"/>
        <v/>
      </c>
      <c r="D911" s="8" t="str">
        <f t="shared" si="29"/>
        <v/>
      </c>
      <c r="H911" s="12" t="str">
        <f>IF(A911=0,"",VLOOKUP(B911,Materials!$A$2:$E$1001,6,FALSE))</f>
        <v/>
      </c>
    </row>
    <row r="912" spans="3:8" x14ac:dyDescent="0.2">
      <c r="C912" s="8" t="str">
        <f t="shared" si="28"/>
        <v/>
      </c>
      <c r="D912" s="8" t="str">
        <f t="shared" si="29"/>
        <v/>
      </c>
      <c r="H912" s="12" t="str">
        <f>IF(A912=0,"",VLOOKUP(B912,Materials!$A$2:$E$1001,6,FALSE))</f>
        <v/>
      </c>
    </row>
    <row r="913" spans="3:8" x14ac:dyDescent="0.2">
      <c r="C913" s="8" t="str">
        <f t="shared" si="28"/>
        <v/>
      </c>
      <c r="D913" s="8" t="str">
        <f t="shared" si="29"/>
        <v/>
      </c>
      <c r="H913" s="12" t="str">
        <f>IF(A913=0,"",VLOOKUP(B913,Materials!$A$2:$E$1001,6,FALSE))</f>
        <v/>
      </c>
    </row>
    <row r="914" spans="3:8" x14ac:dyDescent="0.2">
      <c r="C914" s="8" t="str">
        <f t="shared" si="28"/>
        <v/>
      </c>
      <c r="D914" s="8" t="str">
        <f t="shared" si="29"/>
        <v/>
      </c>
      <c r="H914" s="12" t="str">
        <f>IF(A914=0,"",VLOOKUP(B914,Materials!$A$2:$E$1001,6,FALSE))</f>
        <v/>
      </c>
    </row>
    <row r="915" spans="3:8" x14ac:dyDescent="0.2">
      <c r="C915" s="8" t="str">
        <f t="shared" si="28"/>
        <v/>
      </c>
      <c r="D915" s="8" t="str">
        <f t="shared" si="29"/>
        <v/>
      </c>
      <c r="H915" s="12" t="str">
        <f>IF(A915=0,"",VLOOKUP(B915,Materials!$A$2:$E$1001,6,FALSE))</f>
        <v/>
      </c>
    </row>
    <row r="916" spans="3:8" x14ac:dyDescent="0.2">
      <c r="C916" s="8" t="str">
        <f t="shared" si="28"/>
        <v/>
      </c>
      <c r="D916" s="8" t="str">
        <f t="shared" si="29"/>
        <v/>
      </c>
      <c r="H916" s="12" t="str">
        <f>IF(A916=0,"",VLOOKUP(B916,Materials!$A$2:$E$1001,6,FALSE))</f>
        <v/>
      </c>
    </row>
    <row r="917" spans="3:8" x14ac:dyDescent="0.2">
      <c r="C917" s="8" t="str">
        <f t="shared" si="28"/>
        <v/>
      </c>
      <c r="D917" s="8" t="str">
        <f t="shared" si="29"/>
        <v/>
      </c>
      <c r="H917" s="12" t="str">
        <f>IF(A917=0,"",VLOOKUP(B917,Materials!$A$2:$E$1001,6,FALSE))</f>
        <v/>
      </c>
    </row>
    <row r="918" spans="3:8" x14ac:dyDescent="0.2">
      <c r="C918" s="8" t="str">
        <f t="shared" si="28"/>
        <v/>
      </c>
      <c r="D918" s="8" t="str">
        <f t="shared" si="29"/>
        <v/>
      </c>
      <c r="H918" s="12" t="str">
        <f>IF(A918=0,"",VLOOKUP(B918,Materials!$A$2:$E$1001,6,FALSE))</f>
        <v/>
      </c>
    </row>
    <row r="919" spans="3:8" x14ac:dyDescent="0.2">
      <c r="C919" s="8" t="str">
        <f t="shared" si="28"/>
        <v/>
      </c>
      <c r="D919" s="8" t="str">
        <f t="shared" si="29"/>
        <v/>
      </c>
      <c r="H919" s="12" t="str">
        <f>IF(A919=0,"",VLOOKUP(B919,Materials!$A$2:$E$1001,6,FALSE))</f>
        <v/>
      </c>
    </row>
    <row r="920" spans="3:8" x14ac:dyDescent="0.2">
      <c r="C920" s="8" t="str">
        <f t="shared" si="28"/>
        <v/>
      </c>
      <c r="D920" s="8" t="str">
        <f t="shared" si="29"/>
        <v/>
      </c>
      <c r="H920" s="12" t="str">
        <f>IF(A920=0,"",VLOOKUP(B920,Materials!$A$2:$E$1001,6,FALSE))</f>
        <v/>
      </c>
    </row>
    <row r="921" spans="3:8" x14ac:dyDescent="0.2">
      <c r="C921" s="8" t="str">
        <f t="shared" si="28"/>
        <v/>
      </c>
      <c r="D921" s="8" t="str">
        <f t="shared" si="29"/>
        <v/>
      </c>
      <c r="H921" s="12" t="str">
        <f>IF(A921=0,"",VLOOKUP(B921,Materials!$A$2:$E$1001,6,FALSE))</f>
        <v/>
      </c>
    </row>
    <row r="922" spans="3:8" x14ac:dyDescent="0.2">
      <c r="C922" s="8" t="str">
        <f t="shared" si="28"/>
        <v/>
      </c>
      <c r="D922" s="8" t="str">
        <f t="shared" si="29"/>
        <v/>
      </c>
      <c r="H922" s="12" t="str">
        <f>IF(A922=0,"",VLOOKUP(B922,Materials!$A$2:$E$1001,6,FALSE))</f>
        <v/>
      </c>
    </row>
    <row r="923" spans="3:8" x14ac:dyDescent="0.2">
      <c r="C923" s="8" t="str">
        <f t="shared" si="28"/>
        <v/>
      </c>
      <c r="D923" s="8" t="str">
        <f t="shared" si="29"/>
        <v/>
      </c>
      <c r="H923" s="12" t="str">
        <f>IF(A923=0,"",VLOOKUP(B923,Materials!$A$2:$E$1001,6,FALSE))</f>
        <v/>
      </c>
    </row>
    <row r="924" spans="3:8" x14ac:dyDescent="0.2">
      <c r="C924" s="8" t="str">
        <f t="shared" si="28"/>
        <v/>
      </c>
      <c r="D924" s="8" t="str">
        <f t="shared" si="29"/>
        <v/>
      </c>
      <c r="H924" s="12" t="str">
        <f>IF(A924=0,"",VLOOKUP(B924,Materials!$A$2:$E$1001,6,FALSE))</f>
        <v/>
      </c>
    </row>
    <row r="925" spans="3:8" x14ac:dyDescent="0.2">
      <c r="C925" s="8" t="str">
        <f t="shared" si="28"/>
        <v/>
      </c>
      <c r="D925" s="8" t="str">
        <f t="shared" si="29"/>
        <v/>
      </c>
      <c r="H925" s="12" t="str">
        <f>IF(A925=0,"",VLOOKUP(B925,Materials!$A$2:$E$1001,6,FALSE))</f>
        <v/>
      </c>
    </row>
    <row r="926" spans="3:8" x14ac:dyDescent="0.2">
      <c r="C926" s="8" t="str">
        <f t="shared" si="28"/>
        <v/>
      </c>
      <c r="D926" s="8" t="str">
        <f t="shared" si="29"/>
        <v/>
      </c>
      <c r="H926" s="12" t="str">
        <f>IF(A926=0,"",VLOOKUP(B926,Materials!$A$2:$E$1001,6,FALSE))</f>
        <v/>
      </c>
    </row>
    <row r="927" spans="3:8" x14ac:dyDescent="0.2">
      <c r="C927" s="8" t="str">
        <f t="shared" si="28"/>
        <v/>
      </c>
      <c r="D927" s="8" t="str">
        <f t="shared" si="29"/>
        <v/>
      </c>
      <c r="H927" s="12" t="str">
        <f>IF(A927=0,"",VLOOKUP(B927,Materials!$A$2:$E$1001,6,FALSE))</f>
        <v/>
      </c>
    </row>
    <row r="928" spans="3:8" x14ac:dyDescent="0.2">
      <c r="C928" s="8" t="str">
        <f t="shared" si="28"/>
        <v/>
      </c>
      <c r="D928" s="8" t="str">
        <f t="shared" si="29"/>
        <v/>
      </c>
      <c r="H928" s="12" t="str">
        <f>IF(A928=0,"",VLOOKUP(B928,Materials!$A$2:$E$1001,6,FALSE))</f>
        <v/>
      </c>
    </row>
    <row r="929" spans="3:8" x14ac:dyDescent="0.2">
      <c r="C929" s="8" t="str">
        <f t="shared" si="28"/>
        <v/>
      </c>
      <c r="D929" s="8" t="str">
        <f t="shared" si="29"/>
        <v/>
      </c>
      <c r="H929" s="12" t="str">
        <f>IF(A929=0,"",VLOOKUP(B929,Materials!$A$2:$E$1001,6,FALSE))</f>
        <v/>
      </c>
    </row>
    <row r="930" spans="3:8" x14ac:dyDescent="0.2">
      <c r="C930" s="8" t="str">
        <f t="shared" si="28"/>
        <v/>
      </c>
      <c r="D930" s="8" t="str">
        <f t="shared" si="29"/>
        <v/>
      </c>
      <c r="H930" s="12" t="str">
        <f>IF(A930=0,"",VLOOKUP(B930,Materials!$A$2:$E$1001,6,FALSE))</f>
        <v/>
      </c>
    </row>
    <row r="931" spans="3:8" x14ac:dyDescent="0.2">
      <c r="C931" s="8" t="str">
        <f t="shared" si="28"/>
        <v/>
      </c>
      <c r="D931" s="8" t="str">
        <f t="shared" si="29"/>
        <v/>
      </c>
      <c r="H931" s="12" t="str">
        <f>IF(A931=0,"",VLOOKUP(B931,Materials!$A$2:$E$1001,6,FALSE))</f>
        <v/>
      </c>
    </row>
    <row r="932" spans="3:8" x14ac:dyDescent="0.2">
      <c r="C932" s="8" t="str">
        <f t="shared" si="28"/>
        <v/>
      </c>
      <c r="D932" s="8" t="str">
        <f t="shared" si="29"/>
        <v/>
      </c>
      <c r="H932" s="12" t="str">
        <f>IF(A932=0,"",VLOOKUP(B932,Materials!$A$2:$E$1001,6,FALSE))</f>
        <v/>
      </c>
    </row>
    <row r="933" spans="3:8" x14ac:dyDescent="0.2">
      <c r="C933" s="8" t="str">
        <f t="shared" si="28"/>
        <v/>
      </c>
      <c r="D933" s="8" t="str">
        <f t="shared" si="29"/>
        <v/>
      </c>
      <c r="H933" s="12" t="str">
        <f>IF(A933=0,"",VLOOKUP(B933,Materials!$A$2:$E$1001,6,FALSE))</f>
        <v/>
      </c>
    </row>
    <row r="934" spans="3:8" x14ac:dyDescent="0.2">
      <c r="C934" s="8" t="str">
        <f t="shared" si="28"/>
        <v/>
      </c>
      <c r="D934" s="8" t="str">
        <f t="shared" si="29"/>
        <v/>
      </c>
      <c r="H934" s="12" t="str">
        <f>IF(A934=0,"",VLOOKUP(B934,Materials!$A$2:$E$1001,6,FALSE))</f>
        <v/>
      </c>
    </row>
    <row r="935" spans="3:8" x14ac:dyDescent="0.2">
      <c r="C935" s="8" t="str">
        <f t="shared" si="28"/>
        <v/>
      </c>
      <c r="D935" s="8" t="str">
        <f t="shared" si="29"/>
        <v/>
      </c>
      <c r="H935" s="12" t="str">
        <f>IF(A935=0,"",VLOOKUP(B935,Materials!$A$2:$E$1001,6,FALSE))</f>
        <v/>
      </c>
    </row>
    <row r="936" spans="3:8" x14ac:dyDescent="0.2">
      <c r="C936" s="8" t="str">
        <f t="shared" si="28"/>
        <v/>
      </c>
      <c r="D936" s="8" t="str">
        <f t="shared" si="29"/>
        <v/>
      </c>
      <c r="H936" s="12" t="str">
        <f>IF(A936=0,"",VLOOKUP(B936,Materials!$A$2:$E$1001,6,FALSE))</f>
        <v/>
      </c>
    </row>
    <row r="937" spans="3:8" x14ac:dyDescent="0.2">
      <c r="C937" s="8" t="str">
        <f t="shared" si="28"/>
        <v/>
      </c>
      <c r="D937" s="8" t="str">
        <f t="shared" si="29"/>
        <v/>
      </c>
      <c r="H937" s="12" t="str">
        <f>IF(A937=0,"",VLOOKUP(B937,Materials!$A$2:$E$1001,6,FALSE))</f>
        <v/>
      </c>
    </row>
    <row r="938" spans="3:8" x14ac:dyDescent="0.2">
      <c r="C938" s="8" t="str">
        <f t="shared" si="28"/>
        <v/>
      </c>
      <c r="D938" s="8" t="str">
        <f t="shared" si="29"/>
        <v/>
      </c>
      <c r="H938" s="12" t="str">
        <f>IF(A938=0,"",VLOOKUP(B938,Materials!$A$2:$E$1001,6,FALSE))</f>
        <v/>
      </c>
    </row>
    <row r="939" spans="3:8" x14ac:dyDescent="0.2">
      <c r="C939" s="8" t="str">
        <f t="shared" si="28"/>
        <v/>
      </c>
      <c r="D939" s="8" t="str">
        <f t="shared" si="29"/>
        <v/>
      </c>
      <c r="H939" s="12" t="str">
        <f>IF(A939=0,"",VLOOKUP(B939,Materials!$A$2:$E$1001,6,FALSE))</f>
        <v/>
      </c>
    </row>
    <row r="940" spans="3:8" x14ac:dyDescent="0.2">
      <c r="C940" s="8" t="str">
        <f t="shared" si="28"/>
        <v/>
      </c>
      <c r="D940" s="8" t="str">
        <f t="shared" si="29"/>
        <v/>
      </c>
      <c r="H940" s="12" t="str">
        <f>IF(A940=0,"",VLOOKUP(B940,Materials!$A$2:$E$1001,6,FALSE))</f>
        <v/>
      </c>
    </row>
    <row r="941" spans="3:8" x14ac:dyDescent="0.2">
      <c r="C941" s="8" t="str">
        <f t="shared" si="28"/>
        <v/>
      </c>
      <c r="D941" s="8" t="str">
        <f t="shared" si="29"/>
        <v/>
      </c>
      <c r="H941" s="12" t="str">
        <f>IF(A941=0,"",VLOOKUP(B941,Materials!$A$2:$E$1001,6,FALSE))</f>
        <v/>
      </c>
    </row>
    <row r="942" spans="3:8" x14ac:dyDescent="0.2">
      <c r="C942" s="8" t="str">
        <f t="shared" si="28"/>
        <v/>
      </c>
      <c r="D942" s="8" t="str">
        <f t="shared" si="29"/>
        <v/>
      </c>
      <c r="H942" s="12" t="str">
        <f>IF(A942=0,"",VLOOKUP(B942,Materials!$A$2:$E$1001,6,FALSE))</f>
        <v/>
      </c>
    </row>
    <row r="943" spans="3:8" x14ac:dyDescent="0.2">
      <c r="C943" s="8" t="str">
        <f t="shared" si="28"/>
        <v/>
      </c>
      <c r="D943" s="8" t="str">
        <f t="shared" si="29"/>
        <v/>
      </c>
      <c r="H943" s="12" t="str">
        <f>IF(A943=0,"",VLOOKUP(B943,Materials!$A$2:$E$1001,6,FALSE))</f>
        <v/>
      </c>
    </row>
    <row r="944" spans="3:8" x14ac:dyDescent="0.2">
      <c r="C944" s="8" t="str">
        <f t="shared" si="28"/>
        <v/>
      </c>
      <c r="D944" s="8" t="str">
        <f t="shared" si="29"/>
        <v/>
      </c>
      <c r="H944" s="12" t="str">
        <f>IF(A944=0,"",VLOOKUP(B944,Materials!$A$2:$E$1001,6,FALSE))</f>
        <v/>
      </c>
    </row>
    <row r="945" spans="3:8" x14ac:dyDescent="0.2">
      <c r="C945" s="8" t="str">
        <f t="shared" si="28"/>
        <v/>
      </c>
      <c r="D945" s="8" t="str">
        <f t="shared" si="29"/>
        <v/>
      </c>
      <c r="H945" s="12" t="str">
        <f>IF(A945=0,"",VLOOKUP(B945,Materials!$A$2:$E$1001,6,FALSE))</f>
        <v/>
      </c>
    </row>
    <row r="946" spans="3:8" x14ac:dyDescent="0.2">
      <c r="C946" s="8" t="str">
        <f t="shared" si="28"/>
        <v/>
      </c>
      <c r="D946" s="8" t="str">
        <f t="shared" si="29"/>
        <v/>
      </c>
      <c r="H946" s="12" t="str">
        <f>IF(A946=0,"",VLOOKUP(B946,Materials!$A$2:$E$1001,6,FALSE))</f>
        <v/>
      </c>
    </row>
    <row r="947" spans="3:8" x14ac:dyDescent="0.2">
      <c r="C947" s="8" t="str">
        <f t="shared" si="28"/>
        <v/>
      </c>
      <c r="D947" s="8" t="str">
        <f t="shared" si="29"/>
        <v/>
      </c>
      <c r="H947" s="12" t="str">
        <f>IF(A947=0,"",VLOOKUP(B947,Materials!$A$2:$E$1001,6,FALSE))</f>
        <v/>
      </c>
    </row>
    <row r="948" spans="3:8" x14ac:dyDescent="0.2">
      <c r="C948" s="8" t="str">
        <f t="shared" si="28"/>
        <v/>
      </c>
      <c r="D948" s="8" t="str">
        <f t="shared" si="29"/>
        <v/>
      </c>
      <c r="H948" s="12" t="str">
        <f>IF(A948=0,"",VLOOKUP(B948,Materials!$A$2:$E$1001,6,FALSE))</f>
        <v/>
      </c>
    </row>
    <row r="949" spans="3:8" x14ac:dyDescent="0.2">
      <c r="C949" s="8" t="str">
        <f t="shared" si="28"/>
        <v/>
      </c>
      <c r="D949" s="8" t="str">
        <f t="shared" si="29"/>
        <v/>
      </c>
      <c r="H949" s="12" t="str">
        <f>IF(A949=0,"",VLOOKUP(B949,Materials!$A$2:$E$1001,6,FALSE))</f>
        <v/>
      </c>
    </row>
    <row r="950" spans="3:8" x14ac:dyDescent="0.2">
      <c r="C950" s="8" t="str">
        <f t="shared" si="28"/>
        <v/>
      </c>
      <c r="D950" s="8" t="str">
        <f t="shared" si="29"/>
        <v/>
      </c>
      <c r="H950" s="12" t="str">
        <f>IF(A950=0,"",VLOOKUP(B950,Materials!$A$2:$E$1001,6,FALSE))</f>
        <v/>
      </c>
    </row>
    <row r="951" spans="3:8" x14ac:dyDescent="0.2">
      <c r="C951" s="8" t="str">
        <f t="shared" si="28"/>
        <v/>
      </c>
      <c r="D951" s="8" t="str">
        <f t="shared" si="29"/>
        <v/>
      </c>
      <c r="H951" s="12" t="str">
        <f>IF(A951=0,"",VLOOKUP(B951,Materials!$A$2:$E$1001,6,FALSE))</f>
        <v/>
      </c>
    </row>
    <row r="952" spans="3:8" x14ac:dyDescent="0.2">
      <c r="C952" s="8" t="str">
        <f t="shared" si="28"/>
        <v/>
      </c>
      <c r="D952" s="8" t="str">
        <f t="shared" si="29"/>
        <v/>
      </c>
      <c r="H952" s="12" t="str">
        <f>IF(A952=0,"",VLOOKUP(B952,Materials!$A$2:$E$1001,6,FALSE))</f>
        <v/>
      </c>
    </row>
    <row r="953" spans="3:8" x14ac:dyDescent="0.2">
      <c r="C953" s="8" t="str">
        <f t="shared" si="28"/>
        <v/>
      </c>
      <c r="D953" s="8" t="str">
        <f t="shared" si="29"/>
        <v/>
      </c>
      <c r="H953" s="12" t="str">
        <f>IF(A953=0,"",VLOOKUP(B953,Materials!$A$2:$E$1001,6,FALSE))</f>
        <v/>
      </c>
    </row>
    <row r="954" spans="3:8" x14ac:dyDescent="0.2">
      <c r="C954" s="8" t="str">
        <f t="shared" si="28"/>
        <v/>
      </c>
      <c r="D954" s="8" t="str">
        <f t="shared" si="29"/>
        <v/>
      </c>
      <c r="H954" s="12" t="str">
        <f>IF(A954=0,"",VLOOKUP(B954,Materials!$A$2:$E$1001,6,FALSE))</f>
        <v/>
      </c>
    </row>
    <row r="955" spans="3:8" x14ac:dyDescent="0.2">
      <c r="C955" s="8" t="str">
        <f t="shared" si="28"/>
        <v/>
      </c>
      <c r="D955" s="8" t="str">
        <f t="shared" si="29"/>
        <v/>
      </c>
      <c r="H955" s="12" t="str">
        <f>IF(A955=0,"",VLOOKUP(B955,Materials!$A$2:$E$1001,6,FALSE))</f>
        <v/>
      </c>
    </row>
    <row r="956" spans="3:8" x14ac:dyDescent="0.2">
      <c r="C956" s="8" t="str">
        <f t="shared" si="28"/>
        <v/>
      </c>
      <c r="D956" s="8" t="str">
        <f t="shared" si="29"/>
        <v/>
      </c>
      <c r="H956" s="12" t="str">
        <f>IF(A956=0,"",VLOOKUP(B956,Materials!$A$2:$E$1001,6,FALSE))</f>
        <v/>
      </c>
    </row>
    <row r="957" spans="3:8" x14ac:dyDescent="0.2">
      <c r="C957" s="8" t="str">
        <f t="shared" si="28"/>
        <v/>
      </c>
      <c r="D957" s="8" t="str">
        <f t="shared" si="29"/>
        <v/>
      </c>
      <c r="H957" s="12" t="str">
        <f>IF(A957=0,"",VLOOKUP(B957,Materials!$A$2:$E$1001,6,FALSE))</f>
        <v/>
      </c>
    </row>
    <row r="958" spans="3:8" x14ac:dyDescent="0.2">
      <c r="C958" s="8" t="str">
        <f t="shared" si="28"/>
        <v/>
      </c>
      <c r="D958" s="8" t="str">
        <f t="shared" si="29"/>
        <v/>
      </c>
      <c r="H958" s="12" t="str">
        <f>IF(A958=0,"",VLOOKUP(B958,Materials!$A$2:$E$1001,6,FALSE))</f>
        <v/>
      </c>
    </row>
    <row r="959" spans="3:8" x14ac:dyDescent="0.2">
      <c r="C959" s="8" t="str">
        <f t="shared" si="28"/>
        <v/>
      </c>
      <c r="D959" s="8" t="str">
        <f t="shared" si="29"/>
        <v/>
      </c>
      <c r="H959" s="12" t="str">
        <f>IF(A959=0,"",VLOOKUP(B959,Materials!$A$2:$E$1001,6,FALSE))</f>
        <v/>
      </c>
    </row>
    <row r="960" spans="3:8" x14ac:dyDescent="0.2">
      <c r="C960" s="8" t="str">
        <f t="shared" si="28"/>
        <v/>
      </c>
      <c r="D960" s="8" t="str">
        <f t="shared" si="29"/>
        <v/>
      </c>
      <c r="H960" s="12" t="str">
        <f>IF(A960=0,"",VLOOKUP(B960,Materials!$A$2:$E$1001,6,FALSE))</f>
        <v/>
      </c>
    </row>
    <row r="961" spans="3:8" x14ac:dyDescent="0.2">
      <c r="C961" s="8" t="str">
        <f t="shared" si="28"/>
        <v/>
      </c>
      <c r="D961" s="8" t="str">
        <f t="shared" si="29"/>
        <v/>
      </c>
      <c r="H961" s="12" t="str">
        <f>IF(A961=0,"",VLOOKUP(B961,Materials!$A$2:$E$1001,6,FALSE))</f>
        <v/>
      </c>
    </row>
    <row r="962" spans="3:8" x14ac:dyDescent="0.2">
      <c r="C962" s="8" t="str">
        <f t="shared" ref="C962:C1001" si="30">IF(A962=0,"",VLOOKUP(B962,MatDB,2,FALSE))</f>
        <v/>
      </c>
      <c r="D962" s="8" t="str">
        <f t="shared" si="29"/>
        <v/>
      </c>
      <c r="H962" s="12" t="str">
        <f>IF(A962=0,"",VLOOKUP(B962,Materials!$A$2:$E$1001,6,FALSE))</f>
        <v/>
      </c>
    </row>
    <row r="963" spans="3:8" x14ac:dyDescent="0.2">
      <c r="C963" s="8" t="str">
        <f t="shared" si="30"/>
        <v/>
      </c>
      <c r="D963" s="8" t="str">
        <f t="shared" ref="D963:D1001" si="31">IF(A963=0,"","Concrete04")</f>
        <v/>
      </c>
      <c r="H963" s="12" t="str">
        <f>IF(A963=0,"",VLOOKUP(B963,Materials!$A$2:$E$1001,6,FALSE))</f>
        <v/>
      </c>
    </row>
    <row r="964" spans="3:8" x14ac:dyDescent="0.2">
      <c r="C964" s="8" t="str">
        <f t="shared" si="30"/>
        <v/>
      </c>
      <c r="D964" s="8" t="str">
        <f t="shared" si="31"/>
        <v/>
      </c>
      <c r="H964" s="12" t="str">
        <f>IF(A964=0,"",VLOOKUP(B964,Materials!$A$2:$E$1001,6,FALSE))</f>
        <v/>
      </c>
    </row>
    <row r="965" spans="3:8" x14ac:dyDescent="0.2">
      <c r="C965" s="8" t="str">
        <f t="shared" si="30"/>
        <v/>
      </c>
      <c r="D965" s="8" t="str">
        <f t="shared" si="31"/>
        <v/>
      </c>
      <c r="H965" s="12" t="str">
        <f>IF(A965=0,"",VLOOKUP(B965,Materials!$A$2:$E$1001,6,FALSE))</f>
        <v/>
      </c>
    </row>
    <row r="966" spans="3:8" x14ac:dyDescent="0.2">
      <c r="C966" s="8" t="str">
        <f t="shared" si="30"/>
        <v/>
      </c>
      <c r="D966" s="8" t="str">
        <f t="shared" si="31"/>
        <v/>
      </c>
      <c r="H966" s="12" t="str">
        <f>IF(A966=0,"",VLOOKUP(B966,Materials!$A$2:$E$1001,6,FALSE))</f>
        <v/>
      </c>
    </row>
    <row r="967" spans="3:8" x14ac:dyDescent="0.2">
      <c r="C967" s="8" t="str">
        <f t="shared" si="30"/>
        <v/>
      </c>
      <c r="D967" s="8" t="str">
        <f t="shared" si="31"/>
        <v/>
      </c>
      <c r="H967" s="12" t="str">
        <f>IF(A967=0,"",VLOOKUP(B967,Materials!$A$2:$E$1001,6,FALSE))</f>
        <v/>
      </c>
    </row>
    <row r="968" spans="3:8" x14ac:dyDescent="0.2">
      <c r="C968" s="8" t="str">
        <f t="shared" si="30"/>
        <v/>
      </c>
      <c r="D968" s="8" t="str">
        <f t="shared" si="31"/>
        <v/>
      </c>
      <c r="H968" s="12" t="str">
        <f>IF(A968=0,"",VLOOKUP(B968,Materials!$A$2:$E$1001,6,FALSE))</f>
        <v/>
      </c>
    </row>
    <row r="969" spans="3:8" x14ac:dyDescent="0.2">
      <c r="C969" s="8" t="str">
        <f t="shared" si="30"/>
        <v/>
      </c>
      <c r="D969" s="8" t="str">
        <f t="shared" si="31"/>
        <v/>
      </c>
      <c r="H969" s="12" t="str">
        <f>IF(A969=0,"",VLOOKUP(B969,Materials!$A$2:$E$1001,6,FALSE))</f>
        <v/>
      </c>
    </row>
    <row r="970" spans="3:8" x14ac:dyDescent="0.2">
      <c r="C970" s="8" t="str">
        <f t="shared" si="30"/>
        <v/>
      </c>
      <c r="D970" s="8" t="str">
        <f t="shared" si="31"/>
        <v/>
      </c>
      <c r="H970" s="12" t="str">
        <f>IF(A970=0,"",VLOOKUP(B970,Materials!$A$2:$E$1001,6,FALSE))</f>
        <v/>
      </c>
    </row>
    <row r="971" spans="3:8" x14ac:dyDescent="0.2">
      <c r="C971" s="8" t="str">
        <f t="shared" si="30"/>
        <v/>
      </c>
      <c r="D971" s="8" t="str">
        <f t="shared" si="31"/>
        <v/>
      </c>
      <c r="H971" s="12" t="str">
        <f>IF(A971=0,"",VLOOKUP(B971,Materials!$A$2:$E$1001,6,FALSE))</f>
        <v/>
      </c>
    </row>
    <row r="972" spans="3:8" x14ac:dyDescent="0.2">
      <c r="C972" s="8" t="str">
        <f t="shared" si="30"/>
        <v/>
      </c>
      <c r="D972" s="8" t="str">
        <f t="shared" si="31"/>
        <v/>
      </c>
      <c r="H972" s="12" t="str">
        <f>IF(A972=0,"",VLOOKUP(B972,Materials!$A$2:$E$1001,6,FALSE))</f>
        <v/>
      </c>
    </row>
    <row r="973" spans="3:8" x14ac:dyDescent="0.2">
      <c r="C973" s="8" t="str">
        <f t="shared" si="30"/>
        <v/>
      </c>
      <c r="D973" s="8" t="str">
        <f t="shared" si="31"/>
        <v/>
      </c>
      <c r="H973" s="12" t="str">
        <f>IF(A973=0,"",VLOOKUP(B973,Materials!$A$2:$E$1001,6,FALSE))</f>
        <v/>
      </c>
    </row>
    <row r="974" spans="3:8" x14ac:dyDescent="0.2">
      <c r="C974" s="8" t="str">
        <f t="shared" si="30"/>
        <v/>
      </c>
      <c r="D974" s="8" t="str">
        <f t="shared" si="31"/>
        <v/>
      </c>
      <c r="H974" s="12" t="str">
        <f>IF(A974=0,"",VLOOKUP(B974,Materials!$A$2:$E$1001,6,FALSE))</f>
        <v/>
      </c>
    </row>
    <row r="975" spans="3:8" x14ac:dyDescent="0.2">
      <c r="C975" s="8" t="str">
        <f t="shared" si="30"/>
        <v/>
      </c>
      <c r="D975" s="8" t="str">
        <f t="shared" si="31"/>
        <v/>
      </c>
      <c r="H975" s="12" t="str">
        <f>IF(A975=0,"",VLOOKUP(B975,Materials!$A$2:$E$1001,6,FALSE))</f>
        <v/>
      </c>
    </row>
    <row r="976" spans="3:8" x14ac:dyDescent="0.2">
      <c r="C976" s="8" t="str">
        <f t="shared" si="30"/>
        <v/>
      </c>
      <c r="D976" s="8" t="str">
        <f t="shared" si="31"/>
        <v/>
      </c>
      <c r="H976" s="12" t="str">
        <f>IF(A976=0,"",VLOOKUP(B976,Materials!$A$2:$E$1001,6,FALSE))</f>
        <v/>
      </c>
    </row>
    <row r="977" spans="3:8" x14ac:dyDescent="0.2">
      <c r="C977" s="8" t="str">
        <f t="shared" si="30"/>
        <v/>
      </c>
      <c r="D977" s="8" t="str">
        <f t="shared" si="31"/>
        <v/>
      </c>
      <c r="H977" s="12" t="str">
        <f>IF(A977=0,"",VLOOKUP(B977,Materials!$A$2:$E$1001,6,FALSE))</f>
        <v/>
      </c>
    </row>
    <row r="978" spans="3:8" x14ac:dyDescent="0.2">
      <c r="C978" s="8" t="str">
        <f t="shared" si="30"/>
        <v/>
      </c>
      <c r="D978" s="8" t="str">
        <f t="shared" si="31"/>
        <v/>
      </c>
      <c r="H978" s="12" t="str">
        <f>IF(A978=0,"",VLOOKUP(B978,Materials!$A$2:$E$1001,6,FALSE))</f>
        <v/>
      </c>
    </row>
    <row r="979" spans="3:8" x14ac:dyDescent="0.2">
      <c r="C979" s="8" t="str">
        <f t="shared" si="30"/>
        <v/>
      </c>
      <c r="D979" s="8" t="str">
        <f t="shared" si="31"/>
        <v/>
      </c>
      <c r="H979" s="12" t="str">
        <f>IF(A979=0,"",VLOOKUP(B979,Materials!$A$2:$E$1001,6,FALSE))</f>
        <v/>
      </c>
    </row>
    <row r="980" spans="3:8" x14ac:dyDescent="0.2">
      <c r="C980" s="8" t="str">
        <f t="shared" si="30"/>
        <v/>
      </c>
      <c r="D980" s="8" t="str">
        <f t="shared" si="31"/>
        <v/>
      </c>
      <c r="H980" s="12" t="str">
        <f>IF(A980=0,"",VLOOKUP(B980,Materials!$A$2:$E$1001,6,FALSE))</f>
        <v/>
      </c>
    </row>
    <row r="981" spans="3:8" x14ac:dyDescent="0.2">
      <c r="C981" s="8" t="str">
        <f t="shared" si="30"/>
        <v/>
      </c>
      <c r="D981" s="8" t="str">
        <f t="shared" si="31"/>
        <v/>
      </c>
      <c r="H981" s="12" t="str">
        <f>IF(A981=0,"",VLOOKUP(B981,Materials!$A$2:$E$1001,6,FALSE))</f>
        <v/>
      </c>
    </row>
    <row r="982" spans="3:8" x14ac:dyDescent="0.2">
      <c r="C982" s="8" t="str">
        <f t="shared" si="30"/>
        <v/>
      </c>
      <c r="D982" s="8" t="str">
        <f t="shared" si="31"/>
        <v/>
      </c>
      <c r="H982" s="12" t="str">
        <f>IF(A982=0,"",VLOOKUP(B982,Materials!$A$2:$E$1001,6,FALSE))</f>
        <v/>
      </c>
    </row>
    <row r="983" spans="3:8" x14ac:dyDescent="0.2">
      <c r="C983" s="8" t="str">
        <f t="shared" si="30"/>
        <v/>
      </c>
      <c r="D983" s="8" t="str">
        <f t="shared" si="31"/>
        <v/>
      </c>
      <c r="H983" s="12" t="str">
        <f>IF(A983=0,"",VLOOKUP(B983,Materials!$A$2:$E$1001,6,FALSE))</f>
        <v/>
      </c>
    </row>
    <row r="984" spans="3:8" x14ac:dyDescent="0.2">
      <c r="C984" s="8" t="str">
        <f t="shared" si="30"/>
        <v/>
      </c>
      <c r="D984" s="8" t="str">
        <f t="shared" si="31"/>
        <v/>
      </c>
      <c r="H984" s="12" t="str">
        <f>IF(A984=0,"",VLOOKUP(B984,Materials!$A$2:$E$1001,6,FALSE))</f>
        <v/>
      </c>
    </row>
    <row r="985" spans="3:8" x14ac:dyDescent="0.2">
      <c r="C985" s="8" t="str">
        <f t="shared" si="30"/>
        <v/>
      </c>
      <c r="D985" s="8" t="str">
        <f t="shared" si="31"/>
        <v/>
      </c>
      <c r="H985" s="12" t="str">
        <f>IF(A985=0,"",VLOOKUP(B985,Materials!$A$2:$E$1001,6,FALSE))</f>
        <v/>
      </c>
    </row>
    <row r="986" spans="3:8" x14ac:dyDescent="0.2">
      <c r="C986" s="8" t="str">
        <f t="shared" si="30"/>
        <v/>
      </c>
      <c r="D986" s="8" t="str">
        <f t="shared" si="31"/>
        <v/>
      </c>
      <c r="H986" s="12" t="str">
        <f>IF(A986=0,"",VLOOKUP(B986,Materials!$A$2:$E$1001,6,FALSE))</f>
        <v/>
      </c>
    </row>
    <row r="987" spans="3:8" x14ac:dyDescent="0.2">
      <c r="C987" s="8" t="str">
        <f t="shared" si="30"/>
        <v/>
      </c>
      <c r="D987" s="8" t="str">
        <f t="shared" si="31"/>
        <v/>
      </c>
      <c r="H987" s="12" t="str">
        <f>IF(A987=0,"",VLOOKUP(B987,Materials!$A$2:$E$1001,6,FALSE))</f>
        <v/>
      </c>
    </row>
    <row r="988" spans="3:8" x14ac:dyDescent="0.2">
      <c r="C988" s="8" t="str">
        <f t="shared" si="30"/>
        <v/>
      </c>
      <c r="D988" s="8" t="str">
        <f t="shared" si="31"/>
        <v/>
      </c>
      <c r="H988" s="12" t="str">
        <f>IF(A988=0,"",VLOOKUP(B988,Materials!$A$2:$E$1001,6,FALSE))</f>
        <v/>
      </c>
    </row>
    <row r="989" spans="3:8" x14ac:dyDescent="0.2">
      <c r="C989" s="8" t="str">
        <f t="shared" si="30"/>
        <v/>
      </c>
      <c r="D989" s="8" t="str">
        <f t="shared" si="31"/>
        <v/>
      </c>
      <c r="H989" s="12" t="str">
        <f>IF(A989=0,"",VLOOKUP(B989,Materials!$A$2:$E$1001,6,FALSE))</f>
        <v/>
      </c>
    </row>
    <row r="990" spans="3:8" x14ac:dyDescent="0.2">
      <c r="C990" s="8" t="str">
        <f t="shared" si="30"/>
        <v/>
      </c>
      <c r="D990" s="8" t="str">
        <f t="shared" si="31"/>
        <v/>
      </c>
      <c r="H990" s="12" t="str">
        <f>IF(A990=0,"",VLOOKUP(B990,Materials!$A$2:$E$1001,6,FALSE))</f>
        <v/>
      </c>
    </row>
    <row r="991" spans="3:8" x14ac:dyDescent="0.2">
      <c r="C991" s="8" t="str">
        <f t="shared" si="30"/>
        <v/>
      </c>
      <c r="D991" s="8" t="str">
        <f t="shared" si="31"/>
        <v/>
      </c>
      <c r="H991" s="12" t="str">
        <f>IF(A991=0,"",VLOOKUP(B991,Materials!$A$2:$E$1001,6,FALSE))</f>
        <v/>
      </c>
    </row>
    <row r="992" spans="3:8" x14ac:dyDescent="0.2">
      <c r="C992" s="8" t="str">
        <f t="shared" si="30"/>
        <v/>
      </c>
      <c r="D992" s="8" t="str">
        <f t="shared" si="31"/>
        <v/>
      </c>
      <c r="H992" s="12" t="str">
        <f>IF(A992=0,"",VLOOKUP(B992,Materials!$A$2:$E$1001,6,FALSE))</f>
        <v/>
      </c>
    </row>
    <row r="993" spans="3:8" x14ac:dyDescent="0.2">
      <c r="C993" s="8" t="str">
        <f t="shared" si="30"/>
        <v/>
      </c>
      <c r="D993" s="8" t="str">
        <f t="shared" si="31"/>
        <v/>
      </c>
      <c r="H993" s="12" t="str">
        <f>IF(A993=0,"",VLOOKUP(B993,Materials!$A$2:$E$1001,6,FALSE))</f>
        <v/>
      </c>
    </row>
    <row r="994" spans="3:8" x14ac:dyDescent="0.2">
      <c r="C994" s="8" t="str">
        <f t="shared" si="30"/>
        <v/>
      </c>
      <c r="D994" s="8" t="str">
        <f t="shared" si="31"/>
        <v/>
      </c>
      <c r="H994" s="12" t="str">
        <f>IF(A994=0,"",VLOOKUP(B994,Materials!$A$2:$E$1001,6,FALSE))</f>
        <v/>
      </c>
    </row>
    <row r="995" spans="3:8" x14ac:dyDescent="0.2">
      <c r="C995" s="8" t="str">
        <f t="shared" si="30"/>
        <v/>
      </c>
      <c r="D995" s="8" t="str">
        <f t="shared" si="31"/>
        <v/>
      </c>
      <c r="H995" s="12" t="str">
        <f>IF(A995=0,"",VLOOKUP(B995,Materials!$A$2:$E$1001,6,FALSE))</f>
        <v/>
      </c>
    </row>
    <row r="996" spans="3:8" x14ac:dyDescent="0.2">
      <c r="C996" s="8" t="str">
        <f t="shared" si="30"/>
        <v/>
      </c>
      <c r="D996" s="8" t="str">
        <f t="shared" si="31"/>
        <v/>
      </c>
      <c r="H996" s="12" t="str">
        <f>IF(A996=0,"",VLOOKUP(B996,Materials!$A$2:$E$1001,6,FALSE))</f>
        <v/>
      </c>
    </row>
    <row r="997" spans="3:8" x14ac:dyDescent="0.2">
      <c r="C997" s="8" t="str">
        <f t="shared" si="30"/>
        <v/>
      </c>
      <c r="D997" s="8" t="str">
        <f t="shared" si="31"/>
        <v/>
      </c>
      <c r="H997" s="12" t="str">
        <f>IF(A997=0,"",VLOOKUP(B997,Materials!$A$2:$E$1001,6,FALSE))</f>
        <v/>
      </c>
    </row>
    <row r="998" spans="3:8" x14ac:dyDescent="0.2">
      <c r="C998" s="8" t="str">
        <f t="shared" si="30"/>
        <v/>
      </c>
      <c r="D998" s="8" t="str">
        <f t="shared" si="31"/>
        <v/>
      </c>
      <c r="H998" s="12" t="str">
        <f>IF(A998=0,"",VLOOKUP(B998,Materials!$A$2:$E$1001,6,FALSE))</f>
        <v/>
      </c>
    </row>
    <row r="999" spans="3:8" x14ac:dyDescent="0.2">
      <c r="C999" s="8" t="str">
        <f t="shared" si="30"/>
        <v/>
      </c>
      <c r="D999" s="8" t="str">
        <f t="shared" si="31"/>
        <v/>
      </c>
      <c r="H999" s="12" t="str">
        <f>IF(A999=0,"",VLOOKUP(B999,Materials!$A$2:$E$1001,6,FALSE))</f>
        <v/>
      </c>
    </row>
    <row r="1000" spans="3:8" x14ac:dyDescent="0.2">
      <c r="C1000" s="8" t="str">
        <f t="shared" si="30"/>
        <v/>
      </c>
      <c r="D1000" s="8" t="str">
        <f t="shared" si="31"/>
        <v/>
      </c>
      <c r="H1000" s="12" t="str">
        <f>IF(A1000=0,"",VLOOKUP(B1000,Materials!$A$2:$E$1001,6,FALSE))</f>
        <v/>
      </c>
    </row>
    <row r="1001" spans="3:8" x14ac:dyDescent="0.2">
      <c r="C1001" s="8" t="str">
        <f t="shared" si="30"/>
        <v/>
      </c>
      <c r="D1001" s="8" t="str">
        <f t="shared" si="31"/>
        <v/>
      </c>
      <c r="H1001" s="12" t="str">
        <f>IF(A1001=0,"",VLOOKUP(B1001,Materials!$A$2:$E$1001,6,FALSE))</f>
        <v/>
      </c>
    </row>
  </sheetData>
  <dataValidations xWindow="510" yWindow="301" count="10">
    <dataValidation allowBlank="1" showInputMessage="1" showErrorMessage="1" prompt="User input" sqref="A2:A1048576" xr:uid="{8C75B53B-2C72-4C3B-B021-18C4129CCE95}"/>
    <dataValidation type="list" allowBlank="1" showInputMessage="1" showErrorMessage="1" error="Choose from the list" prompt="Choose base material" sqref="B2:B1048576" xr:uid="{38EDBE46-D010-4584-B5C9-ACF83AFEAFB3}">
      <formula1>Base_Mat_Conc</formula1>
    </dataValidation>
    <dataValidation allowBlank="1" showInputMessage="1" showErrorMessage="1" prompt="fc: Maximum compressive strength of concrete_x000a__x000a_Notes:_x000a_1. Value should follow Default Units" sqref="E2:E1048576" xr:uid="{C598FDB9-A1D2-4304-9044-FF60235C95DA}"/>
    <dataValidation allowBlank="1" showInputMessage="1" showErrorMessage="1" prompt="epsc: Strain at maximum compressive strength of concrete" sqref="F2:F1048576" xr:uid="{6A2207AD-5ACD-4DDC-8C6C-707DC998539D}"/>
    <dataValidation allowBlank="1" showInputMessage="1" showErrorMessage="1" prompt="epscu: Strain at crushing strength of concrete" sqref="G2:G1048576" xr:uid="{CA744F69-3B5E-485D-AC16-CCD610E77011}"/>
    <dataValidation allowBlank="1" showInputMessage="1" showErrorMessage="1" prompt="E: Modulus of elasticity of concrete_x000a__x000a_Note:_x000a_It will use the value of E of base material" sqref="H2:H1048576" xr:uid="{98E5D3A5-020D-46A9-83A1-EA0CCD6D99B9}"/>
    <dataValidation allowBlank="1" showInputMessage="1" showErrorMessage="1" prompt="fct: Maximum tensile strength of concrete_x000a__x000a_Notes:_x000a_1. Value should follow Default Units" sqref="I2:I1048576" xr:uid="{39251A50-2014-4292-B1E4-E2CC42F173BE}"/>
    <dataValidation allowBlank="1" showInputMessage="1" showErrorMessage="1" prompt="et: Strain at maximum tensile strength of concrete_x000a__x000a_Note:_x000a_1. Fill 0.0 value to use default value._x000a_2. The default value is calculated using equation:_x000a_et = fct / Esec_x000a_Esec = fc / epsc" sqref="J2:J1048576" xr:uid="{4A10D49A-AD98-47B2-94AA-623286DFFAB8}"/>
    <dataValidation allowBlank="1" showInputMessage="1" showErrorMessage="1" prompt="beta: Exponential curve parameter to define the residual stress (as a factor of ft) at etu" sqref="K2:K1048576" xr:uid="{A8D62D02-734D-4DF1-AF65-449305734506}"/>
    <dataValidation allowBlank="1" showInputMessage="1" showErrorMessage="1" prompt="Material type. Automatically filled based on choosen base material" sqref="C2:C1048576" xr:uid="{7D045FBA-A5AC-4619-AEF8-E183ED53A6C4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baseColWidth="10" defaultColWidth="8.83203125" defaultRowHeight="15" x14ac:dyDescent="0.2"/>
  <cols>
    <col min="1" max="4" width="20.83203125" style="2" customWidth="1"/>
    <col min="5" max="7" width="10.83203125" style="3" customWidth="1"/>
    <col min="8" max="8" width="15.83203125" style="3" customWidth="1"/>
    <col min="9" max="12" width="10.83203125" style="3" customWidth="1"/>
  </cols>
  <sheetData>
    <row r="1" spans="1:12" s="1" customFormat="1" ht="16" x14ac:dyDescent="0.2">
      <c r="A1" s="9" t="s">
        <v>11</v>
      </c>
      <c r="B1" s="9" t="s">
        <v>19</v>
      </c>
      <c r="C1" s="9" t="s">
        <v>9</v>
      </c>
      <c r="D1" s="9" t="s">
        <v>20</v>
      </c>
      <c r="E1" s="9" t="s">
        <v>13</v>
      </c>
      <c r="F1" s="9" t="s">
        <v>14</v>
      </c>
      <c r="G1" s="9" t="s">
        <v>28</v>
      </c>
      <c r="H1" s="9" t="s">
        <v>15</v>
      </c>
      <c r="I1" s="9" t="s">
        <v>29</v>
      </c>
      <c r="J1" s="9" t="s">
        <v>30</v>
      </c>
      <c r="K1" s="9" t="s">
        <v>31</v>
      </c>
      <c r="L1" s="9" t="s">
        <v>32</v>
      </c>
    </row>
    <row r="2" spans="1:12" ht="16" x14ac:dyDescent="0.2">
      <c r="A2" s="8" t="s">
        <v>33</v>
      </c>
      <c r="B2" s="8" t="s">
        <v>18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2">
        <f>420*1000</f>
        <v>420000</v>
      </c>
      <c r="F2" s="12">
        <f>525*1000</f>
        <v>525000</v>
      </c>
      <c r="G2" s="13">
        <v>0.08</v>
      </c>
      <c r="H2" s="12" t="e">
        <f>IF(A2=0,"",VLOOKUP(B2,Materials!$A$2:$E$1001,6,FALSE))</f>
        <v>#REF!</v>
      </c>
      <c r="I2" s="13">
        <v>0</v>
      </c>
      <c r="J2" s="12">
        <v>20</v>
      </c>
      <c r="K2" s="14">
        <v>0.92500000000000004</v>
      </c>
      <c r="L2" s="14">
        <v>0.15</v>
      </c>
    </row>
    <row r="3" spans="1:12" ht="16" x14ac:dyDescent="0.2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2"/>
      <c r="F3" s="12"/>
      <c r="G3" s="12"/>
      <c r="H3" s="12" t="str">
        <f>IF(A3=0,"",VLOOKUP(B3,Materials!$A$2:$E$1001,6,FALSE))</f>
        <v/>
      </c>
      <c r="I3" s="12"/>
      <c r="J3" s="12"/>
      <c r="K3" s="12"/>
      <c r="L3" s="12"/>
    </row>
    <row r="4" spans="1:12" ht="16" x14ac:dyDescent="0.2">
      <c r="A4" s="8"/>
      <c r="B4" s="8"/>
      <c r="C4" s="8" t="str">
        <f t="shared" si="0"/>
        <v/>
      </c>
      <c r="D4" s="8" t="str">
        <f t="shared" si="1"/>
        <v/>
      </c>
      <c r="E4" s="12"/>
      <c r="F4" s="12"/>
      <c r="G4" s="12"/>
      <c r="H4" s="12" t="str">
        <f>IF(A4=0,"",VLOOKUP(B4,Materials!$A$2:$E$1001,6,FALSE))</f>
        <v/>
      </c>
      <c r="I4" s="12"/>
      <c r="J4" s="12"/>
      <c r="K4" s="12"/>
      <c r="L4" s="12"/>
    </row>
    <row r="5" spans="1:12" ht="16" x14ac:dyDescent="0.2">
      <c r="A5" s="8"/>
      <c r="B5" s="8"/>
      <c r="C5" s="8" t="str">
        <f t="shared" si="0"/>
        <v/>
      </c>
      <c r="D5" s="8" t="str">
        <f t="shared" si="1"/>
        <v/>
      </c>
      <c r="E5" s="12"/>
      <c r="F5" s="12"/>
      <c r="G5" s="12"/>
      <c r="H5" s="12" t="str">
        <f>IF(A5=0,"",VLOOKUP(B5,Materials!$A$2:$E$1001,6,FALSE))</f>
        <v/>
      </c>
      <c r="I5" s="12"/>
      <c r="J5" s="12"/>
      <c r="K5" s="12"/>
      <c r="L5" s="12"/>
    </row>
    <row r="6" spans="1:12" ht="16" x14ac:dyDescent="0.2">
      <c r="A6" s="8"/>
      <c r="B6" s="8"/>
      <c r="C6" s="8" t="str">
        <f t="shared" si="0"/>
        <v/>
      </c>
      <c r="D6" s="8" t="str">
        <f t="shared" si="1"/>
        <v/>
      </c>
      <c r="E6" s="12"/>
      <c r="F6" s="12"/>
      <c r="G6" s="12"/>
      <c r="H6" s="12" t="str">
        <f>IF(A6=0,"",VLOOKUP(B6,Materials!$A$2:$E$1001,6,FALSE))</f>
        <v/>
      </c>
      <c r="I6" s="12"/>
      <c r="J6" s="12"/>
      <c r="K6" s="12"/>
      <c r="L6" s="12"/>
    </row>
    <row r="7" spans="1:12" ht="16" x14ac:dyDescent="0.2">
      <c r="A7" s="8"/>
      <c r="B7" s="8"/>
      <c r="C7" s="8" t="str">
        <f t="shared" si="0"/>
        <v/>
      </c>
      <c r="D7" s="8" t="str">
        <f t="shared" si="1"/>
        <v/>
      </c>
      <c r="E7" s="12"/>
      <c r="F7" s="12"/>
      <c r="G7" s="12"/>
      <c r="H7" s="12" t="str">
        <f>IF(A7=0,"",VLOOKUP(B7,Materials!$A$2:$E$1001,6,FALSE))</f>
        <v/>
      </c>
      <c r="I7" s="12"/>
      <c r="J7" s="12"/>
      <c r="K7" s="12"/>
      <c r="L7" s="12"/>
    </row>
    <row r="8" spans="1:12" ht="16" x14ac:dyDescent="0.2">
      <c r="A8" s="8"/>
      <c r="B8" s="8"/>
      <c r="C8" s="8" t="str">
        <f t="shared" si="0"/>
        <v/>
      </c>
      <c r="D8" s="8" t="str">
        <f t="shared" si="1"/>
        <v/>
      </c>
      <c r="E8" s="12"/>
      <c r="F8" s="12"/>
      <c r="G8" s="12"/>
      <c r="H8" s="12" t="str">
        <f>IF(A8=0,"",VLOOKUP(B8,Materials!$A$2:$E$1001,6,FALSE))</f>
        <v/>
      </c>
      <c r="I8" s="12"/>
      <c r="J8" s="12"/>
      <c r="K8" s="12"/>
      <c r="L8" s="12"/>
    </row>
    <row r="9" spans="1:12" ht="16" x14ac:dyDescent="0.2">
      <c r="A9" s="8"/>
      <c r="B9" s="8"/>
      <c r="C9" s="8" t="str">
        <f t="shared" si="0"/>
        <v/>
      </c>
      <c r="D9" s="8" t="str">
        <f t="shared" si="1"/>
        <v/>
      </c>
      <c r="E9" s="12"/>
      <c r="F9" s="12"/>
      <c r="G9" s="12"/>
      <c r="H9" s="12" t="str">
        <f>IF(A9=0,"",VLOOKUP(B9,Materials!$A$2:$E$1001,6,FALSE))</f>
        <v/>
      </c>
      <c r="I9" s="12"/>
      <c r="J9" s="12"/>
      <c r="K9" s="12"/>
      <c r="L9" s="12"/>
    </row>
    <row r="10" spans="1:12" ht="16" x14ac:dyDescent="0.2">
      <c r="A10" s="8"/>
      <c r="B10" s="8"/>
      <c r="C10" s="8" t="str">
        <f t="shared" si="0"/>
        <v/>
      </c>
      <c r="D10" s="8" t="str">
        <f t="shared" si="1"/>
        <v/>
      </c>
      <c r="E10" s="12"/>
      <c r="F10" s="12"/>
      <c r="G10" s="12"/>
      <c r="H10" s="12" t="str">
        <f>IF(A10=0,"",VLOOKUP(B10,Materials!$A$2:$E$1001,6,FALSE))</f>
        <v/>
      </c>
      <c r="I10" s="12"/>
      <c r="J10" s="12"/>
      <c r="K10" s="12"/>
      <c r="L10" s="12"/>
    </row>
    <row r="11" spans="1:12" ht="16" x14ac:dyDescent="0.2">
      <c r="A11" s="8"/>
      <c r="B11" s="8"/>
      <c r="C11" s="8" t="str">
        <f t="shared" si="0"/>
        <v/>
      </c>
      <c r="D11" s="8" t="str">
        <f t="shared" si="1"/>
        <v/>
      </c>
      <c r="E11" s="12"/>
      <c r="F11" s="12"/>
      <c r="G11" s="12"/>
      <c r="H11" s="12" t="str">
        <f>IF(A11=0,"",VLOOKUP(B11,Materials!$A$2:$E$1001,6,FALSE))</f>
        <v/>
      </c>
      <c r="I11" s="12"/>
      <c r="J11" s="12"/>
      <c r="K11" s="12"/>
      <c r="L11" s="12"/>
    </row>
    <row r="12" spans="1:12" ht="16" x14ac:dyDescent="0.2">
      <c r="A12" s="8"/>
      <c r="B12" s="8"/>
      <c r="C12" s="8" t="str">
        <f t="shared" si="0"/>
        <v/>
      </c>
      <c r="D12" s="8" t="str">
        <f t="shared" si="1"/>
        <v/>
      </c>
      <c r="E12" s="12"/>
      <c r="F12" s="12"/>
      <c r="G12" s="12"/>
      <c r="H12" s="12" t="str">
        <f>IF(A12=0,"",VLOOKUP(B12,Materials!$A$2:$E$1001,6,FALSE))</f>
        <v/>
      </c>
      <c r="I12" s="12"/>
      <c r="J12" s="12"/>
      <c r="K12" s="12"/>
      <c r="L12" s="12"/>
    </row>
    <row r="13" spans="1:12" ht="16" x14ac:dyDescent="0.2">
      <c r="A13" s="8"/>
      <c r="B13" s="8"/>
      <c r="C13" s="8" t="str">
        <f t="shared" si="0"/>
        <v/>
      </c>
      <c r="D13" s="8" t="str">
        <f t="shared" si="1"/>
        <v/>
      </c>
      <c r="E13" s="12"/>
      <c r="F13" s="12"/>
      <c r="G13" s="12"/>
      <c r="H13" s="12" t="str">
        <f>IF(A13=0,"",VLOOKUP(B13,Materials!$A$2:$E$1001,6,FALSE))</f>
        <v/>
      </c>
      <c r="I13" s="12"/>
      <c r="J13" s="12"/>
      <c r="K13" s="12"/>
      <c r="L13" s="12"/>
    </row>
    <row r="14" spans="1:12" ht="16" x14ac:dyDescent="0.2">
      <c r="A14" s="8"/>
      <c r="B14" s="8"/>
      <c r="C14" s="8" t="str">
        <f t="shared" si="0"/>
        <v/>
      </c>
      <c r="D14" s="8" t="str">
        <f t="shared" si="1"/>
        <v/>
      </c>
      <c r="E14" s="12"/>
      <c r="F14" s="12"/>
      <c r="G14" s="12"/>
      <c r="H14" s="12" t="str">
        <f>IF(A14=0,"",VLOOKUP(B14,Materials!$A$2:$E$1001,6,FALSE))</f>
        <v/>
      </c>
      <c r="I14" s="12"/>
      <c r="J14" s="12"/>
      <c r="K14" s="12"/>
      <c r="L14" s="12"/>
    </row>
    <row r="15" spans="1:12" ht="16" x14ac:dyDescent="0.2">
      <c r="A15" s="8"/>
      <c r="B15" s="8"/>
      <c r="C15" s="8" t="str">
        <f t="shared" si="0"/>
        <v/>
      </c>
      <c r="D15" s="8" t="str">
        <f t="shared" si="1"/>
        <v/>
      </c>
      <c r="E15" s="12"/>
      <c r="F15" s="12"/>
      <c r="G15" s="12"/>
      <c r="H15" s="12" t="str">
        <f>IF(A15=0,"",VLOOKUP(B15,Materials!$A$2:$E$1001,6,FALSE))</f>
        <v/>
      </c>
      <c r="I15" s="12"/>
      <c r="J15" s="12"/>
      <c r="K15" s="12"/>
      <c r="L15" s="12"/>
    </row>
    <row r="16" spans="1:12" ht="16" x14ac:dyDescent="0.2">
      <c r="A16" s="8"/>
      <c r="B16" s="8"/>
      <c r="C16" s="8" t="str">
        <f t="shared" si="0"/>
        <v/>
      </c>
      <c r="D16" s="8" t="str">
        <f t="shared" si="1"/>
        <v/>
      </c>
      <c r="E16" s="12"/>
      <c r="F16" s="12"/>
      <c r="G16" s="12"/>
      <c r="H16" s="12" t="str">
        <f>IF(A16=0,"",VLOOKUP(B16,Materials!$A$2:$E$1001,6,FALSE))</f>
        <v/>
      </c>
      <c r="I16" s="12"/>
      <c r="J16" s="12"/>
      <c r="K16" s="12"/>
      <c r="L16" s="12"/>
    </row>
    <row r="17" spans="1:12" ht="16" x14ac:dyDescent="0.2">
      <c r="A17" s="8"/>
      <c r="B17" s="8"/>
      <c r="C17" s="8" t="str">
        <f t="shared" si="0"/>
        <v/>
      </c>
      <c r="D17" s="8" t="str">
        <f t="shared" si="1"/>
        <v/>
      </c>
      <c r="E17" s="12"/>
      <c r="F17" s="12"/>
      <c r="G17" s="12"/>
      <c r="H17" s="12" t="str">
        <f>IF(A17=0,"",VLOOKUP(B17,Materials!$A$2:$E$1001,6,FALSE))</f>
        <v/>
      </c>
      <c r="I17" s="12"/>
      <c r="J17" s="12"/>
      <c r="K17" s="12"/>
      <c r="L17" s="12"/>
    </row>
    <row r="18" spans="1:12" ht="16" x14ac:dyDescent="0.2">
      <c r="A18" s="8"/>
      <c r="B18" s="8"/>
      <c r="C18" s="8" t="str">
        <f t="shared" si="0"/>
        <v/>
      </c>
      <c r="D18" s="8" t="str">
        <f t="shared" si="1"/>
        <v/>
      </c>
      <c r="E18" s="12"/>
      <c r="F18" s="12"/>
      <c r="G18" s="12"/>
      <c r="H18" s="12" t="str">
        <f>IF(A18=0,"",VLOOKUP(B18,Materials!$A$2:$E$1001,6,FALSE))</f>
        <v/>
      </c>
      <c r="I18" s="12"/>
      <c r="J18" s="12"/>
      <c r="K18" s="12"/>
      <c r="L18" s="12"/>
    </row>
    <row r="19" spans="1:12" ht="16" x14ac:dyDescent="0.2">
      <c r="A19" s="8"/>
      <c r="B19" s="8"/>
      <c r="C19" s="8" t="str">
        <f t="shared" si="0"/>
        <v/>
      </c>
      <c r="D19" s="8" t="str">
        <f t="shared" si="1"/>
        <v/>
      </c>
      <c r="E19" s="12"/>
      <c r="F19" s="12"/>
      <c r="G19" s="12"/>
      <c r="H19" s="12" t="str">
        <f>IF(A19=0,"",VLOOKUP(B19,Materials!$A$2:$E$1001,6,FALSE))</f>
        <v/>
      </c>
      <c r="I19" s="12"/>
      <c r="J19" s="12"/>
      <c r="K19" s="12"/>
      <c r="L19" s="12"/>
    </row>
    <row r="20" spans="1:12" ht="16" x14ac:dyDescent="0.2">
      <c r="A20" s="8"/>
      <c r="B20" s="8"/>
      <c r="C20" s="8" t="str">
        <f t="shared" si="0"/>
        <v/>
      </c>
      <c r="D20" s="8" t="str">
        <f t="shared" si="1"/>
        <v/>
      </c>
      <c r="E20" s="12"/>
      <c r="F20" s="12"/>
      <c r="G20" s="12"/>
      <c r="H20" s="12" t="str">
        <f>IF(A20=0,"",VLOOKUP(B20,Materials!$A$2:$E$1001,6,FALSE))</f>
        <v/>
      </c>
      <c r="I20" s="12"/>
      <c r="J20" s="12"/>
      <c r="K20" s="12"/>
      <c r="L20" s="12"/>
    </row>
    <row r="21" spans="1:12" ht="16" x14ac:dyDescent="0.2">
      <c r="A21" s="8"/>
      <c r="B21" s="8"/>
      <c r="C21" s="8" t="str">
        <f t="shared" si="0"/>
        <v/>
      </c>
      <c r="D21" s="8" t="str">
        <f t="shared" si="1"/>
        <v/>
      </c>
      <c r="E21" s="12"/>
      <c r="F21" s="12"/>
      <c r="G21" s="12"/>
      <c r="H21" s="12" t="str">
        <f>IF(A21=0,"",VLOOKUP(B21,Materials!$A$2:$E$1001,6,FALSE))</f>
        <v/>
      </c>
      <c r="I21" s="12"/>
      <c r="J21" s="12"/>
      <c r="K21" s="12"/>
      <c r="L21" s="12"/>
    </row>
    <row r="22" spans="1:12" ht="16" x14ac:dyDescent="0.2">
      <c r="A22" s="8"/>
      <c r="B22" s="8"/>
      <c r="C22" s="8" t="str">
        <f t="shared" si="0"/>
        <v/>
      </c>
      <c r="D22" s="8" t="str">
        <f t="shared" si="1"/>
        <v/>
      </c>
      <c r="E22" s="12"/>
      <c r="F22" s="12"/>
      <c r="G22" s="12"/>
      <c r="H22" s="12" t="str">
        <f>IF(A22=0,"",VLOOKUP(B22,Materials!$A$2:$E$1001,6,FALSE))</f>
        <v/>
      </c>
      <c r="I22" s="12"/>
      <c r="J22" s="12"/>
      <c r="K22" s="12"/>
      <c r="L22" s="12"/>
    </row>
    <row r="23" spans="1:12" ht="16" x14ac:dyDescent="0.2">
      <c r="A23" s="8"/>
      <c r="B23" s="8"/>
      <c r="C23" s="8" t="str">
        <f t="shared" si="0"/>
        <v/>
      </c>
      <c r="D23" s="8" t="str">
        <f t="shared" si="1"/>
        <v/>
      </c>
      <c r="E23" s="12"/>
      <c r="F23" s="12"/>
      <c r="G23" s="12"/>
      <c r="H23" s="12" t="str">
        <f>IF(A23=0,"",VLOOKUP(B23,Materials!$A$2:$E$1001,6,FALSE))</f>
        <v/>
      </c>
      <c r="I23" s="12"/>
      <c r="J23" s="12"/>
      <c r="K23" s="12"/>
      <c r="L23" s="12"/>
    </row>
    <row r="24" spans="1:12" ht="16" x14ac:dyDescent="0.2">
      <c r="A24" s="8"/>
      <c r="B24" s="8"/>
      <c r="C24" s="8" t="str">
        <f t="shared" si="0"/>
        <v/>
      </c>
      <c r="D24" s="8" t="str">
        <f t="shared" si="1"/>
        <v/>
      </c>
      <c r="E24" s="12"/>
      <c r="F24" s="12"/>
      <c r="G24" s="12"/>
      <c r="H24" s="12" t="str">
        <f>IF(A24=0,"",VLOOKUP(B24,Materials!$A$2:$E$1001,6,FALSE))</f>
        <v/>
      </c>
      <c r="I24" s="12"/>
      <c r="J24" s="12"/>
      <c r="K24" s="12"/>
      <c r="L24" s="12"/>
    </row>
    <row r="25" spans="1:12" ht="16" x14ac:dyDescent="0.2">
      <c r="A25" s="8"/>
      <c r="B25" s="8"/>
      <c r="C25" s="8" t="str">
        <f t="shared" si="0"/>
        <v/>
      </c>
      <c r="D25" s="8" t="str">
        <f t="shared" si="1"/>
        <v/>
      </c>
      <c r="E25" s="12"/>
      <c r="F25" s="12"/>
      <c r="G25" s="12"/>
      <c r="H25" s="12" t="str">
        <f>IF(A25=0,"",VLOOKUP(B25,Materials!$A$2:$E$1001,6,FALSE))</f>
        <v/>
      </c>
      <c r="I25" s="12"/>
      <c r="J25" s="12"/>
      <c r="K25" s="12"/>
      <c r="L25" s="12"/>
    </row>
    <row r="26" spans="1:12" ht="16" x14ac:dyDescent="0.2">
      <c r="A26" s="8"/>
      <c r="B26" s="8"/>
      <c r="C26" s="8" t="str">
        <f t="shared" si="0"/>
        <v/>
      </c>
      <c r="D26" s="8" t="str">
        <f t="shared" si="1"/>
        <v/>
      </c>
      <c r="E26" s="12"/>
      <c r="F26" s="12"/>
      <c r="G26" s="12"/>
      <c r="H26" s="12" t="str">
        <f>IF(A26=0,"",VLOOKUP(B26,Materials!$A$2:$E$1001,6,FALSE))</f>
        <v/>
      </c>
      <c r="I26" s="12"/>
      <c r="J26" s="12"/>
      <c r="K26" s="12"/>
      <c r="L26" s="12"/>
    </row>
    <row r="27" spans="1:12" ht="16" x14ac:dyDescent="0.2">
      <c r="A27" s="8"/>
      <c r="B27" s="8"/>
      <c r="C27" s="8" t="str">
        <f t="shared" si="0"/>
        <v/>
      </c>
      <c r="D27" s="8" t="str">
        <f t="shared" si="1"/>
        <v/>
      </c>
      <c r="E27" s="12"/>
      <c r="F27" s="12"/>
      <c r="G27" s="12"/>
      <c r="H27" s="12" t="str">
        <f>IF(A27=0,"",VLOOKUP(B27,Materials!$A$2:$E$1001,6,FALSE))</f>
        <v/>
      </c>
      <c r="I27" s="12"/>
      <c r="J27" s="12"/>
      <c r="K27" s="12"/>
      <c r="L27" s="12"/>
    </row>
    <row r="28" spans="1:12" ht="16" x14ac:dyDescent="0.2">
      <c r="A28" s="8"/>
      <c r="B28" s="8"/>
      <c r="C28" s="8" t="str">
        <f t="shared" si="0"/>
        <v/>
      </c>
      <c r="D28" s="8" t="str">
        <f t="shared" si="1"/>
        <v/>
      </c>
      <c r="E28" s="12"/>
      <c r="F28" s="12"/>
      <c r="G28" s="12"/>
      <c r="H28" s="12" t="str">
        <f>IF(A28=0,"",VLOOKUP(B28,Materials!$A$2:$E$1001,6,FALSE))</f>
        <v/>
      </c>
      <c r="I28" s="12"/>
      <c r="J28" s="12"/>
      <c r="K28" s="12"/>
      <c r="L28" s="12"/>
    </row>
    <row r="29" spans="1:12" ht="16" x14ac:dyDescent="0.2">
      <c r="A29" s="8"/>
      <c r="B29" s="8"/>
      <c r="C29" s="8" t="str">
        <f t="shared" si="0"/>
        <v/>
      </c>
      <c r="D29" s="8" t="str">
        <f t="shared" si="1"/>
        <v/>
      </c>
      <c r="E29" s="12"/>
      <c r="F29" s="12"/>
      <c r="G29" s="12"/>
      <c r="H29" s="12" t="str">
        <f>IF(A29=0,"",VLOOKUP(B29,Materials!$A$2:$E$1001,6,FALSE))</f>
        <v/>
      </c>
      <c r="I29" s="12"/>
      <c r="J29" s="12"/>
      <c r="K29" s="12"/>
      <c r="L29" s="12"/>
    </row>
    <row r="30" spans="1:12" ht="16" x14ac:dyDescent="0.2">
      <c r="A30" s="8"/>
      <c r="B30" s="8"/>
      <c r="C30" s="8" t="str">
        <f t="shared" si="0"/>
        <v/>
      </c>
      <c r="D30" s="8" t="str">
        <f t="shared" si="1"/>
        <v/>
      </c>
      <c r="E30" s="12"/>
      <c r="F30" s="12"/>
      <c r="G30" s="12"/>
      <c r="H30" s="12" t="str">
        <f>IF(A30=0,"",VLOOKUP(B30,Materials!$A$2:$E$1001,6,FALSE))</f>
        <v/>
      </c>
      <c r="I30" s="12"/>
      <c r="J30" s="12"/>
      <c r="K30" s="12"/>
      <c r="L30" s="12"/>
    </row>
    <row r="31" spans="1:12" ht="16" x14ac:dyDescent="0.2">
      <c r="A31" s="8"/>
      <c r="B31" s="8"/>
      <c r="C31" s="8" t="str">
        <f t="shared" si="0"/>
        <v/>
      </c>
      <c r="D31" s="8" t="str">
        <f t="shared" si="1"/>
        <v/>
      </c>
      <c r="E31" s="12"/>
      <c r="F31" s="12"/>
      <c r="G31" s="12"/>
      <c r="H31" s="12" t="str">
        <f>IF(A31=0,"",VLOOKUP(B31,Materials!$A$2:$E$1001,6,FALSE))</f>
        <v/>
      </c>
      <c r="I31" s="12"/>
      <c r="J31" s="12"/>
      <c r="K31" s="12"/>
      <c r="L31" s="12"/>
    </row>
    <row r="32" spans="1:12" ht="16" x14ac:dyDescent="0.2">
      <c r="A32" s="8"/>
      <c r="B32" s="8"/>
      <c r="C32" s="8" t="str">
        <f t="shared" si="0"/>
        <v/>
      </c>
      <c r="D32" s="8" t="str">
        <f t="shared" si="1"/>
        <v/>
      </c>
      <c r="E32" s="12"/>
      <c r="F32" s="12"/>
      <c r="G32" s="12"/>
      <c r="H32" s="12" t="str">
        <f>IF(A32=0,"",VLOOKUP(B32,Materials!$A$2:$E$1001,6,FALSE))</f>
        <v/>
      </c>
      <c r="I32" s="12"/>
      <c r="J32" s="12"/>
      <c r="K32" s="12"/>
      <c r="L32" s="12"/>
    </row>
    <row r="33" spans="1:12" ht="16" x14ac:dyDescent="0.2">
      <c r="A33" s="8"/>
      <c r="B33" s="8"/>
      <c r="C33" s="8" t="str">
        <f t="shared" si="0"/>
        <v/>
      </c>
      <c r="D33" s="8" t="str">
        <f t="shared" si="1"/>
        <v/>
      </c>
      <c r="E33" s="12"/>
      <c r="F33" s="12"/>
      <c r="G33" s="12"/>
      <c r="H33" s="12" t="str">
        <f>IF(A33=0,"",VLOOKUP(B33,Materials!$A$2:$E$1001,6,FALSE))</f>
        <v/>
      </c>
      <c r="I33" s="12"/>
      <c r="J33" s="12"/>
      <c r="K33" s="12"/>
      <c r="L33" s="12"/>
    </row>
    <row r="34" spans="1:12" ht="16" x14ac:dyDescent="0.2">
      <c r="A34" s="8"/>
      <c r="B34" s="8"/>
      <c r="C34" s="8" t="str">
        <f t="shared" si="0"/>
        <v/>
      </c>
      <c r="D34" s="8" t="str">
        <f t="shared" si="1"/>
        <v/>
      </c>
      <c r="E34" s="12"/>
      <c r="F34" s="12"/>
      <c r="G34" s="12"/>
      <c r="H34" s="12" t="str">
        <f>IF(A34=0,"",VLOOKUP(B34,Materials!$A$2:$E$1001,6,FALSE))</f>
        <v/>
      </c>
      <c r="I34" s="12"/>
      <c r="J34" s="12"/>
      <c r="K34" s="12"/>
      <c r="L34" s="12"/>
    </row>
    <row r="35" spans="1:12" ht="16" x14ac:dyDescent="0.2">
      <c r="A35" s="8"/>
      <c r="B35" s="8"/>
      <c r="C35" s="8" t="str">
        <f t="shared" si="0"/>
        <v/>
      </c>
      <c r="D35" s="8" t="str">
        <f t="shared" si="1"/>
        <v/>
      </c>
      <c r="E35" s="12"/>
      <c r="F35" s="12"/>
      <c r="G35" s="12"/>
      <c r="H35" s="12" t="str">
        <f>IF(A35=0,"",VLOOKUP(B35,Materials!$A$2:$E$1001,6,FALSE))</f>
        <v/>
      </c>
      <c r="I35" s="12"/>
      <c r="J35" s="12"/>
      <c r="K35" s="12"/>
      <c r="L35" s="12"/>
    </row>
    <row r="36" spans="1:12" ht="16" x14ac:dyDescent="0.2">
      <c r="A36" s="8"/>
      <c r="B36" s="8"/>
      <c r="C36" s="8" t="str">
        <f t="shared" si="0"/>
        <v/>
      </c>
      <c r="D36" s="8" t="str">
        <f t="shared" si="1"/>
        <v/>
      </c>
      <c r="E36" s="12"/>
      <c r="F36" s="12"/>
      <c r="G36" s="12"/>
      <c r="H36" s="12" t="str">
        <f>IF(A36=0,"",VLOOKUP(B36,Materials!$A$2:$E$1001,6,FALSE))</f>
        <v/>
      </c>
      <c r="I36" s="12"/>
      <c r="J36" s="12"/>
      <c r="K36" s="12"/>
      <c r="L36" s="12"/>
    </row>
    <row r="37" spans="1:12" ht="16" x14ac:dyDescent="0.2">
      <c r="A37" s="8"/>
      <c r="B37" s="8"/>
      <c r="C37" s="8" t="str">
        <f t="shared" si="0"/>
        <v/>
      </c>
      <c r="D37" s="8" t="str">
        <f t="shared" si="1"/>
        <v/>
      </c>
      <c r="E37" s="12"/>
      <c r="F37" s="12"/>
      <c r="G37" s="12"/>
      <c r="H37" s="12" t="str">
        <f>IF(A37=0,"",VLOOKUP(B37,Materials!$A$2:$E$1001,6,FALSE))</f>
        <v/>
      </c>
      <c r="I37" s="12"/>
      <c r="J37" s="12"/>
      <c r="K37" s="12"/>
      <c r="L37" s="12"/>
    </row>
    <row r="38" spans="1:12" ht="16" x14ac:dyDescent="0.2">
      <c r="A38" s="8"/>
      <c r="B38" s="8"/>
      <c r="C38" s="8" t="str">
        <f t="shared" si="0"/>
        <v/>
      </c>
      <c r="D38" s="8" t="str">
        <f t="shared" si="1"/>
        <v/>
      </c>
      <c r="E38" s="12"/>
      <c r="F38" s="12"/>
      <c r="G38" s="12"/>
      <c r="H38" s="12" t="str">
        <f>IF(A38=0,"",VLOOKUP(B38,Materials!$A$2:$E$1001,6,FALSE))</f>
        <v/>
      </c>
      <c r="I38" s="12"/>
      <c r="J38" s="12"/>
      <c r="K38" s="12"/>
      <c r="L38" s="12"/>
    </row>
    <row r="39" spans="1:12" ht="16" x14ac:dyDescent="0.2">
      <c r="A39" s="8"/>
      <c r="B39" s="8"/>
      <c r="C39" s="8" t="str">
        <f t="shared" si="0"/>
        <v/>
      </c>
      <c r="D39" s="8" t="str">
        <f t="shared" si="1"/>
        <v/>
      </c>
      <c r="E39" s="12"/>
      <c r="F39" s="12"/>
      <c r="G39" s="12"/>
      <c r="H39" s="12" t="str">
        <f>IF(A39=0,"",VLOOKUP(B39,Materials!$A$2:$E$1001,6,FALSE))</f>
        <v/>
      </c>
      <c r="I39" s="12"/>
      <c r="J39" s="12"/>
      <c r="K39" s="12"/>
      <c r="L39" s="12"/>
    </row>
    <row r="40" spans="1:12" ht="16" x14ac:dyDescent="0.2">
      <c r="A40" s="8"/>
      <c r="B40" s="8"/>
      <c r="C40" s="8" t="str">
        <f t="shared" si="0"/>
        <v/>
      </c>
      <c r="D40" s="8" t="str">
        <f t="shared" si="1"/>
        <v/>
      </c>
      <c r="E40" s="12"/>
      <c r="F40" s="12"/>
      <c r="G40" s="12"/>
      <c r="H40" s="12" t="str">
        <f>IF(A40=0,"",VLOOKUP(B40,Materials!$A$2:$E$1001,6,FALSE))</f>
        <v/>
      </c>
      <c r="I40" s="12"/>
      <c r="J40" s="12"/>
      <c r="K40" s="12"/>
      <c r="L40" s="12"/>
    </row>
    <row r="41" spans="1:12" ht="16" x14ac:dyDescent="0.2">
      <c r="A41" s="8"/>
      <c r="B41" s="8"/>
      <c r="C41" s="8" t="str">
        <f t="shared" si="0"/>
        <v/>
      </c>
      <c r="D41" s="8" t="str">
        <f t="shared" si="1"/>
        <v/>
      </c>
      <c r="E41" s="12"/>
      <c r="F41" s="12"/>
      <c r="G41" s="12"/>
      <c r="H41" s="12" t="str">
        <f>IF(A41=0,"",VLOOKUP(B41,Materials!$A$2:$E$1001,6,FALSE))</f>
        <v/>
      </c>
      <c r="I41" s="12"/>
      <c r="J41" s="12"/>
      <c r="K41" s="12"/>
      <c r="L41" s="12"/>
    </row>
    <row r="42" spans="1:12" ht="16" x14ac:dyDescent="0.2">
      <c r="A42" s="8"/>
      <c r="B42" s="8"/>
      <c r="C42" s="8" t="str">
        <f t="shared" si="0"/>
        <v/>
      </c>
      <c r="D42" s="8" t="str">
        <f t="shared" si="1"/>
        <v/>
      </c>
      <c r="E42" s="12"/>
      <c r="F42" s="12"/>
      <c r="G42" s="12"/>
      <c r="H42" s="12" t="str">
        <f>IF(A42=0,"",VLOOKUP(B42,Materials!$A$2:$E$1001,6,FALSE))</f>
        <v/>
      </c>
      <c r="I42" s="12"/>
      <c r="J42" s="12"/>
      <c r="K42" s="12"/>
      <c r="L42" s="12"/>
    </row>
    <row r="43" spans="1:12" ht="16" x14ac:dyDescent="0.2">
      <c r="A43" s="8"/>
      <c r="B43" s="8"/>
      <c r="C43" s="8" t="str">
        <f t="shared" si="0"/>
        <v/>
      </c>
      <c r="D43" s="8" t="str">
        <f t="shared" si="1"/>
        <v/>
      </c>
      <c r="E43" s="12"/>
      <c r="F43" s="12"/>
      <c r="G43" s="12"/>
      <c r="H43" s="12" t="str">
        <f>IF(A43=0,"",VLOOKUP(B43,Materials!$A$2:$E$1001,6,FALSE))</f>
        <v/>
      </c>
      <c r="I43" s="12"/>
      <c r="J43" s="12"/>
      <c r="K43" s="12"/>
      <c r="L43" s="12"/>
    </row>
    <row r="44" spans="1:12" ht="16" x14ac:dyDescent="0.2">
      <c r="A44" s="8"/>
      <c r="B44" s="8"/>
      <c r="C44" s="8" t="str">
        <f t="shared" si="0"/>
        <v/>
      </c>
      <c r="D44" s="8" t="str">
        <f t="shared" si="1"/>
        <v/>
      </c>
      <c r="E44" s="12"/>
      <c r="F44" s="12"/>
      <c r="G44" s="12"/>
      <c r="H44" s="12" t="str">
        <f>IF(A44=0,"",VLOOKUP(B44,Materials!$A$2:$E$1001,6,FALSE))</f>
        <v/>
      </c>
      <c r="I44" s="12"/>
      <c r="J44" s="12"/>
      <c r="K44" s="12"/>
      <c r="L44" s="12"/>
    </row>
    <row r="45" spans="1:12" ht="16" x14ac:dyDescent="0.2">
      <c r="A45" s="8"/>
      <c r="B45" s="8"/>
      <c r="C45" s="8" t="str">
        <f t="shared" si="0"/>
        <v/>
      </c>
      <c r="D45" s="8" t="str">
        <f t="shared" si="1"/>
        <v/>
      </c>
      <c r="E45" s="12"/>
      <c r="F45" s="12"/>
      <c r="G45" s="12"/>
      <c r="H45" s="12" t="str">
        <f>IF(A45=0,"",VLOOKUP(B45,Materials!$A$2:$E$1001,6,FALSE))</f>
        <v/>
      </c>
      <c r="I45" s="12"/>
      <c r="J45" s="12"/>
      <c r="K45" s="12"/>
      <c r="L45" s="12"/>
    </row>
    <row r="46" spans="1:12" ht="16" x14ac:dyDescent="0.2">
      <c r="A46" s="8"/>
      <c r="B46" s="8"/>
      <c r="C46" s="8" t="str">
        <f t="shared" si="0"/>
        <v/>
      </c>
      <c r="D46" s="8" t="str">
        <f t="shared" si="1"/>
        <v/>
      </c>
      <c r="E46" s="12"/>
      <c r="F46" s="12"/>
      <c r="G46" s="12"/>
      <c r="H46" s="12" t="str">
        <f>IF(A46=0,"",VLOOKUP(B46,Materials!$A$2:$E$1001,6,FALSE))</f>
        <v/>
      </c>
      <c r="I46" s="12"/>
      <c r="J46" s="12"/>
      <c r="K46" s="12"/>
      <c r="L46" s="12"/>
    </row>
    <row r="47" spans="1:12" ht="16" x14ac:dyDescent="0.2">
      <c r="A47" s="8"/>
      <c r="B47" s="8"/>
      <c r="C47" s="8" t="str">
        <f t="shared" si="0"/>
        <v/>
      </c>
      <c r="D47" s="8" t="str">
        <f t="shared" si="1"/>
        <v/>
      </c>
      <c r="E47" s="12"/>
      <c r="F47" s="12"/>
      <c r="G47" s="12"/>
      <c r="H47" s="12" t="str">
        <f>IF(A47=0,"",VLOOKUP(B47,Materials!$A$2:$E$1001,6,FALSE))</f>
        <v/>
      </c>
      <c r="I47" s="12"/>
      <c r="J47" s="12"/>
      <c r="K47" s="12"/>
      <c r="L47" s="12"/>
    </row>
    <row r="48" spans="1:12" ht="16" x14ac:dyDescent="0.2">
      <c r="A48" s="8"/>
      <c r="B48" s="8"/>
      <c r="C48" s="8" t="str">
        <f t="shared" si="0"/>
        <v/>
      </c>
      <c r="D48" s="8" t="str">
        <f t="shared" si="1"/>
        <v/>
      </c>
      <c r="E48" s="12"/>
      <c r="F48" s="12"/>
      <c r="G48" s="12"/>
      <c r="H48" s="12" t="str">
        <f>IF(A48=0,"",VLOOKUP(B48,Materials!$A$2:$E$1001,6,FALSE))</f>
        <v/>
      </c>
      <c r="I48" s="12"/>
      <c r="J48" s="12"/>
      <c r="K48" s="12"/>
      <c r="L48" s="12"/>
    </row>
    <row r="49" spans="1:12" ht="16" x14ac:dyDescent="0.2">
      <c r="A49" s="8"/>
      <c r="B49" s="8"/>
      <c r="C49" s="8" t="str">
        <f t="shared" si="0"/>
        <v/>
      </c>
      <c r="D49" s="8" t="str">
        <f t="shared" si="1"/>
        <v/>
      </c>
      <c r="E49" s="12"/>
      <c r="F49" s="12"/>
      <c r="G49" s="12"/>
      <c r="H49" s="12" t="str">
        <f>IF(A49=0,"",VLOOKUP(B49,Materials!$A$2:$E$1001,6,FALSE))</f>
        <v/>
      </c>
      <c r="I49" s="12"/>
      <c r="J49" s="12"/>
      <c r="K49" s="12"/>
      <c r="L49" s="12"/>
    </row>
    <row r="50" spans="1:12" ht="16" x14ac:dyDescent="0.2">
      <c r="A50" s="8"/>
      <c r="B50" s="8"/>
      <c r="C50" s="8" t="str">
        <f t="shared" si="0"/>
        <v/>
      </c>
      <c r="D50" s="8" t="str">
        <f t="shared" si="1"/>
        <v/>
      </c>
      <c r="E50" s="12"/>
      <c r="F50" s="12"/>
      <c r="G50" s="12"/>
      <c r="H50" s="12" t="str">
        <f>IF(A50=0,"",VLOOKUP(B50,Materials!$A$2:$E$1001,6,FALSE))</f>
        <v/>
      </c>
      <c r="I50" s="12"/>
      <c r="J50" s="12"/>
      <c r="K50" s="12"/>
      <c r="L50" s="12"/>
    </row>
    <row r="51" spans="1:12" ht="16" x14ac:dyDescent="0.2">
      <c r="A51" s="8"/>
      <c r="B51" s="8"/>
      <c r="C51" s="8" t="str">
        <f t="shared" si="0"/>
        <v/>
      </c>
      <c r="D51" s="8" t="str">
        <f t="shared" si="1"/>
        <v/>
      </c>
      <c r="E51" s="12"/>
      <c r="F51" s="12"/>
      <c r="G51" s="12"/>
      <c r="H51" s="12" t="str">
        <f>IF(A51=0,"",VLOOKUP(B51,Materials!$A$2:$E$1001,6,FALSE))</f>
        <v/>
      </c>
      <c r="I51" s="12"/>
      <c r="J51" s="12"/>
      <c r="K51" s="12"/>
      <c r="L51" s="12"/>
    </row>
    <row r="52" spans="1:12" ht="16" x14ac:dyDescent="0.2">
      <c r="A52" s="8"/>
      <c r="B52" s="8"/>
      <c r="C52" s="8" t="str">
        <f t="shared" si="0"/>
        <v/>
      </c>
      <c r="D52" s="8" t="str">
        <f t="shared" si="1"/>
        <v/>
      </c>
      <c r="E52" s="12"/>
      <c r="F52" s="12"/>
      <c r="G52" s="12"/>
      <c r="H52" s="12" t="str">
        <f>IF(A52=0,"",VLOOKUP(B52,Materials!$A$2:$E$1001,6,FALSE))</f>
        <v/>
      </c>
      <c r="I52" s="12"/>
      <c r="J52" s="12"/>
      <c r="K52" s="12"/>
      <c r="L52" s="12"/>
    </row>
    <row r="53" spans="1:12" ht="16" x14ac:dyDescent="0.2">
      <c r="A53" s="8"/>
      <c r="B53" s="8"/>
      <c r="C53" s="8" t="str">
        <f t="shared" si="0"/>
        <v/>
      </c>
      <c r="D53" s="8" t="str">
        <f t="shared" si="1"/>
        <v/>
      </c>
      <c r="E53" s="12"/>
      <c r="F53" s="12"/>
      <c r="G53" s="12"/>
      <c r="H53" s="12" t="str">
        <f>IF(A53=0,"",VLOOKUP(B53,Materials!$A$2:$E$1001,6,FALSE))</f>
        <v/>
      </c>
      <c r="I53" s="12"/>
      <c r="J53" s="12"/>
      <c r="K53" s="12"/>
      <c r="L53" s="12"/>
    </row>
    <row r="54" spans="1:12" ht="16" x14ac:dyDescent="0.2">
      <c r="A54" s="8"/>
      <c r="B54" s="8"/>
      <c r="C54" s="8" t="str">
        <f t="shared" si="0"/>
        <v/>
      </c>
      <c r="D54" s="8" t="str">
        <f t="shared" si="1"/>
        <v/>
      </c>
      <c r="E54" s="12"/>
      <c r="F54" s="12"/>
      <c r="G54" s="12"/>
      <c r="H54" s="12" t="str">
        <f>IF(A54=0,"",VLOOKUP(B54,Materials!$A$2:$E$1001,6,FALSE))</f>
        <v/>
      </c>
      <c r="I54" s="12"/>
      <c r="J54" s="12"/>
      <c r="K54" s="12"/>
      <c r="L54" s="12"/>
    </row>
    <row r="55" spans="1:12" ht="16" x14ac:dyDescent="0.2">
      <c r="A55" s="8"/>
      <c r="B55" s="8"/>
      <c r="C55" s="8" t="str">
        <f t="shared" si="0"/>
        <v/>
      </c>
      <c r="D55" s="8" t="str">
        <f t="shared" si="1"/>
        <v/>
      </c>
      <c r="E55" s="12"/>
      <c r="F55" s="12"/>
      <c r="G55" s="12"/>
      <c r="H55" s="12" t="str">
        <f>IF(A55=0,"",VLOOKUP(B55,Materials!$A$2:$E$1001,6,FALSE))</f>
        <v/>
      </c>
      <c r="I55" s="12"/>
      <c r="J55" s="12"/>
      <c r="K55" s="12"/>
      <c r="L55" s="12"/>
    </row>
    <row r="56" spans="1:12" ht="16" x14ac:dyDescent="0.2">
      <c r="A56" s="8"/>
      <c r="B56" s="8"/>
      <c r="C56" s="8" t="str">
        <f t="shared" si="0"/>
        <v/>
      </c>
      <c r="D56" s="8" t="str">
        <f t="shared" si="1"/>
        <v/>
      </c>
      <c r="E56" s="12"/>
      <c r="F56" s="12"/>
      <c r="G56" s="12"/>
      <c r="H56" s="12" t="str">
        <f>IF(A56=0,"",VLOOKUP(B56,Materials!$A$2:$E$1001,6,FALSE))</f>
        <v/>
      </c>
      <c r="I56" s="12"/>
      <c r="J56" s="12"/>
      <c r="K56" s="12"/>
      <c r="L56" s="12"/>
    </row>
    <row r="57" spans="1:12" ht="16" x14ac:dyDescent="0.2">
      <c r="A57" s="8"/>
      <c r="B57" s="8"/>
      <c r="C57" s="8" t="str">
        <f t="shared" si="0"/>
        <v/>
      </c>
      <c r="D57" s="8" t="str">
        <f t="shared" si="1"/>
        <v/>
      </c>
      <c r="E57" s="12"/>
      <c r="F57" s="12"/>
      <c r="G57" s="12"/>
      <c r="H57" s="12" t="str">
        <f>IF(A57=0,"",VLOOKUP(B57,Materials!$A$2:$E$1001,6,FALSE))</f>
        <v/>
      </c>
      <c r="I57" s="12"/>
      <c r="J57" s="12"/>
      <c r="K57" s="12"/>
      <c r="L57" s="12"/>
    </row>
    <row r="58" spans="1:12" ht="16" x14ac:dyDescent="0.2">
      <c r="A58" s="8"/>
      <c r="B58" s="8"/>
      <c r="C58" s="8" t="str">
        <f t="shared" si="0"/>
        <v/>
      </c>
      <c r="D58" s="8" t="str">
        <f t="shared" si="1"/>
        <v/>
      </c>
      <c r="E58" s="12"/>
      <c r="F58" s="12"/>
      <c r="G58" s="12"/>
      <c r="H58" s="12" t="str">
        <f>IF(A58=0,"",VLOOKUP(B58,Materials!$A$2:$E$1001,6,FALSE))</f>
        <v/>
      </c>
      <c r="I58" s="12"/>
      <c r="J58" s="12"/>
      <c r="K58" s="12"/>
      <c r="L58" s="12"/>
    </row>
    <row r="59" spans="1:12" ht="16" x14ac:dyDescent="0.2">
      <c r="A59" s="8"/>
      <c r="B59" s="8"/>
      <c r="C59" s="8" t="str">
        <f t="shared" si="0"/>
        <v/>
      </c>
      <c r="D59" s="8" t="str">
        <f t="shared" si="1"/>
        <v/>
      </c>
      <c r="E59" s="12"/>
      <c r="F59" s="12"/>
      <c r="G59" s="12"/>
      <c r="H59" s="12" t="str">
        <f>IF(A59=0,"",VLOOKUP(B59,Materials!$A$2:$E$1001,6,FALSE))</f>
        <v/>
      </c>
      <c r="I59" s="12"/>
      <c r="J59" s="12"/>
      <c r="K59" s="12"/>
      <c r="L59" s="12"/>
    </row>
    <row r="60" spans="1:12" ht="16" x14ac:dyDescent="0.2">
      <c r="A60" s="8"/>
      <c r="B60" s="8"/>
      <c r="C60" s="8" t="str">
        <f t="shared" si="0"/>
        <v/>
      </c>
      <c r="D60" s="8" t="str">
        <f t="shared" si="1"/>
        <v/>
      </c>
      <c r="E60" s="12"/>
      <c r="F60" s="12"/>
      <c r="G60" s="12"/>
      <c r="H60" s="12" t="str">
        <f>IF(A60=0,"",VLOOKUP(B60,Materials!$A$2:$E$1001,6,FALSE))</f>
        <v/>
      </c>
      <c r="I60" s="12"/>
      <c r="J60" s="12"/>
      <c r="K60" s="12"/>
      <c r="L60" s="12"/>
    </row>
    <row r="61" spans="1:12" ht="16" x14ac:dyDescent="0.2">
      <c r="A61" s="8"/>
      <c r="B61" s="8"/>
      <c r="C61" s="8" t="str">
        <f t="shared" si="0"/>
        <v/>
      </c>
      <c r="D61" s="8" t="str">
        <f t="shared" si="1"/>
        <v/>
      </c>
      <c r="E61" s="12"/>
      <c r="F61" s="12"/>
      <c r="G61" s="12"/>
      <c r="H61" s="12" t="str">
        <f>IF(A61=0,"",VLOOKUP(B61,Materials!$A$2:$E$1001,6,FALSE))</f>
        <v/>
      </c>
      <c r="I61" s="12"/>
      <c r="J61" s="12"/>
      <c r="K61" s="12"/>
      <c r="L61" s="12"/>
    </row>
    <row r="62" spans="1:12" ht="16" x14ac:dyDescent="0.2">
      <c r="A62" s="8"/>
      <c r="B62" s="8"/>
      <c r="C62" s="8" t="str">
        <f t="shared" si="0"/>
        <v/>
      </c>
      <c r="D62" s="8" t="str">
        <f t="shared" si="1"/>
        <v/>
      </c>
      <c r="E62" s="12"/>
      <c r="F62" s="12"/>
      <c r="G62" s="12"/>
      <c r="H62" s="12" t="str">
        <f>IF(A62=0,"",VLOOKUP(B62,Materials!$A$2:$E$1001,6,FALSE))</f>
        <v/>
      </c>
      <c r="I62" s="12"/>
      <c r="J62" s="12"/>
      <c r="K62" s="12"/>
      <c r="L62" s="12"/>
    </row>
    <row r="63" spans="1:12" ht="16" x14ac:dyDescent="0.2">
      <c r="A63" s="8"/>
      <c r="B63" s="8"/>
      <c r="C63" s="8" t="str">
        <f t="shared" si="0"/>
        <v/>
      </c>
      <c r="D63" s="8" t="str">
        <f t="shared" si="1"/>
        <v/>
      </c>
      <c r="E63" s="12"/>
      <c r="F63" s="12"/>
      <c r="G63" s="12"/>
      <c r="H63" s="12" t="str">
        <f>IF(A63=0,"",VLOOKUP(B63,Materials!$A$2:$E$1001,6,FALSE))</f>
        <v/>
      </c>
      <c r="I63" s="12"/>
      <c r="J63" s="12"/>
      <c r="K63" s="12"/>
      <c r="L63" s="12"/>
    </row>
    <row r="64" spans="1:12" ht="16" x14ac:dyDescent="0.2">
      <c r="A64" s="8"/>
      <c r="B64" s="8"/>
      <c r="C64" s="8" t="str">
        <f t="shared" si="0"/>
        <v/>
      </c>
      <c r="D64" s="8" t="str">
        <f t="shared" si="1"/>
        <v/>
      </c>
      <c r="E64" s="12"/>
      <c r="F64" s="12"/>
      <c r="G64" s="12"/>
      <c r="H64" s="12" t="str">
        <f>IF(A64=0,"",VLOOKUP(B64,Materials!$A$2:$E$1001,6,FALSE))</f>
        <v/>
      </c>
      <c r="I64" s="12"/>
      <c r="J64" s="12"/>
      <c r="K64" s="12"/>
      <c r="L64" s="12"/>
    </row>
    <row r="65" spans="1:12" ht="16" x14ac:dyDescent="0.2">
      <c r="A65" s="8"/>
      <c r="B65" s="8"/>
      <c r="C65" s="8" t="str">
        <f t="shared" si="0"/>
        <v/>
      </c>
      <c r="D65" s="8" t="str">
        <f t="shared" si="1"/>
        <v/>
      </c>
      <c r="E65" s="12"/>
      <c r="F65" s="12"/>
      <c r="G65" s="12"/>
      <c r="H65" s="12" t="str">
        <f>IF(A65=0,"",VLOOKUP(B65,Materials!$A$2:$E$1001,6,FALSE))</f>
        <v/>
      </c>
      <c r="I65" s="12"/>
      <c r="J65" s="12"/>
      <c r="K65" s="12"/>
      <c r="L65" s="12"/>
    </row>
    <row r="66" spans="1:12" ht="16" x14ac:dyDescent="0.2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2"/>
      <c r="F66" s="12"/>
      <c r="G66" s="12"/>
      <c r="H66" s="12" t="str">
        <f>IF(A66=0,"",VLOOKUP(B66,Materials!$A$2:$E$1001,6,FALSE))</f>
        <v/>
      </c>
      <c r="I66" s="12"/>
      <c r="J66" s="12"/>
      <c r="K66" s="12"/>
      <c r="L66" s="12"/>
    </row>
    <row r="67" spans="1:12" ht="16" x14ac:dyDescent="0.2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2"/>
      <c r="F67" s="12"/>
      <c r="G67" s="12"/>
      <c r="H67" s="12" t="str">
        <f>IF(A67=0,"",VLOOKUP(B67,Materials!$A$2:$E$1001,6,FALSE))</f>
        <v/>
      </c>
      <c r="I67" s="12"/>
      <c r="J67" s="12"/>
      <c r="K67" s="12"/>
      <c r="L67" s="12"/>
    </row>
    <row r="68" spans="1:12" ht="16" x14ac:dyDescent="0.2">
      <c r="A68" s="8"/>
      <c r="B68" s="8"/>
      <c r="C68" s="8" t="str">
        <f t="shared" si="2"/>
        <v/>
      </c>
      <c r="D68" s="8" t="str">
        <f t="shared" si="3"/>
        <v/>
      </c>
      <c r="E68" s="12"/>
      <c r="F68" s="12"/>
      <c r="G68" s="12"/>
      <c r="H68" s="12" t="str">
        <f>IF(A68=0,"",VLOOKUP(B68,Materials!$A$2:$E$1001,6,FALSE))</f>
        <v/>
      </c>
      <c r="I68" s="12"/>
      <c r="J68" s="12"/>
      <c r="K68" s="12"/>
      <c r="L68" s="12"/>
    </row>
    <row r="69" spans="1:12" ht="16" x14ac:dyDescent="0.2">
      <c r="A69" s="8"/>
      <c r="B69" s="8"/>
      <c r="C69" s="8" t="str">
        <f t="shared" si="2"/>
        <v/>
      </c>
      <c r="D69" s="8" t="str">
        <f t="shared" si="3"/>
        <v/>
      </c>
      <c r="E69" s="12"/>
      <c r="F69" s="12"/>
      <c r="G69" s="12"/>
      <c r="H69" s="12" t="str">
        <f>IF(A69=0,"",VLOOKUP(B69,Materials!$A$2:$E$1001,6,FALSE))</f>
        <v/>
      </c>
      <c r="I69" s="12"/>
      <c r="J69" s="12"/>
      <c r="K69" s="12"/>
      <c r="L69" s="12"/>
    </row>
    <row r="70" spans="1:12" ht="16" x14ac:dyDescent="0.2">
      <c r="A70" s="8"/>
      <c r="B70" s="8"/>
      <c r="C70" s="8" t="str">
        <f t="shared" si="2"/>
        <v/>
      </c>
      <c r="D70" s="8" t="str">
        <f t="shared" si="3"/>
        <v/>
      </c>
      <c r="E70" s="12"/>
      <c r="F70" s="12"/>
      <c r="G70" s="12"/>
      <c r="H70" s="12" t="str">
        <f>IF(A70=0,"",VLOOKUP(B70,Materials!$A$2:$E$1001,6,FALSE))</f>
        <v/>
      </c>
      <c r="I70" s="12"/>
      <c r="J70" s="12"/>
      <c r="K70" s="12"/>
      <c r="L70" s="12"/>
    </row>
    <row r="71" spans="1:12" ht="16" x14ac:dyDescent="0.2">
      <c r="A71" s="8"/>
      <c r="B71" s="8"/>
      <c r="C71" s="8" t="str">
        <f t="shared" si="2"/>
        <v/>
      </c>
      <c r="D71" s="8" t="str">
        <f t="shared" si="3"/>
        <v/>
      </c>
      <c r="E71" s="12"/>
      <c r="F71" s="12"/>
      <c r="G71" s="12"/>
      <c r="H71" s="12" t="str">
        <f>IF(A71=0,"",VLOOKUP(B71,Materials!$A$2:$E$1001,6,FALSE))</f>
        <v/>
      </c>
      <c r="I71" s="12"/>
      <c r="J71" s="12"/>
      <c r="K71" s="12"/>
      <c r="L71" s="12"/>
    </row>
    <row r="72" spans="1:12" ht="16" x14ac:dyDescent="0.2">
      <c r="A72" s="8"/>
      <c r="B72" s="8"/>
      <c r="C72" s="8" t="str">
        <f t="shared" si="2"/>
        <v/>
      </c>
      <c r="D72" s="8" t="str">
        <f t="shared" si="3"/>
        <v/>
      </c>
      <c r="E72" s="12"/>
      <c r="F72" s="12"/>
      <c r="G72" s="12"/>
      <c r="H72" s="12" t="str">
        <f>IF(A72=0,"",VLOOKUP(B72,Materials!$A$2:$E$1001,6,FALSE))</f>
        <v/>
      </c>
      <c r="I72" s="12"/>
      <c r="J72" s="12"/>
      <c r="K72" s="12"/>
      <c r="L72" s="12"/>
    </row>
    <row r="73" spans="1:12" ht="16" x14ac:dyDescent="0.2">
      <c r="A73" s="8"/>
      <c r="B73" s="8"/>
      <c r="C73" s="8" t="str">
        <f t="shared" si="2"/>
        <v/>
      </c>
      <c r="D73" s="8" t="str">
        <f t="shared" si="3"/>
        <v/>
      </c>
      <c r="E73" s="12"/>
      <c r="F73" s="12"/>
      <c r="G73" s="12"/>
      <c r="H73" s="12" t="str">
        <f>IF(A73=0,"",VLOOKUP(B73,Materials!$A$2:$E$1001,6,FALSE))</f>
        <v/>
      </c>
      <c r="I73" s="12"/>
      <c r="J73" s="12"/>
      <c r="K73" s="12"/>
      <c r="L73" s="12"/>
    </row>
    <row r="74" spans="1:12" ht="16" x14ac:dyDescent="0.2">
      <c r="A74" s="8"/>
      <c r="B74" s="8"/>
      <c r="C74" s="8" t="str">
        <f t="shared" si="2"/>
        <v/>
      </c>
      <c r="D74" s="8" t="str">
        <f t="shared" si="3"/>
        <v/>
      </c>
      <c r="E74" s="12"/>
      <c r="F74" s="12"/>
      <c r="G74" s="12"/>
      <c r="H74" s="12" t="str">
        <f>IF(A74=0,"",VLOOKUP(B74,Materials!$A$2:$E$1001,6,FALSE))</f>
        <v/>
      </c>
      <c r="I74" s="12"/>
      <c r="J74" s="12"/>
      <c r="K74" s="12"/>
      <c r="L74" s="12"/>
    </row>
    <row r="75" spans="1:12" ht="16" x14ac:dyDescent="0.2">
      <c r="A75" s="8"/>
      <c r="B75" s="8"/>
      <c r="C75" s="8" t="str">
        <f t="shared" si="2"/>
        <v/>
      </c>
      <c r="D75" s="8" t="str">
        <f t="shared" si="3"/>
        <v/>
      </c>
      <c r="E75" s="12"/>
      <c r="F75" s="12"/>
      <c r="G75" s="12"/>
      <c r="H75" s="12" t="str">
        <f>IF(A75=0,"",VLOOKUP(B75,Materials!$A$2:$E$1001,6,FALSE))</f>
        <v/>
      </c>
      <c r="I75" s="12"/>
      <c r="J75" s="12"/>
      <c r="K75" s="12"/>
      <c r="L75" s="12"/>
    </row>
    <row r="76" spans="1:12" ht="16" x14ac:dyDescent="0.2">
      <c r="A76" s="8"/>
      <c r="B76" s="8"/>
      <c r="C76" s="8" t="str">
        <f t="shared" si="2"/>
        <v/>
      </c>
      <c r="D76" s="8" t="str">
        <f t="shared" si="3"/>
        <v/>
      </c>
      <c r="E76" s="12"/>
      <c r="F76" s="12"/>
      <c r="G76" s="12"/>
      <c r="H76" s="12" t="str">
        <f>IF(A76=0,"",VLOOKUP(B76,Materials!$A$2:$E$1001,6,FALSE))</f>
        <v/>
      </c>
      <c r="I76" s="12"/>
      <c r="J76" s="12"/>
      <c r="K76" s="12"/>
      <c r="L76" s="12"/>
    </row>
    <row r="77" spans="1:12" ht="16" x14ac:dyDescent="0.2">
      <c r="A77" s="8"/>
      <c r="B77" s="8"/>
      <c r="C77" s="8" t="str">
        <f t="shared" si="2"/>
        <v/>
      </c>
      <c r="D77" s="8" t="str">
        <f t="shared" si="3"/>
        <v/>
      </c>
      <c r="E77" s="12"/>
      <c r="F77" s="12"/>
      <c r="G77" s="12"/>
      <c r="H77" s="12" t="str">
        <f>IF(A77=0,"",VLOOKUP(B77,Materials!$A$2:$E$1001,6,FALSE))</f>
        <v/>
      </c>
      <c r="I77" s="12"/>
      <c r="J77" s="12"/>
      <c r="K77" s="12"/>
      <c r="L77" s="12"/>
    </row>
    <row r="78" spans="1:12" ht="16" x14ac:dyDescent="0.2">
      <c r="A78" s="8"/>
      <c r="B78" s="8"/>
      <c r="C78" s="8" t="str">
        <f t="shared" si="2"/>
        <v/>
      </c>
      <c r="D78" s="8" t="str">
        <f t="shared" si="3"/>
        <v/>
      </c>
      <c r="E78" s="12"/>
      <c r="F78" s="12"/>
      <c r="G78" s="12"/>
      <c r="H78" s="12" t="str">
        <f>IF(A78=0,"",VLOOKUP(B78,Materials!$A$2:$E$1001,6,FALSE))</f>
        <v/>
      </c>
      <c r="I78" s="12"/>
      <c r="J78" s="12"/>
      <c r="K78" s="12"/>
      <c r="L78" s="12"/>
    </row>
    <row r="79" spans="1:12" ht="16" x14ac:dyDescent="0.2">
      <c r="A79" s="8"/>
      <c r="B79" s="8"/>
      <c r="C79" s="8" t="str">
        <f t="shared" si="2"/>
        <v/>
      </c>
      <c r="D79" s="8" t="str">
        <f t="shared" si="3"/>
        <v/>
      </c>
      <c r="E79" s="12"/>
      <c r="F79" s="12"/>
      <c r="G79" s="12"/>
      <c r="H79" s="12" t="str">
        <f>IF(A79=0,"",VLOOKUP(B79,Materials!$A$2:$E$1001,6,FALSE))</f>
        <v/>
      </c>
      <c r="I79" s="12"/>
      <c r="J79" s="12"/>
      <c r="K79" s="12"/>
      <c r="L79" s="12"/>
    </row>
    <row r="80" spans="1:12" ht="16" x14ac:dyDescent="0.2">
      <c r="A80" s="8"/>
      <c r="B80" s="8"/>
      <c r="C80" s="8" t="str">
        <f t="shared" si="2"/>
        <v/>
      </c>
      <c r="D80" s="8" t="str">
        <f t="shared" si="3"/>
        <v/>
      </c>
      <c r="E80" s="12"/>
      <c r="F80" s="12"/>
      <c r="G80" s="12"/>
      <c r="H80" s="12" t="str">
        <f>IF(A80=0,"",VLOOKUP(B80,Materials!$A$2:$E$1001,6,FALSE))</f>
        <v/>
      </c>
      <c r="I80" s="12"/>
      <c r="J80" s="12"/>
      <c r="K80" s="12"/>
      <c r="L80" s="12"/>
    </row>
    <row r="81" spans="1:12" ht="16" x14ac:dyDescent="0.2">
      <c r="A81" s="8"/>
      <c r="B81" s="8"/>
      <c r="C81" s="8" t="str">
        <f t="shared" si="2"/>
        <v/>
      </c>
      <c r="D81" s="8" t="str">
        <f t="shared" si="3"/>
        <v/>
      </c>
      <c r="E81" s="12"/>
      <c r="F81" s="12"/>
      <c r="G81" s="12"/>
      <c r="H81" s="12" t="str">
        <f>IF(A81=0,"",VLOOKUP(B81,Materials!$A$2:$E$1001,6,FALSE))</f>
        <v/>
      </c>
      <c r="I81" s="12"/>
      <c r="J81" s="12"/>
      <c r="K81" s="12"/>
      <c r="L81" s="12"/>
    </row>
    <row r="82" spans="1:12" ht="16" x14ac:dyDescent="0.2">
      <c r="A82" s="8"/>
      <c r="B82" s="8"/>
      <c r="C82" s="8" t="str">
        <f t="shared" si="2"/>
        <v/>
      </c>
      <c r="D82" s="8" t="str">
        <f t="shared" si="3"/>
        <v/>
      </c>
      <c r="E82" s="12"/>
      <c r="F82" s="12"/>
      <c r="G82" s="12"/>
      <c r="H82" s="12" t="str">
        <f>IF(A82=0,"",VLOOKUP(B82,Materials!$A$2:$E$1001,6,FALSE))</f>
        <v/>
      </c>
      <c r="I82" s="12"/>
      <c r="J82" s="12"/>
      <c r="K82" s="12"/>
      <c r="L82" s="12"/>
    </row>
    <row r="83" spans="1:12" ht="16" x14ac:dyDescent="0.2">
      <c r="A83" s="8"/>
      <c r="B83" s="8"/>
      <c r="C83" s="8" t="str">
        <f t="shared" si="2"/>
        <v/>
      </c>
      <c r="D83" s="8" t="str">
        <f t="shared" si="3"/>
        <v/>
      </c>
      <c r="E83" s="12"/>
      <c r="F83" s="12"/>
      <c r="G83" s="12"/>
      <c r="H83" s="12" t="str">
        <f>IF(A83=0,"",VLOOKUP(B83,Materials!$A$2:$E$1001,6,FALSE))</f>
        <v/>
      </c>
      <c r="I83" s="12"/>
      <c r="J83" s="12"/>
      <c r="K83" s="12"/>
      <c r="L83" s="12"/>
    </row>
    <row r="84" spans="1:12" ht="16" x14ac:dyDescent="0.2">
      <c r="A84" s="8"/>
      <c r="B84" s="8"/>
      <c r="C84" s="8" t="str">
        <f t="shared" si="2"/>
        <v/>
      </c>
      <c r="D84" s="8" t="str">
        <f t="shared" si="3"/>
        <v/>
      </c>
      <c r="E84" s="12"/>
      <c r="F84" s="12"/>
      <c r="G84" s="12"/>
      <c r="H84" s="12" t="str">
        <f>IF(A84=0,"",VLOOKUP(B84,Materials!$A$2:$E$1001,6,FALSE))</f>
        <v/>
      </c>
      <c r="I84" s="12"/>
      <c r="J84" s="12"/>
      <c r="K84" s="12"/>
      <c r="L84" s="12"/>
    </row>
    <row r="85" spans="1:12" ht="16" x14ac:dyDescent="0.2">
      <c r="A85" s="8"/>
      <c r="B85" s="8"/>
      <c r="C85" s="8" t="str">
        <f t="shared" si="2"/>
        <v/>
      </c>
      <c r="D85" s="8" t="str">
        <f t="shared" si="3"/>
        <v/>
      </c>
      <c r="E85" s="12"/>
      <c r="F85" s="12"/>
      <c r="G85" s="12"/>
      <c r="H85" s="12" t="str">
        <f>IF(A85=0,"",VLOOKUP(B85,Materials!$A$2:$E$1001,6,FALSE))</f>
        <v/>
      </c>
      <c r="I85" s="12"/>
      <c r="J85" s="12"/>
      <c r="K85" s="12"/>
      <c r="L85" s="12"/>
    </row>
    <row r="86" spans="1:12" ht="16" x14ac:dyDescent="0.2">
      <c r="A86" s="8"/>
      <c r="B86" s="8"/>
      <c r="C86" s="8" t="str">
        <f t="shared" si="2"/>
        <v/>
      </c>
      <c r="D86" s="8" t="str">
        <f t="shared" si="3"/>
        <v/>
      </c>
      <c r="E86" s="12"/>
      <c r="F86" s="12"/>
      <c r="G86" s="12"/>
      <c r="H86" s="12" t="str">
        <f>IF(A86=0,"",VLOOKUP(B86,Materials!$A$2:$E$1001,6,FALSE))</f>
        <v/>
      </c>
      <c r="I86" s="12"/>
      <c r="J86" s="12"/>
      <c r="K86" s="12"/>
      <c r="L86" s="12"/>
    </row>
    <row r="87" spans="1:12" ht="16" x14ac:dyDescent="0.2">
      <c r="A87" s="8"/>
      <c r="B87" s="8"/>
      <c r="C87" s="8" t="str">
        <f t="shared" si="2"/>
        <v/>
      </c>
      <c r="D87" s="8" t="str">
        <f t="shared" si="3"/>
        <v/>
      </c>
      <c r="E87" s="12"/>
      <c r="F87" s="12"/>
      <c r="G87" s="12"/>
      <c r="H87" s="12" t="str">
        <f>IF(A87=0,"",VLOOKUP(B87,Materials!$A$2:$E$1001,6,FALSE))</f>
        <v/>
      </c>
      <c r="I87" s="12"/>
      <c r="J87" s="12"/>
      <c r="K87" s="12"/>
      <c r="L87" s="12"/>
    </row>
    <row r="88" spans="1:12" ht="16" x14ac:dyDescent="0.2">
      <c r="A88" s="8"/>
      <c r="B88" s="8"/>
      <c r="C88" s="8" t="str">
        <f t="shared" si="2"/>
        <v/>
      </c>
      <c r="D88" s="8" t="str">
        <f t="shared" si="3"/>
        <v/>
      </c>
      <c r="E88" s="12"/>
      <c r="F88" s="12"/>
      <c r="G88" s="12"/>
      <c r="H88" s="12" t="str">
        <f>IF(A88=0,"",VLOOKUP(B88,Materials!$A$2:$E$1001,6,FALSE))</f>
        <v/>
      </c>
      <c r="I88" s="12"/>
      <c r="J88" s="12"/>
      <c r="K88" s="12"/>
      <c r="L88" s="12"/>
    </row>
    <row r="89" spans="1:12" ht="16" x14ac:dyDescent="0.2">
      <c r="A89" s="8"/>
      <c r="B89" s="8"/>
      <c r="C89" s="8" t="str">
        <f t="shared" si="2"/>
        <v/>
      </c>
      <c r="D89" s="8" t="str">
        <f t="shared" si="3"/>
        <v/>
      </c>
      <c r="E89" s="12"/>
      <c r="F89" s="12"/>
      <c r="G89" s="12"/>
      <c r="H89" s="12" t="str">
        <f>IF(A89=0,"",VLOOKUP(B89,Materials!$A$2:$E$1001,6,FALSE))</f>
        <v/>
      </c>
      <c r="I89" s="12"/>
      <c r="J89" s="12"/>
      <c r="K89" s="12"/>
      <c r="L89" s="12"/>
    </row>
    <row r="90" spans="1:12" ht="16" x14ac:dyDescent="0.2">
      <c r="A90" s="8"/>
      <c r="B90" s="8"/>
      <c r="C90" s="8" t="str">
        <f t="shared" si="2"/>
        <v/>
      </c>
      <c r="D90" s="8" t="str">
        <f t="shared" si="3"/>
        <v/>
      </c>
      <c r="E90" s="12"/>
      <c r="F90" s="12"/>
      <c r="G90" s="12"/>
      <c r="H90" s="12" t="str">
        <f>IF(A90=0,"",VLOOKUP(B90,Materials!$A$2:$E$1001,6,FALSE))</f>
        <v/>
      </c>
      <c r="I90" s="12"/>
      <c r="J90" s="12"/>
      <c r="K90" s="12"/>
      <c r="L90" s="12"/>
    </row>
    <row r="91" spans="1:12" ht="16" x14ac:dyDescent="0.2">
      <c r="A91" s="8"/>
      <c r="B91" s="8"/>
      <c r="C91" s="8" t="str">
        <f t="shared" si="2"/>
        <v/>
      </c>
      <c r="D91" s="8" t="str">
        <f t="shared" si="3"/>
        <v/>
      </c>
      <c r="E91" s="12"/>
      <c r="F91" s="12"/>
      <c r="G91" s="12"/>
      <c r="H91" s="12" t="str">
        <f>IF(A91=0,"",VLOOKUP(B91,Materials!$A$2:$E$1001,6,FALSE))</f>
        <v/>
      </c>
      <c r="I91" s="12"/>
      <c r="J91" s="12"/>
      <c r="K91" s="12"/>
      <c r="L91" s="12"/>
    </row>
    <row r="92" spans="1:12" ht="16" x14ac:dyDescent="0.2">
      <c r="A92" s="8"/>
      <c r="B92" s="8"/>
      <c r="C92" s="8" t="str">
        <f t="shared" si="2"/>
        <v/>
      </c>
      <c r="D92" s="8" t="str">
        <f t="shared" si="3"/>
        <v/>
      </c>
      <c r="E92" s="12"/>
      <c r="F92" s="12"/>
      <c r="G92" s="12"/>
      <c r="H92" s="12" t="str">
        <f>IF(A92=0,"",VLOOKUP(B92,Materials!$A$2:$E$1001,6,FALSE))</f>
        <v/>
      </c>
      <c r="I92" s="12"/>
      <c r="J92" s="12"/>
      <c r="K92" s="12"/>
      <c r="L92" s="12"/>
    </row>
    <row r="93" spans="1:12" ht="16" x14ac:dyDescent="0.2">
      <c r="A93" s="8"/>
      <c r="B93" s="8"/>
      <c r="C93" s="8" t="str">
        <f t="shared" si="2"/>
        <v/>
      </c>
      <c r="D93" s="8" t="str">
        <f t="shared" si="3"/>
        <v/>
      </c>
      <c r="E93" s="12"/>
      <c r="F93" s="12"/>
      <c r="G93" s="12"/>
      <c r="H93" s="12" t="str">
        <f>IF(A93=0,"",VLOOKUP(B93,Materials!$A$2:$E$1001,6,FALSE))</f>
        <v/>
      </c>
      <c r="I93" s="12"/>
      <c r="J93" s="12"/>
      <c r="K93" s="12"/>
      <c r="L93" s="12"/>
    </row>
    <row r="94" spans="1:12" ht="16" x14ac:dyDescent="0.2">
      <c r="A94" s="8"/>
      <c r="B94" s="8"/>
      <c r="C94" s="8" t="str">
        <f t="shared" si="2"/>
        <v/>
      </c>
      <c r="D94" s="8" t="str">
        <f t="shared" si="3"/>
        <v/>
      </c>
      <c r="E94" s="12"/>
      <c r="F94" s="12"/>
      <c r="G94" s="12"/>
      <c r="H94" s="12" t="str">
        <f>IF(A94=0,"",VLOOKUP(B94,Materials!$A$2:$E$1001,6,FALSE))</f>
        <v/>
      </c>
      <c r="I94" s="12"/>
      <c r="J94" s="12"/>
      <c r="K94" s="12"/>
      <c r="L94" s="12"/>
    </row>
    <row r="95" spans="1:12" ht="16" x14ac:dyDescent="0.2">
      <c r="A95" s="8"/>
      <c r="B95" s="8"/>
      <c r="C95" s="8" t="str">
        <f t="shared" si="2"/>
        <v/>
      </c>
      <c r="D95" s="8" t="str">
        <f t="shared" si="3"/>
        <v/>
      </c>
      <c r="E95" s="12"/>
      <c r="F95" s="12"/>
      <c r="G95" s="12"/>
      <c r="H95" s="12" t="str">
        <f>IF(A95=0,"",VLOOKUP(B95,Materials!$A$2:$E$1001,6,FALSE))</f>
        <v/>
      </c>
      <c r="I95" s="12"/>
      <c r="J95" s="12"/>
      <c r="K95" s="12"/>
      <c r="L95" s="12"/>
    </row>
    <row r="96" spans="1:12" ht="16" x14ac:dyDescent="0.2">
      <c r="A96" s="8"/>
      <c r="B96" s="8"/>
      <c r="C96" s="8" t="str">
        <f t="shared" si="2"/>
        <v/>
      </c>
      <c r="D96" s="8" t="str">
        <f t="shared" si="3"/>
        <v/>
      </c>
      <c r="E96" s="12"/>
      <c r="F96" s="12"/>
      <c r="G96" s="12"/>
      <c r="H96" s="12" t="str">
        <f>IF(A96=0,"",VLOOKUP(B96,Materials!$A$2:$E$1001,6,FALSE))</f>
        <v/>
      </c>
      <c r="I96" s="12"/>
      <c r="J96" s="12"/>
      <c r="K96" s="12"/>
      <c r="L96" s="12"/>
    </row>
    <row r="97" spans="1:12" ht="16" x14ac:dyDescent="0.2">
      <c r="A97" s="8"/>
      <c r="B97" s="8"/>
      <c r="C97" s="8" t="str">
        <f t="shared" si="2"/>
        <v/>
      </c>
      <c r="D97" s="8" t="str">
        <f t="shared" si="3"/>
        <v/>
      </c>
      <c r="E97" s="12"/>
      <c r="F97" s="12"/>
      <c r="G97" s="12"/>
      <c r="H97" s="12" t="str">
        <f>IF(A97=0,"",VLOOKUP(B97,Materials!$A$2:$E$1001,6,FALSE))</f>
        <v/>
      </c>
      <c r="I97" s="12"/>
      <c r="J97" s="12"/>
      <c r="K97" s="12"/>
      <c r="L97" s="12"/>
    </row>
    <row r="98" spans="1:12" ht="16" x14ac:dyDescent="0.2">
      <c r="A98" s="8"/>
      <c r="B98" s="8"/>
      <c r="C98" s="8" t="str">
        <f t="shared" si="2"/>
        <v/>
      </c>
      <c r="D98" s="8" t="str">
        <f t="shared" si="3"/>
        <v/>
      </c>
      <c r="E98" s="12"/>
      <c r="F98" s="12"/>
      <c r="G98" s="12"/>
      <c r="H98" s="12" t="str">
        <f>IF(A98=0,"",VLOOKUP(B98,Materials!$A$2:$E$1001,6,FALSE))</f>
        <v/>
      </c>
      <c r="I98" s="12"/>
      <c r="J98" s="12"/>
      <c r="K98" s="12"/>
      <c r="L98" s="12"/>
    </row>
    <row r="99" spans="1:12" ht="16" x14ac:dyDescent="0.2">
      <c r="A99" s="8"/>
      <c r="B99" s="8"/>
      <c r="C99" s="8" t="str">
        <f t="shared" si="2"/>
        <v/>
      </c>
      <c r="D99" s="8" t="str">
        <f t="shared" si="3"/>
        <v/>
      </c>
      <c r="E99" s="12"/>
      <c r="F99" s="12"/>
      <c r="G99" s="12"/>
      <c r="H99" s="12" t="str">
        <f>IF(A99=0,"",VLOOKUP(B99,Materials!$A$2:$E$1001,6,FALSE))</f>
        <v/>
      </c>
      <c r="I99" s="12"/>
      <c r="J99" s="12"/>
      <c r="K99" s="12"/>
      <c r="L99" s="12"/>
    </row>
    <row r="100" spans="1:12" ht="16" x14ac:dyDescent="0.2">
      <c r="A100" s="8"/>
      <c r="B100" s="8"/>
      <c r="C100" s="8" t="str">
        <f t="shared" si="2"/>
        <v/>
      </c>
      <c r="D100" s="8" t="str">
        <f t="shared" si="3"/>
        <v/>
      </c>
      <c r="E100" s="12"/>
      <c r="F100" s="12"/>
      <c r="G100" s="12"/>
      <c r="H100" s="12" t="str">
        <f>IF(A100=0,"",VLOOKUP(B100,Materials!$A$2:$E$1001,6,FALSE))</f>
        <v/>
      </c>
      <c r="I100" s="12"/>
      <c r="J100" s="12"/>
      <c r="K100" s="12"/>
      <c r="L100" s="12"/>
    </row>
    <row r="101" spans="1:12" ht="16" x14ac:dyDescent="0.2">
      <c r="A101" s="8"/>
      <c r="B101" s="8"/>
      <c r="C101" s="8" t="str">
        <f t="shared" si="2"/>
        <v/>
      </c>
      <c r="D101" s="8" t="str">
        <f t="shared" si="3"/>
        <v/>
      </c>
      <c r="E101" s="12"/>
      <c r="F101" s="12"/>
      <c r="G101" s="12"/>
      <c r="H101" s="12" t="str">
        <f>IF(A101=0,"",VLOOKUP(B101,Materials!$A$2:$E$1001,6,FALSE))</f>
        <v/>
      </c>
      <c r="I101" s="12"/>
      <c r="J101" s="12"/>
      <c r="K101" s="12"/>
      <c r="L101" s="12"/>
    </row>
    <row r="102" spans="1:12" ht="16" x14ac:dyDescent="0.2">
      <c r="A102" s="8"/>
      <c r="B102" s="8"/>
      <c r="C102" s="8" t="str">
        <f t="shared" si="2"/>
        <v/>
      </c>
      <c r="D102" s="8" t="str">
        <f t="shared" si="3"/>
        <v/>
      </c>
      <c r="E102" s="12"/>
      <c r="F102" s="12"/>
      <c r="G102" s="12"/>
      <c r="H102" s="12" t="str">
        <f>IF(A102=0,"",VLOOKUP(B102,Materials!$A$2:$E$1001,6,FALSE))</f>
        <v/>
      </c>
      <c r="I102" s="12"/>
      <c r="J102" s="12"/>
      <c r="K102" s="12"/>
      <c r="L102" s="12"/>
    </row>
    <row r="103" spans="1:12" ht="16" x14ac:dyDescent="0.2">
      <c r="A103" s="8"/>
      <c r="B103" s="8"/>
      <c r="C103" s="8" t="str">
        <f t="shared" si="2"/>
        <v/>
      </c>
      <c r="D103" s="8" t="str">
        <f t="shared" si="3"/>
        <v/>
      </c>
      <c r="E103" s="12"/>
      <c r="F103" s="12"/>
      <c r="G103" s="12"/>
      <c r="H103" s="12" t="str">
        <f>IF(A103=0,"",VLOOKUP(B103,Materials!$A$2:$E$1001,6,FALSE))</f>
        <v/>
      </c>
      <c r="I103" s="12"/>
      <c r="J103" s="12"/>
      <c r="K103" s="12"/>
      <c r="L103" s="12"/>
    </row>
    <row r="104" spans="1:12" ht="16" x14ac:dyDescent="0.2">
      <c r="A104" s="8"/>
      <c r="B104" s="8"/>
      <c r="C104" s="8" t="str">
        <f t="shared" si="2"/>
        <v/>
      </c>
      <c r="D104" s="8" t="str">
        <f t="shared" si="3"/>
        <v/>
      </c>
      <c r="E104" s="12"/>
      <c r="F104" s="12"/>
      <c r="G104" s="12"/>
      <c r="H104" s="12" t="str">
        <f>IF(A104=0,"",VLOOKUP(B104,Materials!$A$2:$E$1001,6,FALSE))</f>
        <v/>
      </c>
      <c r="I104" s="12"/>
      <c r="J104" s="12"/>
      <c r="K104" s="12"/>
      <c r="L104" s="12"/>
    </row>
    <row r="105" spans="1:12" ht="16" x14ac:dyDescent="0.2">
      <c r="A105" s="8"/>
      <c r="B105" s="8"/>
      <c r="C105" s="8" t="str">
        <f t="shared" si="2"/>
        <v/>
      </c>
      <c r="D105" s="8" t="str">
        <f t="shared" si="3"/>
        <v/>
      </c>
      <c r="E105" s="12"/>
      <c r="F105" s="12"/>
      <c r="G105" s="12"/>
      <c r="H105" s="12" t="str">
        <f>IF(A105=0,"",VLOOKUP(B105,Materials!$A$2:$E$1001,6,FALSE))</f>
        <v/>
      </c>
      <c r="I105" s="12"/>
      <c r="J105" s="12"/>
      <c r="K105" s="12"/>
      <c r="L105" s="12"/>
    </row>
    <row r="106" spans="1:12" ht="16" x14ac:dyDescent="0.2">
      <c r="A106" s="8"/>
      <c r="B106" s="8"/>
      <c r="C106" s="8" t="str">
        <f t="shared" si="2"/>
        <v/>
      </c>
      <c r="D106" s="8" t="str">
        <f t="shared" si="3"/>
        <v/>
      </c>
      <c r="E106" s="12"/>
      <c r="F106" s="12"/>
      <c r="G106" s="12"/>
      <c r="H106" s="12" t="str">
        <f>IF(A106=0,"",VLOOKUP(B106,Materials!$A$2:$E$1001,6,FALSE))</f>
        <v/>
      </c>
      <c r="I106" s="12"/>
      <c r="J106" s="12"/>
      <c r="K106" s="12"/>
      <c r="L106" s="12"/>
    </row>
    <row r="107" spans="1:12" ht="16" x14ac:dyDescent="0.2">
      <c r="A107" s="8"/>
      <c r="B107" s="8"/>
      <c r="C107" s="8" t="str">
        <f t="shared" si="2"/>
        <v/>
      </c>
      <c r="D107" s="8" t="str">
        <f t="shared" si="3"/>
        <v/>
      </c>
      <c r="E107" s="12"/>
      <c r="F107" s="12"/>
      <c r="G107" s="12"/>
      <c r="H107" s="12" t="str">
        <f>IF(A107=0,"",VLOOKUP(B107,Materials!$A$2:$E$1001,6,FALSE))</f>
        <v/>
      </c>
      <c r="I107" s="12"/>
      <c r="J107" s="12"/>
      <c r="K107" s="12"/>
      <c r="L107" s="12"/>
    </row>
    <row r="108" spans="1:12" ht="16" x14ac:dyDescent="0.2">
      <c r="A108" s="8"/>
      <c r="B108" s="8"/>
      <c r="C108" s="8" t="str">
        <f t="shared" si="2"/>
        <v/>
      </c>
      <c r="D108" s="8" t="str">
        <f t="shared" si="3"/>
        <v/>
      </c>
      <c r="E108" s="12"/>
      <c r="F108" s="12"/>
      <c r="G108" s="12"/>
      <c r="H108" s="12" t="str">
        <f>IF(A108=0,"",VLOOKUP(B108,Materials!$A$2:$E$1001,6,FALSE))</f>
        <v/>
      </c>
      <c r="I108" s="12"/>
      <c r="J108" s="12"/>
      <c r="K108" s="12"/>
      <c r="L108" s="12"/>
    </row>
    <row r="109" spans="1:12" ht="16" x14ac:dyDescent="0.2">
      <c r="A109" s="8"/>
      <c r="B109" s="8"/>
      <c r="C109" s="8" t="str">
        <f t="shared" si="2"/>
        <v/>
      </c>
      <c r="D109" s="8" t="str">
        <f t="shared" si="3"/>
        <v/>
      </c>
      <c r="E109" s="12"/>
      <c r="F109" s="12"/>
      <c r="G109" s="12"/>
      <c r="H109" s="12" t="str">
        <f>IF(A109=0,"",VLOOKUP(B109,Materials!$A$2:$E$1001,6,FALSE))</f>
        <v/>
      </c>
      <c r="I109" s="12"/>
      <c r="J109" s="12"/>
      <c r="K109" s="12"/>
      <c r="L109" s="12"/>
    </row>
    <row r="110" spans="1:12" ht="16" x14ac:dyDescent="0.2">
      <c r="A110" s="8"/>
      <c r="B110" s="8"/>
      <c r="C110" s="8" t="str">
        <f t="shared" si="2"/>
        <v/>
      </c>
      <c r="D110" s="8" t="str">
        <f t="shared" si="3"/>
        <v/>
      </c>
      <c r="E110" s="12"/>
      <c r="F110" s="12"/>
      <c r="G110" s="12"/>
      <c r="H110" s="12" t="str">
        <f>IF(A110=0,"",VLOOKUP(B110,Materials!$A$2:$E$1001,6,FALSE))</f>
        <v/>
      </c>
      <c r="I110" s="12"/>
      <c r="J110" s="12"/>
      <c r="K110" s="12"/>
      <c r="L110" s="12"/>
    </row>
    <row r="111" spans="1:12" ht="16" x14ac:dyDescent="0.2">
      <c r="A111" s="8"/>
      <c r="B111" s="8"/>
      <c r="C111" s="8" t="str">
        <f t="shared" si="2"/>
        <v/>
      </c>
      <c r="D111" s="8" t="str">
        <f t="shared" si="3"/>
        <v/>
      </c>
      <c r="E111" s="12"/>
      <c r="F111" s="12"/>
      <c r="G111" s="12"/>
      <c r="H111" s="12" t="str">
        <f>IF(A111=0,"",VLOOKUP(B111,Materials!$A$2:$E$1001,6,FALSE))</f>
        <v/>
      </c>
      <c r="I111" s="12"/>
      <c r="J111" s="12"/>
      <c r="K111" s="12"/>
      <c r="L111" s="12"/>
    </row>
    <row r="112" spans="1:12" ht="16" x14ac:dyDescent="0.2">
      <c r="A112" s="8"/>
      <c r="B112" s="8"/>
      <c r="C112" s="8" t="str">
        <f t="shared" si="2"/>
        <v/>
      </c>
      <c r="D112" s="8" t="str">
        <f t="shared" si="3"/>
        <v/>
      </c>
      <c r="E112" s="12"/>
      <c r="F112" s="12"/>
      <c r="G112" s="12"/>
      <c r="H112" s="12" t="str">
        <f>IF(A112=0,"",VLOOKUP(B112,Materials!$A$2:$E$1001,6,FALSE))</f>
        <v/>
      </c>
      <c r="I112" s="12"/>
      <c r="J112" s="12"/>
      <c r="K112" s="12"/>
      <c r="L112" s="12"/>
    </row>
    <row r="113" spans="1:12" ht="16" x14ac:dyDescent="0.2">
      <c r="A113" s="8"/>
      <c r="B113" s="8"/>
      <c r="C113" s="8" t="str">
        <f t="shared" si="2"/>
        <v/>
      </c>
      <c r="D113" s="8" t="str">
        <f t="shared" si="3"/>
        <v/>
      </c>
      <c r="E113" s="12"/>
      <c r="F113" s="12"/>
      <c r="G113" s="12"/>
      <c r="H113" s="12" t="str">
        <f>IF(A113=0,"",VLOOKUP(B113,Materials!$A$2:$E$1001,6,FALSE))</f>
        <v/>
      </c>
      <c r="I113" s="12"/>
      <c r="J113" s="12"/>
      <c r="K113" s="12"/>
      <c r="L113" s="12"/>
    </row>
    <row r="114" spans="1:12" ht="16" x14ac:dyDescent="0.2">
      <c r="A114" s="8"/>
      <c r="B114" s="8"/>
      <c r="C114" s="8" t="str">
        <f t="shared" si="2"/>
        <v/>
      </c>
      <c r="D114" s="8" t="str">
        <f t="shared" si="3"/>
        <v/>
      </c>
      <c r="E114" s="12"/>
      <c r="F114" s="12"/>
      <c r="G114" s="12"/>
      <c r="H114" s="12" t="str">
        <f>IF(A114=0,"",VLOOKUP(B114,Materials!$A$2:$E$1001,6,FALSE))</f>
        <v/>
      </c>
      <c r="I114" s="12"/>
      <c r="J114" s="12"/>
      <c r="K114" s="12"/>
      <c r="L114" s="12"/>
    </row>
    <row r="115" spans="1:12" ht="16" x14ac:dyDescent="0.2">
      <c r="A115" s="8"/>
      <c r="B115" s="8"/>
      <c r="C115" s="8" t="str">
        <f t="shared" si="2"/>
        <v/>
      </c>
      <c r="D115" s="8" t="str">
        <f t="shared" si="3"/>
        <v/>
      </c>
      <c r="E115" s="12"/>
      <c r="F115" s="12"/>
      <c r="G115" s="12"/>
      <c r="H115" s="12" t="str">
        <f>IF(A115=0,"",VLOOKUP(B115,Materials!$A$2:$E$1001,6,FALSE))</f>
        <v/>
      </c>
      <c r="I115" s="12"/>
      <c r="J115" s="12"/>
      <c r="K115" s="12"/>
      <c r="L115" s="12"/>
    </row>
    <row r="116" spans="1:12" ht="16" x14ac:dyDescent="0.2">
      <c r="A116" s="8"/>
      <c r="B116" s="8"/>
      <c r="C116" s="8" t="str">
        <f t="shared" si="2"/>
        <v/>
      </c>
      <c r="D116" s="8" t="str">
        <f t="shared" si="3"/>
        <v/>
      </c>
      <c r="E116" s="12"/>
      <c r="F116" s="12"/>
      <c r="G116" s="12"/>
      <c r="H116" s="12" t="str">
        <f>IF(A116=0,"",VLOOKUP(B116,Materials!$A$2:$E$1001,6,FALSE))</f>
        <v/>
      </c>
      <c r="I116" s="12"/>
      <c r="J116" s="12"/>
      <c r="K116" s="12"/>
      <c r="L116" s="12"/>
    </row>
    <row r="117" spans="1:12" ht="16" x14ac:dyDescent="0.2">
      <c r="A117" s="8"/>
      <c r="B117" s="8"/>
      <c r="C117" s="8" t="str">
        <f t="shared" si="2"/>
        <v/>
      </c>
      <c r="D117" s="8" t="str">
        <f t="shared" si="3"/>
        <v/>
      </c>
      <c r="E117" s="12"/>
      <c r="F117" s="12"/>
      <c r="G117" s="12"/>
      <c r="H117" s="12" t="str">
        <f>IF(A117=0,"",VLOOKUP(B117,Materials!$A$2:$E$1001,6,FALSE))</f>
        <v/>
      </c>
      <c r="I117" s="12"/>
      <c r="J117" s="12"/>
      <c r="K117" s="12"/>
      <c r="L117" s="12"/>
    </row>
    <row r="118" spans="1:12" ht="16" x14ac:dyDescent="0.2">
      <c r="A118" s="8"/>
      <c r="B118" s="8"/>
      <c r="C118" s="8" t="str">
        <f t="shared" si="2"/>
        <v/>
      </c>
      <c r="D118" s="8" t="str">
        <f t="shared" si="3"/>
        <v/>
      </c>
      <c r="E118" s="12"/>
      <c r="F118" s="12"/>
      <c r="G118" s="12"/>
      <c r="H118" s="12" t="str">
        <f>IF(A118=0,"",VLOOKUP(B118,Materials!$A$2:$E$1001,6,FALSE))</f>
        <v/>
      </c>
      <c r="I118" s="12"/>
      <c r="J118" s="12"/>
      <c r="K118" s="12"/>
      <c r="L118" s="12"/>
    </row>
    <row r="119" spans="1:12" ht="16" x14ac:dyDescent="0.2">
      <c r="A119" s="8"/>
      <c r="B119" s="8"/>
      <c r="C119" s="8" t="str">
        <f t="shared" si="2"/>
        <v/>
      </c>
      <c r="D119" s="8" t="str">
        <f t="shared" si="3"/>
        <v/>
      </c>
      <c r="E119" s="12"/>
      <c r="F119" s="12"/>
      <c r="G119" s="12"/>
      <c r="H119" s="12" t="str">
        <f>IF(A119=0,"",VLOOKUP(B119,Materials!$A$2:$E$1001,6,FALSE))</f>
        <v/>
      </c>
      <c r="I119" s="12"/>
      <c r="J119" s="12"/>
      <c r="K119" s="12"/>
      <c r="L119" s="12"/>
    </row>
    <row r="120" spans="1:12" ht="16" x14ac:dyDescent="0.2">
      <c r="A120" s="8"/>
      <c r="B120" s="8"/>
      <c r="C120" s="8" t="str">
        <f t="shared" si="2"/>
        <v/>
      </c>
      <c r="D120" s="8" t="str">
        <f t="shared" si="3"/>
        <v/>
      </c>
      <c r="E120" s="12"/>
      <c r="F120" s="12"/>
      <c r="G120" s="12"/>
      <c r="H120" s="12" t="str">
        <f>IF(A120=0,"",VLOOKUP(B120,Materials!$A$2:$E$1001,6,FALSE))</f>
        <v/>
      </c>
      <c r="I120" s="12"/>
      <c r="J120" s="12"/>
      <c r="K120" s="12"/>
      <c r="L120" s="12"/>
    </row>
    <row r="121" spans="1:12" ht="16" x14ac:dyDescent="0.2">
      <c r="A121" s="8"/>
      <c r="B121" s="8"/>
      <c r="C121" s="8" t="str">
        <f t="shared" si="2"/>
        <v/>
      </c>
      <c r="D121" s="8" t="str">
        <f t="shared" si="3"/>
        <v/>
      </c>
      <c r="E121" s="12"/>
      <c r="F121" s="12"/>
      <c r="G121" s="12"/>
      <c r="H121" s="12" t="str">
        <f>IF(A121=0,"",VLOOKUP(B121,Materials!$A$2:$E$1001,6,FALSE))</f>
        <v/>
      </c>
      <c r="I121" s="12"/>
      <c r="J121" s="12"/>
      <c r="K121" s="12"/>
      <c r="L121" s="12"/>
    </row>
    <row r="122" spans="1:12" ht="16" x14ac:dyDescent="0.2">
      <c r="A122" s="8"/>
      <c r="B122" s="8"/>
      <c r="C122" s="8" t="str">
        <f t="shared" si="2"/>
        <v/>
      </c>
      <c r="D122" s="8" t="str">
        <f t="shared" si="3"/>
        <v/>
      </c>
      <c r="E122" s="12"/>
      <c r="F122" s="12"/>
      <c r="G122" s="12"/>
      <c r="H122" s="12" t="str">
        <f>IF(A122=0,"",VLOOKUP(B122,Materials!$A$2:$E$1001,6,FALSE))</f>
        <v/>
      </c>
      <c r="I122" s="12"/>
      <c r="J122" s="12"/>
      <c r="K122" s="12"/>
      <c r="L122" s="12"/>
    </row>
    <row r="123" spans="1:12" ht="16" x14ac:dyDescent="0.2">
      <c r="A123" s="8"/>
      <c r="B123" s="8"/>
      <c r="C123" s="8" t="str">
        <f t="shared" si="2"/>
        <v/>
      </c>
      <c r="D123" s="8" t="str">
        <f t="shared" si="3"/>
        <v/>
      </c>
      <c r="E123" s="12"/>
      <c r="F123" s="12"/>
      <c r="G123" s="12"/>
      <c r="H123" s="12" t="str">
        <f>IF(A123=0,"",VLOOKUP(B123,Materials!$A$2:$E$1001,6,FALSE))</f>
        <v/>
      </c>
      <c r="I123" s="12"/>
      <c r="J123" s="12"/>
      <c r="K123" s="12"/>
      <c r="L123" s="12"/>
    </row>
    <row r="124" spans="1:12" ht="16" x14ac:dyDescent="0.2">
      <c r="A124" s="8"/>
      <c r="B124" s="8"/>
      <c r="C124" s="8" t="str">
        <f t="shared" si="2"/>
        <v/>
      </c>
      <c r="D124" s="8" t="str">
        <f t="shared" si="3"/>
        <v/>
      </c>
      <c r="E124" s="12"/>
      <c r="F124" s="12"/>
      <c r="G124" s="12"/>
      <c r="H124" s="12" t="str">
        <f>IF(A124=0,"",VLOOKUP(B124,Materials!$A$2:$E$1001,6,FALSE))</f>
        <v/>
      </c>
      <c r="I124" s="12"/>
      <c r="J124" s="12"/>
      <c r="K124" s="12"/>
      <c r="L124" s="12"/>
    </row>
    <row r="125" spans="1:12" ht="16" x14ac:dyDescent="0.2">
      <c r="A125" s="8"/>
      <c r="B125" s="8"/>
      <c r="C125" s="8" t="str">
        <f t="shared" si="2"/>
        <v/>
      </c>
      <c r="D125" s="8" t="str">
        <f t="shared" si="3"/>
        <v/>
      </c>
      <c r="E125" s="12"/>
      <c r="F125" s="12"/>
      <c r="G125" s="12"/>
      <c r="H125" s="12" t="str">
        <f>IF(A125=0,"",VLOOKUP(B125,Materials!$A$2:$E$1001,6,FALSE))</f>
        <v/>
      </c>
      <c r="I125" s="12"/>
      <c r="J125" s="12"/>
      <c r="K125" s="12"/>
      <c r="L125" s="12"/>
    </row>
    <row r="126" spans="1:12" ht="16" x14ac:dyDescent="0.2">
      <c r="A126" s="8"/>
      <c r="B126" s="8"/>
      <c r="C126" s="8" t="str">
        <f t="shared" si="2"/>
        <v/>
      </c>
      <c r="D126" s="8" t="str">
        <f t="shared" si="3"/>
        <v/>
      </c>
      <c r="E126" s="12"/>
      <c r="F126" s="12"/>
      <c r="G126" s="12"/>
      <c r="H126" s="12" t="str">
        <f>IF(A126=0,"",VLOOKUP(B126,Materials!$A$2:$E$1001,6,FALSE))</f>
        <v/>
      </c>
      <c r="I126" s="12"/>
      <c r="J126" s="12"/>
      <c r="K126" s="12"/>
      <c r="L126" s="12"/>
    </row>
    <row r="127" spans="1:12" ht="16" x14ac:dyDescent="0.2">
      <c r="A127" s="8"/>
      <c r="B127" s="8"/>
      <c r="C127" s="8" t="str">
        <f t="shared" si="2"/>
        <v/>
      </c>
      <c r="D127" s="8" t="str">
        <f t="shared" si="3"/>
        <v/>
      </c>
      <c r="E127" s="12"/>
      <c r="F127" s="12"/>
      <c r="G127" s="12"/>
      <c r="H127" s="12" t="str">
        <f>IF(A127=0,"",VLOOKUP(B127,Materials!$A$2:$E$1001,6,FALSE))</f>
        <v/>
      </c>
      <c r="I127" s="12"/>
      <c r="J127" s="12"/>
      <c r="K127" s="12"/>
      <c r="L127" s="12"/>
    </row>
    <row r="128" spans="1:12" ht="16" x14ac:dyDescent="0.2">
      <c r="A128" s="8"/>
      <c r="B128" s="8"/>
      <c r="C128" s="8" t="str">
        <f t="shared" si="2"/>
        <v/>
      </c>
      <c r="D128" s="8" t="str">
        <f t="shared" si="3"/>
        <v/>
      </c>
      <c r="E128" s="12"/>
      <c r="F128" s="12"/>
      <c r="G128" s="12"/>
      <c r="H128" s="12" t="str">
        <f>IF(A128=0,"",VLOOKUP(B128,Materials!$A$2:$E$1001,6,FALSE))</f>
        <v/>
      </c>
      <c r="I128" s="12"/>
      <c r="J128" s="12"/>
      <c r="K128" s="12"/>
      <c r="L128" s="12"/>
    </row>
    <row r="129" spans="1:12" ht="16" x14ac:dyDescent="0.2">
      <c r="A129" s="8"/>
      <c r="B129" s="8"/>
      <c r="C129" s="8" t="str">
        <f t="shared" si="2"/>
        <v/>
      </c>
      <c r="D129" s="8" t="str">
        <f t="shared" si="3"/>
        <v/>
      </c>
      <c r="E129" s="12"/>
      <c r="F129" s="12"/>
      <c r="G129" s="12"/>
      <c r="H129" s="12" t="str">
        <f>IF(A129=0,"",VLOOKUP(B129,Materials!$A$2:$E$1001,6,FALSE))</f>
        <v/>
      </c>
      <c r="I129" s="12"/>
      <c r="J129" s="12"/>
      <c r="K129" s="12"/>
      <c r="L129" s="12"/>
    </row>
    <row r="130" spans="1:12" ht="16" x14ac:dyDescent="0.2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2"/>
      <c r="F130" s="12"/>
      <c r="G130" s="12"/>
      <c r="H130" s="12" t="str">
        <f>IF(A130=0,"",VLOOKUP(B130,Materials!$A$2:$E$1001,6,FALSE))</f>
        <v/>
      </c>
      <c r="I130" s="12"/>
      <c r="J130" s="12"/>
      <c r="K130" s="12"/>
      <c r="L130" s="12"/>
    </row>
    <row r="131" spans="1:12" ht="16" x14ac:dyDescent="0.2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2"/>
      <c r="F131" s="12"/>
      <c r="G131" s="12"/>
      <c r="H131" s="12" t="str">
        <f>IF(A131=0,"",VLOOKUP(B131,Materials!$A$2:$E$1001,6,FALSE))</f>
        <v/>
      </c>
      <c r="I131" s="12"/>
      <c r="J131" s="12"/>
      <c r="K131" s="12"/>
      <c r="L131" s="12"/>
    </row>
    <row r="132" spans="1:12" ht="16" x14ac:dyDescent="0.2">
      <c r="A132" s="8"/>
      <c r="B132" s="8"/>
      <c r="C132" s="8" t="str">
        <f t="shared" si="4"/>
        <v/>
      </c>
      <c r="D132" s="8" t="str">
        <f t="shared" si="5"/>
        <v/>
      </c>
      <c r="E132" s="12"/>
      <c r="F132" s="12"/>
      <c r="G132" s="12"/>
      <c r="H132" s="12" t="str">
        <f>IF(A132=0,"",VLOOKUP(B132,Materials!$A$2:$E$1001,6,FALSE))</f>
        <v/>
      </c>
      <c r="I132" s="12"/>
      <c r="J132" s="12"/>
      <c r="K132" s="12"/>
      <c r="L132" s="12"/>
    </row>
    <row r="133" spans="1:12" ht="16" x14ac:dyDescent="0.2">
      <c r="A133" s="8"/>
      <c r="B133" s="8"/>
      <c r="C133" s="8" t="str">
        <f t="shared" si="4"/>
        <v/>
      </c>
      <c r="D133" s="8" t="str">
        <f t="shared" si="5"/>
        <v/>
      </c>
      <c r="E133" s="12"/>
      <c r="F133" s="12"/>
      <c r="G133" s="12"/>
      <c r="H133" s="12" t="str">
        <f>IF(A133=0,"",VLOOKUP(B133,Materials!$A$2:$E$1001,6,FALSE))</f>
        <v/>
      </c>
      <c r="I133" s="12"/>
      <c r="J133" s="12"/>
      <c r="K133" s="12"/>
      <c r="L133" s="12"/>
    </row>
    <row r="134" spans="1:12" ht="16" x14ac:dyDescent="0.2">
      <c r="A134" s="8"/>
      <c r="B134" s="8"/>
      <c r="C134" s="8" t="str">
        <f t="shared" si="4"/>
        <v/>
      </c>
      <c r="D134" s="8" t="str">
        <f t="shared" si="5"/>
        <v/>
      </c>
      <c r="E134" s="12"/>
      <c r="F134" s="12"/>
      <c r="G134" s="12"/>
      <c r="H134" s="12" t="str">
        <f>IF(A134=0,"",VLOOKUP(B134,Materials!$A$2:$E$1001,6,FALSE))</f>
        <v/>
      </c>
      <c r="I134" s="12"/>
      <c r="J134" s="12"/>
      <c r="K134" s="12"/>
      <c r="L134" s="12"/>
    </row>
    <row r="135" spans="1:12" ht="16" x14ac:dyDescent="0.2">
      <c r="A135" s="8"/>
      <c r="B135" s="8"/>
      <c r="C135" s="8" t="str">
        <f t="shared" si="4"/>
        <v/>
      </c>
      <c r="D135" s="8" t="str">
        <f t="shared" si="5"/>
        <v/>
      </c>
      <c r="E135" s="12"/>
      <c r="F135" s="12"/>
      <c r="G135" s="12"/>
      <c r="H135" s="12" t="str">
        <f>IF(A135=0,"",VLOOKUP(B135,Materials!$A$2:$E$1001,6,FALSE))</f>
        <v/>
      </c>
      <c r="I135" s="12"/>
      <c r="J135" s="12"/>
      <c r="K135" s="12"/>
      <c r="L135" s="12"/>
    </row>
    <row r="136" spans="1:12" ht="16" x14ac:dyDescent="0.2">
      <c r="A136" s="8"/>
      <c r="B136" s="8"/>
      <c r="C136" s="8" t="str">
        <f t="shared" si="4"/>
        <v/>
      </c>
      <c r="D136" s="8" t="str">
        <f t="shared" si="5"/>
        <v/>
      </c>
      <c r="E136" s="12"/>
      <c r="F136" s="12"/>
      <c r="G136" s="12"/>
      <c r="H136" s="12" t="str">
        <f>IF(A136=0,"",VLOOKUP(B136,Materials!$A$2:$E$1001,6,FALSE))</f>
        <v/>
      </c>
      <c r="I136" s="12"/>
      <c r="J136" s="12"/>
      <c r="K136" s="12"/>
      <c r="L136" s="12"/>
    </row>
    <row r="137" spans="1:12" ht="16" x14ac:dyDescent="0.2">
      <c r="A137" s="8"/>
      <c r="B137" s="8"/>
      <c r="C137" s="8" t="str">
        <f t="shared" si="4"/>
        <v/>
      </c>
      <c r="D137" s="8" t="str">
        <f t="shared" si="5"/>
        <v/>
      </c>
      <c r="E137" s="12"/>
      <c r="F137" s="12"/>
      <c r="G137" s="12"/>
      <c r="H137" s="12" t="str">
        <f>IF(A137=0,"",VLOOKUP(B137,Materials!$A$2:$E$1001,6,FALSE))</f>
        <v/>
      </c>
      <c r="I137" s="12"/>
      <c r="J137" s="12"/>
      <c r="K137" s="12"/>
      <c r="L137" s="12"/>
    </row>
    <row r="138" spans="1:12" ht="16" x14ac:dyDescent="0.2">
      <c r="A138" s="8"/>
      <c r="B138" s="8"/>
      <c r="C138" s="8" t="str">
        <f t="shared" si="4"/>
        <v/>
      </c>
      <c r="D138" s="8" t="str">
        <f t="shared" si="5"/>
        <v/>
      </c>
      <c r="E138" s="12"/>
      <c r="F138" s="12"/>
      <c r="G138" s="12"/>
      <c r="H138" s="12" t="str">
        <f>IF(A138=0,"",VLOOKUP(B138,Materials!$A$2:$E$1001,6,FALSE))</f>
        <v/>
      </c>
      <c r="I138" s="12"/>
      <c r="J138" s="12"/>
      <c r="K138" s="12"/>
      <c r="L138" s="12"/>
    </row>
    <row r="139" spans="1:12" ht="16" x14ac:dyDescent="0.2">
      <c r="A139" s="8"/>
      <c r="B139" s="8"/>
      <c r="C139" s="8" t="str">
        <f t="shared" si="4"/>
        <v/>
      </c>
      <c r="D139" s="8" t="str">
        <f t="shared" si="5"/>
        <v/>
      </c>
      <c r="E139" s="12"/>
      <c r="F139" s="12"/>
      <c r="G139" s="12"/>
      <c r="H139" s="12" t="str">
        <f>IF(A139=0,"",VLOOKUP(B139,Materials!$A$2:$E$1001,6,FALSE))</f>
        <v/>
      </c>
      <c r="I139" s="12"/>
      <c r="J139" s="12"/>
      <c r="K139" s="12"/>
      <c r="L139" s="12"/>
    </row>
    <row r="140" spans="1:12" ht="16" x14ac:dyDescent="0.2">
      <c r="A140" s="8"/>
      <c r="B140" s="8"/>
      <c r="C140" s="8" t="str">
        <f t="shared" si="4"/>
        <v/>
      </c>
      <c r="D140" s="8" t="str">
        <f t="shared" si="5"/>
        <v/>
      </c>
      <c r="E140" s="12"/>
      <c r="F140" s="12"/>
      <c r="G140" s="12"/>
      <c r="H140" s="12" t="str">
        <f>IF(A140=0,"",VLOOKUP(B140,Materials!$A$2:$E$1001,6,FALSE))</f>
        <v/>
      </c>
      <c r="I140" s="12"/>
      <c r="J140" s="12"/>
      <c r="K140" s="12"/>
      <c r="L140" s="12"/>
    </row>
    <row r="141" spans="1:12" ht="16" x14ac:dyDescent="0.2">
      <c r="A141" s="8"/>
      <c r="B141" s="8"/>
      <c r="C141" s="8" t="str">
        <f t="shared" si="4"/>
        <v/>
      </c>
      <c r="D141" s="8" t="str">
        <f t="shared" si="5"/>
        <v/>
      </c>
      <c r="E141" s="12"/>
      <c r="F141" s="12"/>
      <c r="G141" s="12"/>
      <c r="H141" s="12" t="str">
        <f>IF(A141=0,"",VLOOKUP(B141,Materials!$A$2:$E$1001,6,FALSE))</f>
        <v/>
      </c>
      <c r="I141" s="12"/>
      <c r="J141" s="12"/>
      <c r="K141" s="12"/>
      <c r="L141" s="12"/>
    </row>
    <row r="142" spans="1:12" ht="16" x14ac:dyDescent="0.2">
      <c r="A142" s="8"/>
      <c r="B142" s="8"/>
      <c r="C142" s="8" t="str">
        <f t="shared" si="4"/>
        <v/>
      </c>
      <c r="D142" s="8" t="str">
        <f t="shared" si="5"/>
        <v/>
      </c>
      <c r="E142" s="12"/>
      <c r="F142" s="12"/>
      <c r="G142" s="12"/>
      <c r="H142" s="12" t="str">
        <f>IF(A142=0,"",VLOOKUP(B142,Materials!$A$2:$E$1001,6,FALSE))</f>
        <v/>
      </c>
      <c r="I142" s="12"/>
      <c r="J142" s="12"/>
      <c r="K142" s="12"/>
      <c r="L142" s="12"/>
    </row>
    <row r="143" spans="1:12" ht="16" x14ac:dyDescent="0.2">
      <c r="A143" s="8"/>
      <c r="B143" s="8"/>
      <c r="C143" s="8" t="str">
        <f t="shared" si="4"/>
        <v/>
      </c>
      <c r="D143" s="8" t="str">
        <f t="shared" si="5"/>
        <v/>
      </c>
      <c r="E143" s="12"/>
      <c r="F143" s="12"/>
      <c r="G143" s="12"/>
      <c r="H143" s="12" t="str">
        <f>IF(A143=0,"",VLOOKUP(B143,Materials!$A$2:$E$1001,6,FALSE))</f>
        <v/>
      </c>
      <c r="I143" s="12"/>
      <c r="J143" s="12"/>
      <c r="K143" s="12"/>
      <c r="L143" s="12"/>
    </row>
    <row r="144" spans="1:12" ht="16" x14ac:dyDescent="0.2">
      <c r="A144" s="8"/>
      <c r="B144" s="8"/>
      <c r="C144" s="8" t="str">
        <f t="shared" si="4"/>
        <v/>
      </c>
      <c r="D144" s="8" t="str">
        <f t="shared" si="5"/>
        <v/>
      </c>
      <c r="E144" s="12"/>
      <c r="F144" s="12"/>
      <c r="G144" s="12"/>
      <c r="H144" s="12" t="str">
        <f>IF(A144=0,"",VLOOKUP(B144,Materials!$A$2:$E$1001,6,FALSE))</f>
        <v/>
      </c>
      <c r="I144" s="12"/>
      <c r="J144" s="12"/>
      <c r="K144" s="12"/>
      <c r="L144" s="12"/>
    </row>
    <row r="145" spans="1:12" ht="16" x14ac:dyDescent="0.2">
      <c r="A145" s="8"/>
      <c r="B145" s="8"/>
      <c r="C145" s="8" t="str">
        <f t="shared" si="4"/>
        <v/>
      </c>
      <c r="D145" s="8" t="str">
        <f t="shared" si="5"/>
        <v/>
      </c>
      <c r="E145" s="12"/>
      <c r="F145" s="12"/>
      <c r="G145" s="12"/>
      <c r="H145" s="12" t="str">
        <f>IF(A145=0,"",VLOOKUP(B145,Materials!$A$2:$E$1001,6,FALSE))</f>
        <v/>
      </c>
      <c r="I145" s="12"/>
      <c r="J145" s="12"/>
      <c r="K145" s="12"/>
      <c r="L145" s="12"/>
    </row>
    <row r="146" spans="1:12" ht="16" x14ac:dyDescent="0.2">
      <c r="A146" s="8"/>
      <c r="B146" s="8"/>
      <c r="C146" s="8" t="str">
        <f t="shared" si="4"/>
        <v/>
      </c>
      <c r="D146" s="8" t="str">
        <f t="shared" si="5"/>
        <v/>
      </c>
      <c r="E146" s="12"/>
      <c r="F146" s="12"/>
      <c r="G146" s="12"/>
      <c r="H146" s="12" t="str">
        <f>IF(A146=0,"",VLOOKUP(B146,Materials!$A$2:$E$1001,6,FALSE))</f>
        <v/>
      </c>
      <c r="I146" s="12"/>
      <c r="J146" s="12"/>
      <c r="K146" s="12"/>
      <c r="L146" s="12"/>
    </row>
    <row r="147" spans="1:12" ht="16" x14ac:dyDescent="0.2">
      <c r="A147" s="8"/>
      <c r="B147" s="8"/>
      <c r="C147" s="8" t="str">
        <f t="shared" si="4"/>
        <v/>
      </c>
      <c r="D147" s="8" t="str">
        <f t="shared" si="5"/>
        <v/>
      </c>
      <c r="E147" s="12"/>
      <c r="F147" s="12"/>
      <c r="G147" s="12"/>
      <c r="H147" s="12" t="str">
        <f>IF(A147=0,"",VLOOKUP(B147,Materials!$A$2:$E$1001,6,FALSE))</f>
        <v/>
      </c>
      <c r="I147" s="12"/>
      <c r="J147" s="12"/>
      <c r="K147" s="12"/>
      <c r="L147" s="12"/>
    </row>
    <row r="148" spans="1:12" ht="16" x14ac:dyDescent="0.2">
      <c r="A148" s="8"/>
      <c r="B148" s="8"/>
      <c r="C148" s="8" t="str">
        <f t="shared" si="4"/>
        <v/>
      </c>
      <c r="D148" s="8" t="str">
        <f t="shared" si="5"/>
        <v/>
      </c>
      <c r="E148" s="12"/>
      <c r="F148" s="12"/>
      <c r="G148" s="12"/>
      <c r="H148" s="12" t="str">
        <f>IF(A148=0,"",VLOOKUP(B148,Materials!$A$2:$E$1001,6,FALSE))</f>
        <v/>
      </c>
      <c r="I148" s="12"/>
      <c r="J148" s="12"/>
      <c r="K148" s="12"/>
      <c r="L148" s="12"/>
    </row>
    <row r="149" spans="1:12" ht="16" x14ac:dyDescent="0.2">
      <c r="A149" s="8"/>
      <c r="B149" s="8"/>
      <c r="C149" s="8" t="str">
        <f t="shared" si="4"/>
        <v/>
      </c>
      <c r="D149" s="8" t="str">
        <f t="shared" si="5"/>
        <v/>
      </c>
      <c r="E149" s="12"/>
      <c r="F149" s="12"/>
      <c r="G149" s="12"/>
      <c r="H149" s="12" t="str">
        <f>IF(A149=0,"",VLOOKUP(B149,Materials!$A$2:$E$1001,6,FALSE))</f>
        <v/>
      </c>
      <c r="I149" s="12"/>
      <c r="J149" s="12"/>
      <c r="K149" s="12"/>
      <c r="L149" s="12"/>
    </row>
    <row r="150" spans="1:12" ht="16" x14ac:dyDescent="0.2">
      <c r="A150" s="8"/>
      <c r="B150" s="8"/>
      <c r="C150" s="8" t="str">
        <f t="shared" si="4"/>
        <v/>
      </c>
      <c r="D150" s="8" t="str">
        <f t="shared" si="5"/>
        <v/>
      </c>
      <c r="E150" s="12"/>
      <c r="F150" s="12"/>
      <c r="G150" s="12"/>
      <c r="H150" s="12" t="str">
        <f>IF(A150=0,"",VLOOKUP(B150,Materials!$A$2:$E$1001,6,FALSE))</f>
        <v/>
      </c>
      <c r="I150" s="12"/>
      <c r="J150" s="12"/>
      <c r="K150" s="12"/>
      <c r="L150" s="12"/>
    </row>
    <row r="151" spans="1:12" ht="16" x14ac:dyDescent="0.2">
      <c r="A151" s="8"/>
      <c r="B151" s="8"/>
      <c r="C151" s="8" t="str">
        <f t="shared" si="4"/>
        <v/>
      </c>
      <c r="D151" s="8" t="str">
        <f t="shared" si="5"/>
        <v/>
      </c>
      <c r="E151" s="12"/>
      <c r="F151" s="12"/>
      <c r="G151" s="12"/>
      <c r="H151" s="12" t="str">
        <f>IF(A151=0,"",VLOOKUP(B151,Materials!$A$2:$E$1001,6,FALSE))</f>
        <v/>
      </c>
      <c r="I151" s="12"/>
      <c r="J151" s="12"/>
      <c r="K151" s="12"/>
      <c r="L151" s="12"/>
    </row>
    <row r="152" spans="1:12" ht="16" x14ac:dyDescent="0.2">
      <c r="A152" s="8"/>
      <c r="B152" s="8"/>
      <c r="C152" s="8" t="str">
        <f t="shared" si="4"/>
        <v/>
      </c>
      <c r="D152" s="8" t="str">
        <f t="shared" si="5"/>
        <v/>
      </c>
      <c r="E152" s="12"/>
      <c r="F152" s="12"/>
      <c r="G152" s="12"/>
      <c r="H152" s="12" t="str">
        <f>IF(A152=0,"",VLOOKUP(B152,Materials!$A$2:$E$1001,6,FALSE))</f>
        <v/>
      </c>
      <c r="I152" s="12"/>
      <c r="J152" s="12"/>
      <c r="K152" s="12"/>
      <c r="L152" s="12"/>
    </row>
    <row r="153" spans="1:12" ht="16" x14ac:dyDescent="0.2">
      <c r="A153" s="8"/>
      <c r="B153" s="8"/>
      <c r="C153" s="8" t="str">
        <f t="shared" si="4"/>
        <v/>
      </c>
      <c r="D153" s="8" t="str">
        <f t="shared" si="5"/>
        <v/>
      </c>
      <c r="E153" s="12"/>
      <c r="F153" s="12"/>
      <c r="G153" s="12"/>
      <c r="H153" s="12" t="str">
        <f>IF(A153=0,"",VLOOKUP(B153,Materials!$A$2:$E$1001,6,FALSE))</f>
        <v/>
      </c>
      <c r="I153" s="12"/>
      <c r="J153" s="12"/>
      <c r="K153" s="12"/>
      <c r="L153" s="12"/>
    </row>
    <row r="154" spans="1:12" ht="16" x14ac:dyDescent="0.2">
      <c r="A154" s="8"/>
      <c r="B154" s="8"/>
      <c r="C154" s="8" t="str">
        <f t="shared" si="4"/>
        <v/>
      </c>
      <c r="D154" s="8" t="str">
        <f t="shared" si="5"/>
        <v/>
      </c>
      <c r="E154" s="12"/>
      <c r="F154" s="12"/>
      <c r="G154" s="12"/>
      <c r="H154" s="12" t="str">
        <f>IF(A154=0,"",VLOOKUP(B154,Materials!$A$2:$E$1001,6,FALSE))</f>
        <v/>
      </c>
      <c r="I154" s="12"/>
      <c r="J154" s="12"/>
      <c r="K154" s="12"/>
      <c r="L154" s="12"/>
    </row>
    <row r="155" spans="1:12" ht="16" x14ac:dyDescent="0.2">
      <c r="A155" s="8"/>
      <c r="B155" s="8"/>
      <c r="C155" s="8" t="str">
        <f t="shared" si="4"/>
        <v/>
      </c>
      <c r="D155" s="8" t="str">
        <f t="shared" si="5"/>
        <v/>
      </c>
      <c r="E155" s="12"/>
      <c r="F155" s="12"/>
      <c r="G155" s="12"/>
      <c r="H155" s="12" t="str">
        <f>IF(A155=0,"",VLOOKUP(B155,Materials!$A$2:$E$1001,6,FALSE))</f>
        <v/>
      </c>
      <c r="I155" s="12"/>
      <c r="J155" s="12"/>
      <c r="K155" s="12"/>
      <c r="L155" s="12"/>
    </row>
    <row r="156" spans="1:12" ht="16" x14ac:dyDescent="0.2">
      <c r="A156" s="8"/>
      <c r="B156" s="8"/>
      <c r="C156" s="8" t="str">
        <f t="shared" si="4"/>
        <v/>
      </c>
      <c r="D156" s="8" t="str">
        <f t="shared" si="5"/>
        <v/>
      </c>
      <c r="E156" s="12"/>
      <c r="F156" s="12"/>
      <c r="G156" s="12"/>
      <c r="H156" s="12" t="str">
        <f>IF(A156=0,"",VLOOKUP(B156,Materials!$A$2:$E$1001,6,FALSE))</f>
        <v/>
      </c>
      <c r="I156" s="12"/>
      <c r="J156" s="12"/>
      <c r="K156" s="12"/>
      <c r="L156" s="12"/>
    </row>
    <row r="157" spans="1:12" ht="16" x14ac:dyDescent="0.2">
      <c r="A157" s="8"/>
      <c r="B157" s="8"/>
      <c r="C157" s="8" t="str">
        <f t="shared" si="4"/>
        <v/>
      </c>
      <c r="D157" s="8" t="str">
        <f t="shared" si="5"/>
        <v/>
      </c>
      <c r="E157" s="12"/>
      <c r="F157" s="12"/>
      <c r="G157" s="12"/>
      <c r="H157" s="12" t="str">
        <f>IF(A157=0,"",VLOOKUP(B157,Materials!$A$2:$E$1001,6,FALSE))</f>
        <v/>
      </c>
      <c r="I157" s="12"/>
      <c r="J157" s="12"/>
      <c r="K157" s="12"/>
      <c r="L157" s="12"/>
    </row>
    <row r="158" spans="1:12" ht="16" x14ac:dyDescent="0.2">
      <c r="A158" s="8"/>
      <c r="B158" s="8"/>
      <c r="C158" s="8" t="str">
        <f t="shared" si="4"/>
        <v/>
      </c>
      <c r="D158" s="8" t="str">
        <f t="shared" si="5"/>
        <v/>
      </c>
      <c r="E158" s="12"/>
      <c r="F158" s="12"/>
      <c r="G158" s="12"/>
      <c r="H158" s="12" t="str">
        <f>IF(A158=0,"",VLOOKUP(B158,Materials!$A$2:$E$1001,6,FALSE))</f>
        <v/>
      </c>
      <c r="I158" s="12"/>
      <c r="J158" s="12"/>
      <c r="K158" s="12"/>
      <c r="L158" s="12"/>
    </row>
    <row r="159" spans="1:12" ht="16" x14ac:dyDescent="0.2">
      <c r="A159" s="8"/>
      <c r="B159" s="8"/>
      <c r="C159" s="8" t="str">
        <f t="shared" si="4"/>
        <v/>
      </c>
      <c r="D159" s="8" t="str">
        <f t="shared" si="5"/>
        <v/>
      </c>
      <c r="E159" s="12"/>
      <c r="F159" s="12"/>
      <c r="G159" s="12"/>
      <c r="H159" s="12" t="str">
        <f>IF(A159=0,"",VLOOKUP(B159,Materials!$A$2:$E$1001,6,FALSE))</f>
        <v/>
      </c>
      <c r="I159" s="12"/>
      <c r="J159" s="12"/>
      <c r="K159" s="12"/>
      <c r="L159" s="12"/>
    </row>
    <row r="160" spans="1:12" ht="16" x14ac:dyDescent="0.2">
      <c r="A160" s="8"/>
      <c r="B160" s="8"/>
      <c r="C160" s="8" t="str">
        <f t="shared" si="4"/>
        <v/>
      </c>
      <c r="D160" s="8" t="str">
        <f t="shared" si="5"/>
        <v/>
      </c>
      <c r="E160" s="12"/>
      <c r="F160" s="12"/>
      <c r="G160" s="12"/>
      <c r="H160" s="12" t="str">
        <f>IF(A160=0,"",VLOOKUP(B160,Materials!$A$2:$E$1001,6,FALSE))</f>
        <v/>
      </c>
      <c r="I160" s="12"/>
      <c r="J160" s="12"/>
      <c r="K160" s="12"/>
      <c r="L160" s="12"/>
    </row>
    <row r="161" spans="1:12" ht="16" x14ac:dyDescent="0.2">
      <c r="A161" s="8"/>
      <c r="B161" s="8"/>
      <c r="C161" s="8" t="str">
        <f t="shared" si="4"/>
        <v/>
      </c>
      <c r="D161" s="8" t="str">
        <f t="shared" si="5"/>
        <v/>
      </c>
      <c r="E161" s="12"/>
      <c r="F161" s="12"/>
      <c r="G161" s="12"/>
      <c r="H161" s="12" t="str">
        <f>IF(A161=0,"",VLOOKUP(B161,Materials!$A$2:$E$1001,6,FALSE))</f>
        <v/>
      </c>
      <c r="I161" s="12"/>
      <c r="J161" s="12"/>
      <c r="K161" s="12"/>
      <c r="L161" s="12"/>
    </row>
    <row r="162" spans="1:12" ht="16" x14ac:dyDescent="0.2">
      <c r="A162" s="8"/>
      <c r="B162" s="8"/>
      <c r="C162" s="8" t="str">
        <f t="shared" si="4"/>
        <v/>
      </c>
      <c r="D162" s="8" t="str">
        <f t="shared" si="5"/>
        <v/>
      </c>
      <c r="E162" s="12"/>
      <c r="F162" s="12"/>
      <c r="G162" s="12"/>
      <c r="H162" s="12" t="str">
        <f>IF(A162=0,"",VLOOKUP(B162,Materials!$A$2:$E$1001,6,FALSE))</f>
        <v/>
      </c>
      <c r="I162" s="12"/>
      <c r="J162" s="12"/>
      <c r="K162" s="12"/>
      <c r="L162" s="12"/>
    </row>
    <row r="163" spans="1:12" ht="16" x14ac:dyDescent="0.2">
      <c r="A163" s="8"/>
      <c r="B163" s="8"/>
      <c r="C163" s="8" t="str">
        <f t="shared" si="4"/>
        <v/>
      </c>
      <c r="D163" s="8" t="str">
        <f t="shared" si="5"/>
        <v/>
      </c>
      <c r="E163" s="12"/>
      <c r="F163" s="12"/>
      <c r="G163" s="12"/>
      <c r="H163" s="12" t="str">
        <f>IF(A163=0,"",VLOOKUP(B163,Materials!$A$2:$E$1001,6,FALSE))</f>
        <v/>
      </c>
      <c r="I163" s="12"/>
      <c r="J163" s="12"/>
      <c r="K163" s="12"/>
      <c r="L163" s="12"/>
    </row>
    <row r="164" spans="1:12" ht="16" x14ac:dyDescent="0.2">
      <c r="A164" s="8"/>
      <c r="B164" s="8"/>
      <c r="C164" s="8" t="str">
        <f t="shared" si="4"/>
        <v/>
      </c>
      <c r="D164" s="8" t="str">
        <f t="shared" si="5"/>
        <v/>
      </c>
      <c r="E164" s="12"/>
      <c r="F164" s="12"/>
      <c r="G164" s="12"/>
      <c r="H164" s="12" t="str">
        <f>IF(A164=0,"",VLOOKUP(B164,Materials!$A$2:$E$1001,6,FALSE))</f>
        <v/>
      </c>
      <c r="I164" s="12"/>
      <c r="J164" s="12"/>
      <c r="K164" s="12"/>
      <c r="L164" s="12"/>
    </row>
    <row r="165" spans="1:12" ht="16" x14ac:dyDescent="0.2">
      <c r="A165" s="8"/>
      <c r="B165" s="8"/>
      <c r="C165" s="8" t="str">
        <f t="shared" si="4"/>
        <v/>
      </c>
      <c r="D165" s="8" t="str">
        <f t="shared" si="5"/>
        <v/>
      </c>
      <c r="E165" s="12"/>
      <c r="F165" s="12"/>
      <c r="G165" s="12"/>
      <c r="H165" s="12" t="str">
        <f>IF(A165=0,"",VLOOKUP(B165,Materials!$A$2:$E$1001,6,FALSE))</f>
        <v/>
      </c>
      <c r="I165" s="12"/>
      <c r="J165" s="12"/>
      <c r="K165" s="12"/>
      <c r="L165" s="12"/>
    </row>
    <row r="166" spans="1:12" ht="16" x14ac:dyDescent="0.2">
      <c r="A166" s="8"/>
      <c r="B166" s="8"/>
      <c r="C166" s="8" t="str">
        <f t="shared" si="4"/>
        <v/>
      </c>
      <c r="D166" s="8" t="str">
        <f t="shared" si="5"/>
        <v/>
      </c>
      <c r="E166" s="12"/>
      <c r="F166" s="12"/>
      <c r="G166" s="12"/>
      <c r="H166" s="12" t="str">
        <f>IF(A166=0,"",VLOOKUP(B166,Materials!$A$2:$E$1001,6,FALSE))</f>
        <v/>
      </c>
      <c r="I166" s="12"/>
      <c r="J166" s="12"/>
      <c r="K166" s="12"/>
      <c r="L166" s="12"/>
    </row>
    <row r="167" spans="1:12" ht="16" x14ac:dyDescent="0.2">
      <c r="A167" s="8"/>
      <c r="B167" s="8"/>
      <c r="C167" s="8" t="str">
        <f t="shared" si="4"/>
        <v/>
      </c>
      <c r="D167" s="8" t="str">
        <f t="shared" si="5"/>
        <v/>
      </c>
      <c r="E167" s="12"/>
      <c r="F167" s="12"/>
      <c r="G167" s="12"/>
      <c r="H167" s="12" t="str">
        <f>IF(A167=0,"",VLOOKUP(B167,Materials!$A$2:$E$1001,6,FALSE))</f>
        <v/>
      </c>
      <c r="I167" s="12"/>
      <c r="J167" s="12"/>
      <c r="K167" s="12"/>
      <c r="L167" s="12"/>
    </row>
    <row r="168" spans="1:12" ht="16" x14ac:dyDescent="0.2">
      <c r="A168" s="8"/>
      <c r="B168" s="8"/>
      <c r="C168" s="8" t="str">
        <f t="shared" si="4"/>
        <v/>
      </c>
      <c r="D168" s="8" t="str">
        <f t="shared" si="5"/>
        <v/>
      </c>
      <c r="E168" s="12"/>
      <c r="F168" s="12"/>
      <c r="G168" s="12"/>
      <c r="H168" s="12" t="str">
        <f>IF(A168=0,"",VLOOKUP(B168,Materials!$A$2:$E$1001,6,FALSE))</f>
        <v/>
      </c>
      <c r="I168" s="12"/>
      <c r="J168" s="12"/>
      <c r="K168" s="12"/>
      <c r="L168" s="12"/>
    </row>
    <row r="169" spans="1:12" ht="16" x14ac:dyDescent="0.2">
      <c r="A169" s="8"/>
      <c r="B169" s="8"/>
      <c r="C169" s="8" t="str">
        <f t="shared" si="4"/>
        <v/>
      </c>
      <c r="D169" s="8" t="str">
        <f t="shared" si="5"/>
        <v/>
      </c>
      <c r="E169" s="12"/>
      <c r="F169" s="12"/>
      <c r="G169" s="12"/>
      <c r="H169" s="12" t="str">
        <f>IF(A169=0,"",VLOOKUP(B169,Materials!$A$2:$E$1001,6,FALSE))</f>
        <v/>
      </c>
      <c r="I169" s="12"/>
      <c r="J169" s="12"/>
      <c r="K169" s="12"/>
      <c r="L169" s="12"/>
    </row>
    <row r="170" spans="1:12" ht="16" x14ac:dyDescent="0.2">
      <c r="A170" s="8"/>
      <c r="B170" s="8"/>
      <c r="C170" s="8" t="str">
        <f t="shared" si="4"/>
        <v/>
      </c>
      <c r="D170" s="8" t="str">
        <f t="shared" si="5"/>
        <v/>
      </c>
      <c r="E170" s="12"/>
      <c r="F170" s="12"/>
      <c r="G170" s="12"/>
      <c r="H170" s="12" t="str">
        <f>IF(A170=0,"",VLOOKUP(B170,Materials!$A$2:$E$1001,6,FALSE))</f>
        <v/>
      </c>
      <c r="I170" s="12"/>
      <c r="J170" s="12"/>
      <c r="K170" s="12"/>
      <c r="L170" s="12"/>
    </row>
    <row r="171" spans="1:12" ht="16" x14ac:dyDescent="0.2">
      <c r="A171" s="8"/>
      <c r="B171" s="8"/>
      <c r="C171" s="8" t="str">
        <f t="shared" si="4"/>
        <v/>
      </c>
      <c r="D171" s="8" t="str">
        <f t="shared" si="5"/>
        <v/>
      </c>
      <c r="E171" s="12"/>
      <c r="F171" s="12"/>
      <c r="G171" s="12"/>
      <c r="H171" s="12" t="str">
        <f>IF(A171=0,"",VLOOKUP(B171,Materials!$A$2:$E$1001,6,FALSE))</f>
        <v/>
      </c>
      <c r="I171" s="12"/>
      <c r="J171" s="12"/>
      <c r="K171" s="12"/>
      <c r="L171" s="12"/>
    </row>
    <row r="172" spans="1:12" ht="16" x14ac:dyDescent="0.2">
      <c r="A172" s="8"/>
      <c r="B172" s="8"/>
      <c r="C172" s="8" t="str">
        <f t="shared" si="4"/>
        <v/>
      </c>
      <c r="D172" s="8" t="str">
        <f t="shared" si="5"/>
        <v/>
      </c>
      <c r="E172" s="12"/>
      <c r="F172" s="12"/>
      <c r="G172" s="12"/>
      <c r="H172" s="12" t="str">
        <f>IF(A172=0,"",VLOOKUP(B172,Materials!$A$2:$E$1001,6,FALSE))</f>
        <v/>
      </c>
      <c r="I172" s="12"/>
      <c r="J172" s="12"/>
      <c r="K172" s="12"/>
      <c r="L172" s="12"/>
    </row>
    <row r="173" spans="1:12" ht="16" x14ac:dyDescent="0.2">
      <c r="A173" s="8"/>
      <c r="B173" s="8"/>
      <c r="C173" s="8" t="str">
        <f t="shared" si="4"/>
        <v/>
      </c>
      <c r="D173" s="8" t="str">
        <f t="shared" si="5"/>
        <v/>
      </c>
      <c r="E173" s="12"/>
      <c r="F173" s="12"/>
      <c r="G173" s="12"/>
      <c r="H173" s="12" t="str">
        <f>IF(A173=0,"",VLOOKUP(B173,Materials!$A$2:$E$1001,6,FALSE))</f>
        <v/>
      </c>
      <c r="I173" s="12"/>
      <c r="J173" s="12"/>
      <c r="K173" s="12"/>
      <c r="L173" s="12"/>
    </row>
    <row r="174" spans="1:12" ht="16" x14ac:dyDescent="0.2">
      <c r="A174" s="8"/>
      <c r="B174" s="8"/>
      <c r="C174" s="8" t="str">
        <f t="shared" si="4"/>
        <v/>
      </c>
      <c r="D174" s="8" t="str">
        <f t="shared" si="5"/>
        <v/>
      </c>
      <c r="E174" s="12"/>
      <c r="F174" s="12"/>
      <c r="G174" s="12"/>
      <c r="H174" s="12" t="str">
        <f>IF(A174=0,"",VLOOKUP(B174,Materials!$A$2:$E$1001,6,FALSE))</f>
        <v/>
      </c>
      <c r="I174" s="12"/>
      <c r="J174" s="12"/>
      <c r="K174" s="12"/>
      <c r="L174" s="12"/>
    </row>
    <row r="175" spans="1:12" ht="16" x14ac:dyDescent="0.2">
      <c r="A175" s="8"/>
      <c r="B175" s="8"/>
      <c r="C175" s="8" t="str">
        <f t="shared" si="4"/>
        <v/>
      </c>
      <c r="D175" s="8" t="str">
        <f t="shared" si="5"/>
        <v/>
      </c>
      <c r="E175" s="12"/>
      <c r="F175" s="12"/>
      <c r="G175" s="12"/>
      <c r="H175" s="12" t="str">
        <f>IF(A175=0,"",VLOOKUP(B175,Materials!$A$2:$E$1001,6,FALSE))</f>
        <v/>
      </c>
      <c r="I175" s="12"/>
      <c r="J175" s="12"/>
      <c r="K175" s="12"/>
      <c r="L175" s="12"/>
    </row>
    <row r="176" spans="1:12" ht="16" x14ac:dyDescent="0.2">
      <c r="A176" s="8"/>
      <c r="B176" s="8"/>
      <c r="C176" s="8" t="str">
        <f t="shared" si="4"/>
        <v/>
      </c>
      <c r="D176" s="8" t="str">
        <f t="shared" si="5"/>
        <v/>
      </c>
      <c r="E176" s="12"/>
      <c r="F176" s="12"/>
      <c r="G176" s="12"/>
      <c r="H176" s="12" t="str">
        <f>IF(A176=0,"",VLOOKUP(B176,Materials!$A$2:$E$1001,6,FALSE))</f>
        <v/>
      </c>
      <c r="I176" s="12"/>
      <c r="J176" s="12"/>
      <c r="K176" s="12"/>
      <c r="L176" s="12"/>
    </row>
    <row r="177" spans="1:12" ht="16" x14ac:dyDescent="0.2">
      <c r="A177" s="8"/>
      <c r="B177" s="8"/>
      <c r="C177" s="8" t="str">
        <f t="shared" si="4"/>
        <v/>
      </c>
      <c r="D177" s="8" t="str">
        <f t="shared" si="5"/>
        <v/>
      </c>
      <c r="E177" s="12"/>
      <c r="F177" s="12"/>
      <c r="G177" s="12"/>
      <c r="H177" s="12" t="str">
        <f>IF(A177=0,"",VLOOKUP(B177,Materials!$A$2:$E$1001,6,FALSE))</f>
        <v/>
      </c>
      <c r="I177" s="12"/>
      <c r="J177" s="12"/>
      <c r="K177" s="12"/>
      <c r="L177" s="12"/>
    </row>
    <row r="178" spans="1:12" ht="16" x14ac:dyDescent="0.2">
      <c r="A178" s="8"/>
      <c r="B178" s="8"/>
      <c r="C178" s="8" t="str">
        <f t="shared" si="4"/>
        <v/>
      </c>
      <c r="D178" s="8" t="str">
        <f t="shared" si="5"/>
        <v/>
      </c>
      <c r="E178" s="12"/>
      <c r="F178" s="12"/>
      <c r="G178" s="12"/>
      <c r="H178" s="12" t="str">
        <f>IF(A178=0,"",VLOOKUP(B178,Materials!$A$2:$E$1001,6,FALSE))</f>
        <v/>
      </c>
      <c r="I178" s="12"/>
      <c r="J178" s="12"/>
      <c r="K178" s="12"/>
      <c r="L178" s="12"/>
    </row>
    <row r="179" spans="1:12" ht="16" x14ac:dyDescent="0.2">
      <c r="A179" s="8"/>
      <c r="B179" s="8"/>
      <c r="C179" s="8" t="str">
        <f t="shared" si="4"/>
        <v/>
      </c>
      <c r="D179" s="8" t="str">
        <f t="shared" si="5"/>
        <v/>
      </c>
      <c r="E179" s="12"/>
      <c r="F179" s="12"/>
      <c r="G179" s="12"/>
      <c r="H179" s="12" t="str">
        <f>IF(A179=0,"",VLOOKUP(B179,Materials!$A$2:$E$1001,6,FALSE))</f>
        <v/>
      </c>
      <c r="I179" s="12"/>
      <c r="J179" s="12"/>
      <c r="K179" s="12"/>
      <c r="L179" s="12"/>
    </row>
    <row r="180" spans="1:12" ht="16" x14ac:dyDescent="0.2">
      <c r="A180" s="8"/>
      <c r="B180" s="8"/>
      <c r="C180" s="8" t="str">
        <f t="shared" si="4"/>
        <v/>
      </c>
      <c r="D180" s="8" t="str">
        <f t="shared" si="5"/>
        <v/>
      </c>
      <c r="E180" s="12"/>
      <c r="F180" s="12"/>
      <c r="G180" s="12"/>
      <c r="H180" s="12" t="str">
        <f>IF(A180=0,"",VLOOKUP(B180,Materials!$A$2:$E$1001,6,FALSE))</f>
        <v/>
      </c>
      <c r="I180" s="12"/>
      <c r="J180" s="12"/>
      <c r="K180" s="12"/>
      <c r="L180" s="12"/>
    </row>
    <row r="181" spans="1:12" ht="16" x14ac:dyDescent="0.2">
      <c r="A181" s="8"/>
      <c r="B181" s="8"/>
      <c r="C181" s="8" t="str">
        <f t="shared" si="4"/>
        <v/>
      </c>
      <c r="D181" s="8" t="str">
        <f t="shared" si="5"/>
        <v/>
      </c>
      <c r="E181" s="12"/>
      <c r="F181" s="12"/>
      <c r="G181" s="12"/>
      <c r="H181" s="12" t="str">
        <f>IF(A181=0,"",VLOOKUP(B181,Materials!$A$2:$E$1001,6,FALSE))</f>
        <v/>
      </c>
      <c r="I181" s="12"/>
      <c r="J181" s="12"/>
      <c r="K181" s="12"/>
      <c r="L181" s="12"/>
    </row>
    <row r="182" spans="1:12" ht="16" x14ac:dyDescent="0.2">
      <c r="A182" s="8"/>
      <c r="B182" s="8"/>
      <c r="C182" s="8" t="str">
        <f t="shared" si="4"/>
        <v/>
      </c>
      <c r="D182" s="8" t="str">
        <f t="shared" si="5"/>
        <v/>
      </c>
      <c r="E182" s="12"/>
      <c r="F182" s="12"/>
      <c r="G182" s="12"/>
      <c r="H182" s="12" t="str">
        <f>IF(A182=0,"",VLOOKUP(B182,Materials!$A$2:$E$1001,6,FALSE))</f>
        <v/>
      </c>
      <c r="I182" s="12"/>
      <c r="J182" s="12"/>
      <c r="K182" s="12"/>
      <c r="L182" s="12"/>
    </row>
    <row r="183" spans="1:12" ht="16" x14ac:dyDescent="0.2">
      <c r="A183" s="8"/>
      <c r="B183" s="8"/>
      <c r="C183" s="8" t="str">
        <f t="shared" si="4"/>
        <v/>
      </c>
      <c r="D183" s="8" t="str">
        <f t="shared" si="5"/>
        <v/>
      </c>
      <c r="E183" s="12"/>
      <c r="F183" s="12"/>
      <c r="G183" s="12"/>
      <c r="H183" s="12" t="str">
        <f>IF(A183=0,"",VLOOKUP(B183,Materials!$A$2:$E$1001,6,FALSE))</f>
        <v/>
      </c>
      <c r="I183" s="12"/>
      <c r="J183" s="12"/>
      <c r="K183" s="12"/>
      <c r="L183" s="12"/>
    </row>
    <row r="184" spans="1:12" ht="16" x14ac:dyDescent="0.2">
      <c r="A184" s="8"/>
      <c r="B184" s="8"/>
      <c r="C184" s="8" t="str">
        <f t="shared" si="4"/>
        <v/>
      </c>
      <c r="D184" s="8" t="str">
        <f t="shared" si="5"/>
        <v/>
      </c>
      <c r="E184" s="12"/>
      <c r="F184" s="12"/>
      <c r="G184" s="12"/>
      <c r="H184" s="12" t="str">
        <f>IF(A184=0,"",VLOOKUP(B184,Materials!$A$2:$E$1001,6,FALSE))</f>
        <v/>
      </c>
      <c r="I184" s="12"/>
      <c r="J184" s="12"/>
      <c r="K184" s="12"/>
      <c r="L184" s="12"/>
    </row>
    <row r="185" spans="1:12" ht="16" x14ac:dyDescent="0.2">
      <c r="A185" s="8"/>
      <c r="B185" s="8"/>
      <c r="C185" s="8" t="str">
        <f t="shared" si="4"/>
        <v/>
      </c>
      <c r="D185" s="8" t="str">
        <f t="shared" si="5"/>
        <v/>
      </c>
      <c r="E185" s="12"/>
      <c r="F185" s="12"/>
      <c r="G185" s="12"/>
      <c r="H185" s="12" t="str">
        <f>IF(A185=0,"",VLOOKUP(B185,Materials!$A$2:$E$1001,6,FALSE))</f>
        <v/>
      </c>
      <c r="I185" s="12"/>
      <c r="J185" s="12"/>
      <c r="K185" s="12"/>
      <c r="L185" s="12"/>
    </row>
    <row r="186" spans="1:12" ht="16" x14ac:dyDescent="0.2">
      <c r="A186" s="8"/>
      <c r="B186" s="8"/>
      <c r="C186" s="8" t="str">
        <f t="shared" si="4"/>
        <v/>
      </c>
      <c r="D186" s="8" t="str">
        <f t="shared" si="5"/>
        <v/>
      </c>
      <c r="E186" s="12"/>
      <c r="F186" s="12"/>
      <c r="G186" s="12"/>
      <c r="H186" s="12" t="str">
        <f>IF(A186=0,"",VLOOKUP(B186,Materials!$A$2:$E$1001,6,FALSE))</f>
        <v/>
      </c>
      <c r="I186" s="12"/>
      <c r="J186" s="12"/>
      <c r="K186" s="12"/>
      <c r="L186" s="12"/>
    </row>
    <row r="187" spans="1:12" ht="16" x14ac:dyDescent="0.2">
      <c r="A187" s="8"/>
      <c r="B187" s="8"/>
      <c r="C187" s="8" t="str">
        <f t="shared" si="4"/>
        <v/>
      </c>
      <c r="D187" s="8" t="str">
        <f t="shared" si="5"/>
        <v/>
      </c>
      <c r="E187" s="12"/>
      <c r="F187" s="12"/>
      <c r="G187" s="12"/>
      <c r="H187" s="12" t="str">
        <f>IF(A187=0,"",VLOOKUP(B187,Materials!$A$2:$E$1001,6,FALSE))</f>
        <v/>
      </c>
      <c r="I187" s="12"/>
      <c r="J187" s="12"/>
      <c r="K187" s="12"/>
      <c r="L187" s="12"/>
    </row>
    <row r="188" spans="1:12" ht="16" x14ac:dyDescent="0.2">
      <c r="A188" s="8"/>
      <c r="B188" s="8"/>
      <c r="C188" s="8" t="str">
        <f t="shared" si="4"/>
        <v/>
      </c>
      <c r="D188" s="8" t="str">
        <f t="shared" si="5"/>
        <v/>
      </c>
      <c r="E188" s="12"/>
      <c r="F188" s="12"/>
      <c r="G188" s="12"/>
      <c r="H188" s="12" t="str">
        <f>IF(A188=0,"",VLOOKUP(B188,Materials!$A$2:$E$1001,6,FALSE))</f>
        <v/>
      </c>
      <c r="I188" s="12"/>
      <c r="J188" s="12"/>
      <c r="K188" s="12"/>
      <c r="L188" s="12"/>
    </row>
    <row r="189" spans="1:12" ht="16" x14ac:dyDescent="0.2">
      <c r="A189" s="8"/>
      <c r="B189" s="8"/>
      <c r="C189" s="8" t="str">
        <f t="shared" si="4"/>
        <v/>
      </c>
      <c r="D189" s="8" t="str">
        <f t="shared" si="5"/>
        <v/>
      </c>
      <c r="E189" s="12"/>
      <c r="F189" s="12"/>
      <c r="G189" s="12"/>
      <c r="H189" s="12" t="str">
        <f>IF(A189=0,"",VLOOKUP(B189,Materials!$A$2:$E$1001,6,FALSE))</f>
        <v/>
      </c>
      <c r="I189" s="12"/>
      <c r="J189" s="12"/>
      <c r="K189" s="12"/>
      <c r="L189" s="12"/>
    </row>
    <row r="190" spans="1:12" ht="16" x14ac:dyDescent="0.2">
      <c r="A190" s="8"/>
      <c r="B190" s="8"/>
      <c r="C190" s="8" t="str">
        <f t="shared" si="4"/>
        <v/>
      </c>
      <c r="D190" s="8" t="str">
        <f t="shared" si="5"/>
        <v/>
      </c>
      <c r="E190" s="12"/>
      <c r="F190" s="12"/>
      <c r="G190" s="12"/>
      <c r="H190" s="12" t="str">
        <f>IF(A190=0,"",VLOOKUP(B190,Materials!$A$2:$E$1001,6,FALSE))</f>
        <v/>
      </c>
      <c r="I190" s="12"/>
      <c r="J190" s="12"/>
      <c r="K190" s="12"/>
      <c r="L190" s="12"/>
    </row>
    <row r="191" spans="1:12" ht="16" x14ac:dyDescent="0.2">
      <c r="A191" s="8"/>
      <c r="B191" s="8"/>
      <c r="C191" s="8" t="str">
        <f t="shared" si="4"/>
        <v/>
      </c>
      <c r="D191" s="8" t="str">
        <f t="shared" si="5"/>
        <v/>
      </c>
      <c r="E191" s="12"/>
      <c r="F191" s="12"/>
      <c r="G191" s="12"/>
      <c r="H191" s="12" t="str">
        <f>IF(A191=0,"",VLOOKUP(B191,Materials!$A$2:$E$1001,6,FALSE))</f>
        <v/>
      </c>
      <c r="I191" s="12"/>
      <c r="J191" s="12"/>
      <c r="K191" s="12"/>
      <c r="L191" s="12"/>
    </row>
    <row r="192" spans="1:12" ht="16" x14ac:dyDescent="0.2">
      <c r="A192" s="8"/>
      <c r="B192" s="8"/>
      <c r="C192" s="8" t="str">
        <f t="shared" si="4"/>
        <v/>
      </c>
      <c r="D192" s="8" t="str">
        <f t="shared" si="5"/>
        <v/>
      </c>
      <c r="E192" s="12"/>
      <c r="F192" s="12"/>
      <c r="G192" s="12"/>
      <c r="H192" s="12" t="str">
        <f>IF(A192=0,"",VLOOKUP(B192,Materials!$A$2:$E$1001,6,FALSE))</f>
        <v/>
      </c>
      <c r="I192" s="12"/>
      <c r="J192" s="12"/>
      <c r="K192" s="12"/>
      <c r="L192" s="12"/>
    </row>
    <row r="193" spans="1:12" ht="16" x14ac:dyDescent="0.2">
      <c r="A193" s="8"/>
      <c r="B193" s="8"/>
      <c r="C193" s="8" t="str">
        <f t="shared" si="4"/>
        <v/>
      </c>
      <c r="D193" s="8" t="str">
        <f t="shared" si="5"/>
        <v/>
      </c>
      <c r="E193" s="12"/>
      <c r="F193" s="12"/>
      <c r="G193" s="12"/>
      <c r="H193" s="12" t="str">
        <f>IF(A193=0,"",VLOOKUP(B193,Materials!$A$2:$E$1001,6,FALSE))</f>
        <v/>
      </c>
      <c r="I193" s="12"/>
      <c r="J193" s="12"/>
      <c r="K193" s="12"/>
      <c r="L193" s="12"/>
    </row>
    <row r="194" spans="1:12" ht="16" x14ac:dyDescent="0.2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2"/>
      <c r="F194" s="12"/>
      <c r="G194" s="12"/>
      <c r="H194" s="12" t="str">
        <f>IF(A194=0,"",VLOOKUP(B194,Materials!$A$2:$E$1001,6,FALSE))</f>
        <v/>
      </c>
      <c r="I194" s="12"/>
      <c r="J194" s="12"/>
      <c r="K194" s="12"/>
      <c r="L194" s="12"/>
    </row>
    <row r="195" spans="1:12" ht="16" x14ac:dyDescent="0.2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2"/>
      <c r="F195" s="12"/>
      <c r="G195" s="12"/>
      <c r="H195" s="12" t="str">
        <f>IF(A195=0,"",VLOOKUP(B195,Materials!$A$2:$E$1001,6,FALSE))</f>
        <v/>
      </c>
      <c r="I195" s="12"/>
      <c r="J195" s="12"/>
      <c r="K195" s="12"/>
      <c r="L195" s="12"/>
    </row>
    <row r="196" spans="1:12" ht="16" x14ac:dyDescent="0.2">
      <c r="A196" s="8"/>
      <c r="B196" s="8"/>
      <c r="C196" s="8" t="str">
        <f t="shared" si="6"/>
        <v/>
      </c>
      <c r="D196" s="8" t="str">
        <f t="shared" si="7"/>
        <v/>
      </c>
      <c r="E196" s="12"/>
      <c r="F196" s="12"/>
      <c r="G196" s="12"/>
      <c r="H196" s="12" t="str">
        <f>IF(A196=0,"",VLOOKUP(B196,Materials!$A$2:$E$1001,6,FALSE))</f>
        <v/>
      </c>
      <c r="I196" s="12"/>
      <c r="J196" s="12"/>
      <c r="K196" s="12"/>
      <c r="L196" s="12"/>
    </row>
    <row r="197" spans="1:12" ht="16" x14ac:dyDescent="0.2">
      <c r="A197" s="8"/>
      <c r="B197" s="8"/>
      <c r="C197" s="8" t="str">
        <f t="shared" si="6"/>
        <v/>
      </c>
      <c r="D197" s="8" t="str">
        <f t="shared" si="7"/>
        <v/>
      </c>
      <c r="E197" s="12"/>
      <c r="F197" s="12"/>
      <c r="G197" s="12"/>
      <c r="H197" s="12" t="str">
        <f>IF(A197=0,"",VLOOKUP(B197,Materials!$A$2:$E$1001,6,FALSE))</f>
        <v/>
      </c>
      <c r="I197" s="12"/>
      <c r="J197" s="12"/>
      <c r="K197" s="12"/>
      <c r="L197" s="12"/>
    </row>
    <row r="198" spans="1:12" ht="16" x14ac:dyDescent="0.2">
      <c r="A198" s="8"/>
      <c r="B198" s="8"/>
      <c r="C198" s="8" t="str">
        <f t="shared" si="6"/>
        <v/>
      </c>
      <c r="D198" s="8" t="str">
        <f t="shared" si="7"/>
        <v/>
      </c>
      <c r="E198" s="12"/>
      <c r="F198" s="12"/>
      <c r="G198" s="12"/>
      <c r="H198" s="12" t="str">
        <f>IF(A198=0,"",VLOOKUP(B198,Materials!$A$2:$E$1001,6,FALSE))</f>
        <v/>
      </c>
      <c r="I198" s="12"/>
      <c r="J198" s="12"/>
      <c r="K198" s="12"/>
      <c r="L198" s="12"/>
    </row>
    <row r="199" spans="1:12" ht="16" x14ac:dyDescent="0.2">
      <c r="A199" s="8"/>
      <c r="B199" s="8"/>
      <c r="C199" s="8" t="str">
        <f t="shared" si="6"/>
        <v/>
      </c>
      <c r="D199" s="8" t="str">
        <f t="shared" si="7"/>
        <v/>
      </c>
      <c r="E199" s="12"/>
      <c r="F199" s="12"/>
      <c r="G199" s="12"/>
      <c r="H199" s="12" t="str">
        <f>IF(A199=0,"",VLOOKUP(B199,Materials!$A$2:$E$1001,6,FALSE))</f>
        <v/>
      </c>
      <c r="I199" s="12"/>
      <c r="J199" s="12"/>
      <c r="K199" s="12"/>
      <c r="L199" s="12"/>
    </row>
    <row r="200" spans="1:12" ht="16" x14ac:dyDescent="0.2">
      <c r="A200" s="8"/>
      <c r="B200" s="8"/>
      <c r="C200" s="8" t="str">
        <f t="shared" si="6"/>
        <v/>
      </c>
      <c r="D200" s="8" t="str">
        <f t="shared" si="7"/>
        <v/>
      </c>
      <c r="E200" s="12"/>
      <c r="F200" s="12"/>
      <c r="G200" s="12"/>
      <c r="H200" s="12" t="str">
        <f>IF(A200=0,"",VLOOKUP(B200,Materials!$A$2:$E$1001,6,FALSE))</f>
        <v/>
      </c>
      <c r="I200" s="12"/>
      <c r="J200" s="12"/>
      <c r="K200" s="12"/>
      <c r="L200" s="12"/>
    </row>
    <row r="201" spans="1:12" ht="16" x14ac:dyDescent="0.2">
      <c r="A201" s="8"/>
      <c r="B201" s="8"/>
      <c r="C201" s="8" t="str">
        <f t="shared" si="6"/>
        <v/>
      </c>
      <c r="D201" s="8" t="str">
        <f t="shared" si="7"/>
        <v/>
      </c>
      <c r="E201" s="12"/>
      <c r="F201" s="12"/>
      <c r="G201" s="12"/>
      <c r="H201" s="12" t="str">
        <f>IF(A201=0,"",VLOOKUP(B201,Materials!$A$2:$E$1001,6,FALSE))</f>
        <v/>
      </c>
      <c r="I201" s="12"/>
      <c r="J201" s="12"/>
      <c r="K201" s="12"/>
      <c r="L201" s="12"/>
    </row>
    <row r="202" spans="1:12" ht="16" x14ac:dyDescent="0.2">
      <c r="A202" s="8"/>
      <c r="B202" s="8"/>
      <c r="C202" s="8" t="str">
        <f t="shared" si="6"/>
        <v/>
      </c>
      <c r="D202" s="8" t="str">
        <f t="shared" si="7"/>
        <v/>
      </c>
      <c r="E202" s="12"/>
      <c r="F202" s="12"/>
      <c r="G202" s="12"/>
      <c r="H202" s="12" t="str">
        <f>IF(A202=0,"",VLOOKUP(B202,Materials!$A$2:$E$1001,6,FALSE))</f>
        <v/>
      </c>
      <c r="I202" s="12"/>
      <c r="J202" s="12"/>
      <c r="K202" s="12"/>
      <c r="L202" s="12"/>
    </row>
    <row r="203" spans="1:12" ht="16" x14ac:dyDescent="0.2">
      <c r="A203" s="8"/>
      <c r="B203" s="8"/>
      <c r="C203" s="8" t="str">
        <f t="shared" si="6"/>
        <v/>
      </c>
      <c r="D203" s="8" t="str">
        <f t="shared" si="7"/>
        <v/>
      </c>
      <c r="E203" s="12"/>
      <c r="F203" s="12"/>
      <c r="G203" s="12"/>
      <c r="H203" s="12" t="str">
        <f>IF(A203=0,"",VLOOKUP(B203,Materials!$A$2:$E$1001,6,FALSE))</f>
        <v/>
      </c>
      <c r="I203" s="12"/>
      <c r="J203" s="12"/>
      <c r="K203" s="12"/>
      <c r="L203" s="12"/>
    </row>
    <row r="204" spans="1:12" ht="16" x14ac:dyDescent="0.2">
      <c r="A204" s="8"/>
      <c r="B204" s="8"/>
      <c r="C204" s="8" t="str">
        <f t="shared" si="6"/>
        <v/>
      </c>
      <c r="D204" s="8" t="str">
        <f t="shared" si="7"/>
        <v/>
      </c>
      <c r="E204" s="12"/>
      <c r="F204" s="12"/>
      <c r="G204" s="12"/>
      <c r="H204" s="12" t="str">
        <f>IF(A204=0,"",VLOOKUP(B204,Materials!$A$2:$E$1001,6,FALSE))</f>
        <v/>
      </c>
      <c r="I204" s="12"/>
      <c r="J204" s="12"/>
      <c r="K204" s="12"/>
      <c r="L204" s="12"/>
    </row>
    <row r="205" spans="1:12" ht="16" x14ac:dyDescent="0.2">
      <c r="A205" s="8"/>
      <c r="B205" s="8"/>
      <c r="C205" s="8" t="str">
        <f t="shared" si="6"/>
        <v/>
      </c>
      <c r="D205" s="8" t="str">
        <f t="shared" si="7"/>
        <v/>
      </c>
      <c r="E205" s="12"/>
      <c r="F205" s="12"/>
      <c r="G205" s="12"/>
      <c r="H205" s="12" t="str">
        <f>IF(A205=0,"",VLOOKUP(B205,Materials!$A$2:$E$1001,6,FALSE))</f>
        <v/>
      </c>
      <c r="I205" s="12"/>
      <c r="J205" s="12"/>
      <c r="K205" s="12"/>
      <c r="L205" s="12"/>
    </row>
    <row r="206" spans="1:12" ht="16" x14ac:dyDescent="0.2">
      <c r="A206" s="8"/>
      <c r="B206" s="8"/>
      <c r="C206" s="8" t="str">
        <f t="shared" si="6"/>
        <v/>
      </c>
      <c r="D206" s="8" t="str">
        <f t="shared" si="7"/>
        <v/>
      </c>
      <c r="E206" s="12"/>
      <c r="F206" s="12"/>
      <c r="G206" s="12"/>
      <c r="H206" s="12" t="str">
        <f>IF(A206=0,"",VLOOKUP(B206,Materials!$A$2:$E$1001,6,FALSE))</f>
        <v/>
      </c>
      <c r="I206" s="12"/>
      <c r="J206" s="12"/>
      <c r="K206" s="12"/>
      <c r="L206" s="12"/>
    </row>
    <row r="207" spans="1:12" ht="16" x14ac:dyDescent="0.2">
      <c r="A207" s="8"/>
      <c r="B207" s="8"/>
      <c r="C207" s="8" t="str">
        <f t="shared" si="6"/>
        <v/>
      </c>
      <c r="D207" s="8" t="str">
        <f t="shared" si="7"/>
        <v/>
      </c>
      <c r="E207" s="12"/>
      <c r="F207" s="12"/>
      <c r="G207" s="12"/>
      <c r="H207" s="12" t="str">
        <f>IF(A207=0,"",VLOOKUP(B207,Materials!$A$2:$E$1001,6,FALSE))</f>
        <v/>
      </c>
      <c r="I207" s="12"/>
      <c r="J207" s="12"/>
      <c r="K207" s="12"/>
      <c r="L207" s="12"/>
    </row>
    <row r="208" spans="1:12" ht="16" x14ac:dyDescent="0.2">
      <c r="A208" s="8"/>
      <c r="B208" s="8"/>
      <c r="C208" s="8" t="str">
        <f t="shared" si="6"/>
        <v/>
      </c>
      <c r="D208" s="8" t="str">
        <f t="shared" si="7"/>
        <v/>
      </c>
      <c r="E208" s="12"/>
      <c r="F208" s="12"/>
      <c r="G208" s="12"/>
      <c r="H208" s="12" t="str">
        <f>IF(A208=0,"",VLOOKUP(B208,Materials!$A$2:$E$1001,6,FALSE))</f>
        <v/>
      </c>
      <c r="I208" s="12"/>
      <c r="J208" s="12"/>
      <c r="K208" s="12"/>
      <c r="L208" s="12"/>
    </row>
    <row r="209" spans="1:12" ht="16" x14ac:dyDescent="0.2">
      <c r="A209" s="8"/>
      <c r="B209" s="8"/>
      <c r="C209" s="8" t="str">
        <f t="shared" si="6"/>
        <v/>
      </c>
      <c r="D209" s="8" t="str">
        <f t="shared" si="7"/>
        <v/>
      </c>
      <c r="E209" s="12"/>
      <c r="F209" s="12"/>
      <c r="G209" s="12"/>
      <c r="H209" s="12" t="str">
        <f>IF(A209=0,"",VLOOKUP(B209,Materials!$A$2:$E$1001,6,FALSE))</f>
        <v/>
      </c>
      <c r="I209" s="12"/>
      <c r="J209" s="12"/>
      <c r="K209" s="12"/>
      <c r="L209" s="12"/>
    </row>
    <row r="210" spans="1:12" ht="16" x14ac:dyDescent="0.2">
      <c r="A210" s="8"/>
      <c r="B210" s="8"/>
      <c r="C210" s="8" t="str">
        <f t="shared" si="6"/>
        <v/>
      </c>
      <c r="D210" s="8" t="str">
        <f t="shared" si="7"/>
        <v/>
      </c>
      <c r="E210" s="12"/>
      <c r="F210" s="12"/>
      <c r="G210" s="12"/>
      <c r="H210" s="12" t="str">
        <f>IF(A210=0,"",VLOOKUP(B210,Materials!$A$2:$E$1001,6,FALSE))</f>
        <v/>
      </c>
      <c r="I210" s="12"/>
      <c r="J210" s="12"/>
      <c r="K210" s="12"/>
      <c r="L210" s="12"/>
    </row>
    <row r="211" spans="1:12" ht="16" x14ac:dyDescent="0.2">
      <c r="A211" s="8"/>
      <c r="B211" s="8"/>
      <c r="C211" s="8" t="str">
        <f t="shared" si="6"/>
        <v/>
      </c>
      <c r="D211" s="8" t="str">
        <f t="shared" si="7"/>
        <v/>
      </c>
      <c r="E211" s="12"/>
      <c r="F211" s="12"/>
      <c r="G211" s="12"/>
      <c r="H211" s="12" t="str">
        <f>IF(A211=0,"",VLOOKUP(B211,Materials!$A$2:$E$1001,6,FALSE))</f>
        <v/>
      </c>
      <c r="I211" s="12"/>
      <c r="J211" s="12"/>
      <c r="K211" s="12"/>
      <c r="L211" s="12"/>
    </row>
    <row r="212" spans="1:12" ht="16" x14ac:dyDescent="0.2">
      <c r="A212" s="8"/>
      <c r="B212" s="8"/>
      <c r="C212" s="8" t="str">
        <f t="shared" si="6"/>
        <v/>
      </c>
      <c r="D212" s="8" t="str">
        <f t="shared" si="7"/>
        <v/>
      </c>
      <c r="E212" s="12"/>
      <c r="F212" s="12"/>
      <c r="G212" s="12"/>
      <c r="H212" s="12" t="str">
        <f>IF(A212=0,"",VLOOKUP(B212,Materials!$A$2:$E$1001,6,FALSE))</f>
        <v/>
      </c>
      <c r="I212" s="12"/>
      <c r="J212" s="12"/>
      <c r="K212" s="12"/>
      <c r="L212" s="12"/>
    </row>
    <row r="213" spans="1:12" ht="16" x14ac:dyDescent="0.2">
      <c r="A213" s="8"/>
      <c r="B213" s="8"/>
      <c r="C213" s="8" t="str">
        <f t="shared" si="6"/>
        <v/>
      </c>
      <c r="D213" s="8" t="str">
        <f t="shared" si="7"/>
        <v/>
      </c>
      <c r="E213" s="12"/>
      <c r="F213" s="12"/>
      <c r="G213" s="12"/>
      <c r="H213" s="12" t="str">
        <f>IF(A213=0,"",VLOOKUP(B213,Materials!$A$2:$E$1001,6,FALSE))</f>
        <v/>
      </c>
      <c r="I213" s="12"/>
      <c r="J213" s="12"/>
      <c r="K213" s="12"/>
      <c r="L213" s="12"/>
    </row>
    <row r="214" spans="1:12" ht="16" x14ac:dyDescent="0.2">
      <c r="A214" s="8"/>
      <c r="B214" s="8"/>
      <c r="C214" s="8" t="str">
        <f t="shared" si="6"/>
        <v/>
      </c>
      <c r="D214" s="8" t="str">
        <f t="shared" si="7"/>
        <v/>
      </c>
      <c r="E214" s="12"/>
      <c r="F214" s="12"/>
      <c r="G214" s="12"/>
      <c r="H214" s="12" t="str">
        <f>IF(A214=0,"",VLOOKUP(B214,Materials!$A$2:$E$1001,6,FALSE))</f>
        <v/>
      </c>
      <c r="I214" s="12"/>
      <c r="J214" s="12"/>
      <c r="K214" s="12"/>
      <c r="L214" s="12"/>
    </row>
    <row r="215" spans="1:12" ht="16" x14ac:dyDescent="0.2">
      <c r="A215" s="8"/>
      <c r="B215" s="8"/>
      <c r="C215" s="8" t="str">
        <f t="shared" si="6"/>
        <v/>
      </c>
      <c r="D215" s="8" t="str">
        <f t="shared" si="7"/>
        <v/>
      </c>
      <c r="E215" s="12"/>
      <c r="F215" s="12"/>
      <c r="G215" s="12"/>
      <c r="H215" s="12" t="str">
        <f>IF(A215=0,"",VLOOKUP(B215,Materials!$A$2:$E$1001,6,FALSE))</f>
        <v/>
      </c>
      <c r="I215" s="12"/>
      <c r="J215" s="12"/>
      <c r="K215" s="12"/>
      <c r="L215" s="12"/>
    </row>
    <row r="216" spans="1:12" ht="16" x14ac:dyDescent="0.2">
      <c r="A216" s="8"/>
      <c r="B216" s="8"/>
      <c r="C216" s="8" t="str">
        <f t="shared" si="6"/>
        <v/>
      </c>
      <c r="D216" s="8" t="str">
        <f t="shared" si="7"/>
        <v/>
      </c>
      <c r="E216" s="12"/>
      <c r="F216" s="12"/>
      <c r="G216" s="12"/>
      <c r="H216" s="12" t="str">
        <f>IF(A216=0,"",VLOOKUP(B216,Materials!$A$2:$E$1001,6,FALSE))</f>
        <v/>
      </c>
      <c r="I216" s="12"/>
      <c r="J216" s="12"/>
      <c r="K216" s="12"/>
      <c r="L216" s="12"/>
    </row>
    <row r="217" spans="1:12" ht="16" x14ac:dyDescent="0.2">
      <c r="A217" s="8"/>
      <c r="B217" s="8"/>
      <c r="C217" s="8" t="str">
        <f t="shared" si="6"/>
        <v/>
      </c>
      <c r="D217" s="8" t="str">
        <f t="shared" si="7"/>
        <v/>
      </c>
      <c r="E217" s="12"/>
      <c r="F217" s="12"/>
      <c r="G217" s="12"/>
      <c r="H217" s="12" t="str">
        <f>IF(A217=0,"",VLOOKUP(B217,Materials!$A$2:$E$1001,6,FALSE))</f>
        <v/>
      </c>
      <c r="I217" s="12"/>
      <c r="J217" s="12"/>
      <c r="K217" s="12"/>
      <c r="L217" s="12"/>
    </row>
    <row r="218" spans="1:12" ht="16" x14ac:dyDescent="0.2">
      <c r="A218" s="8"/>
      <c r="B218" s="8"/>
      <c r="C218" s="8" t="str">
        <f t="shared" si="6"/>
        <v/>
      </c>
      <c r="D218" s="8" t="str">
        <f t="shared" si="7"/>
        <v/>
      </c>
      <c r="E218" s="12"/>
      <c r="F218" s="12"/>
      <c r="G218" s="12"/>
      <c r="H218" s="12" t="str">
        <f>IF(A218=0,"",VLOOKUP(B218,Materials!$A$2:$E$1001,6,FALSE))</f>
        <v/>
      </c>
      <c r="I218" s="12"/>
      <c r="J218" s="12"/>
      <c r="K218" s="12"/>
      <c r="L218" s="12"/>
    </row>
    <row r="219" spans="1:12" ht="16" x14ac:dyDescent="0.2">
      <c r="A219" s="8"/>
      <c r="B219" s="8"/>
      <c r="C219" s="8" t="str">
        <f t="shared" si="6"/>
        <v/>
      </c>
      <c r="D219" s="8" t="str">
        <f t="shared" si="7"/>
        <v/>
      </c>
      <c r="E219" s="12"/>
      <c r="F219" s="12"/>
      <c r="G219" s="12"/>
      <c r="H219" s="12" t="str">
        <f>IF(A219=0,"",VLOOKUP(B219,Materials!$A$2:$E$1001,6,FALSE))</f>
        <v/>
      </c>
      <c r="I219" s="12"/>
      <c r="J219" s="12"/>
      <c r="K219" s="12"/>
      <c r="L219" s="12"/>
    </row>
    <row r="220" spans="1:12" ht="16" x14ac:dyDescent="0.2">
      <c r="A220" s="8"/>
      <c r="B220" s="8"/>
      <c r="C220" s="8" t="str">
        <f t="shared" si="6"/>
        <v/>
      </c>
      <c r="D220" s="8" t="str">
        <f t="shared" si="7"/>
        <v/>
      </c>
      <c r="E220" s="12"/>
      <c r="F220" s="12"/>
      <c r="G220" s="12"/>
      <c r="H220" s="12" t="str">
        <f>IF(A220=0,"",VLOOKUP(B220,Materials!$A$2:$E$1001,6,FALSE))</f>
        <v/>
      </c>
      <c r="I220" s="12"/>
      <c r="J220" s="12"/>
      <c r="K220" s="12"/>
      <c r="L220" s="12"/>
    </row>
    <row r="221" spans="1:12" ht="16" x14ac:dyDescent="0.2">
      <c r="A221" s="8"/>
      <c r="B221" s="8"/>
      <c r="C221" s="8" t="str">
        <f t="shared" si="6"/>
        <v/>
      </c>
      <c r="D221" s="8" t="str">
        <f t="shared" si="7"/>
        <v/>
      </c>
      <c r="E221" s="12"/>
      <c r="F221" s="12"/>
      <c r="G221" s="12"/>
      <c r="H221" s="12" t="str">
        <f>IF(A221=0,"",VLOOKUP(B221,Materials!$A$2:$E$1001,6,FALSE))</f>
        <v/>
      </c>
      <c r="I221" s="12"/>
      <c r="J221" s="12"/>
      <c r="K221" s="12"/>
      <c r="L221" s="12"/>
    </row>
    <row r="222" spans="1:12" ht="16" x14ac:dyDescent="0.2">
      <c r="A222" s="8"/>
      <c r="B222" s="8"/>
      <c r="C222" s="8" t="str">
        <f t="shared" si="6"/>
        <v/>
      </c>
      <c r="D222" s="8" t="str">
        <f t="shared" si="7"/>
        <v/>
      </c>
      <c r="E222" s="12"/>
      <c r="F222" s="12"/>
      <c r="G222" s="12"/>
      <c r="H222" s="12" t="str">
        <f>IF(A222=0,"",VLOOKUP(B222,Materials!$A$2:$E$1001,6,FALSE))</f>
        <v/>
      </c>
      <c r="I222" s="12"/>
      <c r="J222" s="12"/>
      <c r="K222" s="12"/>
      <c r="L222" s="12"/>
    </row>
    <row r="223" spans="1:12" ht="16" x14ac:dyDescent="0.2">
      <c r="A223" s="8"/>
      <c r="B223" s="8"/>
      <c r="C223" s="8" t="str">
        <f t="shared" si="6"/>
        <v/>
      </c>
      <c r="D223" s="8" t="str">
        <f t="shared" si="7"/>
        <v/>
      </c>
      <c r="E223" s="12"/>
      <c r="F223" s="12"/>
      <c r="G223" s="12"/>
      <c r="H223" s="12" t="str">
        <f>IF(A223=0,"",VLOOKUP(B223,Materials!$A$2:$E$1001,6,FALSE))</f>
        <v/>
      </c>
      <c r="I223" s="12"/>
      <c r="J223" s="12"/>
      <c r="K223" s="12"/>
      <c r="L223" s="12"/>
    </row>
    <row r="224" spans="1:12" ht="16" x14ac:dyDescent="0.2">
      <c r="A224" s="8"/>
      <c r="B224" s="8"/>
      <c r="C224" s="8" t="str">
        <f t="shared" si="6"/>
        <v/>
      </c>
      <c r="D224" s="8" t="str">
        <f t="shared" si="7"/>
        <v/>
      </c>
      <c r="E224" s="12"/>
      <c r="F224" s="12"/>
      <c r="G224" s="12"/>
      <c r="H224" s="12" t="str">
        <f>IF(A224=0,"",VLOOKUP(B224,Materials!$A$2:$E$1001,6,FALSE))</f>
        <v/>
      </c>
      <c r="I224" s="12"/>
      <c r="J224" s="12"/>
      <c r="K224" s="12"/>
      <c r="L224" s="12"/>
    </row>
    <row r="225" spans="1:12" ht="16" x14ac:dyDescent="0.2">
      <c r="A225" s="8"/>
      <c r="B225" s="8"/>
      <c r="C225" s="8" t="str">
        <f t="shared" si="6"/>
        <v/>
      </c>
      <c r="D225" s="8" t="str">
        <f t="shared" si="7"/>
        <v/>
      </c>
      <c r="E225" s="12"/>
      <c r="F225" s="12"/>
      <c r="G225" s="12"/>
      <c r="H225" s="12" t="str">
        <f>IF(A225=0,"",VLOOKUP(B225,Materials!$A$2:$E$1001,6,FALSE))</f>
        <v/>
      </c>
      <c r="I225" s="12"/>
      <c r="J225" s="12"/>
      <c r="K225" s="12"/>
      <c r="L225" s="12"/>
    </row>
    <row r="226" spans="1:12" ht="16" x14ac:dyDescent="0.2">
      <c r="A226" s="8"/>
      <c r="B226" s="8"/>
      <c r="C226" s="8" t="str">
        <f t="shared" si="6"/>
        <v/>
      </c>
      <c r="D226" s="8" t="str">
        <f t="shared" si="7"/>
        <v/>
      </c>
      <c r="E226" s="12"/>
      <c r="F226" s="12"/>
      <c r="G226" s="12"/>
      <c r="H226" s="12" t="str">
        <f>IF(A226=0,"",VLOOKUP(B226,Materials!$A$2:$E$1001,6,FALSE))</f>
        <v/>
      </c>
      <c r="I226" s="12"/>
      <c r="J226" s="12"/>
      <c r="K226" s="12"/>
      <c r="L226" s="12"/>
    </row>
    <row r="227" spans="1:12" ht="16" x14ac:dyDescent="0.2">
      <c r="A227" s="8"/>
      <c r="B227" s="8"/>
      <c r="C227" s="8" t="str">
        <f t="shared" si="6"/>
        <v/>
      </c>
      <c r="D227" s="8" t="str">
        <f t="shared" si="7"/>
        <v/>
      </c>
      <c r="E227" s="12"/>
      <c r="F227" s="12"/>
      <c r="G227" s="12"/>
      <c r="H227" s="12" t="str">
        <f>IF(A227=0,"",VLOOKUP(B227,Materials!$A$2:$E$1001,6,FALSE))</f>
        <v/>
      </c>
      <c r="I227" s="12"/>
      <c r="J227" s="12"/>
      <c r="K227" s="12"/>
      <c r="L227" s="12"/>
    </row>
    <row r="228" spans="1:12" ht="16" x14ac:dyDescent="0.2">
      <c r="A228" s="8"/>
      <c r="B228" s="8"/>
      <c r="C228" s="8" t="str">
        <f t="shared" si="6"/>
        <v/>
      </c>
      <c r="D228" s="8" t="str">
        <f t="shared" si="7"/>
        <v/>
      </c>
      <c r="E228" s="12"/>
      <c r="F228" s="12"/>
      <c r="G228" s="12"/>
      <c r="H228" s="12" t="str">
        <f>IF(A228=0,"",VLOOKUP(B228,Materials!$A$2:$E$1001,6,FALSE))</f>
        <v/>
      </c>
      <c r="I228" s="12"/>
      <c r="J228" s="12"/>
      <c r="K228" s="12"/>
      <c r="L228" s="12"/>
    </row>
    <row r="229" spans="1:12" ht="16" x14ac:dyDescent="0.2">
      <c r="A229" s="8"/>
      <c r="B229" s="8"/>
      <c r="C229" s="8" t="str">
        <f t="shared" si="6"/>
        <v/>
      </c>
      <c r="D229" s="8" t="str">
        <f t="shared" si="7"/>
        <v/>
      </c>
      <c r="E229" s="12"/>
      <c r="F229" s="12"/>
      <c r="G229" s="12"/>
      <c r="H229" s="12" t="str">
        <f>IF(A229=0,"",VLOOKUP(B229,Materials!$A$2:$E$1001,6,FALSE))</f>
        <v/>
      </c>
      <c r="I229" s="12"/>
      <c r="J229" s="12"/>
      <c r="K229" s="12"/>
      <c r="L229" s="12"/>
    </row>
    <row r="230" spans="1:12" ht="16" x14ac:dyDescent="0.2">
      <c r="A230" s="8"/>
      <c r="B230" s="8"/>
      <c r="C230" s="8" t="str">
        <f t="shared" si="6"/>
        <v/>
      </c>
      <c r="D230" s="8" t="str">
        <f t="shared" si="7"/>
        <v/>
      </c>
      <c r="E230" s="12"/>
      <c r="F230" s="12"/>
      <c r="G230" s="12"/>
      <c r="H230" s="12" t="str">
        <f>IF(A230=0,"",VLOOKUP(B230,Materials!$A$2:$E$1001,6,FALSE))</f>
        <v/>
      </c>
      <c r="I230" s="12"/>
      <c r="J230" s="12"/>
      <c r="K230" s="12"/>
      <c r="L230" s="12"/>
    </row>
    <row r="231" spans="1:12" ht="16" x14ac:dyDescent="0.2">
      <c r="A231" s="8"/>
      <c r="B231" s="8"/>
      <c r="C231" s="8" t="str">
        <f t="shared" si="6"/>
        <v/>
      </c>
      <c r="D231" s="8" t="str">
        <f t="shared" si="7"/>
        <v/>
      </c>
      <c r="E231" s="12"/>
      <c r="F231" s="12"/>
      <c r="G231" s="12"/>
      <c r="H231" s="12" t="str">
        <f>IF(A231=0,"",VLOOKUP(B231,Materials!$A$2:$E$1001,6,FALSE))</f>
        <v/>
      </c>
      <c r="I231" s="12"/>
      <c r="J231" s="12"/>
      <c r="K231" s="12"/>
      <c r="L231" s="12"/>
    </row>
    <row r="232" spans="1:12" ht="16" x14ac:dyDescent="0.2">
      <c r="A232" s="8"/>
      <c r="B232" s="8"/>
      <c r="C232" s="8" t="str">
        <f t="shared" si="6"/>
        <v/>
      </c>
      <c r="D232" s="8" t="str">
        <f t="shared" si="7"/>
        <v/>
      </c>
      <c r="E232" s="12"/>
      <c r="F232" s="12"/>
      <c r="G232" s="12"/>
      <c r="H232" s="12" t="str">
        <f>IF(A232=0,"",VLOOKUP(B232,Materials!$A$2:$E$1001,6,FALSE))</f>
        <v/>
      </c>
      <c r="I232" s="12"/>
      <c r="J232" s="12"/>
      <c r="K232" s="12"/>
      <c r="L232" s="12"/>
    </row>
    <row r="233" spans="1:12" ht="16" x14ac:dyDescent="0.2">
      <c r="A233" s="8"/>
      <c r="B233" s="8"/>
      <c r="C233" s="8" t="str">
        <f t="shared" si="6"/>
        <v/>
      </c>
      <c r="D233" s="8" t="str">
        <f t="shared" si="7"/>
        <v/>
      </c>
      <c r="E233" s="12"/>
      <c r="F233" s="12"/>
      <c r="G233" s="12"/>
      <c r="H233" s="12" t="str">
        <f>IF(A233=0,"",VLOOKUP(B233,Materials!$A$2:$E$1001,6,FALSE))</f>
        <v/>
      </c>
      <c r="I233" s="12"/>
      <c r="J233" s="12"/>
      <c r="K233" s="12"/>
      <c r="L233" s="12"/>
    </row>
    <row r="234" spans="1:12" ht="16" x14ac:dyDescent="0.2">
      <c r="A234" s="8"/>
      <c r="B234" s="8"/>
      <c r="C234" s="8" t="str">
        <f t="shared" si="6"/>
        <v/>
      </c>
      <c r="D234" s="8" t="str">
        <f t="shared" si="7"/>
        <v/>
      </c>
      <c r="E234" s="12"/>
      <c r="F234" s="12"/>
      <c r="G234" s="12"/>
      <c r="H234" s="12" t="str">
        <f>IF(A234=0,"",VLOOKUP(B234,Materials!$A$2:$E$1001,6,FALSE))</f>
        <v/>
      </c>
      <c r="I234" s="12"/>
      <c r="J234" s="12"/>
      <c r="K234" s="12"/>
      <c r="L234" s="12"/>
    </row>
    <row r="235" spans="1:12" ht="16" x14ac:dyDescent="0.2">
      <c r="A235" s="8"/>
      <c r="B235" s="8"/>
      <c r="C235" s="8" t="str">
        <f t="shared" si="6"/>
        <v/>
      </c>
      <c r="D235" s="8" t="str">
        <f t="shared" si="7"/>
        <v/>
      </c>
      <c r="E235" s="12"/>
      <c r="F235" s="12"/>
      <c r="G235" s="12"/>
      <c r="H235" s="12" t="str">
        <f>IF(A235=0,"",VLOOKUP(B235,Materials!$A$2:$E$1001,6,FALSE))</f>
        <v/>
      </c>
      <c r="I235" s="12"/>
      <c r="J235" s="12"/>
      <c r="K235" s="12"/>
      <c r="L235" s="12"/>
    </row>
    <row r="236" spans="1:12" ht="16" x14ac:dyDescent="0.2">
      <c r="A236" s="8"/>
      <c r="B236" s="8"/>
      <c r="C236" s="8" t="str">
        <f t="shared" si="6"/>
        <v/>
      </c>
      <c r="D236" s="8" t="str">
        <f t="shared" si="7"/>
        <v/>
      </c>
      <c r="E236" s="12"/>
      <c r="F236" s="12"/>
      <c r="G236" s="12"/>
      <c r="H236" s="12" t="str">
        <f>IF(A236=0,"",VLOOKUP(B236,Materials!$A$2:$E$1001,6,FALSE))</f>
        <v/>
      </c>
      <c r="I236" s="12"/>
      <c r="J236" s="12"/>
      <c r="K236" s="12"/>
      <c r="L236" s="12"/>
    </row>
    <row r="237" spans="1:12" ht="16" x14ac:dyDescent="0.2">
      <c r="A237" s="8"/>
      <c r="B237" s="8"/>
      <c r="C237" s="8" t="str">
        <f t="shared" si="6"/>
        <v/>
      </c>
      <c r="D237" s="8" t="str">
        <f t="shared" si="7"/>
        <v/>
      </c>
      <c r="E237" s="12"/>
      <c r="F237" s="12"/>
      <c r="G237" s="12"/>
      <c r="H237" s="12" t="str">
        <f>IF(A237=0,"",VLOOKUP(B237,Materials!$A$2:$E$1001,6,FALSE))</f>
        <v/>
      </c>
      <c r="I237" s="12"/>
      <c r="J237" s="12"/>
      <c r="K237" s="12"/>
      <c r="L237" s="12"/>
    </row>
    <row r="238" spans="1:12" ht="16" x14ac:dyDescent="0.2">
      <c r="A238" s="8"/>
      <c r="B238" s="8"/>
      <c r="C238" s="8" t="str">
        <f t="shared" si="6"/>
        <v/>
      </c>
      <c r="D238" s="8" t="str">
        <f t="shared" si="7"/>
        <v/>
      </c>
      <c r="E238" s="12"/>
      <c r="F238" s="12"/>
      <c r="G238" s="12"/>
      <c r="H238" s="12" t="str">
        <f>IF(A238=0,"",VLOOKUP(B238,Materials!$A$2:$E$1001,6,FALSE))</f>
        <v/>
      </c>
      <c r="I238" s="12"/>
      <c r="J238" s="12"/>
      <c r="K238" s="12"/>
      <c r="L238" s="12"/>
    </row>
    <row r="239" spans="1:12" ht="16" x14ac:dyDescent="0.2">
      <c r="A239" s="8"/>
      <c r="B239" s="8"/>
      <c r="C239" s="8" t="str">
        <f t="shared" si="6"/>
        <v/>
      </c>
      <c r="D239" s="8" t="str">
        <f t="shared" si="7"/>
        <v/>
      </c>
      <c r="E239" s="12"/>
      <c r="F239" s="12"/>
      <c r="G239" s="12"/>
      <c r="H239" s="12" t="str">
        <f>IF(A239=0,"",VLOOKUP(B239,Materials!$A$2:$E$1001,6,FALSE))</f>
        <v/>
      </c>
      <c r="I239" s="12"/>
      <c r="J239" s="12"/>
      <c r="K239" s="12"/>
      <c r="L239" s="12"/>
    </row>
    <row r="240" spans="1:12" ht="16" x14ac:dyDescent="0.2">
      <c r="A240" s="8"/>
      <c r="B240" s="8"/>
      <c r="C240" s="8" t="str">
        <f t="shared" si="6"/>
        <v/>
      </c>
      <c r="D240" s="8" t="str">
        <f t="shared" si="7"/>
        <v/>
      </c>
      <c r="E240" s="12"/>
      <c r="F240" s="12"/>
      <c r="G240" s="12"/>
      <c r="H240" s="12" t="str">
        <f>IF(A240=0,"",VLOOKUP(B240,Materials!$A$2:$E$1001,6,FALSE))</f>
        <v/>
      </c>
      <c r="I240" s="12"/>
      <c r="J240" s="12"/>
      <c r="K240" s="12"/>
      <c r="L240" s="12"/>
    </row>
    <row r="241" spans="1:12" ht="16" x14ac:dyDescent="0.2">
      <c r="A241" s="8"/>
      <c r="B241" s="8"/>
      <c r="C241" s="8" t="str">
        <f t="shared" si="6"/>
        <v/>
      </c>
      <c r="D241" s="8" t="str">
        <f t="shared" si="7"/>
        <v/>
      </c>
      <c r="E241" s="12"/>
      <c r="F241" s="12"/>
      <c r="G241" s="12"/>
      <c r="H241" s="12" t="str">
        <f>IF(A241=0,"",VLOOKUP(B241,Materials!$A$2:$E$1001,6,FALSE))</f>
        <v/>
      </c>
      <c r="I241" s="12"/>
      <c r="J241" s="12"/>
      <c r="K241" s="12"/>
      <c r="L241" s="12"/>
    </row>
    <row r="242" spans="1:12" ht="16" x14ac:dyDescent="0.2">
      <c r="A242" s="8"/>
      <c r="B242" s="8"/>
      <c r="C242" s="8" t="str">
        <f t="shared" si="6"/>
        <v/>
      </c>
      <c r="D242" s="8" t="str">
        <f t="shared" si="7"/>
        <v/>
      </c>
      <c r="E242" s="12"/>
      <c r="F242" s="12"/>
      <c r="G242" s="12"/>
      <c r="H242" s="12" t="str">
        <f>IF(A242=0,"",VLOOKUP(B242,Materials!$A$2:$E$1001,6,FALSE))</f>
        <v/>
      </c>
      <c r="I242" s="12"/>
      <c r="J242" s="12"/>
      <c r="K242" s="12"/>
      <c r="L242" s="12"/>
    </row>
    <row r="243" spans="1:12" ht="16" x14ac:dyDescent="0.2">
      <c r="A243" s="8"/>
      <c r="B243" s="8"/>
      <c r="C243" s="8" t="str">
        <f t="shared" si="6"/>
        <v/>
      </c>
      <c r="D243" s="8" t="str">
        <f t="shared" si="7"/>
        <v/>
      </c>
      <c r="E243" s="12"/>
      <c r="F243" s="12"/>
      <c r="G243" s="12"/>
      <c r="H243" s="12" t="str">
        <f>IF(A243=0,"",VLOOKUP(B243,Materials!$A$2:$E$1001,6,FALSE))</f>
        <v/>
      </c>
      <c r="I243" s="12"/>
      <c r="J243" s="12"/>
      <c r="K243" s="12"/>
      <c r="L243" s="12"/>
    </row>
    <row r="244" spans="1:12" ht="16" x14ac:dyDescent="0.2">
      <c r="A244" s="8"/>
      <c r="B244" s="8"/>
      <c r="C244" s="8" t="str">
        <f t="shared" si="6"/>
        <v/>
      </c>
      <c r="D244" s="8" t="str">
        <f t="shared" si="7"/>
        <v/>
      </c>
      <c r="E244" s="12"/>
      <c r="F244" s="12"/>
      <c r="G244" s="12"/>
      <c r="H244" s="12" t="str">
        <f>IF(A244=0,"",VLOOKUP(B244,Materials!$A$2:$E$1001,6,FALSE))</f>
        <v/>
      </c>
      <c r="I244" s="12"/>
      <c r="J244" s="12"/>
      <c r="K244" s="12"/>
      <c r="L244" s="12"/>
    </row>
    <row r="245" spans="1:12" ht="16" x14ac:dyDescent="0.2">
      <c r="A245" s="8"/>
      <c r="B245" s="8"/>
      <c r="C245" s="8" t="str">
        <f t="shared" si="6"/>
        <v/>
      </c>
      <c r="D245" s="8" t="str">
        <f t="shared" si="7"/>
        <v/>
      </c>
      <c r="E245" s="12"/>
      <c r="F245" s="12"/>
      <c r="G245" s="12"/>
      <c r="H245" s="12" t="str">
        <f>IF(A245=0,"",VLOOKUP(B245,Materials!$A$2:$E$1001,6,FALSE))</f>
        <v/>
      </c>
      <c r="I245" s="12"/>
      <c r="J245" s="12"/>
      <c r="K245" s="12"/>
      <c r="L245" s="12"/>
    </row>
    <row r="246" spans="1:12" ht="16" x14ac:dyDescent="0.2">
      <c r="A246" s="8"/>
      <c r="B246" s="8"/>
      <c r="C246" s="8" t="str">
        <f t="shared" si="6"/>
        <v/>
      </c>
      <c r="D246" s="8" t="str">
        <f t="shared" si="7"/>
        <v/>
      </c>
      <c r="E246" s="12"/>
      <c r="F246" s="12"/>
      <c r="G246" s="12"/>
      <c r="H246" s="12" t="str">
        <f>IF(A246=0,"",VLOOKUP(B246,Materials!$A$2:$E$1001,6,FALSE))</f>
        <v/>
      </c>
      <c r="I246" s="12"/>
      <c r="J246" s="12"/>
      <c r="K246" s="12"/>
      <c r="L246" s="12"/>
    </row>
    <row r="247" spans="1:12" ht="16" x14ac:dyDescent="0.2">
      <c r="A247" s="8"/>
      <c r="B247" s="8"/>
      <c r="C247" s="8" t="str">
        <f t="shared" si="6"/>
        <v/>
      </c>
      <c r="D247" s="8" t="str">
        <f t="shared" si="7"/>
        <v/>
      </c>
      <c r="E247" s="12"/>
      <c r="F247" s="12"/>
      <c r="G247" s="12"/>
      <c r="H247" s="12" t="str">
        <f>IF(A247=0,"",VLOOKUP(B247,Materials!$A$2:$E$1001,6,FALSE))</f>
        <v/>
      </c>
      <c r="I247" s="12"/>
      <c r="J247" s="12"/>
      <c r="K247" s="12"/>
      <c r="L247" s="12"/>
    </row>
    <row r="248" spans="1:12" ht="16" x14ac:dyDescent="0.2">
      <c r="A248" s="8"/>
      <c r="B248" s="8"/>
      <c r="C248" s="8" t="str">
        <f t="shared" si="6"/>
        <v/>
      </c>
      <c r="D248" s="8" t="str">
        <f t="shared" si="7"/>
        <v/>
      </c>
      <c r="E248" s="12"/>
      <c r="F248" s="12"/>
      <c r="G248" s="12"/>
      <c r="H248" s="12" t="str">
        <f>IF(A248=0,"",VLOOKUP(B248,Materials!$A$2:$E$1001,6,FALSE))</f>
        <v/>
      </c>
      <c r="I248" s="12"/>
      <c r="J248" s="12"/>
      <c r="K248" s="12"/>
      <c r="L248" s="12"/>
    </row>
    <row r="249" spans="1:12" ht="16" x14ac:dyDescent="0.2">
      <c r="A249" s="8"/>
      <c r="B249" s="8"/>
      <c r="C249" s="8" t="str">
        <f t="shared" si="6"/>
        <v/>
      </c>
      <c r="D249" s="8" t="str">
        <f t="shared" si="7"/>
        <v/>
      </c>
      <c r="E249" s="12"/>
      <c r="F249" s="12"/>
      <c r="G249" s="12"/>
      <c r="H249" s="12" t="str">
        <f>IF(A249=0,"",VLOOKUP(B249,Materials!$A$2:$E$1001,6,FALSE))</f>
        <v/>
      </c>
      <c r="I249" s="12"/>
      <c r="J249" s="12"/>
      <c r="K249" s="12"/>
      <c r="L249" s="12"/>
    </row>
    <row r="250" spans="1:12" ht="16" x14ac:dyDescent="0.2">
      <c r="A250" s="8"/>
      <c r="B250" s="8"/>
      <c r="C250" s="8" t="str">
        <f t="shared" si="6"/>
        <v/>
      </c>
      <c r="D250" s="8" t="str">
        <f t="shared" si="7"/>
        <v/>
      </c>
      <c r="E250" s="12"/>
      <c r="F250" s="12"/>
      <c r="G250" s="12"/>
      <c r="H250" s="12" t="str">
        <f>IF(A250=0,"",VLOOKUP(B250,Materials!$A$2:$E$1001,6,FALSE))</f>
        <v/>
      </c>
      <c r="I250" s="12"/>
      <c r="J250" s="12"/>
      <c r="K250" s="12"/>
      <c r="L250" s="12"/>
    </row>
    <row r="251" spans="1:12" ht="16" x14ac:dyDescent="0.2">
      <c r="A251" s="8"/>
      <c r="B251" s="8"/>
      <c r="C251" s="8" t="str">
        <f t="shared" si="6"/>
        <v/>
      </c>
      <c r="D251" s="8" t="str">
        <f t="shared" si="7"/>
        <v/>
      </c>
      <c r="E251" s="12"/>
      <c r="F251" s="12"/>
      <c r="G251" s="12"/>
      <c r="H251" s="12" t="str">
        <f>IF(A251=0,"",VLOOKUP(B251,Materials!$A$2:$E$1001,6,FALSE))</f>
        <v/>
      </c>
      <c r="I251" s="12"/>
      <c r="J251" s="12"/>
      <c r="K251" s="12"/>
      <c r="L251" s="12"/>
    </row>
    <row r="252" spans="1:12" ht="16" x14ac:dyDescent="0.2">
      <c r="A252" s="8"/>
      <c r="B252" s="8"/>
      <c r="C252" s="8" t="str">
        <f t="shared" si="6"/>
        <v/>
      </c>
      <c r="D252" s="8" t="str">
        <f t="shared" si="7"/>
        <v/>
      </c>
      <c r="E252" s="12"/>
      <c r="F252" s="12"/>
      <c r="G252" s="12"/>
      <c r="H252" s="12" t="str">
        <f>IF(A252=0,"",VLOOKUP(B252,Materials!$A$2:$E$1001,6,FALSE))</f>
        <v/>
      </c>
      <c r="I252" s="12"/>
      <c r="J252" s="12"/>
      <c r="K252" s="12"/>
      <c r="L252" s="12"/>
    </row>
    <row r="253" spans="1:12" ht="16" x14ac:dyDescent="0.2">
      <c r="A253" s="8"/>
      <c r="B253" s="8"/>
      <c r="C253" s="8" t="str">
        <f t="shared" si="6"/>
        <v/>
      </c>
      <c r="D253" s="8" t="str">
        <f t="shared" si="7"/>
        <v/>
      </c>
      <c r="E253" s="12"/>
      <c r="F253" s="12"/>
      <c r="G253" s="12"/>
      <c r="H253" s="12" t="str">
        <f>IF(A253=0,"",VLOOKUP(B253,Materials!$A$2:$E$1001,6,FALSE))</f>
        <v/>
      </c>
      <c r="I253" s="12"/>
      <c r="J253" s="12"/>
      <c r="K253" s="12"/>
      <c r="L253" s="12"/>
    </row>
    <row r="254" spans="1:12" ht="16" x14ac:dyDescent="0.2">
      <c r="A254" s="8"/>
      <c r="B254" s="8"/>
      <c r="C254" s="8" t="str">
        <f t="shared" si="6"/>
        <v/>
      </c>
      <c r="D254" s="8" t="str">
        <f t="shared" si="7"/>
        <v/>
      </c>
      <c r="E254" s="12"/>
      <c r="F254" s="12"/>
      <c r="G254" s="12"/>
      <c r="H254" s="12" t="str">
        <f>IF(A254=0,"",VLOOKUP(B254,Materials!$A$2:$E$1001,6,FALSE))</f>
        <v/>
      </c>
      <c r="I254" s="12"/>
      <c r="J254" s="12"/>
      <c r="K254" s="12"/>
      <c r="L254" s="12"/>
    </row>
    <row r="255" spans="1:12" ht="16" x14ac:dyDescent="0.2">
      <c r="A255" s="8"/>
      <c r="B255" s="8"/>
      <c r="C255" s="8" t="str">
        <f t="shared" si="6"/>
        <v/>
      </c>
      <c r="D255" s="8" t="str">
        <f t="shared" si="7"/>
        <v/>
      </c>
      <c r="E255" s="12"/>
      <c r="F255" s="12"/>
      <c r="G255" s="12"/>
      <c r="H255" s="12" t="str">
        <f>IF(A255=0,"",VLOOKUP(B255,Materials!$A$2:$E$1001,6,FALSE))</f>
        <v/>
      </c>
      <c r="I255" s="12"/>
      <c r="J255" s="12"/>
      <c r="K255" s="12"/>
      <c r="L255" s="12"/>
    </row>
    <row r="256" spans="1:12" ht="16" x14ac:dyDescent="0.2">
      <c r="A256" s="8"/>
      <c r="B256" s="8"/>
      <c r="C256" s="8" t="str">
        <f t="shared" si="6"/>
        <v/>
      </c>
      <c r="D256" s="8" t="str">
        <f t="shared" si="7"/>
        <v/>
      </c>
      <c r="E256" s="12"/>
      <c r="F256" s="12"/>
      <c r="G256" s="12"/>
      <c r="H256" s="12" t="str">
        <f>IF(A256=0,"",VLOOKUP(B256,Materials!$A$2:$E$1001,6,FALSE))</f>
        <v/>
      </c>
      <c r="I256" s="12"/>
      <c r="J256" s="12"/>
      <c r="K256" s="12"/>
      <c r="L256" s="12"/>
    </row>
    <row r="257" spans="1:12" ht="16" x14ac:dyDescent="0.2">
      <c r="A257" s="8"/>
      <c r="B257" s="8"/>
      <c r="C257" s="8" t="str">
        <f t="shared" si="6"/>
        <v/>
      </c>
      <c r="D257" s="8" t="str">
        <f t="shared" si="7"/>
        <v/>
      </c>
      <c r="E257" s="12"/>
      <c r="F257" s="12"/>
      <c r="G257" s="12"/>
      <c r="H257" s="12" t="str">
        <f>IF(A257=0,"",VLOOKUP(B257,Materials!$A$2:$E$1001,6,FALSE))</f>
        <v/>
      </c>
      <c r="I257" s="12"/>
      <c r="J257" s="12"/>
      <c r="K257" s="12"/>
      <c r="L257" s="12"/>
    </row>
    <row r="258" spans="1:12" ht="16" x14ac:dyDescent="0.2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2"/>
      <c r="F258" s="12"/>
      <c r="G258" s="12"/>
      <c r="H258" s="12" t="str">
        <f>IF(A258=0,"",VLOOKUP(B258,Materials!$A$2:$E$1001,6,FALSE))</f>
        <v/>
      </c>
      <c r="I258" s="12"/>
      <c r="J258" s="12"/>
      <c r="K258" s="12"/>
      <c r="L258" s="12"/>
    </row>
    <row r="259" spans="1:12" ht="16" x14ac:dyDescent="0.2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2"/>
      <c r="F259" s="12"/>
      <c r="G259" s="12"/>
      <c r="H259" s="12" t="str">
        <f>IF(A259=0,"",VLOOKUP(B259,Materials!$A$2:$E$1001,6,FALSE))</f>
        <v/>
      </c>
      <c r="I259" s="12"/>
      <c r="J259" s="12"/>
      <c r="K259" s="12"/>
      <c r="L259" s="12"/>
    </row>
    <row r="260" spans="1:12" ht="16" x14ac:dyDescent="0.2">
      <c r="A260" s="8"/>
      <c r="B260" s="8"/>
      <c r="C260" s="8" t="str">
        <f t="shared" si="8"/>
        <v/>
      </c>
      <c r="D260" s="8" t="str">
        <f t="shared" si="9"/>
        <v/>
      </c>
      <c r="E260" s="12"/>
      <c r="F260" s="12"/>
      <c r="G260" s="12"/>
      <c r="H260" s="12" t="str">
        <f>IF(A260=0,"",VLOOKUP(B260,Materials!$A$2:$E$1001,6,FALSE))</f>
        <v/>
      </c>
      <c r="I260" s="12"/>
      <c r="J260" s="12"/>
      <c r="K260" s="12"/>
      <c r="L260" s="12"/>
    </row>
    <row r="261" spans="1:12" ht="16" x14ac:dyDescent="0.2">
      <c r="A261" s="8"/>
      <c r="B261" s="8"/>
      <c r="C261" s="8" t="str">
        <f t="shared" si="8"/>
        <v/>
      </c>
      <c r="D261" s="8" t="str">
        <f t="shared" si="9"/>
        <v/>
      </c>
      <c r="E261" s="12"/>
      <c r="F261" s="12"/>
      <c r="G261" s="12"/>
      <c r="H261" s="12" t="str">
        <f>IF(A261=0,"",VLOOKUP(B261,Materials!$A$2:$E$1001,6,FALSE))</f>
        <v/>
      </c>
      <c r="I261" s="12"/>
      <c r="J261" s="12"/>
      <c r="K261" s="12"/>
      <c r="L261" s="12"/>
    </row>
    <row r="262" spans="1:12" ht="16" x14ac:dyDescent="0.2">
      <c r="A262" s="8"/>
      <c r="B262" s="8"/>
      <c r="C262" s="8" t="str">
        <f t="shared" si="8"/>
        <v/>
      </c>
      <c r="D262" s="8" t="str">
        <f t="shared" si="9"/>
        <v/>
      </c>
      <c r="E262" s="12"/>
      <c r="F262" s="12"/>
      <c r="G262" s="12"/>
      <c r="H262" s="12" t="str">
        <f>IF(A262=0,"",VLOOKUP(B262,Materials!$A$2:$E$1001,6,FALSE))</f>
        <v/>
      </c>
      <c r="I262" s="12"/>
      <c r="J262" s="12"/>
      <c r="K262" s="12"/>
      <c r="L262" s="12"/>
    </row>
    <row r="263" spans="1:12" ht="16" x14ac:dyDescent="0.2">
      <c r="A263" s="8"/>
      <c r="B263" s="8"/>
      <c r="C263" s="8" t="str">
        <f t="shared" si="8"/>
        <v/>
      </c>
      <c r="D263" s="8" t="str">
        <f t="shared" si="9"/>
        <v/>
      </c>
      <c r="E263" s="12"/>
      <c r="F263" s="12"/>
      <c r="G263" s="12"/>
      <c r="H263" s="12" t="str">
        <f>IF(A263=0,"",VLOOKUP(B263,Materials!$A$2:$E$1001,6,FALSE))</f>
        <v/>
      </c>
      <c r="I263" s="12"/>
      <c r="J263" s="12"/>
      <c r="K263" s="12"/>
      <c r="L263" s="12"/>
    </row>
    <row r="264" spans="1:12" ht="16" x14ac:dyDescent="0.2">
      <c r="A264" s="8"/>
      <c r="B264" s="8"/>
      <c r="C264" s="8" t="str">
        <f t="shared" si="8"/>
        <v/>
      </c>
      <c r="D264" s="8" t="str">
        <f t="shared" si="9"/>
        <v/>
      </c>
      <c r="E264" s="12"/>
      <c r="F264" s="12"/>
      <c r="G264" s="12"/>
      <c r="H264" s="12" t="str">
        <f>IF(A264=0,"",VLOOKUP(B264,Materials!$A$2:$E$1001,6,FALSE))</f>
        <v/>
      </c>
      <c r="I264" s="12"/>
      <c r="J264" s="12"/>
      <c r="K264" s="12"/>
      <c r="L264" s="12"/>
    </row>
    <row r="265" spans="1:12" ht="16" x14ac:dyDescent="0.2">
      <c r="A265" s="8"/>
      <c r="B265" s="8"/>
      <c r="C265" s="8" t="str">
        <f t="shared" si="8"/>
        <v/>
      </c>
      <c r="D265" s="8" t="str">
        <f t="shared" si="9"/>
        <v/>
      </c>
      <c r="E265" s="12"/>
      <c r="F265" s="12"/>
      <c r="G265" s="12"/>
      <c r="H265" s="12" t="str">
        <f>IF(A265=0,"",VLOOKUP(B265,Materials!$A$2:$E$1001,6,FALSE))</f>
        <v/>
      </c>
      <c r="I265" s="12"/>
      <c r="J265" s="12"/>
      <c r="K265" s="12"/>
      <c r="L265" s="12"/>
    </row>
    <row r="266" spans="1:12" ht="16" x14ac:dyDescent="0.2">
      <c r="A266" s="8"/>
      <c r="B266" s="8"/>
      <c r="C266" s="8" t="str">
        <f t="shared" si="8"/>
        <v/>
      </c>
      <c r="D266" s="8" t="str">
        <f t="shared" si="9"/>
        <v/>
      </c>
      <c r="E266" s="12"/>
      <c r="F266" s="12"/>
      <c r="G266" s="12"/>
      <c r="H266" s="12" t="str">
        <f>IF(A266=0,"",VLOOKUP(B266,Materials!$A$2:$E$1001,6,FALSE))</f>
        <v/>
      </c>
      <c r="I266" s="12"/>
      <c r="J266" s="12"/>
      <c r="K266" s="12"/>
      <c r="L266" s="12"/>
    </row>
    <row r="267" spans="1:12" ht="16" x14ac:dyDescent="0.2">
      <c r="A267" s="8"/>
      <c r="B267" s="8"/>
      <c r="C267" s="8" t="str">
        <f t="shared" si="8"/>
        <v/>
      </c>
      <c r="D267" s="8" t="str">
        <f t="shared" si="9"/>
        <v/>
      </c>
      <c r="E267" s="12"/>
      <c r="F267" s="12"/>
      <c r="G267" s="12"/>
      <c r="H267" s="12" t="str">
        <f>IF(A267=0,"",VLOOKUP(B267,Materials!$A$2:$E$1001,6,FALSE))</f>
        <v/>
      </c>
      <c r="I267" s="12"/>
      <c r="J267" s="12"/>
      <c r="K267" s="12"/>
      <c r="L267" s="12"/>
    </row>
    <row r="268" spans="1:12" ht="16" x14ac:dyDescent="0.2">
      <c r="A268" s="8"/>
      <c r="B268" s="8"/>
      <c r="C268" s="8" t="str">
        <f t="shared" si="8"/>
        <v/>
      </c>
      <c r="D268" s="8" t="str">
        <f t="shared" si="9"/>
        <v/>
      </c>
      <c r="E268" s="12"/>
      <c r="F268" s="12"/>
      <c r="G268" s="12"/>
      <c r="H268" s="12" t="str">
        <f>IF(A268=0,"",VLOOKUP(B268,Materials!$A$2:$E$1001,6,FALSE))</f>
        <v/>
      </c>
      <c r="I268" s="12"/>
      <c r="J268" s="12"/>
      <c r="K268" s="12"/>
      <c r="L268" s="12"/>
    </row>
    <row r="269" spans="1:12" ht="16" x14ac:dyDescent="0.2">
      <c r="A269" s="8"/>
      <c r="B269" s="8"/>
      <c r="C269" s="8" t="str">
        <f t="shared" si="8"/>
        <v/>
      </c>
      <c r="D269" s="8" t="str">
        <f t="shared" si="9"/>
        <v/>
      </c>
      <c r="E269" s="12"/>
      <c r="F269" s="12"/>
      <c r="G269" s="12"/>
      <c r="H269" s="12" t="str">
        <f>IF(A269=0,"",VLOOKUP(B269,Materials!$A$2:$E$1001,6,FALSE))</f>
        <v/>
      </c>
      <c r="I269" s="12"/>
      <c r="J269" s="12"/>
      <c r="K269" s="12"/>
      <c r="L269" s="12"/>
    </row>
    <row r="270" spans="1:12" ht="16" x14ac:dyDescent="0.2">
      <c r="A270" s="8"/>
      <c r="B270" s="8"/>
      <c r="C270" s="8" t="str">
        <f t="shared" si="8"/>
        <v/>
      </c>
      <c r="D270" s="8" t="str">
        <f t="shared" si="9"/>
        <v/>
      </c>
      <c r="E270" s="12"/>
      <c r="F270" s="12"/>
      <c r="G270" s="12"/>
      <c r="H270" s="12" t="str">
        <f>IF(A270=0,"",VLOOKUP(B270,Materials!$A$2:$E$1001,6,FALSE))</f>
        <v/>
      </c>
      <c r="I270" s="12"/>
      <c r="J270" s="12"/>
      <c r="K270" s="12"/>
      <c r="L270" s="12"/>
    </row>
    <row r="271" spans="1:12" ht="16" x14ac:dyDescent="0.2">
      <c r="A271" s="8"/>
      <c r="B271" s="8"/>
      <c r="C271" s="8" t="str">
        <f t="shared" si="8"/>
        <v/>
      </c>
      <c r="D271" s="8" t="str">
        <f t="shared" si="9"/>
        <v/>
      </c>
      <c r="E271" s="12"/>
      <c r="F271" s="12"/>
      <c r="G271" s="12"/>
      <c r="H271" s="12" t="str">
        <f>IF(A271=0,"",VLOOKUP(B271,Materials!$A$2:$E$1001,6,FALSE))</f>
        <v/>
      </c>
      <c r="I271" s="12"/>
      <c r="J271" s="12"/>
      <c r="K271" s="12"/>
      <c r="L271" s="12"/>
    </row>
    <row r="272" spans="1:12" ht="16" x14ac:dyDescent="0.2">
      <c r="A272" s="8"/>
      <c r="B272" s="8"/>
      <c r="C272" s="8" t="str">
        <f t="shared" si="8"/>
        <v/>
      </c>
      <c r="D272" s="8" t="str">
        <f t="shared" si="9"/>
        <v/>
      </c>
      <c r="E272" s="12"/>
      <c r="F272" s="12"/>
      <c r="G272" s="12"/>
      <c r="H272" s="12" t="str">
        <f>IF(A272=0,"",VLOOKUP(B272,Materials!$A$2:$E$1001,6,FALSE))</f>
        <v/>
      </c>
      <c r="I272" s="12"/>
      <c r="J272" s="12"/>
      <c r="K272" s="12"/>
      <c r="L272" s="12"/>
    </row>
    <row r="273" spans="1:12" ht="16" x14ac:dyDescent="0.2">
      <c r="A273" s="8"/>
      <c r="B273" s="8"/>
      <c r="C273" s="8" t="str">
        <f t="shared" si="8"/>
        <v/>
      </c>
      <c r="D273" s="8" t="str">
        <f t="shared" si="9"/>
        <v/>
      </c>
      <c r="E273" s="12"/>
      <c r="F273" s="12"/>
      <c r="G273" s="12"/>
      <c r="H273" s="12" t="str">
        <f>IF(A273=0,"",VLOOKUP(B273,Materials!$A$2:$E$1001,6,FALSE))</f>
        <v/>
      </c>
      <c r="I273" s="12"/>
      <c r="J273" s="12"/>
      <c r="K273" s="12"/>
      <c r="L273" s="12"/>
    </row>
    <row r="274" spans="1:12" ht="16" x14ac:dyDescent="0.2">
      <c r="A274" s="8"/>
      <c r="B274" s="8"/>
      <c r="C274" s="8" t="str">
        <f t="shared" si="8"/>
        <v/>
      </c>
      <c r="D274" s="8" t="str">
        <f t="shared" si="9"/>
        <v/>
      </c>
      <c r="E274" s="12"/>
      <c r="F274" s="12"/>
      <c r="G274" s="12"/>
      <c r="H274" s="12" t="str">
        <f>IF(A274=0,"",VLOOKUP(B274,Materials!$A$2:$E$1001,6,FALSE))</f>
        <v/>
      </c>
      <c r="I274" s="12"/>
      <c r="J274" s="12"/>
      <c r="K274" s="12"/>
      <c r="L274" s="12"/>
    </row>
    <row r="275" spans="1:12" ht="16" x14ac:dyDescent="0.2">
      <c r="A275" s="8"/>
      <c r="B275" s="8"/>
      <c r="C275" s="8" t="str">
        <f t="shared" si="8"/>
        <v/>
      </c>
      <c r="D275" s="8" t="str">
        <f t="shared" si="9"/>
        <v/>
      </c>
      <c r="E275" s="12"/>
      <c r="F275" s="12"/>
      <c r="G275" s="12"/>
      <c r="H275" s="12" t="str">
        <f>IF(A275=0,"",VLOOKUP(B275,Materials!$A$2:$E$1001,6,FALSE))</f>
        <v/>
      </c>
      <c r="I275" s="12"/>
      <c r="J275" s="12"/>
      <c r="K275" s="12"/>
      <c r="L275" s="12"/>
    </row>
    <row r="276" spans="1:12" ht="16" x14ac:dyDescent="0.2">
      <c r="A276" s="8"/>
      <c r="B276" s="8"/>
      <c r="C276" s="8" t="str">
        <f t="shared" si="8"/>
        <v/>
      </c>
      <c r="D276" s="8" t="str">
        <f t="shared" si="9"/>
        <v/>
      </c>
      <c r="E276" s="12"/>
      <c r="F276" s="12"/>
      <c r="G276" s="12"/>
      <c r="H276" s="12" t="str">
        <f>IF(A276=0,"",VLOOKUP(B276,Materials!$A$2:$E$1001,6,FALSE))</f>
        <v/>
      </c>
      <c r="I276" s="12"/>
      <c r="J276" s="12"/>
      <c r="K276" s="12"/>
      <c r="L276" s="12"/>
    </row>
    <row r="277" spans="1:12" ht="16" x14ac:dyDescent="0.2">
      <c r="A277" s="8"/>
      <c r="B277" s="8"/>
      <c r="C277" s="8" t="str">
        <f t="shared" si="8"/>
        <v/>
      </c>
      <c r="D277" s="8" t="str">
        <f t="shared" si="9"/>
        <v/>
      </c>
      <c r="E277" s="12"/>
      <c r="F277" s="12"/>
      <c r="G277" s="12"/>
      <c r="H277" s="12" t="str">
        <f>IF(A277=0,"",VLOOKUP(B277,Materials!$A$2:$E$1001,6,FALSE))</f>
        <v/>
      </c>
      <c r="I277" s="12"/>
      <c r="J277" s="12"/>
      <c r="K277" s="12"/>
      <c r="L277" s="12"/>
    </row>
    <row r="278" spans="1:12" ht="16" x14ac:dyDescent="0.2">
      <c r="A278" s="8"/>
      <c r="B278" s="8"/>
      <c r="C278" s="8" t="str">
        <f t="shared" si="8"/>
        <v/>
      </c>
      <c r="D278" s="8" t="str">
        <f t="shared" si="9"/>
        <v/>
      </c>
      <c r="E278" s="12"/>
      <c r="F278" s="12"/>
      <c r="G278" s="12"/>
      <c r="H278" s="12" t="str">
        <f>IF(A278=0,"",VLOOKUP(B278,Materials!$A$2:$E$1001,6,FALSE))</f>
        <v/>
      </c>
      <c r="I278" s="12"/>
      <c r="J278" s="12"/>
      <c r="K278" s="12"/>
      <c r="L278" s="12"/>
    </row>
    <row r="279" spans="1:12" ht="16" x14ac:dyDescent="0.2">
      <c r="A279" s="8"/>
      <c r="B279" s="8"/>
      <c r="C279" s="8" t="str">
        <f t="shared" si="8"/>
        <v/>
      </c>
      <c r="D279" s="8" t="str">
        <f t="shared" si="9"/>
        <v/>
      </c>
      <c r="E279" s="12"/>
      <c r="F279" s="12"/>
      <c r="G279" s="12"/>
      <c r="H279" s="12" t="str">
        <f>IF(A279=0,"",VLOOKUP(B279,Materials!$A$2:$E$1001,6,FALSE))</f>
        <v/>
      </c>
      <c r="I279" s="12"/>
      <c r="J279" s="12"/>
      <c r="K279" s="12"/>
      <c r="L279" s="12"/>
    </row>
    <row r="280" spans="1:12" ht="16" x14ac:dyDescent="0.2">
      <c r="A280" s="8"/>
      <c r="B280" s="8"/>
      <c r="C280" s="8" t="str">
        <f t="shared" si="8"/>
        <v/>
      </c>
      <c r="D280" s="8" t="str">
        <f t="shared" si="9"/>
        <v/>
      </c>
      <c r="E280" s="12"/>
      <c r="F280" s="12"/>
      <c r="G280" s="12"/>
      <c r="H280" s="12" t="str">
        <f>IF(A280=0,"",VLOOKUP(B280,Materials!$A$2:$E$1001,6,FALSE))</f>
        <v/>
      </c>
      <c r="I280" s="12"/>
      <c r="J280" s="12"/>
      <c r="K280" s="12"/>
      <c r="L280" s="12"/>
    </row>
    <row r="281" spans="1:12" ht="16" x14ac:dyDescent="0.2">
      <c r="A281" s="8"/>
      <c r="B281" s="8"/>
      <c r="C281" s="8" t="str">
        <f t="shared" si="8"/>
        <v/>
      </c>
      <c r="D281" s="8" t="str">
        <f t="shared" si="9"/>
        <v/>
      </c>
      <c r="E281" s="12"/>
      <c r="F281" s="12"/>
      <c r="G281" s="12"/>
      <c r="H281" s="12" t="str">
        <f>IF(A281=0,"",VLOOKUP(B281,Materials!$A$2:$E$1001,6,FALSE))</f>
        <v/>
      </c>
      <c r="I281" s="12"/>
      <c r="J281" s="12"/>
      <c r="K281" s="12"/>
      <c r="L281" s="12"/>
    </row>
    <row r="282" spans="1:12" ht="16" x14ac:dyDescent="0.2">
      <c r="A282" s="8"/>
      <c r="B282" s="8"/>
      <c r="C282" s="8" t="str">
        <f t="shared" si="8"/>
        <v/>
      </c>
      <c r="D282" s="8" t="str">
        <f t="shared" si="9"/>
        <v/>
      </c>
      <c r="E282" s="12"/>
      <c r="F282" s="12"/>
      <c r="G282" s="12"/>
      <c r="H282" s="12" t="str">
        <f>IF(A282=0,"",VLOOKUP(B282,Materials!$A$2:$E$1001,6,FALSE))</f>
        <v/>
      </c>
      <c r="I282" s="12"/>
      <c r="J282" s="12"/>
      <c r="K282" s="12"/>
      <c r="L282" s="12"/>
    </row>
    <row r="283" spans="1:12" ht="16" x14ac:dyDescent="0.2">
      <c r="A283" s="8"/>
      <c r="B283" s="8"/>
      <c r="C283" s="8" t="str">
        <f t="shared" si="8"/>
        <v/>
      </c>
      <c r="D283" s="8" t="str">
        <f t="shared" si="9"/>
        <v/>
      </c>
      <c r="E283" s="12"/>
      <c r="F283" s="12"/>
      <c r="G283" s="12"/>
      <c r="H283" s="12" t="str">
        <f>IF(A283=0,"",VLOOKUP(B283,Materials!$A$2:$E$1001,6,FALSE))</f>
        <v/>
      </c>
      <c r="I283" s="12"/>
      <c r="J283" s="12"/>
      <c r="K283" s="12"/>
      <c r="L283" s="12"/>
    </row>
    <row r="284" spans="1:12" ht="16" x14ac:dyDescent="0.2">
      <c r="A284" s="8"/>
      <c r="B284" s="8"/>
      <c r="C284" s="8" t="str">
        <f t="shared" si="8"/>
        <v/>
      </c>
      <c r="D284" s="8" t="str">
        <f t="shared" si="9"/>
        <v/>
      </c>
      <c r="E284" s="12"/>
      <c r="F284" s="12"/>
      <c r="G284" s="12"/>
      <c r="H284" s="12" t="str">
        <f>IF(A284=0,"",VLOOKUP(B284,Materials!$A$2:$E$1001,6,FALSE))</f>
        <v/>
      </c>
      <c r="I284" s="12"/>
      <c r="J284" s="12"/>
      <c r="K284" s="12"/>
      <c r="L284" s="12"/>
    </row>
    <row r="285" spans="1:12" ht="16" x14ac:dyDescent="0.2">
      <c r="A285" s="8"/>
      <c r="B285" s="8"/>
      <c r="C285" s="8" t="str">
        <f t="shared" si="8"/>
        <v/>
      </c>
      <c r="D285" s="8" t="str">
        <f t="shared" si="9"/>
        <v/>
      </c>
      <c r="E285" s="12"/>
      <c r="F285" s="12"/>
      <c r="G285" s="12"/>
      <c r="H285" s="12" t="str">
        <f>IF(A285=0,"",VLOOKUP(B285,Materials!$A$2:$E$1001,6,FALSE))</f>
        <v/>
      </c>
      <c r="I285" s="12"/>
      <c r="J285" s="12"/>
      <c r="K285" s="12"/>
      <c r="L285" s="12"/>
    </row>
    <row r="286" spans="1:12" ht="16" x14ac:dyDescent="0.2">
      <c r="A286" s="8"/>
      <c r="B286" s="8"/>
      <c r="C286" s="8" t="str">
        <f t="shared" si="8"/>
        <v/>
      </c>
      <c r="D286" s="8" t="str">
        <f t="shared" si="9"/>
        <v/>
      </c>
      <c r="E286" s="12"/>
      <c r="F286" s="12"/>
      <c r="G286" s="12"/>
      <c r="H286" s="12" t="str">
        <f>IF(A286=0,"",VLOOKUP(B286,Materials!$A$2:$E$1001,6,FALSE))</f>
        <v/>
      </c>
      <c r="I286" s="12"/>
      <c r="J286" s="12"/>
      <c r="K286" s="12"/>
      <c r="L286" s="12"/>
    </row>
    <row r="287" spans="1:12" ht="16" x14ac:dyDescent="0.2">
      <c r="A287" s="8"/>
      <c r="B287" s="8"/>
      <c r="C287" s="8" t="str">
        <f t="shared" si="8"/>
        <v/>
      </c>
      <c r="D287" s="8" t="str">
        <f t="shared" si="9"/>
        <v/>
      </c>
      <c r="E287" s="12"/>
      <c r="F287" s="12"/>
      <c r="G287" s="12"/>
      <c r="H287" s="12" t="str">
        <f>IF(A287=0,"",VLOOKUP(B287,Materials!$A$2:$E$1001,6,FALSE))</f>
        <v/>
      </c>
      <c r="I287" s="12"/>
      <c r="J287" s="12"/>
      <c r="K287" s="12"/>
      <c r="L287" s="12"/>
    </row>
    <row r="288" spans="1:12" ht="16" x14ac:dyDescent="0.2">
      <c r="A288" s="8"/>
      <c r="B288" s="8"/>
      <c r="C288" s="8" t="str">
        <f t="shared" si="8"/>
        <v/>
      </c>
      <c r="D288" s="8" t="str">
        <f t="shared" si="9"/>
        <v/>
      </c>
      <c r="E288" s="12"/>
      <c r="F288" s="12"/>
      <c r="G288" s="12"/>
      <c r="H288" s="12" t="str">
        <f>IF(A288=0,"",VLOOKUP(B288,Materials!$A$2:$E$1001,6,FALSE))</f>
        <v/>
      </c>
      <c r="I288" s="12"/>
      <c r="J288" s="12"/>
      <c r="K288" s="12"/>
      <c r="L288" s="12"/>
    </row>
    <row r="289" spans="1:12" ht="16" x14ac:dyDescent="0.2">
      <c r="A289" s="8"/>
      <c r="B289" s="8"/>
      <c r="C289" s="8" t="str">
        <f t="shared" si="8"/>
        <v/>
      </c>
      <c r="D289" s="8" t="str">
        <f t="shared" si="9"/>
        <v/>
      </c>
      <c r="E289" s="12"/>
      <c r="F289" s="12"/>
      <c r="G289" s="12"/>
      <c r="H289" s="12" t="str">
        <f>IF(A289=0,"",VLOOKUP(B289,Materials!$A$2:$E$1001,6,FALSE))</f>
        <v/>
      </c>
      <c r="I289" s="12"/>
      <c r="J289" s="12"/>
      <c r="K289" s="12"/>
      <c r="L289" s="12"/>
    </row>
    <row r="290" spans="1:12" ht="16" x14ac:dyDescent="0.2">
      <c r="A290" s="8"/>
      <c r="B290" s="8"/>
      <c r="C290" s="8" t="str">
        <f t="shared" si="8"/>
        <v/>
      </c>
      <c r="D290" s="8" t="str">
        <f t="shared" si="9"/>
        <v/>
      </c>
      <c r="E290" s="12"/>
      <c r="F290" s="12"/>
      <c r="G290" s="12"/>
      <c r="H290" s="12" t="str">
        <f>IF(A290=0,"",VLOOKUP(B290,Materials!$A$2:$E$1001,6,FALSE))</f>
        <v/>
      </c>
      <c r="I290" s="12"/>
      <c r="J290" s="12"/>
      <c r="K290" s="12"/>
      <c r="L290" s="12"/>
    </row>
    <row r="291" spans="1:12" ht="16" x14ac:dyDescent="0.2">
      <c r="A291" s="8"/>
      <c r="B291" s="8"/>
      <c r="C291" s="8" t="str">
        <f t="shared" si="8"/>
        <v/>
      </c>
      <c r="D291" s="8" t="str">
        <f t="shared" si="9"/>
        <v/>
      </c>
      <c r="E291" s="12"/>
      <c r="F291" s="12"/>
      <c r="G291" s="12"/>
      <c r="H291" s="12" t="str">
        <f>IF(A291=0,"",VLOOKUP(B291,Materials!$A$2:$E$1001,6,FALSE))</f>
        <v/>
      </c>
      <c r="I291" s="12"/>
      <c r="J291" s="12"/>
      <c r="K291" s="12"/>
      <c r="L291" s="12"/>
    </row>
    <row r="292" spans="1:12" ht="16" x14ac:dyDescent="0.2">
      <c r="A292" s="8"/>
      <c r="B292" s="8"/>
      <c r="C292" s="8" t="str">
        <f t="shared" si="8"/>
        <v/>
      </c>
      <c r="D292" s="8" t="str">
        <f t="shared" si="9"/>
        <v/>
      </c>
      <c r="E292" s="12"/>
      <c r="F292" s="12"/>
      <c r="G292" s="12"/>
      <c r="H292" s="12" t="str">
        <f>IF(A292=0,"",VLOOKUP(B292,Materials!$A$2:$E$1001,6,FALSE))</f>
        <v/>
      </c>
      <c r="I292" s="12"/>
      <c r="J292" s="12"/>
      <c r="K292" s="12"/>
      <c r="L292" s="12"/>
    </row>
    <row r="293" spans="1:12" ht="16" x14ac:dyDescent="0.2">
      <c r="A293" s="8"/>
      <c r="B293" s="8"/>
      <c r="C293" s="8" t="str">
        <f t="shared" si="8"/>
        <v/>
      </c>
      <c r="D293" s="8" t="str">
        <f t="shared" si="9"/>
        <v/>
      </c>
      <c r="E293" s="12"/>
      <c r="F293" s="12"/>
      <c r="G293" s="12"/>
      <c r="H293" s="12" t="str">
        <f>IF(A293=0,"",VLOOKUP(B293,Materials!$A$2:$E$1001,6,FALSE))</f>
        <v/>
      </c>
      <c r="I293" s="12"/>
      <c r="J293" s="12"/>
      <c r="K293" s="12"/>
      <c r="L293" s="12"/>
    </row>
    <row r="294" spans="1:12" ht="16" x14ac:dyDescent="0.2">
      <c r="A294" s="8"/>
      <c r="B294" s="8"/>
      <c r="C294" s="8" t="str">
        <f t="shared" si="8"/>
        <v/>
      </c>
      <c r="D294" s="8" t="str">
        <f t="shared" si="9"/>
        <v/>
      </c>
      <c r="E294" s="12"/>
      <c r="F294" s="12"/>
      <c r="G294" s="12"/>
      <c r="H294" s="12" t="str">
        <f>IF(A294=0,"",VLOOKUP(B294,Materials!$A$2:$E$1001,6,FALSE))</f>
        <v/>
      </c>
      <c r="I294" s="12"/>
      <c r="J294" s="12"/>
      <c r="K294" s="12"/>
      <c r="L294" s="12"/>
    </row>
    <row r="295" spans="1:12" ht="16" x14ac:dyDescent="0.2">
      <c r="A295" s="8"/>
      <c r="B295" s="8"/>
      <c r="C295" s="8" t="str">
        <f t="shared" si="8"/>
        <v/>
      </c>
      <c r="D295" s="8" t="str">
        <f t="shared" si="9"/>
        <v/>
      </c>
      <c r="E295" s="12"/>
      <c r="F295" s="12"/>
      <c r="G295" s="12"/>
      <c r="H295" s="12" t="str">
        <f>IF(A295=0,"",VLOOKUP(B295,Materials!$A$2:$E$1001,6,FALSE))</f>
        <v/>
      </c>
      <c r="I295" s="12"/>
      <c r="J295" s="12"/>
      <c r="K295" s="12"/>
      <c r="L295" s="12"/>
    </row>
    <row r="296" spans="1:12" ht="16" x14ac:dyDescent="0.2">
      <c r="A296" s="8"/>
      <c r="B296" s="8"/>
      <c r="C296" s="8" t="str">
        <f t="shared" si="8"/>
        <v/>
      </c>
      <c r="D296" s="8" t="str">
        <f t="shared" si="9"/>
        <v/>
      </c>
      <c r="E296" s="12"/>
      <c r="F296" s="12"/>
      <c r="G296" s="12"/>
      <c r="H296" s="12" t="str">
        <f>IF(A296=0,"",VLOOKUP(B296,Materials!$A$2:$E$1001,6,FALSE))</f>
        <v/>
      </c>
      <c r="I296" s="12"/>
      <c r="J296" s="12"/>
      <c r="K296" s="12"/>
      <c r="L296" s="12"/>
    </row>
    <row r="297" spans="1:12" ht="16" x14ac:dyDescent="0.2">
      <c r="A297" s="8"/>
      <c r="B297" s="8"/>
      <c r="C297" s="8" t="str">
        <f t="shared" si="8"/>
        <v/>
      </c>
      <c r="D297" s="8" t="str">
        <f t="shared" si="9"/>
        <v/>
      </c>
      <c r="E297" s="12"/>
      <c r="F297" s="12"/>
      <c r="G297" s="12"/>
      <c r="H297" s="12" t="str">
        <f>IF(A297=0,"",VLOOKUP(B297,Materials!$A$2:$E$1001,6,FALSE))</f>
        <v/>
      </c>
      <c r="I297" s="12"/>
      <c r="J297" s="12"/>
      <c r="K297" s="12"/>
      <c r="L297" s="12"/>
    </row>
    <row r="298" spans="1:12" ht="16" x14ac:dyDescent="0.2">
      <c r="A298" s="8"/>
      <c r="B298" s="8"/>
      <c r="C298" s="8" t="str">
        <f t="shared" si="8"/>
        <v/>
      </c>
      <c r="D298" s="8" t="str">
        <f t="shared" si="9"/>
        <v/>
      </c>
      <c r="E298" s="12"/>
      <c r="F298" s="12"/>
      <c r="G298" s="12"/>
      <c r="H298" s="12" t="str">
        <f>IF(A298=0,"",VLOOKUP(B298,Materials!$A$2:$E$1001,6,FALSE))</f>
        <v/>
      </c>
      <c r="I298" s="12"/>
      <c r="J298" s="12"/>
      <c r="K298" s="12"/>
      <c r="L298" s="12"/>
    </row>
    <row r="299" spans="1:12" ht="16" x14ac:dyDescent="0.2">
      <c r="A299" s="8"/>
      <c r="B299" s="8"/>
      <c r="C299" s="8" t="str">
        <f t="shared" si="8"/>
        <v/>
      </c>
      <c r="D299" s="8" t="str">
        <f t="shared" si="9"/>
        <v/>
      </c>
      <c r="E299" s="12"/>
      <c r="F299" s="12"/>
      <c r="G299" s="12"/>
      <c r="H299" s="12" t="str">
        <f>IF(A299=0,"",VLOOKUP(B299,Materials!$A$2:$E$1001,6,FALSE))</f>
        <v/>
      </c>
      <c r="I299" s="12"/>
      <c r="J299" s="12"/>
      <c r="K299" s="12"/>
      <c r="L299" s="12"/>
    </row>
    <row r="300" spans="1:12" ht="16" x14ac:dyDescent="0.2">
      <c r="A300" s="8"/>
      <c r="B300" s="8"/>
      <c r="C300" s="8" t="str">
        <f t="shared" si="8"/>
        <v/>
      </c>
      <c r="D300" s="8" t="str">
        <f t="shared" si="9"/>
        <v/>
      </c>
      <c r="E300" s="12"/>
      <c r="F300" s="12"/>
      <c r="G300" s="12"/>
      <c r="H300" s="12" t="str">
        <f>IF(A300=0,"",VLOOKUP(B300,Materials!$A$2:$E$1001,6,FALSE))</f>
        <v/>
      </c>
      <c r="I300" s="12"/>
      <c r="J300" s="12"/>
      <c r="K300" s="12"/>
      <c r="L300" s="12"/>
    </row>
    <row r="301" spans="1:12" ht="16" x14ac:dyDescent="0.2">
      <c r="A301" s="8"/>
      <c r="B301" s="8"/>
      <c r="C301" s="8" t="str">
        <f t="shared" si="8"/>
        <v/>
      </c>
      <c r="D301" s="8" t="str">
        <f t="shared" si="9"/>
        <v/>
      </c>
      <c r="E301" s="12"/>
      <c r="F301" s="12"/>
      <c r="G301" s="12"/>
      <c r="H301" s="12" t="str">
        <f>IF(A301=0,"",VLOOKUP(B301,Materials!$A$2:$E$1001,6,FALSE))</f>
        <v/>
      </c>
      <c r="I301" s="12"/>
      <c r="J301" s="12"/>
      <c r="K301" s="12"/>
      <c r="L301" s="12"/>
    </row>
    <row r="302" spans="1:12" ht="16" x14ac:dyDescent="0.2">
      <c r="A302" s="8"/>
      <c r="B302" s="8"/>
      <c r="C302" s="8" t="str">
        <f t="shared" si="8"/>
        <v/>
      </c>
      <c r="D302" s="8" t="str">
        <f t="shared" si="9"/>
        <v/>
      </c>
      <c r="E302" s="12"/>
      <c r="F302" s="12"/>
      <c r="G302" s="12"/>
      <c r="H302" s="12" t="str">
        <f>IF(A302=0,"",VLOOKUP(B302,Materials!$A$2:$E$1001,6,FALSE))</f>
        <v/>
      </c>
      <c r="I302" s="12"/>
      <c r="J302" s="12"/>
      <c r="K302" s="12"/>
      <c r="L302" s="12"/>
    </row>
    <row r="303" spans="1:12" ht="16" x14ac:dyDescent="0.2">
      <c r="A303" s="8"/>
      <c r="B303" s="8"/>
      <c r="C303" s="8" t="str">
        <f t="shared" si="8"/>
        <v/>
      </c>
      <c r="D303" s="8" t="str">
        <f t="shared" si="9"/>
        <v/>
      </c>
      <c r="E303" s="12"/>
      <c r="F303" s="12"/>
      <c r="G303" s="12"/>
      <c r="H303" s="12" t="str">
        <f>IF(A303=0,"",VLOOKUP(B303,Materials!$A$2:$E$1001,6,FALSE))</f>
        <v/>
      </c>
      <c r="I303" s="12"/>
      <c r="J303" s="12"/>
      <c r="K303" s="12"/>
      <c r="L303" s="12"/>
    </row>
    <row r="304" spans="1:12" ht="16" x14ac:dyDescent="0.2">
      <c r="A304" s="8"/>
      <c r="B304" s="8"/>
      <c r="C304" s="8" t="str">
        <f t="shared" si="8"/>
        <v/>
      </c>
      <c r="D304" s="8" t="str">
        <f t="shared" si="9"/>
        <v/>
      </c>
      <c r="E304" s="12"/>
      <c r="F304" s="12"/>
      <c r="G304" s="12"/>
      <c r="H304" s="12" t="str">
        <f>IF(A304=0,"",VLOOKUP(B304,Materials!$A$2:$E$1001,6,FALSE))</f>
        <v/>
      </c>
      <c r="I304" s="12"/>
      <c r="J304" s="12"/>
      <c r="K304" s="12"/>
      <c r="L304" s="12"/>
    </row>
    <row r="305" spans="1:12" ht="16" x14ac:dyDescent="0.2">
      <c r="A305" s="8"/>
      <c r="B305" s="8"/>
      <c r="C305" s="8" t="str">
        <f t="shared" si="8"/>
        <v/>
      </c>
      <c r="D305" s="8" t="str">
        <f t="shared" si="9"/>
        <v/>
      </c>
      <c r="E305" s="12"/>
      <c r="F305" s="12"/>
      <c r="G305" s="12"/>
      <c r="H305" s="12" t="str">
        <f>IF(A305=0,"",VLOOKUP(B305,Materials!$A$2:$E$1001,6,FALSE))</f>
        <v/>
      </c>
      <c r="I305" s="12"/>
      <c r="J305" s="12"/>
      <c r="K305" s="12"/>
      <c r="L305" s="12"/>
    </row>
    <row r="306" spans="1:12" ht="16" x14ac:dyDescent="0.2">
      <c r="A306" s="8"/>
      <c r="B306" s="8"/>
      <c r="C306" s="8" t="str">
        <f t="shared" si="8"/>
        <v/>
      </c>
      <c r="D306" s="8" t="str">
        <f t="shared" si="9"/>
        <v/>
      </c>
      <c r="E306" s="12"/>
      <c r="F306" s="12"/>
      <c r="G306" s="12"/>
      <c r="H306" s="12" t="str">
        <f>IF(A306=0,"",VLOOKUP(B306,Materials!$A$2:$E$1001,6,FALSE))</f>
        <v/>
      </c>
      <c r="I306" s="12"/>
      <c r="J306" s="12"/>
      <c r="K306" s="12"/>
      <c r="L306" s="12"/>
    </row>
    <row r="307" spans="1:12" ht="16" x14ac:dyDescent="0.2">
      <c r="A307" s="8"/>
      <c r="B307" s="8"/>
      <c r="C307" s="8" t="str">
        <f t="shared" si="8"/>
        <v/>
      </c>
      <c r="D307" s="8" t="str">
        <f t="shared" si="9"/>
        <v/>
      </c>
      <c r="E307" s="12"/>
      <c r="F307" s="12"/>
      <c r="G307" s="12"/>
      <c r="H307" s="12" t="str">
        <f>IF(A307=0,"",VLOOKUP(B307,Materials!$A$2:$E$1001,6,FALSE))</f>
        <v/>
      </c>
      <c r="I307" s="12"/>
      <c r="J307" s="12"/>
      <c r="K307" s="12"/>
      <c r="L307" s="12"/>
    </row>
    <row r="308" spans="1:12" ht="16" x14ac:dyDescent="0.2">
      <c r="A308" s="8"/>
      <c r="B308" s="8"/>
      <c r="C308" s="8" t="str">
        <f t="shared" si="8"/>
        <v/>
      </c>
      <c r="D308" s="8" t="str">
        <f t="shared" si="9"/>
        <v/>
      </c>
      <c r="E308" s="12"/>
      <c r="F308" s="12"/>
      <c r="G308" s="12"/>
      <c r="H308" s="12" t="str">
        <f>IF(A308=0,"",VLOOKUP(B308,Materials!$A$2:$E$1001,6,FALSE))</f>
        <v/>
      </c>
      <c r="I308" s="12"/>
      <c r="J308" s="12"/>
      <c r="K308" s="12"/>
      <c r="L308" s="12"/>
    </row>
    <row r="309" spans="1:12" ht="16" x14ac:dyDescent="0.2">
      <c r="A309" s="8"/>
      <c r="B309" s="8"/>
      <c r="C309" s="8" t="str">
        <f t="shared" si="8"/>
        <v/>
      </c>
      <c r="D309" s="8" t="str">
        <f t="shared" si="9"/>
        <v/>
      </c>
      <c r="E309" s="12"/>
      <c r="F309" s="12"/>
      <c r="G309" s="12"/>
      <c r="H309" s="12" t="str">
        <f>IF(A309=0,"",VLOOKUP(B309,Materials!$A$2:$E$1001,6,FALSE))</f>
        <v/>
      </c>
      <c r="I309" s="12"/>
      <c r="J309" s="12"/>
      <c r="K309" s="12"/>
      <c r="L309" s="12"/>
    </row>
    <row r="310" spans="1:12" ht="16" x14ac:dyDescent="0.2">
      <c r="A310" s="8"/>
      <c r="B310" s="8"/>
      <c r="C310" s="8" t="str">
        <f t="shared" si="8"/>
        <v/>
      </c>
      <c r="D310" s="8" t="str">
        <f t="shared" si="9"/>
        <v/>
      </c>
      <c r="E310" s="12"/>
      <c r="F310" s="12"/>
      <c r="G310" s="12"/>
      <c r="H310" s="12" t="str">
        <f>IF(A310=0,"",VLOOKUP(B310,Materials!$A$2:$E$1001,6,FALSE))</f>
        <v/>
      </c>
      <c r="I310" s="12"/>
      <c r="J310" s="12"/>
      <c r="K310" s="12"/>
      <c r="L310" s="12"/>
    </row>
    <row r="311" spans="1:12" ht="16" x14ac:dyDescent="0.2">
      <c r="A311" s="8"/>
      <c r="B311" s="8"/>
      <c r="C311" s="8" t="str">
        <f t="shared" si="8"/>
        <v/>
      </c>
      <c r="D311" s="8" t="str">
        <f t="shared" si="9"/>
        <v/>
      </c>
      <c r="E311" s="12"/>
      <c r="F311" s="12"/>
      <c r="G311" s="12"/>
      <c r="H311" s="12" t="str">
        <f>IF(A311=0,"",VLOOKUP(B311,Materials!$A$2:$E$1001,6,FALSE))</f>
        <v/>
      </c>
      <c r="I311" s="12"/>
      <c r="J311" s="12"/>
      <c r="K311" s="12"/>
      <c r="L311" s="12"/>
    </row>
    <row r="312" spans="1:12" ht="16" x14ac:dyDescent="0.2">
      <c r="A312" s="8"/>
      <c r="B312" s="8"/>
      <c r="C312" s="8" t="str">
        <f t="shared" si="8"/>
        <v/>
      </c>
      <c r="D312" s="8" t="str">
        <f t="shared" si="9"/>
        <v/>
      </c>
      <c r="E312" s="12"/>
      <c r="F312" s="12"/>
      <c r="G312" s="12"/>
      <c r="H312" s="12" t="str">
        <f>IF(A312=0,"",VLOOKUP(B312,Materials!$A$2:$E$1001,6,FALSE))</f>
        <v/>
      </c>
      <c r="I312" s="12"/>
      <c r="J312" s="12"/>
      <c r="K312" s="12"/>
      <c r="L312" s="12"/>
    </row>
    <row r="313" spans="1:12" ht="16" x14ac:dyDescent="0.2">
      <c r="A313" s="8"/>
      <c r="B313" s="8"/>
      <c r="C313" s="8" t="str">
        <f t="shared" si="8"/>
        <v/>
      </c>
      <c r="D313" s="8" t="str">
        <f t="shared" si="9"/>
        <v/>
      </c>
      <c r="E313" s="12"/>
      <c r="F313" s="12"/>
      <c r="G313" s="12"/>
      <c r="H313" s="12" t="str">
        <f>IF(A313=0,"",VLOOKUP(B313,Materials!$A$2:$E$1001,6,FALSE))</f>
        <v/>
      </c>
      <c r="I313" s="12"/>
      <c r="J313" s="12"/>
      <c r="K313" s="12"/>
      <c r="L313" s="12"/>
    </row>
    <row r="314" spans="1:12" ht="16" x14ac:dyDescent="0.2">
      <c r="A314" s="8"/>
      <c r="B314" s="8"/>
      <c r="C314" s="8" t="str">
        <f t="shared" si="8"/>
        <v/>
      </c>
      <c r="D314" s="8" t="str">
        <f t="shared" si="9"/>
        <v/>
      </c>
      <c r="E314" s="12"/>
      <c r="F314" s="12"/>
      <c r="G314" s="12"/>
      <c r="H314" s="12" t="str">
        <f>IF(A314=0,"",VLOOKUP(B314,Materials!$A$2:$E$1001,6,FALSE))</f>
        <v/>
      </c>
      <c r="I314" s="12"/>
      <c r="J314" s="12"/>
      <c r="K314" s="12"/>
      <c r="L314" s="12"/>
    </row>
    <row r="315" spans="1:12" ht="16" x14ac:dyDescent="0.2">
      <c r="A315" s="8"/>
      <c r="B315" s="8"/>
      <c r="C315" s="8" t="str">
        <f t="shared" si="8"/>
        <v/>
      </c>
      <c r="D315" s="8" t="str">
        <f t="shared" si="9"/>
        <v/>
      </c>
      <c r="E315" s="12"/>
      <c r="F315" s="12"/>
      <c r="G315" s="12"/>
      <c r="H315" s="12" t="str">
        <f>IF(A315=0,"",VLOOKUP(B315,Materials!$A$2:$E$1001,6,FALSE))</f>
        <v/>
      </c>
      <c r="I315" s="12"/>
      <c r="J315" s="12"/>
      <c r="K315" s="12"/>
      <c r="L315" s="12"/>
    </row>
    <row r="316" spans="1:12" ht="16" x14ac:dyDescent="0.2">
      <c r="A316" s="8"/>
      <c r="B316" s="8"/>
      <c r="C316" s="8" t="str">
        <f t="shared" si="8"/>
        <v/>
      </c>
      <c r="D316" s="8" t="str">
        <f t="shared" si="9"/>
        <v/>
      </c>
      <c r="E316" s="12"/>
      <c r="F316" s="12"/>
      <c r="G316" s="12"/>
      <c r="H316" s="12" t="str">
        <f>IF(A316=0,"",VLOOKUP(B316,Materials!$A$2:$E$1001,6,FALSE))</f>
        <v/>
      </c>
      <c r="I316" s="12"/>
      <c r="J316" s="12"/>
      <c r="K316" s="12"/>
      <c r="L316" s="12"/>
    </row>
    <row r="317" spans="1:12" ht="16" x14ac:dyDescent="0.2">
      <c r="A317" s="8"/>
      <c r="B317" s="8"/>
      <c r="C317" s="8" t="str">
        <f t="shared" si="8"/>
        <v/>
      </c>
      <c r="D317" s="8" t="str">
        <f t="shared" si="9"/>
        <v/>
      </c>
      <c r="E317" s="12"/>
      <c r="F317" s="12"/>
      <c r="G317" s="12"/>
      <c r="H317" s="12" t="str">
        <f>IF(A317=0,"",VLOOKUP(B317,Materials!$A$2:$E$1001,6,FALSE))</f>
        <v/>
      </c>
      <c r="I317" s="12"/>
      <c r="J317" s="12"/>
      <c r="K317" s="12"/>
      <c r="L317" s="12"/>
    </row>
    <row r="318" spans="1:12" ht="16" x14ac:dyDescent="0.2">
      <c r="A318" s="8"/>
      <c r="B318" s="8"/>
      <c r="C318" s="8" t="str">
        <f t="shared" si="8"/>
        <v/>
      </c>
      <c r="D318" s="8" t="str">
        <f t="shared" si="9"/>
        <v/>
      </c>
      <c r="E318" s="12"/>
      <c r="F318" s="12"/>
      <c r="G318" s="12"/>
      <c r="H318" s="12" t="str">
        <f>IF(A318=0,"",VLOOKUP(B318,Materials!$A$2:$E$1001,6,FALSE))</f>
        <v/>
      </c>
      <c r="I318" s="12"/>
      <c r="J318" s="12"/>
      <c r="K318" s="12"/>
      <c r="L318" s="12"/>
    </row>
    <row r="319" spans="1:12" ht="16" x14ac:dyDescent="0.2">
      <c r="A319" s="8"/>
      <c r="B319" s="8"/>
      <c r="C319" s="8" t="str">
        <f t="shared" si="8"/>
        <v/>
      </c>
      <c r="D319" s="8" t="str">
        <f t="shared" si="9"/>
        <v/>
      </c>
      <c r="E319" s="12"/>
      <c r="F319" s="12"/>
      <c r="G319" s="12"/>
      <c r="H319" s="12" t="str">
        <f>IF(A319=0,"",VLOOKUP(B319,Materials!$A$2:$E$1001,6,FALSE))</f>
        <v/>
      </c>
      <c r="I319" s="12"/>
      <c r="J319" s="12"/>
      <c r="K319" s="12"/>
      <c r="L319" s="12"/>
    </row>
    <row r="320" spans="1:12" ht="16" x14ac:dyDescent="0.2">
      <c r="A320" s="8"/>
      <c r="B320" s="8"/>
      <c r="C320" s="8" t="str">
        <f t="shared" si="8"/>
        <v/>
      </c>
      <c r="D320" s="8" t="str">
        <f t="shared" si="9"/>
        <v/>
      </c>
      <c r="E320" s="12"/>
      <c r="F320" s="12"/>
      <c r="G320" s="12"/>
      <c r="H320" s="12" t="str">
        <f>IF(A320=0,"",VLOOKUP(B320,Materials!$A$2:$E$1001,6,FALSE))</f>
        <v/>
      </c>
      <c r="I320" s="12"/>
      <c r="J320" s="12"/>
      <c r="K320" s="12"/>
      <c r="L320" s="12"/>
    </row>
    <row r="321" spans="1:12" ht="16" x14ac:dyDescent="0.2">
      <c r="A321" s="8"/>
      <c r="B321" s="8"/>
      <c r="C321" s="8" t="str">
        <f t="shared" si="8"/>
        <v/>
      </c>
      <c r="D321" s="8" t="str">
        <f t="shared" si="9"/>
        <v/>
      </c>
      <c r="E321" s="12"/>
      <c r="F321" s="12"/>
      <c r="G321" s="12"/>
      <c r="H321" s="12" t="str">
        <f>IF(A321=0,"",VLOOKUP(B321,Materials!$A$2:$E$1001,6,FALSE))</f>
        <v/>
      </c>
      <c r="I321" s="12"/>
      <c r="J321" s="12"/>
      <c r="K321" s="12"/>
      <c r="L321" s="12"/>
    </row>
    <row r="322" spans="1:12" ht="16" x14ac:dyDescent="0.2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2"/>
      <c r="F322" s="12"/>
      <c r="G322" s="12"/>
      <c r="H322" s="12" t="str">
        <f>IF(A322=0,"",VLOOKUP(B322,Materials!$A$2:$E$1001,6,FALSE))</f>
        <v/>
      </c>
      <c r="I322" s="12"/>
      <c r="J322" s="12"/>
      <c r="K322" s="12"/>
      <c r="L322" s="12"/>
    </row>
    <row r="323" spans="1:12" ht="16" x14ac:dyDescent="0.2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2"/>
      <c r="F323" s="12"/>
      <c r="G323" s="12"/>
      <c r="H323" s="12" t="str">
        <f>IF(A323=0,"",VLOOKUP(B323,Materials!$A$2:$E$1001,6,FALSE))</f>
        <v/>
      </c>
      <c r="I323" s="12"/>
      <c r="J323" s="12"/>
      <c r="K323" s="12"/>
      <c r="L323" s="12"/>
    </row>
    <row r="324" spans="1:12" ht="16" x14ac:dyDescent="0.2">
      <c r="A324" s="8"/>
      <c r="B324" s="8"/>
      <c r="C324" s="8" t="str">
        <f t="shared" si="10"/>
        <v/>
      </c>
      <c r="D324" s="8" t="str">
        <f t="shared" si="11"/>
        <v/>
      </c>
      <c r="E324" s="12"/>
      <c r="F324" s="12"/>
      <c r="G324" s="12"/>
      <c r="H324" s="12" t="str">
        <f>IF(A324=0,"",VLOOKUP(B324,Materials!$A$2:$E$1001,6,FALSE))</f>
        <v/>
      </c>
      <c r="I324" s="12"/>
      <c r="J324" s="12"/>
      <c r="K324" s="12"/>
      <c r="L324" s="12"/>
    </row>
    <row r="325" spans="1:12" ht="16" x14ac:dyDescent="0.2">
      <c r="A325" s="8"/>
      <c r="B325" s="8"/>
      <c r="C325" s="8" t="str">
        <f t="shared" si="10"/>
        <v/>
      </c>
      <c r="D325" s="8" t="str">
        <f t="shared" si="11"/>
        <v/>
      </c>
      <c r="E325" s="12"/>
      <c r="F325" s="12"/>
      <c r="G325" s="12"/>
      <c r="H325" s="12" t="str">
        <f>IF(A325=0,"",VLOOKUP(B325,Materials!$A$2:$E$1001,6,FALSE))</f>
        <v/>
      </c>
      <c r="I325" s="12"/>
      <c r="J325" s="12"/>
      <c r="K325" s="12"/>
      <c r="L325" s="12"/>
    </row>
    <row r="326" spans="1:12" ht="16" x14ac:dyDescent="0.2">
      <c r="A326" s="8"/>
      <c r="B326" s="8"/>
      <c r="C326" s="8" t="str">
        <f t="shared" si="10"/>
        <v/>
      </c>
      <c r="D326" s="8" t="str">
        <f t="shared" si="11"/>
        <v/>
      </c>
      <c r="E326" s="12"/>
      <c r="F326" s="12"/>
      <c r="G326" s="12"/>
      <c r="H326" s="12" t="str">
        <f>IF(A326=0,"",VLOOKUP(B326,Materials!$A$2:$E$1001,6,FALSE))</f>
        <v/>
      </c>
      <c r="I326" s="12"/>
      <c r="J326" s="12"/>
      <c r="K326" s="12"/>
      <c r="L326" s="12"/>
    </row>
    <row r="327" spans="1:12" ht="16" x14ac:dyDescent="0.2">
      <c r="A327" s="8"/>
      <c r="B327" s="8"/>
      <c r="C327" s="8" t="str">
        <f t="shared" si="10"/>
        <v/>
      </c>
      <c r="D327" s="8" t="str">
        <f t="shared" si="11"/>
        <v/>
      </c>
      <c r="E327" s="12"/>
      <c r="F327" s="12"/>
      <c r="G327" s="12"/>
      <c r="H327" s="12" t="str">
        <f>IF(A327=0,"",VLOOKUP(B327,Materials!$A$2:$E$1001,6,FALSE))</f>
        <v/>
      </c>
      <c r="I327" s="12"/>
      <c r="J327" s="12"/>
      <c r="K327" s="12"/>
      <c r="L327" s="12"/>
    </row>
    <row r="328" spans="1:12" ht="16" x14ac:dyDescent="0.2">
      <c r="A328" s="8"/>
      <c r="B328" s="8"/>
      <c r="C328" s="8" t="str">
        <f t="shared" si="10"/>
        <v/>
      </c>
      <c r="D328" s="8" t="str">
        <f t="shared" si="11"/>
        <v/>
      </c>
      <c r="E328" s="12"/>
      <c r="F328" s="12"/>
      <c r="G328" s="12"/>
      <c r="H328" s="12" t="str">
        <f>IF(A328=0,"",VLOOKUP(B328,Materials!$A$2:$E$1001,6,FALSE))</f>
        <v/>
      </c>
      <c r="I328" s="12"/>
      <c r="J328" s="12"/>
      <c r="K328" s="12"/>
      <c r="L328" s="12"/>
    </row>
    <row r="329" spans="1:12" ht="16" x14ac:dyDescent="0.2">
      <c r="A329" s="8"/>
      <c r="B329" s="8"/>
      <c r="C329" s="8" t="str">
        <f t="shared" si="10"/>
        <v/>
      </c>
      <c r="D329" s="8" t="str">
        <f t="shared" si="11"/>
        <v/>
      </c>
      <c r="E329" s="12"/>
      <c r="F329" s="12"/>
      <c r="G329" s="12"/>
      <c r="H329" s="12" t="str">
        <f>IF(A329=0,"",VLOOKUP(B329,Materials!$A$2:$E$1001,6,FALSE))</f>
        <v/>
      </c>
      <c r="I329" s="12"/>
      <c r="J329" s="12"/>
      <c r="K329" s="12"/>
      <c r="L329" s="12"/>
    </row>
    <row r="330" spans="1:12" ht="16" x14ac:dyDescent="0.2">
      <c r="A330" s="8"/>
      <c r="B330" s="8"/>
      <c r="C330" s="8" t="str">
        <f t="shared" si="10"/>
        <v/>
      </c>
      <c r="D330" s="8" t="str">
        <f t="shared" si="11"/>
        <v/>
      </c>
      <c r="E330" s="12"/>
      <c r="F330" s="12"/>
      <c r="G330" s="12"/>
      <c r="H330" s="12" t="str">
        <f>IF(A330=0,"",VLOOKUP(B330,Materials!$A$2:$E$1001,6,FALSE))</f>
        <v/>
      </c>
      <c r="I330" s="12"/>
      <c r="J330" s="12"/>
      <c r="K330" s="12"/>
      <c r="L330" s="12"/>
    </row>
    <row r="331" spans="1:12" ht="16" x14ac:dyDescent="0.2">
      <c r="A331" s="8"/>
      <c r="B331" s="8"/>
      <c r="C331" s="8" t="str">
        <f t="shared" si="10"/>
        <v/>
      </c>
      <c r="D331" s="8" t="str">
        <f t="shared" si="11"/>
        <v/>
      </c>
      <c r="E331" s="12"/>
      <c r="F331" s="12"/>
      <c r="G331" s="12"/>
      <c r="H331" s="12" t="str">
        <f>IF(A331=0,"",VLOOKUP(B331,Materials!$A$2:$E$1001,6,FALSE))</f>
        <v/>
      </c>
      <c r="I331" s="12"/>
      <c r="J331" s="12"/>
      <c r="K331" s="12"/>
      <c r="L331" s="12"/>
    </row>
    <row r="332" spans="1:12" ht="16" x14ac:dyDescent="0.2">
      <c r="A332" s="8"/>
      <c r="B332" s="8"/>
      <c r="C332" s="8" t="str">
        <f t="shared" si="10"/>
        <v/>
      </c>
      <c r="D332" s="8" t="str">
        <f t="shared" si="11"/>
        <v/>
      </c>
      <c r="E332" s="12"/>
      <c r="F332" s="12"/>
      <c r="G332" s="12"/>
      <c r="H332" s="12" t="str">
        <f>IF(A332=0,"",VLOOKUP(B332,Materials!$A$2:$E$1001,6,FALSE))</f>
        <v/>
      </c>
      <c r="I332" s="12"/>
      <c r="J332" s="12"/>
      <c r="K332" s="12"/>
      <c r="L332" s="12"/>
    </row>
    <row r="333" spans="1:12" ht="16" x14ac:dyDescent="0.2">
      <c r="A333" s="8"/>
      <c r="B333" s="8"/>
      <c r="C333" s="8" t="str">
        <f t="shared" si="10"/>
        <v/>
      </c>
      <c r="D333" s="8" t="str">
        <f t="shared" si="11"/>
        <v/>
      </c>
      <c r="E333" s="12"/>
      <c r="F333" s="12"/>
      <c r="G333" s="12"/>
      <c r="H333" s="12" t="str">
        <f>IF(A333=0,"",VLOOKUP(B333,Materials!$A$2:$E$1001,6,FALSE))</f>
        <v/>
      </c>
      <c r="I333" s="12"/>
      <c r="J333" s="12"/>
      <c r="K333" s="12"/>
      <c r="L333" s="12"/>
    </row>
    <row r="334" spans="1:12" ht="16" x14ac:dyDescent="0.2">
      <c r="A334" s="8"/>
      <c r="B334" s="8"/>
      <c r="C334" s="8" t="str">
        <f t="shared" si="10"/>
        <v/>
      </c>
      <c r="D334" s="8" t="str">
        <f t="shared" si="11"/>
        <v/>
      </c>
      <c r="E334" s="12"/>
      <c r="F334" s="12"/>
      <c r="G334" s="12"/>
      <c r="H334" s="12" t="str">
        <f>IF(A334=0,"",VLOOKUP(B334,Materials!$A$2:$E$1001,6,FALSE))</f>
        <v/>
      </c>
      <c r="I334" s="12"/>
      <c r="J334" s="12"/>
      <c r="K334" s="12"/>
      <c r="L334" s="12"/>
    </row>
    <row r="335" spans="1:12" ht="16" x14ac:dyDescent="0.2">
      <c r="A335" s="8"/>
      <c r="B335" s="8"/>
      <c r="C335" s="8" t="str">
        <f t="shared" si="10"/>
        <v/>
      </c>
      <c r="D335" s="8" t="str">
        <f t="shared" si="11"/>
        <v/>
      </c>
      <c r="E335" s="12"/>
      <c r="F335" s="12"/>
      <c r="G335" s="12"/>
      <c r="H335" s="12" t="str">
        <f>IF(A335=0,"",VLOOKUP(B335,Materials!$A$2:$E$1001,6,FALSE))</f>
        <v/>
      </c>
      <c r="I335" s="12"/>
      <c r="J335" s="12"/>
      <c r="K335" s="12"/>
      <c r="L335" s="12"/>
    </row>
    <row r="336" spans="1:12" ht="16" x14ac:dyDescent="0.2">
      <c r="A336" s="8"/>
      <c r="B336" s="8"/>
      <c r="C336" s="8" t="str">
        <f t="shared" si="10"/>
        <v/>
      </c>
      <c r="D336" s="8" t="str">
        <f t="shared" si="11"/>
        <v/>
      </c>
      <c r="E336" s="12"/>
      <c r="F336" s="12"/>
      <c r="G336" s="12"/>
      <c r="H336" s="12" t="str">
        <f>IF(A336=0,"",VLOOKUP(B336,Materials!$A$2:$E$1001,6,FALSE))</f>
        <v/>
      </c>
      <c r="I336" s="12"/>
      <c r="J336" s="12"/>
      <c r="K336" s="12"/>
      <c r="L336" s="12"/>
    </row>
    <row r="337" spans="1:12" ht="16" x14ac:dyDescent="0.2">
      <c r="A337" s="8"/>
      <c r="B337" s="8"/>
      <c r="C337" s="8" t="str">
        <f t="shared" si="10"/>
        <v/>
      </c>
      <c r="D337" s="8" t="str">
        <f t="shared" si="11"/>
        <v/>
      </c>
      <c r="E337" s="12"/>
      <c r="F337" s="12"/>
      <c r="G337" s="12"/>
      <c r="H337" s="12" t="str">
        <f>IF(A337=0,"",VLOOKUP(B337,Materials!$A$2:$E$1001,6,FALSE))</f>
        <v/>
      </c>
      <c r="I337" s="12"/>
      <c r="J337" s="12"/>
      <c r="K337" s="12"/>
      <c r="L337" s="12"/>
    </row>
    <row r="338" spans="1:12" ht="16" x14ac:dyDescent="0.2">
      <c r="A338" s="8"/>
      <c r="B338" s="8"/>
      <c r="C338" s="8" t="str">
        <f t="shared" si="10"/>
        <v/>
      </c>
      <c r="D338" s="8" t="str">
        <f t="shared" si="11"/>
        <v/>
      </c>
      <c r="E338" s="12"/>
      <c r="F338" s="12"/>
      <c r="G338" s="12"/>
      <c r="H338" s="12" t="str">
        <f>IF(A338=0,"",VLOOKUP(B338,Materials!$A$2:$E$1001,6,FALSE))</f>
        <v/>
      </c>
      <c r="I338" s="12"/>
      <c r="J338" s="12"/>
      <c r="K338" s="12"/>
      <c r="L338" s="12"/>
    </row>
    <row r="339" spans="1:12" ht="16" x14ac:dyDescent="0.2">
      <c r="A339" s="8"/>
      <c r="B339" s="8"/>
      <c r="C339" s="8" t="str">
        <f t="shared" si="10"/>
        <v/>
      </c>
      <c r="D339" s="8" t="str">
        <f t="shared" si="11"/>
        <v/>
      </c>
      <c r="E339" s="12"/>
      <c r="F339" s="12"/>
      <c r="G339" s="12"/>
      <c r="H339" s="12" t="str">
        <f>IF(A339=0,"",VLOOKUP(B339,Materials!$A$2:$E$1001,6,FALSE))</f>
        <v/>
      </c>
      <c r="I339" s="12"/>
      <c r="J339" s="12"/>
      <c r="K339" s="12"/>
      <c r="L339" s="12"/>
    </row>
    <row r="340" spans="1:12" ht="16" x14ac:dyDescent="0.2">
      <c r="A340" s="8"/>
      <c r="B340" s="8"/>
      <c r="C340" s="8" t="str">
        <f t="shared" si="10"/>
        <v/>
      </c>
      <c r="D340" s="8" t="str">
        <f t="shared" si="11"/>
        <v/>
      </c>
      <c r="E340" s="12"/>
      <c r="F340" s="12"/>
      <c r="G340" s="12"/>
      <c r="H340" s="12" t="str">
        <f>IF(A340=0,"",VLOOKUP(B340,Materials!$A$2:$E$1001,6,FALSE))</f>
        <v/>
      </c>
      <c r="I340" s="12"/>
      <c r="J340" s="12"/>
      <c r="K340" s="12"/>
      <c r="L340" s="12"/>
    </row>
    <row r="341" spans="1:12" ht="16" x14ac:dyDescent="0.2">
      <c r="A341" s="8"/>
      <c r="B341" s="8"/>
      <c r="C341" s="8" t="str">
        <f t="shared" si="10"/>
        <v/>
      </c>
      <c r="D341" s="8" t="str">
        <f t="shared" si="11"/>
        <v/>
      </c>
      <c r="E341" s="12"/>
      <c r="F341" s="12"/>
      <c r="G341" s="12"/>
      <c r="H341" s="12" t="str">
        <f>IF(A341=0,"",VLOOKUP(B341,Materials!$A$2:$E$1001,6,FALSE))</f>
        <v/>
      </c>
      <c r="I341" s="12"/>
      <c r="J341" s="12"/>
      <c r="K341" s="12"/>
      <c r="L341" s="12"/>
    </row>
    <row r="342" spans="1:12" ht="16" x14ac:dyDescent="0.2">
      <c r="A342" s="8"/>
      <c r="B342" s="8"/>
      <c r="C342" s="8" t="str">
        <f t="shared" si="10"/>
        <v/>
      </c>
      <c r="D342" s="8" t="str">
        <f t="shared" si="11"/>
        <v/>
      </c>
      <c r="E342" s="12"/>
      <c r="F342" s="12"/>
      <c r="G342" s="12"/>
      <c r="H342" s="12" t="str">
        <f>IF(A342=0,"",VLOOKUP(B342,Materials!$A$2:$E$1001,6,FALSE))</f>
        <v/>
      </c>
      <c r="I342" s="12"/>
      <c r="J342" s="12"/>
      <c r="K342" s="12"/>
      <c r="L342" s="12"/>
    </row>
    <row r="343" spans="1:12" ht="16" x14ac:dyDescent="0.2">
      <c r="A343" s="8"/>
      <c r="B343" s="8"/>
      <c r="C343" s="8" t="str">
        <f t="shared" si="10"/>
        <v/>
      </c>
      <c r="D343" s="8" t="str">
        <f t="shared" si="11"/>
        <v/>
      </c>
      <c r="E343" s="12"/>
      <c r="F343" s="12"/>
      <c r="G343" s="12"/>
      <c r="H343" s="12" t="str">
        <f>IF(A343=0,"",VLOOKUP(B343,Materials!$A$2:$E$1001,6,FALSE))</f>
        <v/>
      </c>
      <c r="I343" s="12"/>
      <c r="J343" s="12"/>
      <c r="K343" s="12"/>
      <c r="L343" s="12"/>
    </row>
    <row r="344" spans="1:12" ht="16" x14ac:dyDescent="0.2">
      <c r="A344" s="8"/>
      <c r="B344" s="8"/>
      <c r="C344" s="8" t="str">
        <f t="shared" si="10"/>
        <v/>
      </c>
      <c r="D344" s="8" t="str">
        <f t="shared" si="11"/>
        <v/>
      </c>
      <c r="E344" s="12"/>
      <c r="F344" s="12"/>
      <c r="G344" s="12"/>
      <c r="H344" s="12" t="str">
        <f>IF(A344=0,"",VLOOKUP(B344,Materials!$A$2:$E$1001,6,FALSE))</f>
        <v/>
      </c>
      <c r="I344" s="12"/>
      <c r="J344" s="12"/>
      <c r="K344" s="12"/>
      <c r="L344" s="12"/>
    </row>
    <row r="345" spans="1:12" ht="16" x14ac:dyDescent="0.2">
      <c r="A345" s="8"/>
      <c r="B345" s="8"/>
      <c r="C345" s="8" t="str">
        <f t="shared" si="10"/>
        <v/>
      </c>
      <c r="D345" s="8" t="str">
        <f t="shared" si="11"/>
        <v/>
      </c>
      <c r="E345" s="12"/>
      <c r="F345" s="12"/>
      <c r="G345" s="12"/>
      <c r="H345" s="12" t="str">
        <f>IF(A345=0,"",VLOOKUP(B345,Materials!$A$2:$E$1001,6,FALSE))</f>
        <v/>
      </c>
      <c r="I345" s="12"/>
      <c r="J345" s="12"/>
      <c r="K345" s="12"/>
      <c r="L345" s="12"/>
    </row>
    <row r="346" spans="1:12" ht="16" x14ac:dyDescent="0.2">
      <c r="A346" s="8"/>
      <c r="B346" s="8"/>
      <c r="C346" s="8" t="str">
        <f t="shared" si="10"/>
        <v/>
      </c>
      <c r="D346" s="8" t="str">
        <f t="shared" si="11"/>
        <v/>
      </c>
      <c r="E346" s="12"/>
      <c r="F346" s="12"/>
      <c r="G346" s="12"/>
      <c r="H346" s="12" t="str">
        <f>IF(A346=0,"",VLOOKUP(B346,Materials!$A$2:$E$1001,6,FALSE))</f>
        <v/>
      </c>
      <c r="I346" s="12"/>
      <c r="J346" s="12"/>
      <c r="K346" s="12"/>
      <c r="L346" s="12"/>
    </row>
    <row r="347" spans="1:12" ht="16" x14ac:dyDescent="0.2">
      <c r="A347" s="8"/>
      <c r="B347" s="8"/>
      <c r="C347" s="8" t="str">
        <f t="shared" si="10"/>
        <v/>
      </c>
      <c r="D347" s="8" t="str">
        <f t="shared" si="11"/>
        <v/>
      </c>
      <c r="E347" s="12"/>
      <c r="F347" s="12"/>
      <c r="G347" s="12"/>
      <c r="H347" s="12" t="str">
        <f>IF(A347=0,"",VLOOKUP(B347,Materials!$A$2:$E$1001,6,FALSE))</f>
        <v/>
      </c>
      <c r="I347" s="12"/>
      <c r="J347" s="12"/>
      <c r="K347" s="12"/>
      <c r="L347" s="12"/>
    </row>
    <row r="348" spans="1:12" ht="16" x14ac:dyDescent="0.2">
      <c r="A348" s="8"/>
      <c r="B348" s="8"/>
      <c r="C348" s="8" t="str">
        <f t="shared" si="10"/>
        <v/>
      </c>
      <c r="D348" s="8" t="str">
        <f t="shared" si="11"/>
        <v/>
      </c>
      <c r="E348" s="12"/>
      <c r="F348" s="12"/>
      <c r="G348" s="12"/>
      <c r="H348" s="12" t="str">
        <f>IF(A348=0,"",VLOOKUP(B348,Materials!$A$2:$E$1001,6,FALSE))</f>
        <v/>
      </c>
      <c r="I348" s="12"/>
      <c r="J348" s="12"/>
      <c r="K348" s="12"/>
      <c r="L348" s="12"/>
    </row>
    <row r="349" spans="1:12" ht="16" x14ac:dyDescent="0.2">
      <c r="A349" s="8"/>
      <c r="B349" s="8"/>
      <c r="C349" s="8" t="str">
        <f t="shared" si="10"/>
        <v/>
      </c>
      <c r="D349" s="8" t="str">
        <f t="shared" si="11"/>
        <v/>
      </c>
      <c r="E349" s="12"/>
      <c r="F349" s="12"/>
      <c r="G349" s="12"/>
      <c r="H349" s="12" t="str">
        <f>IF(A349=0,"",VLOOKUP(B349,Materials!$A$2:$E$1001,6,FALSE))</f>
        <v/>
      </c>
      <c r="I349" s="12"/>
      <c r="J349" s="12"/>
      <c r="K349" s="12"/>
      <c r="L349" s="12"/>
    </row>
    <row r="350" spans="1:12" ht="16" x14ac:dyDescent="0.2">
      <c r="A350" s="8"/>
      <c r="B350" s="8"/>
      <c r="C350" s="8" t="str">
        <f t="shared" si="10"/>
        <v/>
      </c>
      <c r="D350" s="8" t="str">
        <f t="shared" si="11"/>
        <v/>
      </c>
      <c r="E350" s="12"/>
      <c r="F350" s="12"/>
      <c r="G350" s="12"/>
      <c r="H350" s="12" t="str">
        <f>IF(A350=0,"",VLOOKUP(B350,Materials!$A$2:$E$1001,6,FALSE))</f>
        <v/>
      </c>
      <c r="I350" s="12"/>
      <c r="J350" s="12"/>
      <c r="K350" s="12"/>
      <c r="L350" s="12"/>
    </row>
    <row r="351" spans="1:12" ht="16" x14ac:dyDescent="0.2">
      <c r="A351" s="8"/>
      <c r="B351" s="8"/>
      <c r="C351" s="8" t="str">
        <f t="shared" si="10"/>
        <v/>
      </c>
      <c r="D351" s="8" t="str">
        <f t="shared" si="11"/>
        <v/>
      </c>
      <c r="E351" s="12"/>
      <c r="F351" s="12"/>
      <c r="G351" s="12"/>
      <c r="H351" s="12" t="str">
        <f>IF(A351=0,"",VLOOKUP(B351,Materials!$A$2:$E$1001,6,FALSE))</f>
        <v/>
      </c>
      <c r="I351" s="12"/>
      <c r="J351" s="12"/>
      <c r="K351" s="12"/>
      <c r="L351" s="12"/>
    </row>
    <row r="352" spans="1:12" ht="16" x14ac:dyDescent="0.2">
      <c r="A352" s="8"/>
      <c r="B352" s="8"/>
      <c r="C352" s="8" t="str">
        <f t="shared" si="10"/>
        <v/>
      </c>
      <c r="D352" s="8" t="str">
        <f t="shared" si="11"/>
        <v/>
      </c>
      <c r="E352" s="12"/>
      <c r="F352" s="12"/>
      <c r="G352" s="12"/>
      <c r="H352" s="12" t="str">
        <f>IF(A352=0,"",VLOOKUP(B352,Materials!$A$2:$E$1001,6,FALSE))</f>
        <v/>
      </c>
      <c r="I352" s="12"/>
      <c r="J352" s="12"/>
      <c r="K352" s="12"/>
      <c r="L352" s="12"/>
    </row>
    <row r="353" spans="1:12" ht="16" x14ac:dyDescent="0.2">
      <c r="A353" s="8"/>
      <c r="B353" s="8"/>
      <c r="C353" s="8" t="str">
        <f t="shared" si="10"/>
        <v/>
      </c>
      <c r="D353" s="8" t="str">
        <f t="shared" si="11"/>
        <v/>
      </c>
      <c r="E353" s="12"/>
      <c r="F353" s="12"/>
      <c r="G353" s="12"/>
      <c r="H353" s="12" t="str">
        <f>IF(A353=0,"",VLOOKUP(B353,Materials!$A$2:$E$1001,6,FALSE))</f>
        <v/>
      </c>
      <c r="I353" s="12"/>
      <c r="J353" s="12"/>
      <c r="K353" s="12"/>
      <c r="L353" s="12"/>
    </row>
    <row r="354" spans="1:12" ht="16" x14ac:dyDescent="0.2">
      <c r="A354" s="8"/>
      <c r="B354" s="8"/>
      <c r="C354" s="8" t="str">
        <f t="shared" si="10"/>
        <v/>
      </c>
      <c r="D354" s="8" t="str">
        <f t="shared" si="11"/>
        <v/>
      </c>
      <c r="E354" s="12"/>
      <c r="F354" s="12"/>
      <c r="G354" s="12"/>
      <c r="H354" s="12" t="str">
        <f>IF(A354=0,"",VLOOKUP(B354,Materials!$A$2:$E$1001,6,FALSE))</f>
        <v/>
      </c>
      <c r="I354" s="12"/>
      <c r="J354" s="12"/>
      <c r="K354" s="12"/>
      <c r="L354" s="12"/>
    </row>
    <row r="355" spans="1:12" ht="16" x14ac:dyDescent="0.2">
      <c r="A355" s="8"/>
      <c r="B355" s="8"/>
      <c r="C355" s="8" t="str">
        <f t="shared" si="10"/>
        <v/>
      </c>
      <c r="D355" s="8" t="str">
        <f t="shared" si="11"/>
        <v/>
      </c>
      <c r="E355" s="12"/>
      <c r="F355" s="12"/>
      <c r="G355" s="12"/>
      <c r="H355" s="12" t="str">
        <f>IF(A355=0,"",VLOOKUP(B355,Materials!$A$2:$E$1001,6,FALSE))</f>
        <v/>
      </c>
      <c r="I355" s="12"/>
      <c r="J355" s="12"/>
      <c r="K355" s="12"/>
      <c r="L355" s="12"/>
    </row>
    <row r="356" spans="1:12" ht="16" x14ac:dyDescent="0.2">
      <c r="A356" s="8"/>
      <c r="B356" s="8"/>
      <c r="C356" s="8" t="str">
        <f t="shared" si="10"/>
        <v/>
      </c>
      <c r="D356" s="8" t="str">
        <f t="shared" si="11"/>
        <v/>
      </c>
      <c r="E356" s="12"/>
      <c r="F356" s="12"/>
      <c r="G356" s="12"/>
      <c r="H356" s="12" t="str">
        <f>IF(A356=0,"",VLOOKUP(B356,Materials!$A$2:$E$1001,6,FALSE))</f>
        <v/>
      </c>
      <c r="I356" s="12"/>
      <c r="J356" s="12"/>
      <c r="K356" s="12"/>
      <c r="L356" s="12"/>
    </row>
    <row r="357" spans="1:12" ht="16" x14ac:dyDescent="0.2">
      <c r="A357" s="8"/>
      <c r="B357" s="8"/>
      <c r="C357" s="8" t="str">
        <f t="shared" si="10"/>
        <v/>
      </c>
      <c r="D357" s="8" t="str">
        <f t="shared" si="11"/>
        <v/>
      </c>
      <c r="E357" s="12"/>
      <c r="F357" s="12"/>
      <c r="G357" s="12"/>
      <c r="H357" s="12" t="str">
        <f>IF(A357=0,"",VLOOKUP(B357,Materials!$A$2:$E$1001,6,FALSE))</f>
        <v/>
      </c>
      <c r="I357" s="12"/>
      <c r="J357" s="12"/>
      <c r="K357" s="12"/>
      <c r="L357" s="12"/>
    </row>
    <row r="358" spans="1:12" ht="16" x14ac:dyDescent="0.2">
      <c r="A358" s="8"/>
      <c r="B358" s="8"/>
      <c r="C358" s="8" t="str">
        <f t="shared" si="10"/>
        <v/>
      </c>
      <c r="D358" s="8" t="str">
        <f t="shared" si="11"/>
        <v/>
      </c>
      <c r="E358" s="12"/>
      <c r="F358" s="12"/>
      <c r="G358" s="12"/>
      <c r="H358" s="12" t="str">
        <f>IF(A358=0,"",VLOOKUP(B358,Materials!$A$2:$E$1001,6,FALSE))</f>
        <v/>
      </c>
      <c r="I358" s="12"/>
      <c r="J358" s="12"/>
      <c r="K358" s="12"/>
      <c r="L358" s="12"/>
    </row>
    <row r="359" spans="1:12" ht="16" x14ac:dyDescent="0.2">
      <c r="A359" s="8"/>
      <c r="B359" s="8"/>
      <c r="C359" s="8" t="str">
        <f t="shared" si="10"/>
        <v/>
      </c>
      <c r="D359" s="8" t="str">
        <f t="shared" si="11"/>
        <v/>
      </c>
      <c r="E359" s="12"/>
      <c r="F359" s="12"/>
      <c r="G359" s="12"/>
      <c r="H359" s="12" t="str">
        <f>IF(A359=0,"",VLOOKUP(B359,Materials!$A$2:$E$1001,6,FALSE))</f>
        <v/>
      </c>
      <c r="I359" s="12"/>
      <c r="J359" s="12"/>
      <c r="K359" s="12"/>
      <c r="L359" s="12"/>
    </row>
    <row r="360" spans="1:12" ht="16" x14ac:dyDescent="0.2">
      <c r="A360" s="8"/>
      <c r="B360" s="8"/>
      <c r="C360" s="8" t="str">
        <f t="shared" si="10"/>
        <v/>
      </c>
      <c r="D360" s="8" t="str">
        <f t="shared" si="11"/>
        <v/>
      </c>
      <c r="E360" s="12"/>
      <c r="F360" s="12"/>
      <c r="G360" s="12"/>
      <c r="H360" s="12" t="str">
        <f>IF(A360=0,"",VLOOKUP(B360,Materials!$A$2:$E$1001,6,FALSE))</f>
        <v/>
      </c>
      <c r="I360" s="12"/>
      <c r="J360" s="12"/>
      <c r="K360" s="12"/>
      <c r="L360" s="12"/>
    </row>
    <row r="361" spans="1:12" ht="16" x14ac:dyDescent="0.2">
      <c r="A361" s="8"/>
      <c r="B361" s="8"/>
      <c r="C361" s="8" t="str">
        <f t="shared" si="10"/>
        <v/>
      </c>
      <c r="D361" s="8" t="str">
        <f t="shared" si="11"/>
        <v/>
      </c>
      <c r="E361" s="12"/>
      <c r="F361" s="12"/>
      <c r="G361" s="12"/>
      <c r="H361" s="12" t="str">
        <f>IF(A361=0,"",VLOOKUP(B361,Materials!$A$2:$E$1001,6,FALSE))</f>
        <v/>
      </c>
      <c r="I361" s="12"/>
      <c r="J361" s="12"/>
      <c r="K361" s="12"/>
      <c r="L361" s="12"/>
    </row>
    <row r="362" spans="1:12" ht="16" x14ac:dyDescent="0.2">
      <c r="A362" s="8"/>
      <c r="B362" s="8"/>
      <c r="C362" s="8" t="str">
        <f t="shared" si="10"/>
        <v/>
      </c>
      <c r="D362" s="8" t="str">
        <f t="shared" si="11"/>
        <v/>
      </c>
      <c r="E362" s="12"/>
      <c r="F362" s="12"/>
      <c r="G362" s="12"/>
      <c r="H362" s="12" t="str">
        <f>IF(A362=0,"",VLOOKUP(B362,Materials!$A$2:$E$1001,6,FALSE))</f>
        <v/>
      </c>
      <c r="I362" s="12"/>
      <c r="J362" s="12"/>
      <c r="K362" s="12"/>
      <c r="L362" s="12"/>
    </row>
    <row r="363" spans="1:12" ht="16" x14ac:dyDescent="0.2">
      <c r="A363" s="8"/>
      <c r="B363" s="8"/>
      <c r="C363" s="8" t="str">
        <f t="shared" si="10"/>
        <v/>
      </c>
      <c r="D363" s="8" t="str">
        <f t="shared" si="11"/>
        <v/>
      </c>
      <c r="E363" s="12"/>
      <c r="F363" s="12"/>
      <c r="G363" s="12"/>
      <c r="H363" s="12" t="str">
        <f>IF(A363=0,"",VLOOKUP(B363,Materials!$A$2:$E$1001,6,FALSE))</f>
        <v/>
      </c>
      <c r="I363" s="12"/>
      <c r="J363" s="12"/>
      <c r="K363" s="12"/>
      <c r="L363" s="12"/>
    </row>
    <row r="364" spans="1:12" ht="16" x14ac:dyDescent="0.2">
      <c r="A364" s="8"/>
      <c r="B364" s="8"/>
      <c r="C364" s="8" t="str">
        <f t="shared" si="10"/>
        <v/>
      </c>
      <c r="D364" s="8" t="str">
        <f t="shared" si="11"/>
        <v/>
      </c>
      <c r="E364" s="12"/>
      <c r="F364" s="12"/>
      <c r="G364" s="12"/>
      <c r="H364" s="12" t="str">
        <f>IF(A364=0,"",VLOOKUP(B364,Materials!$A$2:$E$1001,6,FALSE))</f>
        <v/>
      </c>
      <c r="I364" s="12"/>
      <c r="J364" s="12"/>
      <c r="K364" s="12"/>
      <c r="L364" s="12"/>
    </row>
    <row r="365" spans="1:12" ht="16" x14ac:dyDescent="0.2">
      <c r="A365" s="8"/>
      <c r="B365" s="8"/>
      <c r="C365" s="8" t="str">
        <f t="shared" si="10"/>
        <v/>
      </c>
      <c r="D365" s="8" t="str">
        <f t="shared" si="11"/>
        <v/>
      </c>
      <c r="E365" s="12"/>
      <c r="F365" s="12"/>
      <c r="G365" s="12"/>
      <c r="H365" s="12" t="str">
        <f>IF(A365=0,"",VLOOKUP(B365,Materials!$A$2:$E$1001,6,FALSE))</f>
        <v/>
      </c>
      <c r="I365" s="12"/>
      <c r="J365" s="12"/>
      <c r="K365" s="12"/>
      <c r="L365" s="12"/>
    </row>
    <row r="366" spans="1:12" ht="16" x14ac:dyDescent="0.2">
      <c r="A366" s="8"/>
      <c r="B366" s="8"/>
      <c r="C366" s="8" t="str">
        <f t="shared" si="10"/>
        <v/>
      </c>
      <c r="D366" s="8" t="str">
        <f t="shared" si="11"/>
        <v/>
      </c>
      <c r="E366" s="12"/>
      <c r="F366" s="12"/>
      <c r="G366" s="12"/>
      <c r="H366" s="12" t="str">
        <f>IF(A366=0,"",VLOOKUP(B366,Materials!$A$2:$E$1001,6,FALSE))</f>
        <v/>
      </c>
      <c r="I366" s="12"/>
      <c r="J366" s="12"/>
      <c r="K366" s="12"/>
      <c r="L366" s="12"/>
    </row>
    <row r="367" spans="1:12" ht="16" x14ac:dyDescent="0.2">
      <c r="A367" s="8"/>
      <c r="B367" s="8"/>
      <c r="C367" s="8" t="str">
        <f t="shared" si="10"/>
        <v/>
      </c>
      <c r="D367" s="8" t="str">
        <f t="shared" si="11"/>
        <v/>
      </c>
      <c r="E367" s="12"/>
      <c r="F367" s="12"/>
      <c r="G367" s="12"/>
      <c r="H367" s="12" t="str">
        <f>IF(A367=0,"",VLOOKUP(B367,Materials!$A$2:$E$1001,6,FALSE))</f>
        <v/>
      </c>
      <c r="I367" s="12"/>
      <c r="J367" s="12"/>
      <c r="K367" s="12"/>
      <c r="L367" s="12"/>
    </row>
    <row r="368" spans="1:12" ht="16" x14ac:dyDescent="0.2">
      <c r="A368" s="8"/>
      <c r="B368" s="8"/>
      <c r="C368" s="8" t="str">
        <f t="shared" si="10"/>
        <v/>
      </c>
      <c r="D368" s="8" t="str">
        <f t="shared" si="11"/>
        <v/>
      </c>
      <c r="E368" s="12"/>
      <c r="F368" s="12"/>
      <c r="G368" s="12"/>
      <c r="H368" s="12" t="str">
        <f>IF(A368=0,"",VLOOKUP(B368,Materials!$A$2:$E$1001,6,FALSE))</f>
        <v/>
      </c>
      <c r="I368" s="12"/>
      <c r="J368" s="12"/>
      <c r="K368" s="12"/>
      <c r="L368" s="12"/>
    </row>
    <row r="369" spans="1:12" ht="16" x14ac:dyDescent="0.2">
      <c r="A369" s="8"/>
      <c r="B369" s="8"/>
      <c r="C369" s="8" t="str">
        <f t="shared" si="10"/>
        <v/>
      </c>
      <c r="D369" s="8" t="str">
        <f t="shared" si="11"/>
        <v/>
      </c>
      <c r="E369" s="12"/>
      <c r="F369" s="12"/>
      <c r="G369" s="12"/>
      <c r="H369" s="12" t="str">
        <f>IF(A369=0,"",VLOOKUP(B369,Materials!$A$2:$E$1001,6,FALSE))</f>
        <v/>
      </c>
      <c r="I369" s="12"/>
      <c r="J369" s="12"/>
      <c r="K369" s="12"/>
      <c r="L369" s="12"/>
    </row>
    <row r="370" spans="1:12" ht="16" x14ac:dyDescent="0.2">
      <c r="A370" s="8"/>
      <c r="B370" s="8"/>
      <c r="C370" s="8" t="str">
        <f t="shared" si="10"/>
        <v/>
      </c>
      <c r="D370" s="8" t="str">
        <f t="shared" si="11"/>
        <v/>
      </c>
      <c r="E370" s="12"/>
      <c r="F370" s="12"/>
      <c r="G370" s="12"/>
      <c r="H370" s="12" t="str">
        <f>IF(A370=0,"",VLOOKUP(B370,Materials!$A$2:$E$1001,6,FALSE))</f>
        <v/>
      </c>
      <c r="I370" s="12"/>
      <c r="J370" s="12"/>
      <c r="K370" s="12"/>
      <c r="L370" s="12"/>
    </row>
    <row r="371" spans="1:12" ht="16" x14ac:dyDescent="0.2">
      <c r="A371" s="8"/>
      <c r="B371" s="8"/>
      <c r="C371" s="8" t="str">
        <f t="shared" si="10"/>
        <v/>
      </c>
      <c r="D371" s="8" t="str">
        <f t="shared" si="11"/>
        <v/>
      </c>
      <c r="E371" s="12"/>
      <c r="F371" s="12"/>
      <c r="G371" s="12"/>
      <c r="H371" s="12" t="str">
        <f>IF(A371=0,"",VLOOKUP(B371,Materials!$A$2:$E$1001,6,FALSE))</f>
        <v/>
      </c>
      <c r="I371" s="12"/>
      <c r="J371" s="12"/>
      <c r="K371" s="12"/>
      <c r="L371" s="12"/>
    </row>
    <row r="372" spans="1:12" ht="16" x14ac:dyDescent="0.2">
      <c r="A372" s="8"/>
      <c r="B372" s="8"/>
      <c r="C372" s="8" t="str">
        <f t="shared" si="10"/>
        <v/>
      </c>
      <c r="D372" s="8" t="str">
        <f t="shared" si="11"/>
        <v/>
      </c>
      <c r="E372" s="12"/>
      <c r="F372" s="12"/>
      <c r="G372" s="12"/>
      <c r="H372" s="12" t="str">
        <f>IF(A372=0,"",VLOOKUP(B372,Materials!$A$2:$E$1001,6,FALSE))</f>
        <v/>
      </c>
      <c r="I372" s="12"/>
      <c r="J372" s="12"/>
      <c r="K372" s="12"/>
      <c r="L372" s="12"/>
    </row>
    <row r="373" spans="1:12" ht="16" x14ac:dyDescent="0.2">
      <c r="A373" s="8"/>
      <c r="B373" s="8"/>
      <c r="C373" s="8" t="str">
        <f t="shared" si="10"/>
        <v/>
      </c>
      <c r="D373" s="8" t="str">
        <f t="shared" si="11"/>
        <v/>
      </c>
      <c r="E373" s="12"/>
      <c r="F373" s="12"/>
      <c r="G373" s="12"/>
      <c r="H373" s="12" t="str">
        <f>IF(A373=0,"",VLOOKUP(B373,Materials!$A$2:$E$1001,6,FALSE))</f>
        <v/>
      </c>
      <c r="I373" s="12"/>
      <c r="J373" s="12"/>
      <c r="K373" s="12"/>
      <c r="L373" s="12"/>
    </row>
    <row r="374" spans="1:12" ht="16" x14ac:dyDescent="0.2">
      <c r="A374" s="8"/>
      <c r="B374" s="8"/>
      <c r="C374" s="8" t="str">
        <f t="shared" si="10"/>
        <v/>
      </c>
      <c r="D374" s="8" t="str">
        <f t="shared" si="11"/>
        <v/>
      </c>
      <c r="E374" s="12"/>
      <c r="F374" s="12"/>
      <c r="G374" s="12"/>
      <c r="H374" s="12" t="str">
        <f>IF(A374=0,"",VLOOKUP(B374,Materials!$A$2:$E$1001,6,FALSE))</f>
        <v/>
      </c>
      <c r="I374" s="12"/>
      <c r="J374" s="12"/>
      <c r="K374" s="12"/>
      <c r="L374" s="12"/>
    </row>
    <row r="375" spans="1:12" ht="16" x14ac:dyDescent="0.2">
      <c r="A375" s="8"/>
      <c r="B375" s="8"/>
      <c r="C375" s="8" t="str">
        <f t="shared" si="10"/>
        <v/>
      </c>
      <c r="D375" s="8" t="str">
        <f t="shared" si="11"/>
        <v/>
      </c>
      <c r="E375" s="12"/>
      <c r="F375" s="12"/>
      <c r="G375" s="12"/>
      <c r="H375" s="12" t="str">
        <f>IF(A375=0,"",VLOOKUP(B375,Materials!$A$2:$E$1001,6,FALSE))</f>
        <v/>
      </c>
      <c r="I375" s="12"/>
      <c r="J375" s="12"/>
      <c r="K375" s="12"/>
      <c r="L375" s="12"/>
    </row>
    <row r="376" spans="1:12" ht="16" x14ac:dyDescent="0.2">
      <c r="A376" s="8"/>
      <c r="B376" s="8"/>
      <c r="C376" s="8" t="str">
        <f t="shared" si="10"/>
        <v/>
      </c>
      <c r="D376" s="8" t="str">
        <f t="shared" si="11"/>
        <v/>
      </c>
      <c r="E376" s="12"/>
      <c r="F376" s="12"/>
      <c r="G376" s="12"/>
      <c r="H376" s="12" t="str">
        <f>IF(A376=0,"",VLOOKUP(B376,Materials!$A$2:$E$1001,6,FALSE))</f>
        <v/>
      </c>
      <c r="I376" s="12"/>
      <c r="J376" s="12"/>
      <c r="K376" s="12"/>
      <c r="L376" s="12"/>
    </row>
    <row r="377" spans="1:12" ht="16" x14ac:dyDescent="0.2">
      <c r="A377" s="8"/>
      <c r="B377" s="8"/>
      <c r="C377" s="8" t="str">
        <f t="shared" si="10"/>
        <v/>
      </c>
      <c r="D377" s="8" t="str">
        <f t="shared" si="11"/>
        <v/>
      </c>
      <c r="E377" s="12"/>
      <c r="F377" s="12"/>
      <c r="G377" s="12"/>
      <c r="H377" s="12" t="str">
        <f>IF(A377=0,"",VLOOKUP(B377,Materials!$A$2:$E$1001,6,FALSE))</f>
        <v/>
      </c>
      <c r="I377" s="12"/>
      <c r="J377" s="12"/>
      <c r="K377" s="12"/>
      <c r="L377" s="12"/>
    </row>
    <row r="378" spans="1:12" ht="16" x14ac:dyDescent="0.2">
      <c r="A378" s="8"/>
      <c r="B378" s="8"/>
      <c r="C378" s="8" t="str">
        <f t="shared" si="10"/>
        <v/>
      </c>
      <c r="D378" s="8" t="str">
        <f t="shared" si="11"/>
        <v/>
      </c>
      <c r="E378" s="12"/>
      <c r="F378" s="12"/>
      <c r="G378" s="12"/>
      <c r="H378" s="12" t="str">
        <f>IF(A378=0,"",VLOOKUP(B378,Materials!$A$2:$E$1001,6,FALSE))</f>
        <v/>
      </c>
      <c r="I378" s="12"/>
      <c r="J378" s="12"/>
      <c r="K378" s="12"/>
      <c r="L378" s="12"/>
    </row>
    <row r="379" spans="1:12" ht="16" x14ac:dyDescent="0.2">
      <c r="A379" s="8"/>
      <c r="B379" s="8"/>
      <c r="C379" s="8" t="str">
        <f t="shared" si="10"/>
        <v/>
      </c>
      <c r="D379" s="8" t="str">
        <f t="shared" si="11"/>
        <v/>
      </c>
      <c r="E379" s="12"/>
      <c r="F379" s="12"/>
      <c r="G379" s="12"/>
      <c r="H379" s="12" t="str">
        <f>IF(A379=0,"",VLOOKUP(B379,Materials!$A$2:$E$1001,6,FALSE))</f>
        <v/>
      </c>
      <c r="I379" s="12"/>
      <c r="J379" s="12"/>
      <c r="K379" s="12"/>
      <c r="L379" s="12"/>
    </row>
    <row r="380" spans="1:12" ht="16" x14ac:dyDescent="0.2">
      <c r="A380" s="8"/>
      <c r="B380" s="8"/>
      <c r="C380" s="8" t="str">
        <f t="shared" si="10"/>
        <v/>
      </c>
      <c r="D380" s="8" t="str">
        <f t="shared" si="11"/>
        <v/>
      </c>
      <c r="E380" s="12"/>
      <c r="F380" s="12"/>
      <c r="G380" s="12"/>
      <c r="H380" s="12" t="str">
        <f>IF(A380=0,"",VLOOKUP(B380,Materials!$A$2:$E$1001,6,FALSE))</f>
        <v/>
      </c>
      <c r="I380" s="12"/>
      <c r="J380" s="12"/>
      <c r="K380" s="12"/>
      <c r="L380" s="12"/>
    </row>
    <row r="381" spans="1:12" ht="16" x14ac:dyDescent="0.2">
      <c r="A381" s="8"/>
      <c r="B381" s="8"/>
      <c r="C381" s="8" t="str">
        <f t="shared" si="10"/>
        <v/>
      </c>
      <c r="D381" s="8" t="str">
        <f t="shared" si="11"/>
        <v/>
      </c>
      <c r="E381" s="12"/>
      <c r="F381" s="12"/>
      <c r="G381" s="12"/>
      <c r="H381" s="12" t="str">
        <f>IF(A381=0,"",VLOOKUP(B381,Materials!$A$2:$E$1001,6,FALSE))</f>
        <v/>
      </c>
      <c r="I381" s="12"/>
      <c r="J381" s="12"/>
      <c r="K381" s="12"/>
      <c r="L381" s="12"/>
    </row>
    <row r="382" spans="1:12" ht="16" x14ac:dyDescent="0.2">
      <c r="A382" s="8"/>
      <c r="B382" s="8"/>
      <c r="C382" s="8" t="str">
        <f t="shared" si="10"/>
        <v/>
      </c>
      <c r="D382" s="8" t="str">
        <f t="shared" si="11"/>
        <v/>
      </c>
      <c r="E382" s="12"/>
      <c r="F382" s="12"/>
      <c r="G382" s="12"/>
      <c r="H382" s="12" t="str">
        <f>IF(A382=0,"",VLOOKUP(B382,Materials!$A$2:$E$1001,6,FALSE))</f>
        <v/>
      </c>
      <c r="I382" s="12"/>
      <c r="J382" s="12"/>
      <c r="K382" s="12"/>
      <c r="L382" s="12"/>
    </row>
    <row r="383" spans="1:12" ht="16" x14ac:dyDescent="0.2">
      <c r="A383" s="8"/>
      <c r="B383" s="8"/>
      <c r="C383" s="8" t="str">
        <f t="shared" si="10"/>
        <v/>
      </c>
      <c r="D383" s="8" t="str">
        <f t="shared" si="11"/>
        <v/>
      </c>
      <c r="E383" s="12"/>
      <c r="F383" s="12"/>
      <c r="G383" s="12"/>
      <c r="H383" s="12" t="str">
        <f>IF(A383=0,"",VLOOKUP(B383,Materials!$A$2:$E$1001,6,FALSE))</f>
        <v/>
      </c>
      <c r="I383" s="12"/>
      <c r="J383" s="12"/>
      <c r="K383" s="12"/>
      <c r="L383" s="12"/>
    </row>
    <row r="384" spans="1:12" ht="16" x14ac:dyDescent="0.2">
      <c r="A384" s="8"/>
      <c r="B384" s="8"/>
      <c r="C384" s="8" t="str">
        <f t="shared" si="10"/>
        <v/>
      </c>
      <c r="D384" s="8" t="str">
        <f t="shared" si="11"/>
        <v/>
      </c>
      <c r="E384" s="12"/>
      <c r="F384" s="12"/>
      <c r="G384" s="12"/>
      <c r="H384" s="12" t="str">
        <f>IF(A384=0,"",VLOOKUP(B384,Materials!$A$2:$E$1001,6,FALSE))</f>
        <v/>
      </c>
      <c r="I384" s="12"/>
      <c r="J384" s="12"/>
      <c r="K384" s="12"/>
      <c r="L384" s="12"/>
    </row>
    <row r="385" spans="1:12" ht="16" x14ac:dyDescent="0.2">
      <c r="A385" s="8"/>
      <c r="B385" s="8"/>
      <c r="C385" s="8" t="str">
        <f t="shared" si="10"/>
        <v/>
      </c>
      <c r="D385" s="8" t="str">
        <f t="shared" si="11"/>
        <v/>
      </c>
      <c r="E385" s="12"/>
      <c r="F385" s="12"/>
      <c r="G385" s="12"/>
      <c r="H385" s="12" t="str">
        <f>IF(A385=0,"",VLOOKUP(B385,Materials!$A$2:$E$1001,6,FALSE))</f>
        <v/>
      </c>
      <c r="I385" s="12"/>
      <c r="J385" s="12"/>
      <c r="K385" s="12"/>
      <c r="L385" s="12"/>
    </row>
    <row r="386" spans="1:12" ht="16" x14ac:dyDescent="0.2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2"/>
      <c r="F386" s="12"/>
      <c r="G386" s="12"/>
      <c r="H386" s="12" t="str">
        <f>IF(A386=0,"",VLOOKUP(B386,Materials!$A$2:$E$1001,6,FALSE))</f>
        <v/>
      </c>
      <c r="I386" s="12"/>
      <c r="J386" s="12"/>
      <c r="K386" s="12"/>
      <c r="L386" s="12"/>
    </row>
    <row r="387" spans="1:12" ht="16" x14ac:dyDescent="0.2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2"/>
      <c r="F387" s="12"/>
      <c r="G387" s="12"/>
      <c r="H387" s="12" t="str">
        <f>IF(A387=0,"",VLOOKUP(B387,Materials!$A$2:$E$1001,6,FALSE))</f>
        <v/>
      </c>
      <c r="I387" s="12"/>
      <c r="J387" s="12"/>
      <c r="K387" s="12"/>
      <c r="L387" s="12"/>
    </row>
    <row r="388" spans="1:12" ht="16" x14ac:dyDescent="0.2">
      <c r="A388" s="8"/>
      <c r="B388" s="8"/>
      <c r="C388" s="8" t="str">
        <f t="shared" si="12"/>
        <v/>
      </c>
      <c r="D388" s="8" t="str">
        <f t="shared" si="13"/>
        <v/>
      </c>
      <c r="E388" s="12"/>
      <c r="F388" s="12"/>
      <c r="G388" s="12"/>
      <c r="H388" s="12" t="str">
        <f>IF(A388=0,"",VLOOKUP(B388,Materials!$A$2:$E$1001,6,FALSE))</f>
        <v/>
      </c>
      <c r="I388" s="12"/>
      <c r="J388" s="12"/>
      <c r="K388" s="12"/>
      <c r="L388" s="12"/>
    </row>
    <row r="389" spans="1:12" ht="16" x14ac:dyDescent="0.2">
      <c r="A389" s="8"/>
      <c r="B389" s="8"/>
      <c r="C389" s="8" t="str">
        <f t="shared" si="12"/>
        <v/>
      </c>
      <c r="D389" s="8" t="str">
        <f t="shared" si="13"/>
        <v/>
      </c>
      <c r="E389" s="12"/>
      <c r="F389" s="12"/>
      <c r="G389" s="12"/>
      <c r="H389" s="12" t="str">
        <f>IF(A389=0,"",VLOOKUP(B389,Materials!$A$2:$E$1001,6,FALSE))</f>
        <v/>
      </c>
      <c r="I389" s="12"/>
      <c r="J389" s="12"/>
      <c r="K389" s="12"/>
      <c r="L389" s="12"/>
    </row>
    <row r="390" spans="1:12" ht="16" x14ac:dyDescent="0.2">
      <c r="A390" s="8"/>
      <c r="B390" s="8"/>
      <c r="C390" s="8" t="str">
        <f t="shared" si="12"/>
        <v/>
      </c>
      <c r="D390" s="8" t="str">
        <f t="shared" si="13"/>
        <v/>
      </c>
      <c r="E390" s="12"/>
      <c r="F390" s="12"/>
      <c r="G390" s="12"/>
      <c r="H390" s="12" t="str">
        <f>IF(A390=0,"",VLOOKUP(B390,Materials!$A$2:$E$1001,6,FALSE))</f>
        <v/>
      </c>
      <c r="I390" s="12"/>
      <c r="J390" s="12"/>
      <c r="K390" s="12"/>
      <c r="L390" s="12"/>
    </row>
    <row r="391" spans="1:12" ht="16" x14ac:dyDescent="0.2">
      <c r="A391" s="8"/>
      <c r="B391" s="8"/>
      <c r="C391" s="8" t="str">
        <f t="shared" si="12"/>
        <v/>
      </c>
      <c r="D391" s="8" t="str">
        <f t="shared" si="13"/>
        <v/>
      </c>
      <c r="E391" s="12"/>
      <c r="F391" s="12"/>
      <c r="G391" s="12"/>
      <c r="H391" s="12" t="str">
        <f>IF(A391=0,"",VLOOKUP(B391,Materials!$A$2:$E$1001,6,FALSE))</f>
        <v/>
      </c>
      <c r="I391" s="12"/>
      <c r="J391" s="12"/>
      <c r="K391" s="12"/>
      <c r="L391" s="12"/>
    </row>
    <row r="392" spans="1:12" ht="16" x14ac:dyDescent="0.2">
      <c r="A392" s="8"/>
      <c r="B392" s="8"/>
      <c r="C392" s="8" t="str">
        <f t="shared" si="12"/>
        <v/>
      </c>
      <c r="D392" s="8" t="str">
        <f t="shared" si="13"/>
        <v/>
      </c>
      <c r="E392" s="12"/>
      <c r="F392" s="12"/>
      <c r="G392" s="12"/>
      <c r="H392" s="12" t="str">
        <f>IF(A392=0,"",VLOOKUP(B392,Materials!$A$2:$E$1001,6,FALSE))</f>
        <v/>
      </c>
      <c r="I392" s="12"/>
      <c r="J392" s="12"/>
      <c r="K392" s="12"/>
      <c r="L392" s="12"/>
    </row>
    <row r="393" spans="1:12" ht="16" x14ac:dyDescent="0.2">
      <c r="A393" s="8"/>
      <c r="B393" s="8"/>
      <c r="C393" s="8" t="str">
        <f t="shared" si="12"/>
        <v/>
      </c>
      <c r="D393" s="8" t="str">
        <f t="shared" si="13"/>
        <v/>
      </c>
      <c r="E393" s="12"/>
      <c r="F393" s="12"/>
      <c r="G393" s="12"/>
      <c r="H393" s="12" t="str">
        <f>IF(A393=0,"",VLOOKUP(B393,Materials!$A$2:$E$1001,6,FALSE))</f>
        <v/>
      </c>
      <c r="I393" s="12"/>
      <c r="J393" s="12"/>
      <c r="K393" s="12"/>
      <c r="L393" s="12"/>
    </row>
    <row r="394" spans="1:12" ht="16" x14ac:dyDescent="0.2">
      <c r="A394" s="8"/>
      <c r="B394" s="8"/>
      <c r="C394" s="8" t="str">
        <f t="shared" si="12"/>
        <v/>
      </c>
      <c r="D394" s="8" t="str">
        <f t="shared" si="13"/>
        <v/>
      </c>
      <c r="E394" s="12"/>
      <c r="F394" s="12"/>
      <c r="G394" s="12"/>
      <c r="H394" s="12" t="str">
        <f>IF(A394=0,"",VLOOKUP(B394,Materials!$A$2:$E$1001,6,FALSE))</f>
        <v/>
      </c>
      <c r="I394" s="12"/>
      <c r="J394" s="12"/>
      <c r="K394" s="12"/>
      <c r="L394" s="12"/>
    </row>
    <row r="395" spans="1:12" ht="16" x14ac:dyDescent="0.2">
      <c r="A395" s="8"/>
      <c r="B395" s="8"/>
      <c r="C395" s="8" t="str">
        <f t="shared" si="12"/>
        <v/>
      </c>
      <c r="D395" s="8" t="str">
        <f t="shared" si="13"/>
        <v/>
      </c>
      <c r="E395" s="12"/>
      <c r="F395" s="12"/>
      <c r="G395" s="12"/>
      <c r="H395" s="12" t="str">
        <f>IF(A395=0,"",VLOOKUP(B395,Materials!$A$2:$E$1001,6,FALSE))</f>
        <v/>
      </c>
      <c r="I395" s="12"/>
      <c r="J395" s="12"/>
      <c r="K395" s="12"/>
      <c r="L395" s="12"/>
    </row>
    <row r="396" spans="1:12" ht="16" x14ac:dyDescent="0.2">
      <c r="A396" s="8"/>
      <c r="B396" s="8"/>
      <c r="C396" s="8" t="str">
        <f t="shared" si="12"/>
        <v/>
      </c>
      <c r="D396" s="8" t="str">
        <f t="shared" si="13"/>
        <v/>
      </c>
      <c r="E396" s="12"/>
      <c r="F396" s="12"/>
      <c r="G396" s="12"/>
      <c r="H396" s="12" t="str">
        <f>IF(A396=0,"",VLOOKUP(B396,Materials!$A$2:$E$1001,6,FALSE))</f>
        <v/>
      </c>
      <c r="I396" s="12"/>
      <c r="J396" s="12"/>
      <c r="K396" s="12"/>
      <c r="L396" s="12"/>
    </row>
    <row r="397" spans="1:12" ht="16" x14ac:dyDescent="0.2">
      <c r="A397" s="8"/>
      <c r="B397" s="8"/>
      <c r="C397" s="8" t="str">
        <f t="shared" si="12"/>
        <v/>
      </c>
      <c r="D397" s="8" t="str">
        <f t="shared" si="13"/>
        <v/>
      </c>
      <c r="E397" s="12"/>
      <c r="F397" s="12"/>
      <c r="G397" s="12"/>
      <c r="H397" s="12" t="str">
        <f>IF(A397=0,"",VLOOKUP(B397,Materials!$A$2:$E$1001,6,FALSE))</f>
        <v/>
      </c>
      <c r="I397" s="12"/>
      <c r="J397" s="12"/>
      <c r="K397" s="12"/>
      <c r="L397" s="12"/>
    </row>
    <row r="398" spans="1:12" ht="16" x14ac:dyDescent="0.2">
      <c r="A398" s="8"/>
      <c r="B398" s="8"/>
      <c r="C398" s="8" t="str">
        <f t="shared" si="12"/>
        <v/>
      </c>
      <c r="D398" s="8" t="str">
        <f t="shared" si="13"/>
        <v/>
      </c>
      <c r="E398" s="12"/>
      <c r="F398" s="12"/>
      <c r="G398" s="12"/>
      <c r="H398" s="12" t="str">
        <f>IF(A398=0,"",VLOOKUP(B398,Materials!$A$2:$E$1001,6,FALSE))</f>
        <v/>
      </c>
      <c r="I398" s="12"/>
      <c r="J398" s="12"/>
      <c r="K398" s="12"/>
      <c r="L398" s="12"/>
    </row>
    <row r="399" spans="1:12" ht="16" x14ac:dyDescent="0.2">
      <c r="A399" s="8"/>
      <c r="B399" s="8"/>
      <c r="C399" s="8" t="str">
        <f t="shared" si="12"/>
        <v/>
      </c>
      <c r="D399" s="8" t="str">
        <f t="shared" si="13"/>
        <v/>
      </c>
      <c r="E399" s="12"/>
      <c r="F399" s="12"/>
      <c r="G399" s="12"/>
      <c r="H399" s="12" t="str">
        <f>IF(A399=0,"",VLOOKUP(B399,Materials!$A$2:$E$1001,6,FALSE))</f>
        <v/>
      </c>
      <c r="I399" s="12"/>
      <c r="J399" s="12"/>
      <c r="K399" s="12"/>
      <c r="L399" s="12"/>
    </row>
    <row r="400" spans="1:12" ht="16" x14ac:dyDescent="0.2">
      <c r="A400" s="8"/>
      <c r="B400" s="8"/>
      <c r="C400" s="8" t="str">
        <f t="shared" si="12"/>
        <v/>
      </c>
      <c r="D400" s="8" t="str">
        <f t="shared" si="13"/>
        <v/>
      </c>
      <c r="E400" s="12"/>
      <c r="F400" s="12"/>
      <c r="G400" s="12"/>
      <c r="H400" s="12" t="str">
        <f>IF(A400=0,"",VLOOKUP(B400,Materials!$A$2:$E$1001,6,FALSE))</f>
        <v/>
      </c>
      <c r="I400" s="12"/>
      <c r="J400" s="12"/>
      <c r="K400" s="12"/>
      <c r="L400" s="12"/>
    </row>
    <row r="401" spans="1:12" ht="16" x14ac:dyDescent="0.2">
      <c r="A401" s="8"/>
      <c r="B401" s="8"/>
      <c r="C401" s="8" t="str">
        <f t="shared" si="12"/>
        <v/>
      </c>
      <c r="D401" s="8" t="str">
        <f t="shared" si="13"/>
        <v/>
      </c>
      <c r="E401" s="12"/>
      <c r="F401" s="12"/>
      <c r="G401" s="12"/>
      <c r="H401" s="12" t="str">
        <f>IF(A401=0,"",VLOOKUP(B401,Materials!$A$2:$E$1001,6,FALSE))</f>
        <v/>
      </c>
      <c r="I401" s="12"/>
      <c r="J401" s="12"/>
      <c r="K401" s="12"/>
      <c r="L401" s="12"/>
    </row>
    <row r="402" spans="1:12" ht="16" x14ac:dyDescent="0.2">
      <c r="A402" s="8"/>
      <c r="B402" s="8"/>
      <c r="C402" s="8" t="str">
        <f t="shared" si="12"/>
        <v/>
      </c>
      <c r="D402" s="8" t="str">
        <f t="shared" si="13"/>
        <v/>
      </c>
      <c r="E402" s="12"/>
      <c r="F402" s="12"/>
      <c r="G402" s="12"/>
      <c r="H402" s="12" t="str">
        <f>IF(A402=0,"",VLOOKUP(B402,Materials!$A$2:$E$1001,6,FALSE))</f>
        <v/>
      </c>
      <c r="I402" s="12"/>
      <c r="J402" s="12"/>
      <c r="K402" s="12"/>
      <c r="L402" s="12"/>
    </row>
    <row r="403" spans="1:12" ht="16" x14ac:dyDescent="0.2">
      <c r="A403" s="8"/>
      <c r="B403" s="8"/>
      <c r="C403" s="8" t="str">
        <f t="shared" si="12"/>
        <v/>
      </c>
      <c r="D403" s="8" t="str">
        <f t="shared" si="13"/>
        <v/>
      </c>
      <c r="E403" s="12"/>
      <c r="F403" s="12"/>
      <c r="G403" s="12"/>
      <c r="H403" s="12" t="str">
        <f>IF(A403=0,"",VLOOKUP(B403,Materials!$A$2:$E$1001,6,FALSE))</f>
        <v/>
      </c>
      <c r="I403" s="12"/>
      <c r="J403" s="12"/>
      <c r="K403" s="12"/>
      <c r="L403" s="12"/>
    </row>
    <row r="404" spans="1:12" ht="16" x14ac:dyDescent="0.2">
      <c r="A404" s="8"/>
      <c r="B404" s="8"/>
      <c r="C404" s="8" t="str">
        <f t="shared" si="12"/>
        <v/>
      </c>
      <c r="D404" s="8" t="str">
        <f t="shared" si="13"/>
        <v/>
      </c>
      <c r="E404" s="12"/>
      <c r="F404" s="12"/>
      <c r="G404" s="12"/>
      <c r="H404" s="12" t="str">
        <f>IF(A404=0,"",VLOOKUP(B404,Materials!$A$2:$E$1001,6,FALSE))</f>
        <v/>
      </c>
      <c r="I404" s="12"/>
      <c r="J404" s="12"/>
      <c r="K404" s="12"/>
      <c r="L404" s="12"/>
    </row>
    <row r="405" spans="1:12" ht="16" x14ac:dyDescent="0.2">
      <c r="A405" s="8"/>
      <c r="B405" s="8"/>
      <c r="C405" s="8" t="str">
        <f t="shared" si="12"/>
        <v/>
      </c>
      <c r="D405" s="8" t="str">
        <f t="shared" si="13"/>
        <v/>
      </c>
      <c r="E405" s="12"/>
      <c r="F405" s="12"/>
      <c r="G405" s="12"/>
      <c r="H405" s="12" t="str">
        <f>IF(A405=0,"",VLOOKUP(B405,Materials!$A$2:$E$1001,6,FALSE))</f>
        <v/>
      </c>
      <c r="I405" s="12"/>
      <c r="J405" s="12"/>
      <c r="K405" s="12"/>
      <c r="L405" s="12"/>
    </row>
    <row r="406" spans="1:12" ht="16" x14ac:dyDescent="0.2">
      <c r="A406" s="8"/>
      <c r="B406" s="8"/>
      <c r="C406" s="8" t="str">
        <f t="shared" si="12"/>
        <v/>
      </c>
      <c r="D406" s="8" t="str">
        <f t="shared" si="13"/>
        <v/>
      </c>
      <c r="E406" s="12"/>
      <c r="F406" s="12"/>
      <c r="G406" s="12"/>
      <c r="H406" s="12" t="str">
        <f>IF(A406=0,"",VLOOKUP(B406,Materials!$A$2:$E$1001,6,FALSE))</f>
        <v/>
      </c>
      <c r="I406" s="12"/>
      <c r="J406" s="12"/>
      <c r="K406" s="12"/>
      <c r="L406" s="12"/>
    </row>
    <row r="407" spans="1:12" ht="16" x14ac:dyDescent="0.2">
      <c r="A407" s="8"/>
      <c r="B407" s="8"/>
      <c r="C407" s="8" t="str">
        <f t="shared" si="12"/>
        <v/>
      </c>
      <c r="D407" s="8" t="str">
        <f t="shared" si="13"/>
        <v/>
      </c>
      <c r="E407" s="12"/>
      <c r="F407" s="12"/>
      <c r="G407" s="12"/>
      <c r="H407" s="12" t="str">
        <f>IF(A407=0,"",VLOOKUP(B407,Materials!$A$2:$E$1001,6,FALSE))</f>
        <v/>
      </c>
      <c r="I407" s="12"/>
      <c r="J407" s="12"/>
      <c r="K407" s="12"/>
      <c r="L407" s="12"/>
    </row>
    <row r="408" spans="1:12" ht="16" x14ac:dyDescent="0.2">
      <c r="A408" s="8"/>
      <c r="B408" s="8"/>
      <c r="C408" s="8" t="str">
        <f t="shared" si="12"/>
        <v/>
      </c>
      <c r="D408" s="8" t="str">
        <f t="shared" si="13"/>
        <v/>
      </c>
      <c r="E408" s="12"/>
      <c r="F408" s="12"/>
      <c r="G408" s="12"/>
      <c r="H408" s="12" t="str">
        <f>IF(A408=0,"",VLOOKUP(B408,Materials!$A$2:$E$1001,6,FALSE))</f>
        <v/>
      </c>
      <c r="I408" s="12"/>
      <c r="J408" s="12"/>
      <c r="K408" s="12"/>
      <c r="L408" s="12"/>
    </row>
    <row r="409" spans="1:12" ht="16" x14ac:dyDescent="0.2">
      <c r="A409" s="8"/>
      <c r="B409" s="8"/>
      <c r="C409" s="8" t="str">
        <f t="shared" si="12"/>
        <v/>
      </c>
      <c r="D409" s="8" t="str">
        <f t="shared" si="13"/>
        <v/>
      </c>
      <c r="E409" s="12"/>
      <c r="F409" s="12"/>
      <c r="G409" s="12"/>
      <c r="H409" s="12" t="str">
        <f>IF(A409=0,"",VLOOKUP(B409,Materials!$A$2:$E$1001,6,FALSE))</f>
        <v/>
      </c>
      <c r="I409" s="12"/>
      <c r="J409" s="12"/>
      <c r="K409" s="12"/>
      <c r="L409" s="12"/>
    </row>
    <row r="410" spans="1:12" ht="16" x14ac:dyDescent="0.2">
      <c r="A410" s="8"/>
      <c r="B410" s="8"/>
      <c r="C410" s="8" t="str">
        <f t="shared" si="12"/>
        <v/>
      </c>
      <c r="D410" s="8" t="str">
        <f t="shared" si="13"/>
        <v/>
      </c>
      <c r="E410" s="12"/>
      <c r="F410" s="12"/>
      <c r="G410" s="12"/>
      <c r="H410" s="12" t="str">
        <f>IF(A410=0,"",VLOOKUP(B410,Materials!$A$2:$E$1001,6,FALSE))</f>
        <v/>
      </c>
      <c r="I410" s="12"/>
      <c r="J410" s="12"/>
      <c r="K410" s="12"/>
      <c r="L410" s="12"/>
    </row>
    <row r="411" spans="1:12" ht="16" x14ac:dyDescent="0.2">
      <c r="A411" s="8"/>
      <c r="B411" s="8"/>
      <c r="C411" s="8" t="str">
        <f t="shared" si="12"/>
        <v/>
      </c>
      <c r="D411" s="8" t="str">
        <f t="shared" si="13"/>
        <v/>
      </c>
      <c r="E411" s="12"/>
      <c r="F411" s="12"/>
      <c r="G411" s="12"/>
      <c r="H411" s="12" t="str">
        <f>IF(A411=0,"",VLOOKUP(B411,Materials!$A$2:$E$1001,6,FALSE))</f>
        <v/>
      </c>
      <c r="I411" s="12"/>
      <c r="J411" s="12"/>
      <c r="K411" s="12"/>
      <c r="L411" s="12"/>
    </row>
    <row r="412" spans="1:12" ht="16" x14ac:dyDescent="0.2">
      <c r="A412" s="8"/>
      <c r="B412" s="8"/>
      <c r="C412" s="8" t="str">
        <f t="shared" si="12"/>
        <v/>
      </c>
      <c r="D412" s="8" t="str">
        <f t="shared" si="13"/>
        <v/>
      </c>
      <c r="E412" s="12"/>
      <c r="F412" s="12"/>
      <c r="G412" s="12"/>
      <c r="H412" s="12" t="str">
        <f>IF(A412=0,"",VLOOKUP(B412,Materials!$A$2:$E$1001,6,FALSE))</f>
        <v/>
      </c>
      <c r="I412" s="12"/>
      <c r="J412" s="12"/>
      <c r="K412" s="12"/>
      <c r="L412" s="12"/>
    </row>
    <row r="413" spans="1:12" ht="16" x14ac:dyDescent="0.2">
      <c r="A413" s="8"/>
      <c r="B413" s="8"/>
      <c r="C413" s="8" t="str">
        <f t="shared" si="12"/>
        <v/>
      </c>
      <c r="D413" s="8" t="str">
        <f t="shared" si="13"/>
        <v/>
      </c>
      <c r="E413" s="12"/>
      <c r="F413" s="12"/>
      <c r="G413" s="12"/>
      <c r="H413" s="12" t="str">
        <f>IF(A413=0,"",VLOOKUP(B413,Materials!$A$2:$E$1001,6,FALSE))</f>
        <v/>
      </c>
      <c r="I413" s="12"/>
      <c r="J413" s="12"/>
      <c r="K413" s="12"/>
      <c r="L413" s="12"/>
    </row>
    <row r="414" spans="1:12" ht="16" x14ac:dyDescent="0.2">
      <c r="A414" s="8"/>
      <c r="B414" s="8"/>
      <c r="C414" s="8" t="str">
        <f t="shared" si="12"/>
        <v/>
      </c>
      <c r="D414" s="8" t="str">
        <f t="shared" si="13"/>
        <v/>
      </c>
      <c r="E414" s="12"/>
      <c r="F414" s="12"/>
      <c r="G414" s="12"/>
      <c r="H414" s="12" t="str">
        <f>IF(A414=0,"",VLOOKUP(B414,Materials!$A$2:$E$1001,6,FALSE))</f>
        <v/>
      </c>
      <c r="I414" s="12"/>
      <c r="J414" s="12"/>
      <c r="K414" s="12"/>
      <c r="L414" s="12"/>
    </row>
    <row r="415" spans="1:12" ht="16" x14ac:dyDescent="0.2">
      <c r="A415" s="8"/>
      <c r="B415" s="8"/>
      <c r="C415" s="8" t="str">
        <f t="shared" si="12"/>
        <v/>
      </c>
      <c r="D415" s="8" t="str">
        <f t="shared" si="13"/>
        <v/>
      </c>
      <c r="E415" s="12"/>
      <c r="F415" s="12"/>
      <c r="G415" s="12"/>
      <c r="H415" s="12" t="str">
        <f>IF(A415=0,"",VLOOKUP(B415,Materials!$A$2:$E$1001,6,FALSE))</f>
        <v/>
      </c>
      <c r="I415" s="12"/>
      <c r="J415" s="12"/>
      <c r="K415" s="12"/>
      <c r="L415" s="12"/>
    </row>
    <row r="416" spans="1:12" ht="16" x14ac:dyDescent="0.2">
      <c r="A416" s="8"/>
      <c r="B416" s="8"/>
      <c r="C416" s="8" t="str">
        <f t="shared" si="12"/>
        <v/>
      </c>
      <c r="D416" s="8" t="str">
        <f t="shared" si="13"/>
        <v/>
      </c>
      <c r="E416" s="12"/>
      <c r="F416" s="12"/>
      <c r="G416" s="12"/>
      <c r="H416" s="12" t="str">
        <f>IF(A416=0,"",VLOOKUP(B416,Materials!$A$2:$E$1001,6,FALSE))</f>
        <v/>
      </c>
      <c r="I416" s="12"/>
      <c r="J416" s="12"/>
      <c r="K416" s="12"/>
      <c r="L416" s="12"/>
    </row>
    <row r="417" spans="1:12" ht="16" x14ac:dyDescent="0.2">
      <c r="A417" s="8"/>
      <c r="B417" s="8"/>
      <c r="C417" s="8" t="str">
        <f t="shared" si="12"/>
        <v/>
      </c>
      <c r="D417" s="8" t="str">
        <f t="shared" si="13"/>
        <v/>
      </c>
      <c r="E417" s="12"/>
      <c r="F417" s="12"/>
      <c r="G417" s="12"/>
      <c r="H417" s="12" t="str">
        <f>IF(A417=0,"",VLOOKUP(B417,Materials!$A$2:$E$1001,6,FALSE))</f>
        <v/>
      </c>
      <c r="I417" s="12"/>
      <c r="J417" s="12"/>
      <c r="K417" s="12"/>
      <c r="L417" s="12"/>
    </row>
    <row r="418" spans="1:12" ht="16" x14ac:dyDescent="0.2">
      <c r="A418" s="8"/>
      <c r="B418" s="8"/>
      <c r="C418" s="8" t="str">
        <f t="shared" si="12"/>
        <v/>
      </c>
      <c r="D418" s="8" t="str">
        <f t="shared" si="13"/>
        <v/>
      </c>
      <c r="E418" s="12"/>
      <c r="F418" s="12"/>
      <c r="G418" s="12"/>
      <c r="H418" s="12" t="str">
        <f>IF(A418=0,"",VLOOKUP(B418,Materials!$A$2:$E$1001,6,FALSE))</f>
        <v/>
      </c>
      <c r="I418" s="12"/>
      <c r="J418" s="12"/>
      <c r="K418" s="12"/>
      <c r="L418" s="12"/>
    </row>
    <row r="419" spans="1:12" ht="16" x14ac:dyDescent="0.2">
      <c r="A419" s="8"/>
      <c r="B419" s="8"/>
      <c r="C419" s="8" t="str">
        <f t="shared" si="12"/>
        <v/>
      </c>
      <c r="D419" s="8" t="str">
        <f t="shared" si="13"/>
        <v/>
      </c>
      <c r="E419" s="12"/>
      <c r="F419" s="12"/>
      <c r="G419" s="12"/>
      <c r="H419" s="12" t="str">
        <f>IF(A419=0,"",VLOOKUP(B419,Materials!$A$2:$E$1001,6,FALSE))</f>
        <v/>
      </c>
      <c r="I419" s="12"/>
      <c r="J419" s="12"/>
      <c r="K419" s="12"/>
      <c r="L419" s="12"/>
    </row>
    <row r="420" spans="1:12" ht="16" x14ac:dyDescent="0.2">
      <c r="A420" s="8"/>
      <c r="B420" s="8"/>
      <c r="C420" s="8" t="str">
        <f t="shared" si="12"/>
        <v/>
      </c>
      <c r="D420" s="8" t="str">
        <f t="shared" si="13"/>
        <v/>
      </c>
      <c r="E420" s="12"/>
      <c r="F420" s="12"/>
      <c r="G420" s="12"/>
      <c r="H420" s="12" t="str">
        <f>IF(A420=0,"",VLOOKUP(B420,Materials!$A$2:$E$1001,6,FALSE))</f>
        <v/>
      </c>
      <c r="I420" s="12"/>
      <c r="J420" s="12"/>
      <c r="K420" s="12"/>
      <c r="L420" s="12"/>
    </row>
    <row r="421" spans="1:12" ht="16" x14ac:dyDescent="0.2">
      <c r="A421" s="8"/>
      <c r="B421" s="8"/>
      <c r="C421" s="8" t="str">
        <f t="shared" si="12"/>
        <v/>
      </c>
      <c r="D421" s="8" t="str">
        <f t="shared" si="13"/>
        <v/>
      </c>
      <c r="E421" s="12"/>
      <c r="F421" s="12"/>
      <c r="G421" s="12"/>
      <c r="H421" s="12" t="str">
        <f>IF(A421=0,"",VLOOKUP(B421,Materials!$A$2:$E$1001,6,FALSE))</f>
        <v/>
      </c>
      <c r="I421" s="12"/>
      <c r="J421" s="12"/>
      <c r="K421" s="12"/>
      <c r="L421" s="12"/>
    </row>
    <row r="422" spans="1:12" ht="16" x14ac:dyDescent="0.2">
      <c r="A422" s="8"/>
      <c r="B422" s="8"/>
      <c r="C422" s="8" t="str">
        <f t="shared" si="12"/>
        <v/>
      </c>
      <c r="D422" s="8" t="str">
        <f t="shared" si="13"/>
        <v/>
      </c>
      <c r="E422" s="12"/>
      <c r="F422" s="12"/>
      <c r="G422" s="12"/>
      <c r="H422" s="12" t="str">
        <f>IF(A422=0,"",VLOOKUP(B422,Materials!$A$2:$E$1001,6,FALSE))</f>
        <v/>
      </c>
      <c r="I422" s="12"/>
      <c r="J422" s="12"/>
      <c r="K422" s="12"/>
      <c r="L422" s="12"/>
    </row>
    <row r="423" spans="1:12" ht="16" x14ac:dyDescent="0.2">
      <c r="A423" s="8"/>
      <c r="B423" s="8"/>
      <c r="C423" s="8" t="str">
        <f t="shared" si="12"/>
        <v/>
      </c>
      <c r="D423" s="8" t="str">
        <f t="shared" si="13"/>
        <v/>
      </c>
      <c r="E423" s="12"/>
      <c r="F423" s="12"/>
      <c r="G423" s="12"/>
      <c r="H423" s="12" t="str">
        <f>IF(A423=0,"",VLOOKUP(B423,Materials!$A$2:$E$1001,6,FALSE))</f>
        <v/>
      </c>
      <c r="I423" s="12"/>
      <c r="J423" s="12"/>
      <c r="K423" s="12"/>
      <c r="L423" s="12"/>
    </row>
    <row r="424" spans="1:12" ht="16" x14ac:dyDescent="0.2">
      <c r="A424" s="8"/>
      <c r="B424" s="8"/>
      <c r="C424" s="8" t="str">
        <f t="shared" si="12"/>
        <v/>
      </c>
      <c r="D424" s="8" t="str">
        <f t="shared" si="13"/>
        <v/>
      </c>
      <c r="E424" s="12"/>
      <c r="F424" s="12"/>
      <c r="G424" s="12"/>
      <c r="H424" s="12" t="str">
        <f>IF(A424=0,"",VLOOKUP(B424,Materials!$A$2:$E$1001,6,FALSE))</f>
        <v/>
      </c>
      <c r="I424" s="12"/>
      <c r="J424" s="12"/>
      <c r="K424" s="12"/>
      <c r="L424" s="12"/>
    </row>
    <row r="425" spans="1:12" ht="16" x14ac:dyDescent="0.2">
      <c r="A425" s="8"/>
      <c r="B425" s="8"/>
      <c r="C425" s="8" t="str">
        <f t="shared" si="12"/>
        <v/>
      </c>
      <c r="D425" s="8" t="str">
        <f t="shared" si="13"/>
        <v/>
      </c>
      <c r="E425" s="12"/>
      <c r="F425" s="12"/>
      <c r="G425" s="12"/>
      <c r="H425" s="12" t="str">
        <f>IF(A425=0,"",VLOOKUP(B425,Materials!$A$2:$E$1001,6,FALSE))</f>
        <v/>
      </c>
      <c r="I425" s="12"/>
      <c r="J425" s="12"/>
      <c r="K425" s="12"/>
      <c r="L425" s="12"/>
    </row>
    <row r="426" spans="1:12" ht="16" x14ac:dyDescent="0.2">
      <c r="A426" s="8"/>
      <c r="B426" s="8"/>
      <c r="C426" s="8" t="str">
        <f t="shared" si="12"/>
        <v/>
      </c>
      <c r="D426" s="8" t="str">
        <f t="shared" si="13"/>
        <v/>
      </c>
      <c r="E426" s="12"/>
      <c r="F426" s="12"/>
      <c r="G426" s="12"/>
      <c r="H426" s="12" t="str">
        <f>IF(A426=0,"",VLOOKUP(B426,Materials!$A$2:$E$1001,6,FALSE))</f>
        <v/>
      </c>
      <c r="I426" s="12"/>
      <c r="J426" s="12"/>
      <c r="K426" s="12"/>
      <c r="L426" s="12"/>
    </row>
    <row r="427" spans="1:12" ht="16" x14ac:dyDescent="0.2">
      <c r="A427" s="8"/>
      <c r="B427" s="8"/>
      <c r="C427" s="8" t="str">
        <f t="shared" si="12"/>
        <v/>
      </c>
      <c r="D427" s="8" t="str">
        <f t="shared" si="13"/>
        <v/>
      </c>
      <c r="E427" s="12"/>
      <c r="F427" s="12"/>
      <c r="G427" s="12"/>
      <c r="H427" s="12" t="str">
        <f>IF(A427=0,"",VLOOKUP(B427,Materials!$A$2:$E$1001,6,FALSE))</f>
        <v/>
      </c>
      <c r="I427" s="12"/>
      <c r="J427" s="12"/>
      <c r="K427" s="12"/>
      <c r="L427" s="12"/>
    </row>
    <row r="428" spans="1:12" ht="16" x14ac:dyDescent="0.2">
      <c r="A428" s="8"/>
      <c r="B428" s="8"/>
      <c r="C428" s="8" t="str">
        <f t="shared" si="12"/>
        <v/>
      </c>
      <c r="D428" s="8" t="str">
        <f t="shared" si="13"/>
        <v/>
      </c>
      <c r="E428" s="12"/>
      <c r="F428" s="12"/>
      <c r="G428" s="12"/>
      <c r="H428" s="12" t="str">
        <f>IF(A428=0,"",VLOOKUP(B428,Materials!$A$2:$E$1001,6,FALSE))</f>
        <v/>
      </c>
      <c r="I428" s="12"/>
      <c r="J428" s="12"/>
      <c r="K428" s="12"/>
      <c r="L428" s="12"/>
    </row>
    <row r="429" spans="1:12" ht="16" x14ac:dyDescent="0.2">
      <c r="A429" s="8"/>
      <c r="B429" s="8"/>
      <c r="C429" s="8" t="str">
        <f t="shared" si="12"/>
        <v/>
      </c>
      <c r="D429" s="8" t="str">
        <f t="shared" si="13"/>
        <v/>
      </c>
      <c r="E429" s="12"/>
      <c r="F429" s="12"/>
      <c r="G429" s="12"/>
      <c r="H429" s="12" t="str">
        <f>IF(A429=0,"",VLOOKUP(B429,Materials!$A$2:$E$1001,6,FALSE))</f>
        <v/>
      </c>
      <c r="I429" s="12"/>
      <c r="J429" s="12"/>
      <c r="K429" s="12"/>
      <c r="L429" s="12"/>
    </row>
    <row r="430" spans="1:12" ht="16" x14ac:dyDescent="0.2">
      <c r="A430" s="8"/>
      <c r="B430" s="8"/>
      <c r="C430" s="8" t="str">
        <f t="shared" si="12"/>
        <v/>
      </c>
      <c r="D430" s="8" t="str">
        <f t="shared" si="13"/>
        <v/>
      </c>
      <c r="E430" s="12"/>
      <c r="F430" s="12"/>
      <c r="G430" s="12"/>
      <c r="H430" s="12" t="str">
        <f>IF(A430=0,"",VLOOKUP(B430,Materials!$A$2:$E$1001,6,FALSE))</f>
        <v/>
      </c>
      <c r="I430" s="12"/>
      <c r="J430" s="12"/>
      <c r="K430" s="12"/>
      <c r="L430" s="12"/>
    </row>
    <row r="431" spans="1:12" ht="16" x14ac:dyDescent="0.2">
      <c r="A431" s="8"/>
      <c r="B431" s="8"/>
      <c r="C431" s="8" t="str">
        <f t="shared" si="12"/>
        <v/>
      </c>
      <c r="D431" s="8" t="str">
        <f t="shared" si="13"/>
        <v/>
      </c>
      <c r="E431" s="12"/>
      <c r="F431" s="12"/>
      <c r="G431" s="12"/>
      <c r="H431" s="12" t="str">
        <f>IF(A431=0,"",VLOOKUP(B431,Materials!$A$2:$E$1001,6,FALSE))</f>
        <v/>
      </c>
      <c r="I431" s="12"/>
      <c r="J431" s="12"/>
      <c r="K431" s="12"/>
      <c r="L431" s="12"/>
    </row>
    <row r="432" spans="1:12" ht="16" x14ac:dyDescent="0.2">
      <c r="A432" s="8"/>
      <c r="B432" s="8"/>
      <c r="C432" s="8" t="str">
        <f t="shared" si="12"/>
        <v/>
      </c>
      <c r="D432" s="8" t="str">
        <f t="shared" si="13"/>
        <v/>
      </c>
      <c r="E432" s="12"/>
      <c r="F432" s="12"/>
      <c r="G432" s="12"/>
      <c r="H432" s="12" t="str">
        <f>IF(A432=0,"",VLOOKUP(B432,Materials!$A$2:$E$1001,6,FALSE))</f>
        <v/>
      </c>
      <c r="I432" s="12"/>
      <c r="J432" s="12"/>
      <c r="K432" s="12"/>
      <c r="L432" s="12"/>
    </row>
    <row r="433" spans="1:12" ht="16" x14ac:dyDescent="0.2">
      <c r="A433" s="8"/>
      <c r="B433" s="8"/>
      <c r="C433" s="8" t="str">
        <f t="shared" si="12"/>
        <v/>
      </c>
      <c r="D433" s="8" t="str">
        <f t="shared" si="13"/>
        <v/>
      </c>
      <c r="E433" s="12"/>
      <c r="F433" s="12"/>
      <c r="G433" s="12"/>
      <c r="H433" s="12" t="str">
        <f>IF(A433=0,"",VLOOKUP(B433,Materials!$A$2:$E$1001,6,FALSE))</f>
        <v/>
      </c>
      <c r="I433" s="12"/>
      <c r="J433" s="12"/>
      <c r="K433" s="12"/>
      <c r="L433" s="12"/>
    </row>
    <row r="434" spans="1:12" ht="16" x14ac:dyDescent="0.2">
      <c r="A434" s="8"/>
      <c r="B434" s="8"/>
      <c r="C434" s="8" t="str">
        <f t="shared" si="12"/>
        <v/>
      </c>
      <c r="D434" s="8" t="str">
        <f t="shared" si="13"/>
        <v/>
      </c>
      <c r="E434" s="12"/>
      <c r="F434" s="12"/>
      <c r="G434" s="12"/>
      <c r="H434" s="12" t="str">
        <f>IF(A434=0,"",VLOOKUP(B434,Materials!$A$2:$E$1001,6,FALSE))</f>
        <v/>
      </c>
      <c r="I434" s="12"/>
      <c r="J434" s="12"/>
      <c r="K434" s="12"/>
      <c r="L434" s="12"/>
    </row>
    <row r="435" spans="1:12" ht="16" x14ac:dyDescent="0.2">
      <c r="A435" s="8"/>
      <c r="B435" s="8"/>
      <c r="C435" s="8" t="str">
        <f t="shared" si="12"/>
        <v/>
      </c>
      <c r="D435" s="8" t="str">
        <f t="shared" si="13"/>
        <v/>
      </c>
      <c r="E435" s="12"/>
      <c r="F435" s="12"/>
      <c r="G435" s="12"/>
      <c r="H435" s="12" t="str">
        <f>IF(A435=0,"",VLOOKUP(B435,Materials!$A$2:$E$1001,6,FALSE))</f>
        <v/>
      </c>
      <c r="I435" s="12"/>
      <c r="J435" s="12"/>
      <c r="K435" s="12"/>
      <c r="L435" s="12"/>
    </row>
    <row r="436" spans="1:12" ht="16" x14ac:dyDescent="0.2">
      <c r="A436" s="8"/>
      <c r="B436" s="8"/>
      <c r="C436" s="8" t="str">
        <f t="shared" si="12"/>
        <v/>
      </c>
      <c r="D436" s="8" t="str">
        <f t="shared" si="13"/>
        <v/>
      </c>
      <c r="E436" s="12"/>
      <c r="F436" s="12"/>
      <c r="G436" s="12"/>
      <c r="H436" s="12" t="str">
        <f>IF(A436=0,"",VLOOKUP(B436,Materials!$A$2:$E$1001,6,FALSE))</f>
        <v/>
      </c>
      <c r="I436" s="12"/>
      <c r="J436" s="12"/>
      <c r="K436" s="12"/>
      <c r="L436" s="12"/>
    </row>
    <row r="437" spans="1:12" ht="16" x14ac:dyDescent="0.2">
      <c r="A437" s="8"/>
      <c r="B437" s="8"/>
      <c r="C437" s="8" t="str">
        <f t="shared" si="12"/>
        <v/>
      </c>
      <c r="D437" s="8" t="str">
        <f t="shared" si="13"/>
        <v/>
      </c>
      <c r="E437" s="12"/>
      <c r="F437" s="12"/>
      <c r="G437" s="12"/>
      <c r="H437" s="12" t="str">
        <f>IF(A437=0,"",VLOOKUP(B437,Materials!$A$2:$E$1001,6,FALSE))</f>
        <v/>
      </c>
      <c r="I437" s="12"/>
      <c r="J437" s="12"/>
      <c r="K437" s="12"/>
      <c r="L437" s="12"/>
    </row>
    <row r="438" spans="1:12" ht="16" x14ac:dyDescent="0.2">
      <c r="A438" s="8"/>
      <c r="B438" s="8"/>
      <c r="C438" s="8" t="str">
        <f t="shared" si="12"/>
        <v/>
      </c>
      <c r="D438" s="8" t="str">
        <f t="shared" si="13"/>
        <v/>
      </c>
      <c r="E438" s="12"/>
      <c r="F438" s="12"/>
      <c r="G438" s="12"/>
      <c r="H438" s="12" t="str">
        <f>IF(A438=0,"",VLOOKUP(B438,Materials!$A$2:$E$1001,6,FALSE))</f>
        <v/>
      </c>
      <c r="I438" s="12"/>
      <c r="J438" s="12"/>
      <c r="K438" s="12"/>
      <c r="L438" s="12"/>
    </row>
    <row r="439" spans="1:12" ht="16" x14ac:dyDescent="0.2">
      <c r="A439" s="8"/>
      <c r="B439" s="8"/>
      <c r="C439" s="8" t="str">
        <f t="shared" si="12"/>
        <v/>
      </c>
      <c r="D439" s="8" t="str">
        <f t="shared" si="13"/>
        <v/>
      </c>
      <c r="E439" s="12"/>
      <c r="F439" s="12"/>
      <c r="G439" s="12"/>
      <c r="H439" s="12" t="str">
        <f>IF(A439=0,"",VLOOKUP(B439,Materials!$A$2:$E$1001,6,FALSE))</f>
        <v/>
      </c>
      <c r="I439" s="12"/>
      <c r="J439" s="12"/>
      <c r="K439" s="12"/>
      <c r="L439" s="12"/>
    </row>
    <row r="440" spans="1:12" ht="16" x14ac:dyDescent="0.2">
      <c r="A440" s="8"/>
      <c r="B440" s="8"/>
      <c r="C440" s="8" t="str">
        <f t="shared" si="12"/>
        <v/>
      </c>
      <c r="D440" s="8" t="str">
        <f t="shared" si="13"/>
        <v/>
      </c>
      <c r="E440" s="12"/>
      <c r="F440" s="12"/>
      <c r="G440" s="12"/>
      <c r="H440" s="12" t="str">
        <f>IF(A440=0,"",VLOOKUP(B440,Materials!$A$2:$E$1001,6,FALSE))</f>
        <v/>
      </c>
      <c r="I440" s="12"/>
      <c r="J440" s="12"/>
      <c r="K440" s="12"/>
      <c r="L440" s="12"/>
    </row>
    <row r="441" spans="1:12" ht="16" x14ac:dyDescent="0.2">
      <c r="A441" s="8"/>
      <c r="B441" s="8"/>
      <c r="C441" s="8" t="str">
        <f t="shared" si="12"/>
        <v/>
      </c>
      <c r="D441" s="8" t="str">
        <f t="shared" si="13"/>
        <v/>
      </c>
      <c r="E441" s="12"/>
      <c r="F441" s="12"/>
      <c r="G441" s="12"/>
      <c r="H441" s="12" t="str">
        <f>IF(A441=0,"",VLOOKUP(B441,Materials!$A$2:$E$1001,6,FALSE))</f>
        <v/>
      </c>
      <c r="I441" s="12"/>
      <c r="J441" s="12"/>
      <c r="K441" s="12"/>
      <c r="L441" s="12"/>
    </row>
    <row r="442" spans="1:12" ht="16" x14ac:dyDescent="0.2">
      <c r="A442" s="8"/>
      <c r="B442" s="8"/>
      <c r="C442" s="8" t="str">
        <f t="shared" si="12"/>
        <v/>
      </c>
      <c r="D442" s="8" t="str">
        <f t="shared" si="13"/>
        <v/>
      </c>
      <c r="E442" s="12"/>
      <c r="F442" s="12"/>
      <c r="G442" s="12"/>
      <c r="H442" s="12" t="str">
        <f>IF(A442=0,"",VLOOKUP(B442,Materials!$A$2:$E$1001,6,FALSE))</f>
        <v/>
      </c>
      <c r="I442" s="12"/>
      <c r="J442" s="12"/>
      <c r="K442" s="12"/>
      <c r="L442" s="12"/>
    </row>
    <row r="443" spans="1:12" ht="16" x14ac:dyDescent="0.2">
      <c r="A443" s="8"/>
      <c r="B443" s="8"/>
      <c r="C443" s="8" t="str">
        <f t="shared" si="12"/>
        <v/>
      </c>
      <c r="D443" s="8" t="str">
        <f t="shared" si="13"/>
        <v/>
      </c>
      <c r="E443" s="12"/>
      <c r="F443" s="12"/>
      <c r="G443" s="12"/>
      <c r="H443" s="12" t="str">
        <f>IF(A443=0,"",VLOOKUP(B443,Materials!$A$2:$E$1001,6,FALSE))</f>
        <v/>
      </c>
      <c r="I443" s="12"/>
      <c r="J443" s="12"/>
      <c r="K443" s="12"/>
      <c r="L443" s="12"/>
    </row>
    <row r="444" spans="1:12" ht="16" x14ac:dyDescent="0.2">
      <c r="A444" s="8"/>
      <c r="B444" s="8"/>
      <c r="C444" s="8" t="str">
        <f t="shared" si="12"/>
        <v/>
      </c>
      <c r="D444" s="8" t="str">
        <f t="shared" si="13"/>
        <v/>
      </c>
      <c r="E444" s="12"/>
      <c r="F444" s="12"/>
      <c r="G444" s="12"/>
      <c r="H444" s="12" t="str">
        <f>IF(A444=0,"",VLOOKUP(B444,Materials!$A$2:$E$1001,6,FALSE))</f>
        <v/>
      </c>
      <c r="I444" s="12"/>
      <c r="J444" s="12"/>
      <c r="K444" s="12"/>
      <c r="L444" s="12"/>
    </row>
    <row r="445" spans="1:12" ht="16" x14ac:dyDescent="0.2">
      <c r="A445" s="8"/>
      <c r="B445" s="8"/>
      <c r="C445" s="8" t="str">
        <f t="shared" si="12"/>
        <v/>
      </c>
      <c r="D445" s="8" t="str">
        <f t="shared" si="13"/>
        <v/>
      </c>
      <c r="E445" s="12"/>
      <c r="F445" s="12"/>
      <c r="G445" s="12"/>
      <c r="H445" s="12" t="str">
        <f>IF(A445=0,"",VLOOKUP(B445,Materials!$A$2:$E$1001,6,FALSE))</f>
        <v/>
      </c>
      <c r="I445" s="12"/>
      <c r="J445" s="12"/>
      <c r="K445" s="12"/>
      <c r="L445" s="12"/>
    </row>
    <row r="446" spans="1:12" ht="16" x14ac:dyDescent="0.2">
      <c r="A446" s="8"/>
      <c r="B446" s="8"/>
      <c r="C446" s="8" t="str">
        <f t="shared" si="12"/>
        <v/>
      </c>
      <c r="D446" s="8" t="str">
        <f t="shared" si="13"/>
        <v/>
      </c>
      <c r="E446" s="12"/>
      <c r="F446" s="12"/>
      <c r="G446" s="12"/>
      <c r="H446" s="12" t="str">
        <f>IF(A446=0,"",VLOOKUP(B446,Materials!$A$2:$E$1001,6,FALSE))</f>
        <v/>
      </c>
      <c r="I446" s="12"/>
      <c r="J446" s="12"/>
      <c r="K446" s="12"/>
      <c r="L446" s="12"/>
    </row>
    <row r="447" spans="1:12" ht="16" x14ac:dyDescent="0.2">
      <c r="A447" s="8"/>
      <c r="B447" s="8"/>
      <c r="C447" s="8" t="str">
        <f t="shared" si="12"/>
        <v/>
      </c>
      <c r="D447" s="8" t="str">
        <f t="shared" si="13"/>
        <v/>
      </c>
      <c r="E447" s="12"/>
      <c r="F447" s="12"/>
      <c r="G447" s="12"/>
      <c r="H447" s="12" t="str">
        <f>IF(A447=0,"",VLOOKUP(B447,Materials!$A$2:$E$1001,6,FALSE))</f>
        <v/>
      </c>
      <c r="I447" s="12"/>
      <c r="J447" s="12"/>
      <c r="K447" s="12"/>
      <c r="L447" s="12"/>
    </row>
    <row r="448" spans="1:12" ht="16" x14ac:dyDescent="0.2">
      <c r="A448" s="8"/>
      <c r="B448" s="8"/>
      <c r="C448" s="8" t="str">
        <f t="shared" si="12"/>
        <v/>
      </c>
      <c r="D448" s="8" t="str">
        <f t="shared" si="13"/>
        <v/>
      </c>
      <c r="E448" s="12"/>
      <c r="F448" s="12"/>
      <c r="G448" s="12"/>
      <c r="H448" s="12" t="str">
        <f>IF(A448=0,"",VLOOKUP(B448,Materials!$A$2:$E$1001,6,FALSE))</f>
        <v/>
      </c>
      <c r="I448" s="12"/>
      <c r="J448" s="12"/>
      <c r="K448" s="12"/>
      <c r="L448" s="12"/>
    </row>
    <row r="449" spans="1:12" ht="16" x14ac:dyDescent="0.2">
      <c r="A449" s="8"/>
      <c r="B449" s="8"/>
      <c r="C449" s="8" t="str">
        <f t="shared" si="12"/>
        <v/>
      </c>
      <c r="D449" s="8" t="str">
        <f t="shared" si="13"/>
        <v/>
      </c>
      <c r="E449" s="12"/>
      <c r="F449" s="12"/>
      <c r="G449" s="12"/>
      <c r="H449" s="12" t="str">
        <f>IF(A449=0,"",VLOOKUP(B449,Materials!$A$2:$E$1001,6,FALSE))</f>
        <v/>
      </c>
      <c r="I449" s="12"/>
      <c r="J449" s="12"/>
      <c r="K449" s="12"/>
      <c r="L449" s="12"/>
    </row>
    <row r="450" spans="1:12" ht="16" x14ac:dyDescent="0.2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2"/>
      <c r="F450" s="12"/>
      <c r="G450" s="12"/>
      <c r="H450" s="12" t="str">
        <f>IF(A450=0,"",VLOOKUP(B450,Materials!$A$2:$E$1001,6,FALSE))</f>
        <v/>
      </c>
      <c r="I450" s="12"/>
      <c r="J450" s="12"/>
      <c r="K450" s="12"/>
      <c r="L450" s="12"/>
    </row>
    <row r="451" spans="1:12" ht="16" x14ac:dyDescent="0.2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2"/>
      <c r="F451" s="12"/>
      <c r="G451" s="12"/>
      <c r="H451" s="12" t="str">
        <f>IF(A451=0,"",VLOOKUP(B451,Materials!$A$2:$E$1001,6,FALSE))</f>
        <v/>
      </c>
      <c r="I451" s="12"/>
      <c r="J451" s="12"/>
      <c r="K451" s="12"/>
      <c r="L451" s="12"/>
    </row>
    <row r="452" spans="1:12" ht="16" x14ac:dyDescent="0.2">
      <c r="A452" s="8"/>
      <c r="B452" s="8"/>
      <c r="C452" s="8" t="str">
        <f t="shared" si="14"/>
        <v/>
      </c>
      <c r="D452" s="8" t="str">
        <f t="shared" si="15"/>
        <v/>
      </c>
      <c r="E452" s="12"/>
      <c r="F452" s="12"/>
      <c r="G452" s="12"/>
      <c r="H452" s="12" t="str">
        <f>IF(A452=0,"",VLOOKUP(B452,Materials!$A$2:$E$1001,6,FALSE))</f>
        <v/>
      </c>
      <c r="I452" s="12"/>
      <c r="J452" s="12"/>
      <c r="K452" s="12"/>
      <c r="L452" s="12"/>
    </row>
    <row r="453" spans="1:12" ht="16" x14ac:dyDescent="0.2">
      <c r="A453" s="8"/>
      <c r="B453" s="8"/>
      <c r="C453" s="8" t="str">
        <f t="shared" si="14"/>
        <v/>
      </c>
      <c r="D453" s="8" t="str">
        <f t="shared" si="15"/>
        <v/>
      </c>
      <c r="E453" s="12"/>
      <c r="F453" s="12"/>
      <c r="G453" s="12"/>
      <c r="H453" s="12" t="str">
        <f>IF(A453=0,"",VLOOKUP(B453,Materials!$A$2:$E$1001,6,FALSE))</f>
        <v/>
      </c>
      <c r="I453" s="12"/>
      <c r="J453" s="12"/>
      <c r="K453" s="12"/>
      <c r="L453" s="12"/>
    </row>
    <row r="454" spans="1:12" ht="16" x14ac:dyDescent="0.2">
      <c r="A454" s="8"/>
      <c r="B454" s="8"/>
      <c r="C454" s="8" t="str">
        <f t="shared" si="14"/>
        <v/>
      </c>
      <c r="D454" s="8" t="str">
        <f t="shared" si="15"/>
        <v/>
      </c>
      <c r="E454" s="12"/>
      <c r="F454" s="12"/>
      <c r="G454" s="12"/>
      <c r="H454" s="12" t="str">
        <f>IF(A454=0,"",VLOOKUP(B454,Materials!$A$2:$E$1001,6,FALSE))</f>
        <v/>
      </c>
      <c r="I454" s="12"/>
      <c r="J454" s="12"/>
      <c r="K454" s="12"/>
      <c r="L454" s="12"/>
    </row>
    <row r="455" spans="1:12" ht="16" x14ac:dyDescent="0.2">
      <c r="A455" s="8"/>
      <c r="B455" s="8"/>
      <c r="C455" s="8" t="str">
        <f t="shared" si="14"/>
        <v/>
      </c>
      <c r="D455" s="8" t="str">
        <f t="shared" si="15"/>
        <v/>
      </c>
      <c r="E455" s="12"/>
      <c r="F455" s="12"/>
      <c r="G455" s="12"/>
      <c r="H455" s="12" t="str">
        <f>IF(A455=0,"",VLOOKUP(B455,Materials!$A$2:$E$1001,6,FALSE))</f>
        <v/>
      </c>
      <c r="I455" s="12"/>
      <c r="J455" s="12"/>
      <c r="K455" s="12"/>
      <c r="L455" s="12"/>
    </row>
    <row r="456" spans="1:12" ht="16" x14ac:dyDescent="0.2">
      <c r="A456" s="8"/>
      <c r="B456" s="8"/>
      <c r="C456" s="8" t="str">
        <f t="shared" si="14"/>
        <v/>
      </c>
      <c r="D456" s="8" t="str">
        <f t="shared" si="15"/>
        <v/>
      </c>
      <c r="E456" s="12"/>
      <c r="F456" s="12"/>
      <c r="G456" s="12"/>
      <c r="H456" s="12" t="str">
        <f>IF(A456=0,"",VLOOKUP(B456,Materials!$A$2:$E$1001,6,FALSE))</f>
        <v/>
      </c>
      <c r="I456" s="12"/>
      <c r="J456" s="12"/>
      <c r="K456" s="12"/>
      <c r="L456" s="12"/>
    </row>
    <row r="457" spans="1:12" ht="16" x14ac:dyDescent="0.2">
      <c r="A457" s="8"/>
      <c r="B457" s="8"/>
      <c r="C457" s="8" t="str">
        <f t="shared" si="14"/>
        <v/>
      </c>
      <c r="D457" s="8" t="str">
        <f t="shared" si="15"/>
        <v/>
      </c>
      <c r="E457" s="12"/>
      <c r="F457" s="12"/>
      <c r="G457" s="12"/>
      <c r="H457" s="12" t="str">
        <f>IF(A457=0,"",VLOOKUP(B457,Materials!$A$2:$E$1001,6,FALSE))</f>
        <v/>
      </c>
      <c r="I457" s="12"/>
      <c r="J457" s="12"/>
      <c r="K457" s="12"/>
      <c r="L457" s="12"/>
    </row>
    <row r="458" spans="1:12" ht="16" x14ac:dyDescent="0.2">
      <c r="A458" s="8"/>
      <c r="B458" s="8"/>
      <c r="C458" s="8" t="str">
        <f t="shared" si="14"/>
        <v/>
      </c>
      <c r="D458" s="8" t="str">
        <f t="shared" si="15"/>
        <v/>
      </c>
      <c r="E458" s="12"/>
      <c r="F458" s="12"/>
      <c r="G458" s="12"/>
      <c r="H458" s="12" t="str">
        <f>IF(A458=0,"",VLOOKUP(B458,Materials!$A$2:$E$1001,6,FALSE))</f>
        <v/>
      </c>
      <c r="I458" s="12"/>
      <c r="J458" s="12"/>
      <c r="K458" s="12"/>
      <c r="L458" s="12"/>
    </row>
    <row r="459" spans="1:12" ht="16" x14ac:dyDescent="0.2">
      <c r="A459" s="8"/>
      <c r="B459" s="8"/>
      <c r="C459" s="8" t="str">
        <f t="shared" si="14"/>
        <v/>
      </c>
      <c r="D459" s="8" t="str">
        <f t="shared" si="15"/>
        <v/>
      </c>
      <c r="E459" s="12"/>
      <c r="F459" s="12"/>
      <c r="G459" s="12"/>
      <c r="H459" s="12" t="str">
        <f>IF(A459=0,"",VLOOKUP(B459,Materials!$A$2:$E$1001,6,FALSE))</f>
        <v/>
      </c>
      <c r="I459" s="12"/>
      <c r="J459" s="12"/>
      <c r="K459" s="12"/>
      <c r="L459" s="12"/>
    </row>
    <row r="460" spans="1:12" ht="16" x14ac:dyDescent="0.2">
      <c r="A460" s="8"/>
      <c r="B460" s="8"/>
      <c r="C460" s="8" t="str">
        <f t="shared" si="14"/>
        <v/>
      </c>
      <c r="D460" s="8" t="str">
        <f t="shared" si="15"/>
        <v/>
      </c>
      <c r="E460" s="12"/>
      <c r="F460" s="12"/>
      <c r="G460" s="12"/>
      <c r="H460" s="12" t="str">
        <f>IF(A460=0,"",VLOOKUP(B460,Materials!$A$2:$E$1001,6,FALSE))</f>
        <v/>
      </c>
      <c r="I460" s="12"/>
      <c r="J460" s="12"/>
      <c r="K460" s="12"/>
      <c r="L460" s="12"/>
    </row>
    <row r="461" spans="1:12" ht="16" x14ac:dyDescent="0.2">
      <c r="A461" s="8"/>
      <c r="B461" s="8"/>
      <c r="C461" s="8" t="str">
        <f t="shared" si="14"/>
        <v/>
      </c>
      <c r="D461" s="8" t="str">
        <f t="shared" si="15"/>
        <v/>
      </c>
      <c r="E461" s="12"/>
      <c r="F461" s="12"/>
      <c r="G461" s="12"/>
      <c r="H461" s="12" t="str">
        <f>IF(A461=0,"",VLOOKUP(B461,Materials!$A$2:$E$1001,6,FALSE))</f>
        <v/>
      </c>
      <c r="I461" s="12"/>
      <c r="J461" s="12"/>
      <c r="K461" s="12"/>
      <c r="L461" s="12"/>
    </row>
    <row r="462" spans="1:12" ht="16" x14ac:dyDescent="0.2">
      <c r="A462" s="8"/>
      <c r="B462" s="8"/>
      <c r="C462" s="8" t="str">
        <f t="shared" si="14"/>
        <v/>
      </c>
      <c r="D462" s="8" t="str">
        <f t="shared" si="15"/>
        <v/>
      </c>
      <c r="E462" s="12"/>
      <c r="F462" s="12"/>
      <c r="G462" s="12"/>
      <c r="H462" s="12" t="str">
        <f>IF(A462=0,"",VLOOKUP(B462,Materials!$A$2:$E$1001,6,FALSE))</f>
        <v/>
      </c>
      <c r="I462" s="12"/>
      <c r="J462" s="12"/>
      <c r="K462" s="12"/>
      <c r="L462" s="12"/>
    </row>
    <row r="463" spans="1:12" ht="16" x14ac:dyDescent="0.2">
      <c r="A463" s="8"/>
      <c r="B463" s="8"/>
      <c r="C463" s="8" t="str">
        <f t="shared" si="14"/>
        <v/>
      </c>
      <c r="D463" s="8" t="str">
        <f t="shared" si="15"/>
        <v/>
      </c>
      <c r="E463" s="12"/>
      <c r="F463" s="12"/>
      <c r="G463" s="12"/>
      <c r="H463" s="12" t="str">
        <f>IF(A463=0,"",VLOOKUP(B463,Materials!$A$2:$E$1001,6,FALSE))</f>
        <v/>
      </c>
      <c r="I463" s="12"/>
      <c r="J463" s="12"/>
      <c r="K463" s="12"/>
      <c r="L463" s="12"/>
    </row>
    <row r="464" spans="1:12" ht="16" x14ac:dyDescent="0.2">
      <c r="A464" s="8"/>
      <c r="B464" s="8"/>
      <c r="C464" s="8" t="str">
        <f t="shared" si="14"/>
        <v/>
      </c>
      <c r="D464" s="8" t="str">
        <f t="shared" si="15"/>
        <v/>
      </c>
      <c r="E464" s="12"/>
      <c r="F464" s="12"/>
      <c r="G464" s="12"/>
      <c r="H464" s="12" t="str">
        <f>IF(A464=0,"",VLOOKUP(B464,Materials!$A$2:$E$1001,6,FALSE))</f>
        <v/>
      </c>
      <c r="I464" s="12"/>
      <c r="J464" s="12"/>
      <c r="K464" s="12"/>
      <c r="L464" s="12"/>
    </row>
    <row r="465" spans="1:12" ht="16" x14ac:dyDescent="0.2">
      <c r="A465" s="8"/>
      <c r="B465" s="8"/>
      <c r="C465" s="8" t="str">
        <f t="shared" si="14"/>
        <v/>
      </c>
      <c r="D465" s="8" t="str">
        <f t="shared" si="15"/>
        <v/>
      </c>
      <c r="E465" s="12"/>
      <c r="F465" s="12"/>
      <c r="G465" s="12"/>
      <c r="H465" s="12" t="str">
        <f>IF(A465=0,"",VLOOKUP(B465,Materials!$A$2:$E$1001,6,FALSE))</f>
        <v/>
      </c>
      <c r="I465" s="12"/>
      <c r="J465" s="12"/>
      <c r="K465" s="12"/>
      <c r="L465" s="12"/>
    </row>
    <row r="466" spans="1:12" ht="16" x14ac:dyDescent="0.2">
      <c r="A466" s="8"/>
      <c r="B466" s="8"/>
      <c r="C466" s="8" t="str">
        <f t="shared" si="14"/>
        <v/>
      </c>
      <c r="D466" s="8" t="str">
        <f t="shared" si="15"/>
        <v/>
      </c>
      <c r="E466" s="12"/>
      <c r="F466" s="12"/>
      <c r="G466" s="12"/>
      <c r="H466" s="12" t="str">
        <f>IF(A466=0,"",VLOOKUP(B466,Materials!$A$2:$E$1001,6,FALSE))</f>
        <v/>
      </c>
      <c r="I466" s="12"/>
      <c r="J466" s="12"/>
      <c r="K466" s="12"/>
      <c r="L466" s="12"/>
    </row>
    <row r="467" spans="1:12" ht="16" x14ac:dyDescent="0.2">
      <c r="A467" s="8"/>
      <c r="B467" s="8"/>
      <c r="C467" s="8" t="str">
        <f t="shared" si="14"/>
        <v/>
      </c>
      <c r="D467" s="8" t="str">
        <f t="shared" si="15"/>
        <v/>
      </c>
      <c r="E467" s="12"/>
      <c r="F467" s="12"/>
      <c r="G467" s="12"/>
      <c r="H467" s="12" t="str">
        <f>IF(A467=0,"",VLOOKUP(B467,Materials!$A$2:$E$1001,6,FALSE))</f>
        <v/>
      </c>
      <c r="I467" s="12"/>
      <c r="J467" s="12"/>
      <c r="K467" s="12"/>
      <c r="L467" s="12"/>
    </row>
    <row r="468" spans="1:12" ht="16" x14ac:dyDescent="0.2">
      <c r="A468" s="8"/>
      <c r="B468" s="8"/>
      <c r="C468" s="8" t="str">
        <f t="shared" si="14"/>
        <v/>
      </c>
      <c r="D468" s="8" t="str">
        <f t="shared" si="15"/>
        <v/>
      </c>
      <c r="E468" s="12"/>
      <c r="F468" s="12"/>
      <c r="G468" s="12"/>
      <c r="H468" s="12" t="str">
        <f>IF(A468=0,"",VLOOKUP(B468,Materials!$A$2:$E$1001,6,FALSE))</f>
        <v/>
      </c>
      <c r="I468" s="12"/>
      <c r="J468" s="12"/>
      <c r="K468" s="12"/>
      <c r="L468" s="12"/>
    </row>
    <row r="469" spans="1:12" ht="16" x14ac:dyDescent="0.2">
      <c r="A469" s="8"/>
      <c r="B469" s="8"/>
      <c r="C469" s="8" t="str">
        <f t="shared" si="14"/>
        <v/>
      </c>
      <c r="D469" s="8" t="str">
        <f t="shared" si="15"/>
        <v/>
      </c>
      <c r="E469" s="12"/>
      <c r="F469" s="12"/>
      <c r="G469" s="12"/>
      <c r="H469" s="12" t="str">
        <f>IF(A469=0,"",VLOOKUP(B469,Materials!$A$2:$E$1001,6,FALSE))</f>
        <v/>
      </c>
      <c r="I469" s="12"/>
      <c r="J469" s="12"/>
      <c r="K469" s="12"/>
      <c r="L469" s="12"/>
    </row>
    <row r="470" spans="1:12" ht="16" x14ac:dyDescent="0.2">
      <c r="A470" s="8"/>
      <c r="B470" s="8"/>
      <c r="C470" s="8" t="str">
        <f t="shared" si="14"/>
        <v/>
      </c>
      <c r="D470" s="8" t="str">
        <f t="shared" si="15"/>
        <v/>
      </c>
      <c r="E470" s="12"/>
      <c r="F470" s="12"/>
      <c r="G470" s="12"/>
      <c r="H470" s="12" t="str">
        <f>IF(A470=0,"",VLOOKUP(B470,Materials!$A$2:$E$1001,6,FALSE))</f>
        <v/>
      </c>
      <c r="I470" s="12"/>
      <c r="J470" s="12"/>
      <c r="K470" s="12"/>
      <c r="L470" s="12"/>
    </row>
    <row r="471" spans="1:12" ht="16" x14ac:dyDescent="0.2">
      <c r="A471" s="8"/>
      <c r="B471" s="8"/>
      <c r="C471" s="8" t="str">
        <f t="shared" si="14"/>
        <v/>
      </c>
      <c r="D471" s="8" t="str">
        <f t="shared" si="15"/>
        <v/>
      </c>
      <c r="E471" s="12"/>
      <c r="F471" s="12"/>
      <c r="G471" s="12"/>
      <c r="H471" s="12" t="str">
        <f>IF(A471=0,"",VLOOKUP(B471,Materials!$A$2:$E$1001,6,FALSE))</f>
        <v/>
      </c>
      <c r="I471" s="12"/>
      <c r="J471" s="12"/>
      <c r="K471" s="12"/>
      <c r="L471" s="12"/>
    </row>
    <row r="472" spans="1:12" ht="16" x14ac:dyDescent="0.2">
      <c r="A472" s="8"/>
      <c r="B472" s="8"/>
      <c r="C472" s="8" t="str">
        <f t="shared" si="14"/>
        <v/>
      </c>
      <c r="D472" s="8" t="str">
        <f t="shared" si="15"/>
        <v/>
      </c>
      <c r="E472" s="12"/>
      <c r="F472" s="12"/>
      <c r="G472" s="12"/>
      <c r="H472" s="12" t="str">
        <f>IF(A472=0,"",VLOOKUP(B472,Materials!$A$2:$E$1001,6,FALSE))</f>
        <v/>
      </c>
      <c r="I472" s="12"/>
      <c r="J472" s="12"/>
      <c r="K472" s="12"/>
      <c r="L472" s="12"/>
    </row>
    <row r="473" spans="1:12" ht="16" x14ac:dyDescent="0.2">
      <c r="A473" s="8"/>
      <c r="B473" s="8"/>
      <c r="C473" s="8" t="str">
        <f t="shared" si="14"/>
        <v/>
      </c>
      <c r="D473" s="8" t="str">
        <f t="shared" si="15"/>
        <v/>
      </c>
      <c r="E473" s="12"/>
      <c r="F473" s="12"/>
      <c r="G473" s="12"/>
      <c r="H473" s="12" t="str">
        <f>IF(A473=0,"",VLOOKUP(B473,Materials!$A$2:$E$1001,6,FALSE))</f>
        <v/>
      </c>
      <c r="I473" s="12"/>
      <c r="J473" s="12"/>
      <c r="K473" s="12"/>
      <c r="L473" s="12"/>
    </row>
    <row r="474" spans="1:12" ht="16" x14ac:dyDescent="0.2">
      <c r="A474" s="8"/>
      <c r="B474" s="8"/>
      <c r="C474" s="8" t="str">
        <f t="shared" si="14"/>
        <v/>
      </c>
      <c r="D474" s="8" t="str">
        <f t="shared" si="15"/>
        <v/>
      </c>
      <c r="E474" s="12"/>
      <c r="F474" s="12"/>
      <c r="G474" s="12"/>
      <c r="H474" s="12" t="str">
        <f>IF(A474=0,"",VLOOKUP(B474,Materials!$A$2:$E$1001,6,FALSE))</f>
        <v/>
      </c>
      <c r="I474" s="12"/>
      <c r="J474" s="12"/>
      <c r="K474" s="12"/>
      <c r="L474" s="12"/>
    </row>
    <row r="475" spans="1:12" ht="16" x14ac:dyDescent="0.2">
      <c r="A475" s="8"/>
      <c r="B475" s="8"/>
      <c r="C475" s="8" t="str">
        <f t="shared" si="14"/>
        <v/>
      </c>
      <c r="D475" s="8" t="str">
        <f t="shared" si="15"/>
        <v/>
      </c>
      <c r="E475" s="12"/>
      <c r="F475" s="12"/>
      <c r="G475" s="12"/>
      <c r="H475" s="12" t="str">
        <f>IF(A475=0,"",VLOOKUP(B475,Materials!$A$2:$E$1001,6,FALSE))</f>
        <v/>
      </c>
      <c r="I475" s="12"/>
      <c r="J475" s="12"/>
      <c r="K475" s="12"/>
      <c r="L475" s="12"/>
    </row>
    <row r="476" spans="1:12" ht="16" x14ac:dyDescent="0.2">
      <c r="A476" s="8"/>
      <c r="B476" s="8"/>
      <c r="C476" s="8" t="str">
        <f t="shared" si="14"/>
        <v/>
      </c>
      <c r="D476" s="8" t="str">
        <f t="shared" si="15"/>
        <v/>
      </c>
      <c r="E476" s="12"/>
      <c r="F476" s="12"/>
      <c r="G476" s="12"/>
      <c r="H476" s="12" t="str">
        <f>IF(A476=0,"",VLOOKUP(B476,Materials!$A$2:$E$1001,6,FALSE))</f>
        <v/>
      </c>
      <c r="I476" s="12"/>
      <c r="J476" s="12"/>
      <c r="K476" s="12"/>
      <c r="L476" s="12"/>
    </row>
    <row r="477" spans="1:12" ht="16" x14ac:dyDescent="0.2">
      <c r="A477" s="8"/>
      <c r="B477" s="8"/>
      <c r="C477" s="8" t="str">
        <f t="shared" si="14"/>
        <v/>
      </c>
      <c r="D477" s="8" t="str">
        <f t="shared" si="15"/>
        <v/>
      </c>
      <c r="E477" s="12"/>
      <c r="F477" s="12"/>
      <c r="G477" s="12"/>
      <c r="H477" s="12" t="str">
        <f>IF(A477=0,"",VLOOKUP(B477,Materials!$A$2:$E$1001,6,FALSE))</f>
        <v/>
      </c>
      <c r="I477" s="12"/>
      <c r="J477" s="12"/>
      <c r="K477" s="12"/>
      <c r="L477" s="12"/>
    </row>
    <row r="478" spans="1:12" ht="16" x14ac:dyDescent="0.2">
      <c r="A478" s="8"/>
      <c r="B478" s="8"/>
      <c r="C478" s="8" t="str">
        <f t="shared" si="14"/>
        <v/>
      </c>
      <c r="D478" s="8" t="str">
        <f t="shared" si="15"/>
        <v/>
      </c>
      <c r="E478" s="12"/>
      <c r="F478" s="12"/>
      <c r="G478" s="12"/>
      <c r="H478" s="12" t="str">
        <f>IF(A478=0,"",VLOOKUP(B478,Materials!$A$2:$E$1001,6,FALSE))</f>
        <v/>
      </c>
      <c r="I478" s="12"/>
      <c r="J478" s="12"/>
      <c r="K478" s="12"/>
      <c r="L478" s="12"/>
    </row>
    <row r="479" spans="1:12" ht="16" x14ac:dyDescent="0.2">
      <c r="A479" s="8"/>
      <c r="B479" s="8"/>
      <c r="C479" s="8" t="str">
        <f t="shared" si="14"/>
        <v/>
      </c>
      <c r="D479" s="8" t="str">
        <f t="shared" si="15"/>
        <v/>
      </c>
      <c r="E479" s="12"/>
      <c r="F479" s="12"/>
      <c r="G479" s="12"/>
      <c r="H479" s="12" t="str">
        <f>IF(A479=0,"",VLOOKUP(B479,Materials!$A$2:$E$1001,6,FALSE))</f>
        <v/>
      </c>
      <c r="I479" s="12"/>
      <c r="J479" s="12"/>
      <c r="K479" s="12"/>
      <c r="L479" s="12"/>
    </row>
    <row r="480" spans="1:12" ht="16" x14ac:dyDescent="0.2">
      <c r="A480" s="8"/>
      <c r="B480" s="8"/>
      <c r="C480" s="8" t="str">
        <f t="shared" si="14"/>
        <v/>
      </c>
      <c r="D480" s="8" t="str">
        <f t="shared" si="15"/>
        <v/>
      </c>
      <c r="E480" s="12"/>
      <c r="F480" s="12"/>
      <c r="G480" s="12"/>
      <c r="H480" s="12" t="str">
        <f>IF(A480=0,"",VLOOKUP(B480,Materials!$A$2:$E$1001,6,FALSE))</f>
        <v/>
      </c>
      <c r="I480" s="12"/>
      <c r="J480" s="12"/>
      <c r="K480" s="12"/>
      <c r="L480" s="12"/>
    </row>
    <row r="481" spans="1:12" ht="16" x14ac:dyDescent="0.2">
      <c r="A481" s="8"/>
      <c r="B481" s="8"/>
      <c r="C481" s="8" t="str">
        <f t="shared" si="14"/>
        <v/>
      </c>
      <c r="D481" s="8" t="str">
        <f t="shared" si="15"/>
        <v/>
      </c>
      <c r="E481" s="12"/>
      <c r="F481" s="12"/>
      <c r="G481" s="12"/>
      <c r="H481" s="12" t="str">
        <f>IF(A481=0,"",VLOOKUP(B481,Materials!$A$2:$E$1001,6,FALSE))</f>
        <v/>
      </c>
      <c r="I481" s="12"/>
      <c r="J481" s="12"/>
      <c r="K481" s="12"/>
      <c r="L481" s="12"/>
    </row>
    <row r="482" spans="1:12" ht="16" x14ac:dyDescent="0.2">
      <c r="A482" s="8"/>
      <c r="B482" s="8"/>
      <c r="C482" s="8" t="str">
        <f t="shared" si="14"/>
        <v/>
      </c>
      <c r="D482" s="8" t="str">
        <f t="shared" si="15"/>
        <v/>
      </c>
      <c r="E482" s="12"/>
      <c r="F482" s="12"/>
      <c r="G482" s="12"/>
      <c r="H482" s="12" t="str">
        <f>IF(A482=0,"",VLOOKUP(B482,Materials!$A$2:$E$1001,6,FALSE))</f>
        <v/>
      </c>
      <c r="I482" s="12"/>
      <c r="J482" s="12"/>
      <c r="K482" s="12"/>
      <c r="L482" s="12"/>
    </row>
    <row r="483" spans="1:12" ht="16" x14ac:dyDescent="0.2">
      <c r="A483" s="8"/>
      <c r="B483" s="8"/>
      <c r="C483" s="8" t="str">
        <f t="shared" si="14"/>
        <v/>
      </c>
      <c r="D483" s="8" t="str">
        <f t="shared" si="15"/>
        <v/>
      </c>
      <c r="E483" s="12"/>
      <c r="F483" s="12"/>
      <c r="G483" s="12"/>
      <c r="H483" s="12" t="str">
        <f>IF(A483=0,"",VLOOKUP(B483,Materials!$A$2:$E$1001,6,FALSE))</f>
        <v/>
      </c>
      <c r="I483" s="12"/>
      <c r="J483" s="12"/>
      <c r="K483" s="12"/>
      <c r="L483" s="12"/>
    </row>
    <row r="484" spans="1:12" ht="16" x14ac:dyDescent="0.2">
      <c r="A484" s="8"/>
      <c r="B484" s="8"/>
      <c r="C484" s="8" t="str">
        <f t="shared" si="14"/>
        <v/>
      </c>
      <c r="D484" s="8" t="str">
        <f t="shared" si="15"/>
        <v/>
      </c>
      <c r="E484" s="12"/>
      <c r="F484" s="12"/>
      <c r="G484" s="12"/>
      <c r="H484" s="12" t="str">
        <f>IF(A484=0,"",VLOOKUP(B484,Materials!$A$2:$E$1001,6,FALSE))</f>
        <v/>
      </c>
      <c r="I484" s="12"/>
      <c r="J484" s="12"/>
      <c r="K484" s="12"/>
      <c r="L484" s="12"/>
    </row>
    <row r="485" spans="1:12" ht="16" x14ac:dyDescent="0.2">
      <c r="A485" s="8"/>
      <c r="B485" s="8"/>
      <c r="C485" s="8" t="str">
        <f t="shared" si="14"/>
        <v/>
      </c>
      <c r="D485" s="8" t="str">
        <f t="shared" si="15"/>
        <v/>
      </c>
      <c r="E485" s="12"/>
      <c r="F485" s="12"/>
      <c r="G485" s="12"/>
      <c r="H485" s="12" t="str">
        <f>IF(A485=0,"",VLOOKUP(B485,Materials!$A$2:$E$1001,6,FALSE))</f>
        <v/>
      </c>
      <c r="I485" s="12"/>
      <c r="J485" s="12"/>
      <c r="K485" s="12"/>
      <c r="L485" s="12"/>
    </row>
    <row r="486" spans="1:12" ht="16" x14ac:dyDescent="0.2">
      <c r="A486" s="8"/>
      <c r="B486" s="8"/>
      <c r="C486" s="8" t="str">
        <f t="shared" si="14"/>
        <v/>
      </c>
      <c r="D486" s="8" t="str">
        <f t="shared" si="15"/>
        <v/>
      </c>
      <c r="E486" s="12"/>
      <c r="F486" s="12"/>
      <c r="G486" s="12"/>
      <c r="H486" s="12" t="str">
        <f>IF(A486=0,"",VLOOKUP(B486,Materials!$A$2:$E$1001,6,FALSE))</f>
        <v/>
      </c>
      <c r="I486" s="12"/>
      <c r="J486" s="12"/>
      <c r="K486" s="12"/>
      <c r="L486" s="12"/>
    </row>
    <row r="487" spans="1:12" ht="16" x14ac:dyDescent="0.2">
      <c r="A487" s="8"/>
      <c r="B487" s="8"/>
      <c r="C487" s="8" t="str">
        <f t="shared" si="14"/>
        <v/>
      </c>
      <c r="D487" s="8" t="str">
        <f t="shared" si="15"/>
        <v/>
      </c>
      <c r="E487" s="12"/>
      <c r="F487" s="12"/>
      <c r="G487" s="12"/>
      <c r="H487" s="12" t="str">
        <f>IF(A487=0,"",VLOOKUP(B487,Materials!$A$2:$E$1001,6,FALSE))</f>
        <v/>
      </c>
      <c r="I487" s="12"/>
      <c r="J487" s="12"/>
      <c r="K487" s="12"/>
      <c r="L487" s="12"/>
    </row>
    <row r="488" spans="1:12" ht="16" x14ac:dyDescent="0.2">
      <c r="A488" s="8"/>
      <c r="B488" s="8"/>
      <c r="C488" s="8" t="str">
        <f t="shared" si="14"/>
        <v/>
      </c>
      <c r="D488" s="8" t="str">
        <f t="shared" si="15"/>
        <v/>
      </c>
      <c r="E488" s="12"/>
      <c r="F488" s="12"/>
      <c r="G488" s="12"/>
      <c r="H488" s="12" t="str">
        <f>IF(A488=0,"",VLOOKUP(B488,Materials!$A$2:$E$1001,6,FALSE))</f>
        <v/>
      </c>
      <c r="I488" s="12"/>
      <c r="J488" s="12"/>
      <c r="K488" s="12"/>
      <c r="L488" s="12"/>
    </row>
    <row r="489" spans="1:12" ht="16" x14ac:dyDescent="0.2">
      <c r="A489" s="8"/>
      <c r="B489" s="8"/>
      <c r="C489" s="8" t="str">
        <f t="shared" si="14"/>
        <v/>
      </c>
      <c r="D489" s="8" t="str">
        <f t="shared" si="15"/>
        <v/>
      </c>
      <c r="E489" s="12"/>
      <c r="F489" s="12"/>
      <c r="G489" s="12"/>
      <c r="H489" s="12" t="str">
        <f>IF(A489=0,"",VLOOKUP(B489,Materials!$A$2:$E$1001,6,FALSE))</f>
        <v/>
      </c>
      <c r="I489" s="12"/>
      <c r="J489" s="12"/>
      <c r="K489" s="12"/>
      <c r="L489" s="12"/>
    </row>
    <row r="490" spans="1:12" ht="16" x14ac:dyDescent="0.2">
      <c r="A490" s="8"/>
      <c r="B490" s="8"/>
      <c r="C490" s="8" t="str">
        <f t="shared" si="14"/>
        <v/>
      </c>
      <c r="D490" s="8" t="str">
        <f t="shared" si="15"/>
        <v/>
      </c>
      <c r="E490" s="12"/>
      <c r="F490" s="12"/>
      <c r="G490" s="12"/>
      <c r="H490" s="12" t="str">
        <f>IF(A490=0,"",VLOOKUP(B490,Materials!$A$2:$E$1001,6,FALSE))</f>
        <v/>
      </c>
      <c r="I490" s="12"/>
      <c r="J490" s="12"/>
      <c r="K490" s="12"/>
      <c r="L490" s="12"/>
    </row>
    <row r="491" spans="1:12" ht="16" x14ac:dyDescent="0.2">
      <c r="A491" s="8"/>
      <c r="B491" s="8"/>
      <c r="C491" s="8" t="str">
        <f t="shared" si="14"/>
        <v/>
      </c>
      <c r="D491" s="8" t="str">
        <f t="shared" si="15"/>
        <v/>
      </c>
      <c r="E491" s="12"/>
      <c r="F491" s="12"/>
      <c r="G491" s="12"/>
      <c r="H491" s="12" t="str">
        <f>IF(A491=0,"",VLOOKUP(B491,Materials!$A$2:$E$1001,6,FALSE))</f>
        <v/>
      </c>
      <c r="I491" s="12"/>
      <c r="J491" s="12"/>
      <c r="K491" s="12"/>
      <c r="L491" s="12"/>
    </row>
    <row r="492" spans="1:12" ht="16" x14ac:dyDescent="0.2">
      <c r="A492" s="8"/>
      <c r="B492" s="8"/>
      <c r="C492" s="8" t="str">
        <f t="shared" si="14"/>
        <v/>
      </c>
      <c r="D492" s="8" t="str">
        <f t="shared" si="15"/>
        <v/>
      </c>
      <c r="E492" s="12"/>
      <c r="F492" s="12"/>
      <c r="G492" s="12"/>
      <c r="H492" s="12" t="str">
        <f>IF(A492=0,"",VLOOKUP(B492,Materials!$A$2:$E$1001,6,FALSE))</f>
        <v/>
      </c>
      <c r="I492" s="12"/>
      <c r="J492" s="12"/>
      <c r="K492" s="12"/>
      <c r="L492" s="12"/>
    </row>
    <row r="493" spans="1:12" ht="16" x14ac:dyDescent="0.2">
      <c r="A493" s="8"/>
      <c r="B493" s="8"/>
      <c r="C493" s="8" t="str">
        <f t="shared" si="14"/>
        <v/>
      </c>
      <c r="D493" s="8" t="str">
        <f t="shared" si="15"/>
        <v/>
      </c>
      <c r="E493" s="12"/>
      <c r="F493" s="12"/>
      <c r="G493" s="12"/>
      <c r="H493" s="12" t="str">
        <f>IF(A493=0,"",VLOOKUP(B493,Materials!$A$2:$E$1001,6,FALSE))</f>
        <v/>
      </c>
      <c r="I493" s="12"/>
      <c r="J493" s="12"/>
      <c r="K493" s="12"/>
      <c r="L493" s="12"/>
    </row>
    <row r="494" spans="1:12" ht="16" x14ac:dyDescent="0.2">
      <c r="A494" s="8"/>
      <c r="B494" s="8"/>
      <c r="C494" s="8" t="str">
        <f t="shared" si="14"/>
        <v/>
      </c>
      <c r="D494" s="8" t="str">
        <f t="shared" si="15"/>
        <v/>
      </c>
      <c r="E494" s="12"/>
      <c r="F494" s="12"/>
      <c r="G494" s="12"/>
      <c r="H494" s="12" t="str">
        <f>IF(A494=0,"",VLOOKUP(B494,Materials!$A$2:$E$1001,6,FALSE))</f>
        <v/>
      </c>
      <c r="I494" s="12"/>
      <c r="J494" s="12"/>
      <c r="K494" s="12"/>
      <c r="L494" s="12"/>
    </row>
    <row r="495" spans="1:12" ht="16" x14ac:dyDescent="0.2">
      <c r="A495" s="8"/>
      <c r="B495" s="8"/>
      <c r="C495" s="8" t="str">
        <f t="shared" si="14"/>
        <v/>
      </c>
      <c r="D495" s="8" t="str">
        <f t="shared" si="15"/>
        <v/>
      </c>
      <c r="E495" s="12"/>
      <c r="F495" s="12"/>
      <c r="G495" s="12"/>
      <c r="H495" s="12" t="str">
        <f>IF(A495=0,"",VLOOKUP(B495,Materials!$A$2:$E$1001,6,FALSE))</f>
        <v/>
      </c>
      <c r="I495" s="12"/>
      <c r="J495" s="12"/>
      <c r="K495" s="12"/>
      <c r="L495" s="12"/>
    </row>
    <row r="496" spans="1:12" ht="16" x14ac:dyDescent="0.2">
      <c r="A496" s="8"/>
      <c r="B496" s="8"/>
      <c r="C496" s="8" t="str">
        <f t="shared" si="14"/>
        <v/>
      </c>
      <c r="D496" s="8" t="str">
        <f t="shared" si="15"/>
        <v/>
      </c>
      <c r="E496" s="12"/>
      <c r="F496" s="12"/>
      <c r="G496" s="12"/>
      <c r="H496" s="12" t="str">
        <f>IF(A496=0,"",VLOOKUP(B496,Materials!$A$2:$E$1001,6,FALSE))</f>
        <v/>
      </c>
      <c r="I496" s="12"/>
      <c r="J496" s="12"/>
      <c r="K496" s="12"/>
      <c r="L496" s="12"/>
    </row>
    <row r="497" spans="1:12" ht="16" x14ac:dyDescent="0.2">
      <c r="A497" s="8"/>
      <c r="B497" s="8"/>
      <c r="C497" s="8" t="str">
        <f t="shared" si="14"/>
        <v/>
      </c>
      <c r="D497" s="8" t="str">
        <f t="shared" si="15"/>
        <v/>
      </c>
      <c r="E497" s="12"/>
      <c r="F497" s="12"/>
      <c r="G497" s="12"/>
      <c r="H497" s="12" t="str">
        <f>IF(A497=0,"",VLOOKUP(B497,Materials!$A$2:$E$1001,6,FALSE))</f>
        <v/>
      </c>
      <c r="I497" s="12"/>
      <c r="J497" s="12"/>
      <c r="K497" s="12"/>
      <c r="L497" s="12"/>
    </row>
    <row r="498" spans="1:12" ht="16" x14ac:dyDescent="0.2">
      <c r="A498" s="8"/>
      <c r="B498" s="8"/>
      <c r="C498" s="8" t="str">
        <f t="shared" si="14"/>
        <v/>
      </c>
      <c r="D498" s="8" t="str">
        <f t="shared" si="15"/>
        <v/>
      </c>
      <c r="E498" s="12"/>
      <c r="F498" s="12"/>
      <c r="G498" s="12"/>
      <c r="H498" s="12" t="str">
        <f>IF(A498=0,"",VLOOKUP(B498,Materials!$A$2:$E$1001,6,FALSE))</f>
        <v/>
      </c>
      <c r="I498" s="12"/>
      <c r="J498" s="12"/>
      <c r="K498" s="12"/>
      <c r="L498" s="12"/>
    </row>
    <row r="499" spans="1:12" ht="16" x14ac:dyDescent="0.2">
      <c r="A499" s="8"/>
      <c r="B499" s="8"/>
      <c r="C499" s="8" t="str">
        <f t="shared" si="14"/>
        <v/>
      </c>
      <c r="D499" s="8" t="str">
        <f t="shared" si="15"/>
        <v/>
      </c>
      <c r="E499" s="12"/>
      <c r="F499" s="12"/>
      <c r="G499" s="12"/>
      <c r="H499" s="12" t="str">
        <f>IF(A499=0,"",VLOOKUP(B499,Materials!$A$2:$E$1001,6,FALSE))</f>
        <v/>
      </c>
      <c r="I499" s="12"/>
      <c r="J499" s="12"/>
      <c r="K499" s="12"/>
      <c r="L499" s="12"/>
    </row>
    <row r="500" spans="1:12" ht="16" x14ac:dyDescent="0.2">
      <c r="A500" s="8"/>
      <c r="B500" s="8"/>
      <c r="C500" s="8" t="str">
        <f t="shared" si="14"/>
        <v/>
      </c>
      <c r="D500" s="8" t="str">
        <f t="shared" si="15"/>
        <v/>
      </c>
      <c r="E500" s="12"/>
      <c r="F500" s="12"/>
      <c r="G500" s="12"/>
      <c r="H500" s="12" t="str">
        <f>IF(A500=0,"",VLOOKUP(B500,Materials!$A$2:$E$1001,6,FALSE))</f>
        <v/>
      </c>
      <c r="I500" s="12"/>
      <c r="J500" s="12"/>
      <c r="K500" s="12"/>
      <c r="L500" s="12"/>
    </row>
    <row r="501" spans="1:12" ht="16" x14ac:dyDescent="0.2">
      <c r="A501" s="8"/>
      <c r="B501" s="8"/>
      <c r="C501" s="8" t="str">
        <f t="shared" si="14"/>
        <v/>
      </c>
      <c r="D501" s="8" t="str">
        <f t="shared" si="15"/>
        <v/>
      </c>
      <c r="E501" s="12"/>
      <c r="F501" s="12"/>
      <c r="G501" s="12"/>
      <c r="H501" s="12" t="str">
        <f>IF(A501=0,"",VLOOKUP(B501,Materials!$A$2:$E$1001,6,FALSE))</f>
        <v/>
      </c>
      <c r="I501" s="12"/>
      <c r="J501" s="12"/>
      <c r="K501" s="12"/>
      <c r="L501" s="12"/>
    </row>
    <row r="502" spans="1:12" ht="16" x14ac:dyDescent="0.2">
      <c r="A502" s="8"/>
      <c r="B502" s="8"/>
      <c r="C502" s="8" t="str">
        <f t="shared" si="14"/>
        <v/>
      </c>
      <c r="D502" s="8" t="str">
        <f t="shared" si="15"/>
        <v/>
      </c>
      <c r="E502" s="12"/>
      <c r="F502" s="12"/>
      <c r="G502" s="12"/>
      <c r="H502" s="12" t="str">
        <f>IF(A502=0,"",VLOOKUP(B502,Materials!$A$2:$E$1001,6,FALSE))</f>
        <v/>
      </c>
      <c r="I502" s="12"/>
      <c r="J502" s="12"/>
      <c r="K502" s="12"/>
      <c r="L502" s="12"/>
    </row>
    <row r="503" spans="1:12" ht="16" x14ac:dyDescent="0.2">
      <c r="A503" s="8"/>
      <c r="B503" s="8"/>
      <c r="C503" s="8" t="str">
        <f t="shared" si="14"/>
        <v/>
      </c>
      <c r="D503" s="8" t="str">
        <f t="shared" si="15"/>
        <v/>
      </c>
      <c r="E503" s="12"/>
      <c r="F503" s="12"/>
      <c r="G503" s="12"/>
      <c r="H503" s="12" t="str">
        <f>IF(A503=0,"",VLOOKUP(B503,Materials!$A$2:$E$1001,6,FALSE))</f>
        <v/>
      </c>
      <c r="I503" s="12"/>
      <c r="J503" s="12"/>
      <c r="K503" s="12"/>
      <c r="L503" s="12"/>
    </row>
    <row r="504" spans="1:12" ht="16" x14ac:dyDescent="0.2">
      <c r="A504" s="8"/>
      <c r="B504" s="8"/>
      <c r="C504" s="8" t="str">
        <f t="shared" si="14"/>
        <v/>
      </c>
      <c r="D504" s="8" t="str">
        <f t="shared" si="15"/>
        <v/>
      </c>
      <c r="E504" s="12"/>
      <c r="F504" s="12"/>
      <c r="G504" s="12"/>
      <c r="H504" s="12" t="str">
        <f>IF(A504=0,"",VLOOKUP(B504,Materials!$A$2:$E$1001,6,FALSE))</f>
        <v/>
      </c>
      <c r="I504" s="12"/>
      <c r="J504" s="12"/>
      <c r="K504" s="12"/>
      <c r="L504" s="12"/>
    </row>
    <row r="505" spans="1:12" ht="16" x14ac:dyDescent="0.2">
      <c r="A505" s="8"/>
      <c r="B505" s="8"/>
      <c r="C505" s="8" t="str">
        <f t="shared" si="14"/>
        <v/>
      </c>
      <c r="D505" s="8" t="str">
        <f t="shared" si="15"/>
        <v/>
      </c>
      <c r="E505" s="12"/>
      <c r="F505" s="12"/>
      <c r="G505" s="12"/>
      <c r="H505" s="12" t="str">
        <f>IF(A505=0,"",VLOOKUP(B505,Materials!$A$2:$E$1001,6,FALSE))</f>
        <v/>
      </c>
      <c r="I505" s="12"/>
      <c r="J505" s="12"/>
      <c r="K505" s="12"/>
      <c r="L505" s="12"/>
    </row>
    <row r="506" spans="1:12" ht="16" x14ac:dyDescent="0.2">
      <c r="A506" s="8"/>
      <c r="B506" s="8"/>
      <c r="C506" s="8" t="str">
        <f t="shared" si="14"/>
        <v/>
      </c>
      <c r="D506" s="8" t="str">
        <f t="shared" si="15"/>
        <v/>
      </c>
      <c r="E506" s="12"/>
      <c r="F506" s="12"/>
      <c r="G506" s="12"/>
      <c r="H506" s="12" t="str">
        <f>IF(A506=0,"",VLOOKUP(B506,Materials!$A$2:$E$1001,6,FALSE))</f>
        <v/>
      </c>
      <c r="I506" s="12"/>
      <c r="J506" s="12"/>
      <c r="K506" s="12"/>
      <c r="L506" s="12"/>
    </row>
    <row r="507" spans="1:12" ht="16" x14ac:dyDescent="0.2">
      <c r="A507" s="8"/>
      <c r="B507" s="8"/>
      <c r="C507" s="8" t="str">
        <f t="shared" si="14"/>
        <v/>
      </c>
      <c r="D507" s="8" t="str">
        <f t="shared" si="15"/>
        <v/>
      </c>
      <c r="E507" s="12"/>
      <c r="F507" s="12"/>
      <c r="G507" s="12"/>
      <c r="H507" s="12" t="str">
        <f>IF(A507=0,"",VLOOKUP(B507,Materials!$A$2:$E$1001,6,FALSE))</f>
        <v/>
      </c>
      <c r="I507" s="12"/>
      <c r="J507" s="12"/>
      <c r="K507" s="12"/>
      <c r="L507" s="12"/>
    </row>
    <row r="508" spans="1:12" ht="16" x14ac:dyDescent="0.2">
      <c r="A508" s="8"/>
      <c r="B508" s="8"/>
      <c r="C508" s="8" t="str">
        <f t="shared" si="14"/>
        <v/>
      </c>
      <c r="D508" s="8" t="str">
        <f t="shared" si="15"/>
        <v/>
      </c>
      <c r="E508" s="12"/>
      <c r="F508" s="12"/>
      <c r="G508" s="12"/>
      <c r="H508" s="12" t="str">
        <f>IF(A508=0,"",VLOOKUP(B508,Materials!$A$2:$E$1001,6,FALSE))</f>
        <v/>
      </c>
      <c r="I508" s="12"/>
      <c r="J508" s="12"/>
      <c r="K508" s="12"/>
      <c r="L508" s="12"/>
    </row>
    <row r="509" spans="1:12" ht="16" x14ac:dyDescent="0.2">
      <c r="A509" s="8"/>
      <c r="B509" s="8"/>
      <c r="C509" s="8" t="str">
        <f t="shared" si="14"/>
        <v/>
      </c>
      <c r="D509" s="8" t="str">
        <f t="shared" si="15"/>
        <v/>
      </c>
      <c r="E509" s="12"/>
      <c r="F509" s="12"/>
      <c r="G509" s="12"/>
      <c r="H509" s="12" t="str">
        <f>IF(A509=0,"",VLOOKUP(B509,Materials!$A$2:$E$1001,6,FALSE))</f>
        <v/>
      </c>
      <c r="I509" s="12"/>
      <c r="J509" s="12"/>
      <c r="K509" s="12"/>
      <c r="L509" s="12"/>
    </row>
    <row r="510" spans="1:12" ht="16" x14ac:dyDescent="0.2">
      <c r="A510" s="8"/>
      <c r="B510" s="8"/>
      <c r="C510" s="8" t="str">
        <f t="shared" si="14"/>
        <v/>
      </c>
      <c r="D510" s="8" t="str">
        <f t="shared" si="15"/>
        <v/>
      </c>
      <c r="E510" s="12"/>
      <c r="F510" s="12"/>
      <c r="G510" s="12"/>
      <c r="H510" s="12" t="str">
        <f>IF(A510=0,"",VLOOKUP(B510,Materials!$A$2:$E$1001,6,FALSE))</f>
        <v/>
      </c>
      <c r="I510" s="12"/>
      <c r="J510" s="12"/>
      <c r="K510" s="12"/>
      <c r="L510" s="12"/>
    </row>
    <row r="511" spans="1:12" ht="16" x14ac:dyDescent="0.2">
      <c r="A511" s="8"/>
      <c r="B511" s="8"/>
      <c r="C511" s="8" t="str">
        <f t="shared" si="14"/>
        <v/>
      </c>
      <c r="D511" s="8" t="str">
        <f t="shared" si="15"/>
        <v/>
      </c>
      <c r="E511" s="12"/>
      <c r="F511" s="12"/>
      <c r="G511" s="12"/>
      <c r="H511" s="12" t="str">
        <f>IF(A511=0,"",VLOOKUP(B511,Materials!$A$2:$E$1001,6,FALSE))</f>
        <v/>
      </c>
      <c r="I511" s="12"/>
      <c r="J511" s="12"/>
      <c r="K511" s="12"/>
      <c r="L511" s="12"/>
    </row>
    <row r="512" spans="1:12" ht="16" x14ac:dyDescent="0.2">
      <c r="A512" s="8"/>
      <c r="B512" s="8"/>
      <c r="C512" s="8" t="str">
        <f t="shared" si="14"/>
        <v/>
      </c>
      <c r="D512" s="8" t="str">
        <f t="shared" si="15"/>
        <v/>
      </c>
      <c r="E512" s="12"/>
      <c r="F512" s="12"/>
      <c r="G512" s="12"/>
      <c r="H512" s="12" t="str">
        <f>IF(A512=0,"",VLOOKUP(B512,Materials!$A$2:$E$1001,6,FALSE))</f>
        <v/>
      </c>
      <c r="I512" s="12"/>
      <c r="J512" s="12"/>
      <c r="K512" s="12"/>
      <c r="L512" s="12"/>
    </row>
    <row r="513" spans="1:12" ht="16" x14ac:dyDescent="0.2">
      <c r="A513" s="8"/>
      <c r="B513" s="8"/>
      <c r="C513" s="8" t="str">
        <f t="shared" si="14"/>
        <v/>
      </c>
      <c r="D513" s="8" t="str">
        <f t="shared" si="15"/>
        <v/>
      </c>
      <c r="E513" s="12"/>
      <c r="F513" s="12"/>
      <c r="G513" s="12"/>
      <c r="H513" s="12" t="str">
        <f>IF(A513=0,"",VLOOKUP(B513,Materials!$A$2:$E$1001,6,FALSE))</f>
        <v/>
      </c>
      <c r="I513" s="12"/>
      <c r="J513" s="12"/>
      <c r="K513" s="12"/>
      <c r="L513" s="12"/>
    </row>
    <row r="514" spans="1:12" ht="16" x14ac:dyDescent="0.2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2"/>
      <c r="F514" s="12"/>
      <c r="G514" s="12"/>
      <c r="H514" s="12" t="str">
        <f>IF(A514=0,"",VLOOKUP(B514,Materials!$A$2:$E$1001,6,FALSE))</f>
        <v/>
      </c>
      <c r="I514" s="12"/>
      <c r="J514" s="12"/>
      <c r="K514" s="12"/>
      <c r="L514" s="12"/>
    </row>
    <row r="515" spans="1:12" ht="16" x14ac:dyDescent="0.2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2"/>
      <c r="F515" s="12"/>
      <c r="G515" s="12"/>
      <c r="H515" s="12" t="str">
        <f>IF(A515=0,"",VLOOKUP(B515,Materials!$A$2:$E$1001,6,FALSE))</f>
        <v/>
      </c>
      <c r="I515" s="12"/>
      <c r="J515" s="12"/>
      <c r="K515" s="12"/>
      <c r="L515" s="12"/>
    </row>
    <row r="516" spans="1:12" ht="16" x14ac:dyDescent="0.2">
      <c r="A516" s="8"/>
      <c r="B516" s="8"/>
      <c r="C516" s="8" t="str">
        <f t="shared" si="16"/>
        <v/>
      </c>
      <c r="D516" s="8" t="str">
        <f t="shared" si="17"/>
        <v/>
      </c>
      <c r="E516" s="12"/>
      <c r="F516" s="12"/>
      <c r="G516" s="12"/>
      <c r="H516" s="12" t="str">
        <f>IF(A516=0,"",VLOOKUP(B516,Materials!$A$2:$E$1001,6,FALSE))</f>
        <v/>
      </c>
      <c r="I516" s="12"/>
      <c r="J516" s="12"/>
      <c r="K516" s="12"/>
      <c r="L516" s="12"/>
    </row>
    <row r="517" spans="1:12" ht="16" x14ac:dyDescent="0.2">
      <c r="A517" s="8"/>
      <c r="B517" s="8"/>
      <c r="C517" s="8" t="str">
        <f t="shared" si="16"/>
        <v/>
      </c>
      <c r="D517" s="8" t="str">
        <f t="shared" si="17"/>
        <v/>
      </c>
      <c r="E517" s="12"/>
      <c r="F517" s="12"/>
      <c r="G517" s="12"/>
      <c r="H517" s="12" t="str">
        <f>IF(A517=0,"",VLOOKUP(B517,Materials!$A$2:$E$1001,6,FALSE))</f>
        <v/>
      </c>
      <c r="I517" s="12"/>
      <c r="J517" s="12"/>
      <c r="K517" s="12"/>
      <c r="L517" s="12"/>
    </row>
    <row r="518" spans="1:12" ht="16" x14ac:dyDescent="0.2">
      <c r="A518" s="8"/>
      <c r="B518" s="8"/>
      <c r="C518" s="8" t="str">
        <f t="shared" si="16"/>
        <v/>
      </c>
      <c r="D518" s="8" t="str">
        <f t="shared" si="17"/>
        <v/>
      </c>
      <c r="E518" s="12"/>
      <c r="F518" s="12"/>
      <c r="G518" s="12"/>
      <c r="H518" s="12" t="str">
        <f>IF(A518=0,"",VLOOKUP(B518,Materials!$A$2:$E$1001,6,FALSE))</f>
        <v/>
      </c>
      <c r="I518" s="12"/>
      <c r="J518" s="12"/>
      <c r="K518" s="12"/>
      <c r="L518" s="12"/>
    </row>
    <row r="519" spans="1:12" ht="16" x14ac:dyDescent="0.2">
      <c r="A519" s="8"/>
      <c r="B519" s="8"/>
      <c r="C519" s="8" t="str">
        <f t="shared" si="16"/>
        <v/>
      </c>
      <c r="D519" s="8" t="str">
        <f t="shared" si="17"/>
        <v/>
      </c>
      <c r="E519" s="12"/>
      <c r="F519" s="12"/>
      <c r="G519" s="12"/>
      <c r="H519" s="12" t="str">
        <f>IF(A519=0,"",VLOOKUP(B519,Materials!$A$2:$E$1001,6,FALSE))</f>
        <v/>
      </c>
      <c r="I519" s="12"/>
      <c r="J519" s="12"/>
      <c r="K519" s="12"/>
      <c r="L519" s="12"/>
    </row>
    <row r="520" spans="1:12" ht="16" x14ac:dyDescent="0.2">
      <c r="A520" s="8"/>
      <c r="B520" s="8"/>
      <c r="C520" s="8" t="str">
        <f t="shared" si="16"/>
        <v/>
      </c>
      <c r="D520" s="8" t="str">
        <f t="shared" si="17"/>
        <v/>
      </c>
      <c r="E520" s="12"/>
      <c r="F520" s="12"/>
      <c r="G520" s="12"/>
      <c r="H520" s="12" t="str">
        <f>IF(A520=0,"",VLOOKUP(B520,Materials!$A$2:$E$1001,6,FALSE))</f>
        <v/>
      </c>
      <c r="I520" s="12"/>
      <c r="J520" s="12"/>
      <c r="K520" s="12"/>
      <c r="L520" s="12"/>
    </row>
    <row r="521" spans="1:12" ht="16" x14ac:dyDescent="0.2">
      <c r="A521" s="8"/>
      <c r="B521" s="8"/>
      <c r="C521" s="8" t="str">
        <f t="shared" si="16"/>
        <v/>
      </c>
      <c r="D521" s="8" t="str">
        <f t="shared" si="17"/>
        <v/>
      </c>
      <c r="E521" s="12"/>
      <c r="F521" s="12"/>
      <c r="G521" s="12"/>
      <c r="H521" s="12" t="str">
        <f>IF(A521=0,"",VLOOKUP(B521,Materials!$A$2:$E$1001,6,FALSE))</f>
        <v/>
      </c>
      <c r="I521" s="12"/>
      <c r="J521" s="12"/>
      <c r="K521" s="12"/>
      <c r="L521" s="12"/>
    </row>
    <row r="522" spans="1:12" ht="16" x14ac:dyDescent="0.2">
      <c r="A522" s="8"/>
      <c r="B522" s="8"/>
      <c r="C522" s="8" t="str">
        <f t="shared" si="16"/>
        <v/>
      </c>
      <c r="D522" s="8" t="str">
        <f t="shared" si="17"/>
        <v/>
      </c>
      <c r="E522" s="12"/>
      <c r="F522" s="12"/>
      <c r="G522" s="12"/>
      <c r="H522" s="12" t="str">
        <f>IF(A522=0,"",VLOOKUP(B522,Materials!$A$2:$E$1001,6,FALSE))</f>
        <v/>
      </c>
      <c r="I522" s="12"/>
      <c r="J522" s="12"/>
      <c r="K522" s="12"/>
      <c r="L522" s="12"/>
    </row>
    <row r="523" spans="1:12" ht="16" x14ac:dyDescent="0.2">
      <c r="A523" s="8"/>
      <c r="B523" s="8"/>
      <c r="C523" s="8" t="str">
        <f t="shared" si="16"/>
        <v/>
      </c>
      <c r="D523" s="8" t="str">
        <f t="shared" si="17"/>
        <v/>
      </c>
      <c r="E523" s="12"/>
      <c r="F523" s="12"/>
      <c r="G523" s="12"/>
      <c r="H523" s="12" t="str">
        <f>IF(A523=0,"",VLOOKUP(B523,Materials!$A$2:$E$1001,6,FALSE))</f>
        <v/>
      </c>
      <c r="I523" s="12"/>
      <c r="J523" s="12"/>
      <c r="K523" s="12"/>
      <c r="L523" s="12"/>
    </row>
    <row r="524" spans="1:12" ht="16" x14ac:dyDescent="0.2">
      <c r="A524" s="8"/>
      <c r="B524" s="8"/>
      <c r="C524" s="8" t="str">
        <f t="shared" si="16"/>
        <v/>
      </c>
      <c r="D524" s="8" t="str">
        <f t="shared" si="17"/>
        <v/>
      </c>
      <c r="E524" s="12"/>
      <c r="F524" s="12"/>
      <c r="G524" s="12"/>
      <c r="H524" s="12" t="str">
        <f>IF(A524=0,"",VLOOKUP(B524,Materials!$A$2:$E$1001,6,FALSE))</f>
        <v/>
      </c>
      <c r="I524" s="12"/>
      <c r="J524" s="12"/>
      <c r="K524" s="12"/>
      <c r="L524" s="12"/>
    </row>
    <row r="525" spans="1:12" ht="16" x14ac:dyDescent="0.2">
      <c r="A525" s="8"/>
      <c r="B525" s="8"/>
      <c r="C525" s="8" t="str">
        <f t="shared" si="16"/>
        <v/>
      </c>
      <c r="D525" s="8" t="str">
        <f t="shared" si="17"/>
        <v/>
      </c>
      <c r="E525" s="12"/>
      <c r="F525" s="12"/>
      <c r="G525" s="12"/>
      <c r="H525" s="12" t="str">
        <f>IF(A525=0,"",VLOOKUP(B525,Materials!$A$2:$E$1001,6,FALSE))</f>
        <v/>
      </c>
      <c r="I525" s="12"/>
      <c r="J525" s="12"/>
      <c r="K525" s="12"/>
      <c r="L525" s="12"/>
    </row>
    <row r="526" spans="1:12" ht="16" x14ac:dyDescent="0.2">
      <c r="A526" s="8"/>
      <c r="B526" s="8"/>
      <c r="C526" s="8" t="str">
        <f t="shared" si="16"/>
        <v/>
      </c>
      <c r="D526" s="8" t="str">
        <f t="shared" si="17"/>
        <v/>
      </c>
      <c r="E526" s="12"/>
      <c r="F526" s="12"/>
      <c r="G526" s="12"/>
      <c r="H526" s="12" t="str">
        <f>IF(A526=0,"",VLOOKUP(B526,Materials!$A$2:$E$1001,6,FALSE))</f>
        <v/>
      </c>
      <c r="I526" s="12"/>
      <c r="J526" s="12"/>
      <c r="K526" s="12"/>
      <c r="L526" s="12"/>
    </row>
    <row r="527" spans="1:12" ht="16" x14ac:dyDescent="0.2">
      <c r="A527" s="8"/>
      <c r="B527" s="8"/>
      <c r="C527" s="8" t="str">
        <f t="shared" si="16"/>
        <v/>
      </c>
      <c r="D527" s="8" t="str">
        <f t="shared" si="17"/>
        <v/>
      </c>
      <c r="E527" s="12"/>
      <c r="F527" s="12"/>
      <c r="G527" s="12"/>
      <c r="H527" s="12" t="str">
        <f>IF(A527=0,"",VLOOKUP(B527,Materials!$A$2:$E$1001,6,FALSE))</f>
        <v/>
      </c>
      <c r="I527" s="12"/>
      <c r="J527" s="12"/>
      <c r="K527" s="12"/>
      <c r="L527" s="12"/>
    </row>
    <row r="528" spans="1:12" ht="16" x14ac:dyDescent="0.2">
      <c r="A528" s="8"/>
      <c r="B528" s="8"/>
      <c r="C528" s="8" t="str">
        <f t="shared" si="16"/>
        <v/>
      </c>
      <c r="D528" s="8" t="str">
        <f t="shared" si="17"/>
        <v/>
      </c>
      <c r="E528" s="12"/>
      <c r="F528" s="12"/>
      <c r="G528" s="12"/>
      <c r="H528" s="12" t="str">
        <f>IF(A528=0,"",VLOOKUP(B528,Materials!$A$2:$E$1001,6,FALSE))</f>
        <v/>
      </c>
      <c r="I528" s="12"/>
      <c r="J528" s="12"/>
      <c r="K528" s="12"/>
      <c r="L528" s="12"/>
    </row>
    <row r="529" spans="1:12" ht="16" x14ac:dyDescent="0.2">
      <c r="A529" s="8"/>
      <c r="B529" s="8"/>
      <c r="C529" s="8" t="str">
        <f t="shared" si="16"/>
        <v/>
      </c>
      <c r="D529" s="8" t="str">
        <f t="shared" si="17"/>
        <v/>
      </c>
      <c r="E529" s="12"/>
      <c r="F529" s="12"/>
      <c r="G529" s="12"/>
      <c r="H529" s="12" t="str">
        <f>IF(A529=0,"",VLOOKUP(B529,Materials!$A$2:$E$1001,6,FALSE))</f>
        <v/>
      </c>
      <c r="I529" s="12"/>
      <c r="J529" s="12"/>
      <c r="K529" s="12"/>
      <c r="L529" s="12"/>
    </row>
    <row r="530" spans="1:12" ht="16" x14ac:dyDescent="0.2">
      <c r="A530" s="8"/>
      <c r="B530" s="8"/>
      <c r="C530" s="8" t="str">
        <f t="shared" si="16"/>
        <v/>
      </c>
      <c r="D530" s="8" t="str">
        <f t="shared" si="17"/>
        <v/>
      </c>
      <c r="E530" s="12"/>
      <c r="F530" s="12"/>
      <c r="G530" s="12"/>
      <c r="H530" s="12" t="str">
        <f>IF(A530=0,"",VLOOKUP(B530,Materials!$A$2:$E$1001,6,FALSE))</f>
        <v/>
      </c>
      <c r="I530" s="12"/>
      <c r="J530" s="12"/>
      <c r="K530" s="12"/>
      <c r="L530" s="12"/>
    </row>
    <row r="531" spans="1:12" ht="16" x14ac:dyDescent="0.2">
      <c r="A531" s="8"/>
      <c r="B531" s="8"/>
      <c r="C531" s="8" t="str">
        <f t="shared" si="16"/>
        <v/>
      </c>
      <c r="D531" s="8" t="str">
        <f t="shared" si="17"/>
        <v/>
      </c>
      <c r="E531" s="12"/>
      <c r="F531" s="12"/>
      <c r="G531" s="12"/>
      <c r="H531" s="12" t="str">
        <f>IF(A531=0,"",VLOOKUP(B531,Materials!$A$2:$E$1001,6,FALSE))</f>
        <v/>
      </c>
      <c r="I531" s="12"/>
      <c r="J531" s="12"/>
      <c r="K531" s="12"/>
      <c r="L531" s="12"/>
    </row>
    <row r="532" spans="1:12" ht="16" x14ac:dyDescent="0.2">
      <c r="A532" s="8"/>
      <c r="B532" s="8"/>
      <c r="C532" s="8" t="str">
        <f t="shared" si="16"/>
        <v/>
      </c>
      <c r="D532" s="8" t="str">
        <f t="shared" si="17"/>
        <v/>
      </c>
      <c r="E532" s="12"/>
      <c r="F532" s="12"/>
      <c r="G532" s="12"/>
      <c r="H532" s="12" t="str">
        <f>IF(A532=0,"",VLOOKUP(B532,Materials!$A$2:$E$1001,6,FALSE))</f>
        <v/>
      </c>
      <c r="I532" s="12"/>
      <c r="J532" s="12"/>
      <c r="K532" s="12"/>
      <c r="L532" s="12"/>
    </row>
    <row r="533" spans="1:12" ht="16" x14ac:dyDescent="0.2">
      <c r="A533" s="8"/>
      <c r="B533" s="8"/>
      <c r="C533" s="8" t="str">
        <f t="shared" si="16"/>
        <v/>
      </c>
      <c r="D533" s="8" t="str">
        <f t="shared" si="17"/>
        <v/>
      </c>
      <c r="E533" s="12"/>
      <c r="F533" s="12"/>
      <c r="G533" s="12"/>
      <c r="H533" s="12" t="str">
        <f>IF(A533=0,"",VLOOKUP(B533,Materials!$A$2:$E$1001,6,FALSE))</f>
        <v/>
      </c>
      <c r="I533" s="12"/>
      <c r="J533" s="12"/>
      <c r="K533" s="12"/>
      <c r="L533" s="12"/>
    </row>
    <row r="534" spans="1:12" ht="16" x14ac:dyDescent="0.2">
      <c r="A534" s="8"/>
      <c r="B534" s="8"/>
      <c r="C534" s="8" t="str">
        <f t="shared" si="16"/>
        <v/>
      </c>
      <c r="D534" s="8" t="str">
        <f t="shared" si="17"/>
        <v/>
      </c>
      <c r="E534" s="12"/>
      <c r="F534" s="12"/>
      <c r="G534" s="12"/>
      <c r="H534" s="12" t="str">
        <f>IF(A534=0,"",VLOOKUP(B534,Materials!$A$2:$E$1001,6,FALSE))</f>
        <v/>
      </c>
      <c r="I534" s="12"/>
      <c r="J534" s="12"/>
      <c r="K534" s="12"/>
      <c r="L534" s="12"/>
    </row>
    <row r="535" spans="1:12" ht="16" x14ac:dyDescent="0.2">
      <c r="A535" s="8"/>
      <c r="B535" s="8"/>
      <c r="C535" s="8" t="str">
        <f t="shared" si="16"/>
        <v/>
      </c>
      <c r="D535" s="8" t="str">
        <f t="shared" si="17"/>
        <v/>
      </c>
      <c r="E535" s="12"/>
      <c r="F535" s="12"/>
      <c r="G535" s="12"/>
      <c r="H535" s="12" t="str">
        <f>IF(A535=0,"",VLOOKUP(B535,Materials!$A$2:$E$1001,6,FALSE))</f>
        <v/>
      </c>
      <c r="I535" s="12"/>
      <c r="J535" s="12"/>
      <c r="K535" s="12"/>
      <c r="L535" s="12"/>
    </row>
    <row r="536" spans="1:12" ht="16" x14ac:dyDescent="0.2">
      <c r="A536" s="8"/>
      <c r="B536" s="8"/>
      <c r="C536" s="8" t="str">
        <f t="shared" si="16"/>
        <v/>
      </c>
      <c r="D536" s="8" t="str">
        <f t="shared" si="17"/>
        <v/>
      </c>
      <c r="E536" s="12"/>
      <c r="F536" s="12"/>
      <c r="G536" s="12"/>
      <c r="H536" s="12" t="str">
        <f>IF(A536=0,"",VLOOKUP(B536,Materials!$A$2:$E$1001,6,FALSE))</f>
        <v/>
      </c>
      <c r="I536" s="12"/>
      <c r="J536" s="12"/>
      <c r="K536" s="12"/>
      <c r="L536" s="12"/>
    </row>
    <row r="537" spans="1:12" ht="16" x14ac:dyDescent="0.2">
      <c r="A537" s="8"/>
      <c r="B537" s="8"/>
      <c r="C537" s="8" t="str">
        <f t="shared" si="16"/>
        <v/>
      </c>
      <c r="D537" s="8" t="str">
        <f t="shared" si="17"/>
        <v/>
      </c>
      <c r="E537" s="12"/>
      <c r="F537" s="12"/>
      <c r="G537" s="12"/>
      <c r="H537" s="12" t="str">
        <f>IF(A537=0,"",VLOOKUP(B537,Materials!$A$2:$E$1001,6,FALSE))</f>
        <v/>
      </c>
      <c r="I537" s="12"/>
      <c r="J537" s="12"/>
      <c r="K537" s="12"/>
      <c r="L537" s="12"/>
    </row>
    <row r="538" spans="1:12" ht="16" x14ac:dyDescent="0.2">
      <c r="A538" s="8"/>
      <c r="B538" s="8"/>
      <c r="C538" s="8" t="str">
        <f t="shared" si="16"/>
        <v/>
      </c>
      <c r="D538" s="8" t="str">
        <f t="shared" si="17"/>
        <v/>
      </c>
      <c r="E538" s="12"/>
      <c r="F538" s="12"/>
      <c r="G538" s="12"/>
      <c r="H538" s="12" t="str">
        <f>IF(A538=0,"",VLOOKUP(B538,Materials!$A$2:$E$1001,6,FALSE))</f>
        <v/>
      </c>
      <c r="I538" s="12"/>
      <c r="J538" s="12"/>
      <c r="K538" s="12"/>
      <c r="L538" s="12"/>
    </row>
    <row r="539" spans="1:12" ht="16" x14ac:dyDescent="0.2">
      <c r="A539" s="8"/>
      <c r="B539" s="8"/>
      <c r="C539" s="8" t="str">
        <f t="shared" si="16"/>
        <v/>
      </c>
      <c r="D539" s="8" t="str">
        <f t="shared" si="17"/>
        <v/>
      </c>
      <c r="E539" s="12"/>
      <c r="F539" s="12"/>
      <c r="G539" s="12"/>
      <c r="H539" s="12" t="str">
        <f>IF(A539=0,"",VLOOKUP(B539,Materials!$A$2:$E$1001,6,FALSE))</f>
        <v/>
      </c>
      <c r="I539" s="12"/>
      <c r="J539" s="12"/>
      <c r="K539" s="12"/>
      <c r="L539" s="12"/>
    </row>
    <row r="540" spans="1:12" ht="16" x14ac:dyDescent="0.2">
      <c r="A540" s="8"/>
      <c r="B540" s="8"/>
      <c r="C540" s="8" t="str">
        <f t="shared" si="16"/>
        <v/>
      </c>
      <c r="D540" s="8" t="str">
        <f t="shared" si="17"/>
        <v/>
      </c>
      <c r="E540" s="12"/>
      <c r="F540" s="12"/>
      <c r="G540" s="12"/>
      <c r="H540" s="12" t="str">
        <f>IF(A540=0,"",VLOOKUP(B540,Materials!$A$2:$E$1001,6,FALSE))</f>
        <v/>
      </c>
      <c r="I540" s="12"/>
      <c r="J540" s="12"/>
      <c r="K540" s="12"/>
      <c r="L540" s="12"/>
    </row>
    <row r="541" spans="1:12" ht="16" x14ac:dyDescent="0.2">
      <c r="A541" s="8"/>
      <c r="B541" s="8"/>
      <c r="C541" s="8" t="str">
        <f t="shared" si="16"/>
        <v/>
      </c>
      <c r="D541" s="8" t="str">
        <f t="shared" si="17"/>
        <v/>
      </c>
      <c r="E541" s="12"/>
      <c r="F541" s="12"/>
      <c r="G541" s="12"/>
      <c r="H541" s="12" t="str">
        <f>IF(A541=0,"",VLOOKUP(B541,Materials!$A$2:$E$1001,6,FALSE))</f>
        <v/>
      </c>
      <c r="I541" s="12"/>
      <c r="J541" s="12"/>
      <c r="K541" s="12"/>
      <c r="L541" s="12"/>
    </row>
    <row r="542" spans="1:12" ht="16" x14ac:dyDescent="0.2">
      <c r="A542" s="8"/>
      <c r="B542" s="8"/>
      <c r="C542" s="8" t="str">
        <f t="shared" si="16"/>
        <v/>
      </c>
      <c r="D542" s="8" t="str">
        <f t="shared" si="17"/>
        <v/>
      </c>
      <c r="E542" s="12"/>
      <c r="F542" s="12"/>
      <c r="G542" s="12"/>
      <c r="H542" s="12" t="str">
        <f>IF(A542=0,"",VLOOKUP(B542,Materials!$A$2:$E$1001,6,FALSE))</f>
        <v/>
      </c>
      <c r="I542" s="12"/>
      <c r="J542" s="12"/>
      <c r="K542" s="12"/>
      <c r="L542" s="12"/>
    </row>
    <row r="543" spans="1:12" ht="16" x14ac:dyDescent="0.2">
      <c r="A543" s="8"/>
      <c r="B543" s="8"/>
      <c r="C543" s="8" t="str">
        <f t="shared" si="16"/>
        <v/>
      </c>
      <c r="D543" s="8" t="str">
        <f t="shared" si="17"/>
        <v/>
      </c>
      <c r="E543" s="12"/>
      <c r="F543" s="12"/>
      <c r="G543" s="12"/>
      <c r="H543" s="12" t="str">
        <f>IF(A543=0,"",VLOOKUP(B543,Materials!$A$2:$E$1001,6,FALSE))</f>
        <v/>
      </c>
      <c r="I543" s="12"/>
      <c r="J543" s="12"/>
      <c r="K543" s="12"/>
      <c r="L543" s="12"/>
    </row>
    <row r="544" spans="1:12" ht="16" x14ac:dyDescent="0.2">
      <c r="A544" s="8"/>
      <c r="B544" s="8"/>
      <c r="C544" s="8" t="str">
        <f t="shared" si="16"/>
        <v/>
      </c>
      <c r="D544" s="8" t="str">
        <f t="shared" si="17"/>
        <v/>
      </c>
      <c r="E544" s="12"/>
      <c r="F544" s="12"/>
      <c r="G544" s="12"/>
      <c r="H544" s="12" t="str">
        <f>IF(A544=0,"",VLOOKUP(B544,Materials!$A$2:$E$1001,6,FALSE))</f>
        <v/>
      </c>
      <c r="I544" s="12"/>
      <c r="J544" s="12"/>
      <c r="K544" s="12"/>
      <c r="L544" s="12"/>
    </row>
    <row r="545" spans="1:12" ht="16" x14ac:dyDescent="0.2">
      <c r="A545" s="8"/>
      <c r="B545" s="8"/>
      <c r="C545" s="8" t="str">
        <f t="shared" si="16"/>
        <v/>
      </c>
      <c r="D545" s="8" t="str">
        <f t="shared" si="17"/>
        <v/>
      </c>
      <c r="E545" s="12"/>
      <c r="F545" s="12"/>
      <c r="G545" s="12"/>
      <c r="H545" s="12" t="str">
        <f>IF(A545=0,"",VLOOKUP(B545,Materials!$A$2:$E$1001,6,FALSE))</f>
        <v/>
      </c>
      <c r="I545" s="12"/>
      <c r="J545" s="12"/>
      <c r="K545" s="12"/>
      <c r="L545" s="12"/>
    </row>
    <row r="546" spans="1:12" ht="16" x14ac:dyDescent="0.2">
      <c r="A546" s="8"/>
      <c r="B546" s="8"/>
      <c r="C546" s="8" t="str">
        <f t="shared" si="16"/>
        <v/>
      </c>
      <c r="D546" s="8" t="str">
        <f t="shared" si="17"/>
        <v/>
      </c>
      <c r="E546" s="12"/>
      <c r="F546" s="12"/>
      <c r="G546" s="12"/>
      <c r="H546" s="12" t="str">
        <f>IF(A546=0,"",VLOOKUP(B546,Materials!$A$2:$E$1001,6,FALSE))</f>
        <v/>
      </c>
      <c r="I546" s="12"/>
      <c r="J546" s="12"/>
      <c r="K546" s="12"/>
      <c r="L546" s="12"/>
    </row>
    <row r="547" spans="1:12" ht="16" x14ac:dyDescent="0.2">
      <c r="A547" s="8"/>
      <c r="B547" s="8"/>
      <c r="C547" s="8" t="str">
        <f t="shared" si="16"/>
        <v/>
      </c>
      <c r="D547" s="8" t="str">
        <f t="shared" si="17"/>
        <v/>
      </c>
      <c r="E547" s="12"/>
      <c r="F547" s="12"/>
      <c r="G547" s="12"/>
      <c r="H547" s="12" t="str">
        <f>IF(A547=0,"",VLOOKUP(B547,Materials!$A$2:$E$1001,6,FALSE))</f>
        <v/>
      </c>
      <c r="I547" s="12"/>
      <c r="J547" s="12"/>
      <c r="K547" s="12"/>
      <c r="L547" s="12"/>
    </row>
    <row r="548" spans="1:12" ht="16" x14ac:dyDescent="0.2">
      <c r="A548" s="8"/>
      <c r="B548" s="8"/>
      <c r="C548" s="8" t="str">
        <f t="shared" si="16"/>
        <v/>
      </c>
      <c r="D548" s="8" t="str">
        <f t="shared" si="17"/>
        <v/>
      </c>
      <c r="E548" s="12"/>
      <c r="F548" s="12"/>
      <c r="G548" s="12"/>
      <c r="H548" s="12" t="str">
        <f>IF(A548=0,"",VLOOKUP(B548,Materials!$A$2:$E$1001,6,FALSE))</f>
        <v/>
      </c>
      <c r="I548" s="12"/>
      <c r="J548" s="12"/>
      <c r="K548" s="12"/>
      <c r="L548" s="12"/>
    </row>
    <row r="549" spans="1:12" ht="16" x14ac:dyDescent="0.2">
      <c r="A549" s="8"/>
      <c r="B549" s="8"/>
      <c r="C549" s="8" t="str">
        <f t="shared" si="16"/>
        <v/>
      </c>
      <c r="D549" s="8" t="str">
        <f t="shared" si="17"/>
        <v/>
      </c>
      <c r="E549" s="12"/>
      <c r="F549" s="12"/>
      <c r="G549" s="12"/>
      <c r="H549" s="12" t="str">
        <f>IF(A549=0,"",VLOOKUP(B549,Materials!$A$2:$E$1001,6,FALSE))</f>
        <v/>
      </c>
      <c r="I549" s="12"/>
      <c r="J549" s="12"/>
      <c r="K549" s="12"/>
      <c r="L549" s="12"/>
    </row>
    <row r="550" spans="1:12" ht="16" x14ac:dyDescent="0.2">
      <c r="A550" s="8"/>
      <c r="B550" s="8"/>
      <c r="C550" s="8" t="str">
        <f t="shared" si="16"/>
        <v/>
      </c>
      <c r="D550" s="8" t="str">
        <f t="shared" si="17"/>
        <v/>
      </c>
      <c r="E550" s="12"/>
      <c r="F550" s="12"/>
      <c r="G550" s="12"/>
      <c r="H550" s="12" t="str">
        <f>IF(A550=0,"",VLOOKUP(B550,Materials!$A$2:$E$1001,6,FALSE))</f>
        <v/>
      </c>
      <c r="I550" s="12"/>
      <c r="J550" s="12"/>
      <c r="K550" s="12"/>
      <c r="L550" s="12"/>
    </row>
    <row r="551" spans="1:12" ht="16" x14ac:dyDescent="0.2">
      <c r="A551" s="8"/>
      <c r="B551" s="8"/>
      <c r="C551" s="8" t="str">
        <f t="shared" si="16"/>
        <v/>
      </c>
      <c r="D551" s="8" t="str">
        <f t="shared" si="17"/>
        <v/>
      </c>
      <c r="E551" s="12"/>
      <c r="F551" s="12"/>
      <c r="G551" s="12"/>
      <c r="H551" s="12" t="str">
        <f>IF(A551=0,"",VLOOKUP(B551,Materials!$A$2:$E$1001,6,FALSE))</f>
        <v/>
      </c>
      <c r="I551" s="12"/>
      <c r="J551" s="12"/>
      <c r="K551" s="12"/>
      <c r="L551" s="12"/>
    </row>
    <row r="552" spans="1:12" ht="16" x14ac:dyDescent="0.2">
      <c r="A552" s="8"/>
      <c r="B552" s="8"/>
      <c r="C552" s="8" t="str">
        <f t="shared" si="16"/>
        <v/>
      </c>
      <c r="D552" s="8" t="str">
        <f t="shared" si="17"/>
        <v/>
      </c>
      <c r="E552" s="12"/>
      <c r="F552" s="12"/>
      <c r="G552" s="12"/>
      <c r="H552" s="12" t="str">
        <f>IF(A552=0,"",VLOOKUP(B552,Materials!$A$2:$E$1001,6,FALSE))</f>
        <v/>
      </c>
      <c r="I552" s="12"/>
      <c r="J552" s="12"/>
      <c r="K552" s="12"/>
      <c r="L552" s="12"/>
    </row>
    <row r="553" spans="1:12" ht="16" x14ac:dyDescent="0.2">
      <c r="A553" s="8"/>
      <c r="B553" s="8"/>
      <c r="C553" s="8" t="str">
        <f t="shared" si="16"/>
        <v/>
      </c>
      <c r="D553" s="8" t="str">
        <f t="shared" si="17"/>
        <v/>
      </c>
      <c r="E553" s="12"/>
      <c r="F553" s="12"/>
      <c r="G553" s="12"/>
      <c r="H553" s="12" t="str">
        <f>IF(A553=0,"",VLOOKUP(B553,Materials!$A$2:$E$1001,6,FALSE))</f>
        <v/>
      </c>
      <c r="I553" s="12"/>
      <c r="J553" s="12"/>
      <c r="K553" s="12"/>
      <c r="L553" s="12"/>
    </row>
    <row r="554" spans="1:12" ht="16" x14ac:dyDescent="0.2">
      <c r="A554" s="8"/>
      <c r="B554" s="8"/>
      <c r="C554" s="8" t="str">
        <f t="shared" si="16"/>
        <v/>
      </c>
      <c r="D554" s="8" t="str">
        <f t="shared" si="17"/>
        <v/>
      </c>
      <c r="E554" s="12"/>
      <c r="F554" s="12"/>
      <c r="G554" s="12"/>
      <c r="H554" s="12" t="str">
        <f>IF(A554=0,"",VLOOKUP(B554,Materials!$A$2:$E$1001,6,FALSE))</f>
        <v/>
      </c>
      <c r="I554" s="12"/>
      <c r="J554" s="12"/>
      <c r="K554" s="12"/>
      <c r="L554" s="12"/>
    </row>
    <row r="555" spans="1:12" ht="16" x14ac:dyDescent="0.2">
      <c r="A555" s="8"/>
      <c r="B555" s="8"/>
      <c r="C555" s="8" t="str">
        <f t="shared" si="16"/>
        <v/>
      </c>
      <c r="D555" s="8" t="str">
        <f t="shared" si="17"/>
        <v/>
      </c>
      <c r="E555" s="12"/>
      <c r="F555" s="12"/>
      <c r="G555" s="12"/>
      <c r="H555" s="12" t="str">
        <f>IF(A555=0,"",VLOOKUP(B555,Materials!$A$2:$E$1001,6,FALSE))</f>
        <v/>
      </c>
      <c r="I555" s="12"/>
      <c r="J555" s="12"/>
      <c r="K555" s="12"/>
      <c r="L555" s="12"/>
    </row>
    <row r="556" spans="1:12" ht="16" x14ac:dyDescent="0.2">
      <c r="A556" s="8"/>
      <c r="B556" s="8"/>
      <c r="C556" s="8" t="str">
        <f t="shared" si="16"/>
        <v/>
      </c>
      <c r="D556" s="8" t="str">
        <f t="shared" si="17"/>
        <v/>
      </c>
      <c r="E556" s="12"/>
      <c r="F556" s="12"/>
      <c r="G556" s="12"/>
      <c r="H556" s="12" t="str">
        <f>IF(A556=0,"",VLOOKUP(B556,Materials!$A$2:$E$1001,6,FALSE))</f>
        <v/>
      </c>
      <c r="I556" s="12"/>
      <c r="J556" s="12"/>
      <c r="K556" s="12"/>
      <c r="L556" s="12"/>
    </row>
    <row r="557" spans="1:12" ht="16" x14ac:dyDescent="0.2">
      <c r="A557" s="8"/>
      <c r="B557" s="8"/>
      <c r="C557" s="8" t="str">
        <f t="shared" si="16"/>
        <v/>
      </c>
      <c r="D557" s="8" t="str">
        <f t="shared" si="17"/>
        <v/>
      </c>
      <c r="E557" s="12"/>
      <c r="F557" s="12"/>
      <c r="G557" s="12"/>
      <c r="H557" s="12" t="str">
        <f>IF(A557=0,"",VLOOKUP(B557,Materials!$A$2:$E$1001,6,FALSE))</f>
        <v/>
      </c>
      <c r="I557" s="12"/>
      <c r="J557" s="12"/>
      <c r="K557" s="12"/>
      <c r="L557" s="12"/>
    </row>
    <row r="558" spans="1:12" ht="16" x14ac:dyDescent="0.2">
      <c r="A558" s="8"/>
      <c r="B558" s="8"/>
      <c r="C558" s="8" t="str">
        <f t="shared" si="16"/>
        <v/>
      </c>
      <c r="D558" s="8" t="str">
        <f t="shared" si="17"/>
        <v/>
      </c>
      <c r="E558" s="12"/>
      <c r="F558" s="12"/>
      <c r="G558" s="12"/>
      <c r="H558" s="12" t="str">
        <f>IF(A558=0,"",VLOOKUP(B558,Materials!$A$2:$E$1001,6,FALSE))</f>
        <v/>
      </c>
      <c r="I558" s="12"/>
      <c r="J558" s="12"/>
      <c r="K558" s="12"/>
      <c r="L558" s="12"/>
    </row>
    <row r="559" spans="1:12" ht="16" x14ac:dyDescent="0.2">
      <c r="A559" s="8"/>
      <c r="B559" s="8"/>
      <c r="C559" s="8" t="str">
        <f t="shared" si="16"/>
        <v/>
      </c>
      <c r="D559" s="8" t="str">
        <f t="shared" si="17"/>
        <v/>
      </c>
      <c r="E559" s="12"/>
      <c r="F559" s="12"/>
      <c r="G559" s="12"/>
      <c r="H559" s="12" t="str">
        <f>IF(A559=0,"",VLOOKUP(B559,Materials!$A$2:$E$1001,6,FALSE))</f>
        <v/>
      </c>
      <c r="I559" s="12"/>
      <c r="J559" s="12"/>
      <c r="K559" s="12"/>
      <c r="L559" s="12"/>
    </row>
    <row r="560" spans="1:12" ht="16" x14ac:dyDescent="0.2">
      <c r="A560" s="8"/>
      <c r="B560" s="8"/>
      <c r="C560" s="8" t="str">
        <f t="shared" si="16"/>
        <v/>
      </c>
      <c r="D560" s="8" t="str">
        <f t="shared" si="17"/>
        <v/>
      </c>
      <c r="E560" s="12"/>
      <c r="F560" s="12"/>
      <c r="G560" s="12"/>
      <c r="H560" s="12" t="str">
        <f>IF(A560=0,"",VLOOKUP(B560,Materials!$A$2:$E$1001,6,FALSE))</f>
        <v/>
      </c>
      <c r="I560" s="12"/>
      <c r="J560" s="12"/>
      <c r="K560" s="12"/>
      <c r="L560" s="12"/>
    </row>
    <row r="561" spans="1:12" ht="16" x14ac:dyDescent="0.2">
      <c r="A561" s="8"/>
      <c r="B561" s="8"/>
      <c r="C561" s="8" t="str">
        <f t="shared" si="16"/>
        <v/>
      </c>
      <c r="D561" s="8" t="str">
        <f t="shared" si="17"/>
        <v/>
      </c>
      <c r="E561" s="12"/>
      <c r="F561" s="12"/>
      <c r="G561" s="12"/>
      <c r="H561" s="12" t="str">
        <f>IF(A561=0,"",VLOOKUP(B561,Materials!$A$2:$E$1001,6,FALSE))</f>
        <v/>
      </c>
      <c r="I561" s="12"/>
      <c r="J561" s="12"/>
      <c r="K561" s="12"/>
      <c r="L561" s="12"/>
    </row>
    <row r="562" spans="1:12" ht="16" x14ac:dyDescent="0.2">
      <c r="A562" s="8"/>
      <c r="B562" s="8"/>
      <c r="C562" s="8" t="str">
        <f t="shared" si="16"/>
        <v/>
      </c>
      <c r="D562" s="8" t="str">
        <f t="shared" si="17"/>
        <v/>
      </c>
      <c r="E562" s="12"/>
      <c r="F562" s="12"/>
      <c r="G562" s="12"/>
      <c r="H562" s="12" t="str">
        <f>IF(A562=0,"",VLOOKUP(B562,Materials!$A$2:$E$1001,6,FALSE))</f>
        <v/>
      </c>
      <c r="I562" s="12"/>
      <c r="J562" s="12"/>
      <c r="K562" s="12"/>
      <c r="L562" s="12"/>
    </row>
    <row r="563" spans="1:12" ht="16" x14ac:dyDescent="0.2">
      <c r="A563" s="8"/>
      <c r="B563" s="8"/>
      <c r="C563" s="8" t="str">
        <f t="shared" si="16"/>
        <v/>
      </c>
      <c r="D563" s="8" t="str">
        <f t="shared" si="17"/>
        <v/>
      </c>
      <c r="E563" s="12"/>
      <c r="F563" s="12"/>
      <c r="G563" s="12"/>
      <c r="H563" s="12" t="str">
        <f>IF(A563=0,"",VLOOKUP(B563,Materials!$A$2:$E$1001,6,FALSE))</f>
        <v/>
      </c>
      <c r="I563" s="12"/>
      <c r="J563" s="12"/>
      <c r="K563" s="12"/>
      <c r="L563" s="12"/>
    </row>
    <row r="564" spans="1:12" ht="16" x14ac:dyDescent="0.2">
      <c r="A564" s="8"/>
      <c r="B564" s="8"/>
      <c r="C564" s="8" t="str">
        <f t="shared" si="16"/>
        <v/>
      </c>
      <c r="D564" s="8" t="str">
        <f t="shared" si="17"/>
        <v/>
      </c>
      <c r="E564" s="12"/>
      <c r="F564" s="12"/>
      <c r="G564" s="12"/>
      <c r="H564" s="12" t="str">
        <f>IF(A564=0,"",VLOOKUP(B564,Materials!$A$2:$E$1001,6,FALSE))</f>
        <v/>
      </c>
      <c r="I564" s="12"/>
      <c r="J564" s="12"/>
      <c r="K564" s="12"/>
      <c r="L564" s="12"/>
    </row>
    <row r="565" spans="1:12" ht="16" x14ac:dyDescent="0.2">
      <c r="A565" s="8"/>
      <c r="B565" s="8"/>
      <c r="C565" s="8" t="str">
        <f t="shared" si="16"/>
        <v/>
      </c>
      <c r="D565" s="8" t="str">
        <f t="shared" si="17"/>
        <v/>
      </c>
      <c r="E565" s="12"/>
      <c r="F565" s="12"/>
      <c r="G565" s="12"/>
      <c r="H565" s="12" t="str">
        <f>IF(A565=0,"",VLOOKUP(B565,Materials!$A$2:$E$1001,6,FALSE))</f>
        <v/>
      </c>
      <c r="I565" s="12"/>
      <c r="J565" s="12"/>
      <c r="K565" s="12"/>
      <c r="L565" s="12"/>
    </row>
    <row r="566" spans="1:12" ht="16" x14ac:dyDescent="0.2">
      <c r="A566" s="8"/>
      <c r="B566" s="8"/>
      <c r="C566" s="8" t="str">
        <f t="shared" si="16"/>
        <v/>
      </c>
      <c r="D566" s="8" t="str">
        <f t="shared" si="17"/>
        <v/>
      </c>
      <c r="E566" s="12"/>
      <c r="F566" s="12"/>
      <c r="G566" s="12"/>
      <c r="H566" s="12" t="str">
        <f>IF(A566=0,"",VLOOKUP(B566,Materials!$A$2:$E$1001,6,FALSE))</f>
        <v/>
      </c>
      <c r="I566" s="12"/>
      <c r="J566" s="12"/>
      <c r="K566" s="12"/>
      <c r="L566" s="12"/>
    </row>
    <row r="567" spans="1:12" ht="16" x14ac:dyDescent="0.2">
      <c r="A567" s="8"/>
      <c r="B567" s="8"/>
      <c r="C567" s="8" t="str">
        <f t="shared" si="16"/>
        <v/>
      </c>
      <c r="D567" s="8" t="str">
        <f t="shared" si="17"/>
        <v/>
      </c>
      <c r="E567" s="12"/>
      <c r="F567" s="12"/>
      <c r="G567" s="12"/>
      <c r="H567" s="12" t="str">
        <f>IF(A567=0,"",VLOOKUP(B567,Materials!$A$2:$E$1001,6,FALSE))</f>
        <v/>
      </c>
      <c r="I567" s="12"/>
      <c r="J567" s="12"/>
      <c r="K567" s="12"/>
      <c r="L567" s="12"/>
    </row>
    <row r="568" spans="1:12" ht="16" x14ac:dyDescent="0.2">
      <c r="A568" s="8"/>
      <c r="B568" s="8"/>
      <c r="C568" s="8" t="str">
        <f t="shared" si="16"/>
        <v/>
      </c>
      <c r="D568" s="8" t="str">
        <f t="shared" si="17"/>
        <v/>
      </c>
      <c r="E568" s="12"/>
      <c r="F568" s="12"/>
      <c r="G568" s="12"/>
      <c r="H568" s="12" t="str">
        <f>IF(A568=0,"",VLOOKUP(B568,Materials!$A$2:$E$1001,6,FALSE))</f>
        <v/>
      </c>
      <c r="I568" s="12"/>
      <c r="J568" s="12"/>
      <c r="K568" s="12"/>
      <c r="L568" s="12"/>
    </row>
    <row r="569" spans="1:12" ht="16" x14ac:dyDescent="0.2">
      <c r="A569" s="8"/>
      <c r="B569" s="8"/>
      <c r="C569" s="8" t="str">
        <f t="shared" si="16"/>
        <v/>
      </c>
      <c r="D569" s="8" t="str">
        <f t="shared" si="17"/>
        <v/>
      </c>
      <c r="E569" s="12"/>
      <c r="F569" s="12"/>
      <c r="G569" s="12"/>
      <c r="H569" s="12" t="str">
        <f>IF(A569=0,"",VLOOKUP(B569,Materials!$A$2:$E$1001,6,FALSE))</f>
        <v/>
      </c>
      <c r="I569" s="12"/>
      <c r="J569" s="12"/>
      <c r="K569" s="12"/>
      <c r="L569" s="12"/>
    </row>
    <row r="570" spans="1:12" ht="16" x14ac:dyDescent="0.2">
      <c r="A570" s="8"/>
      <c r="B570" s="8"/>
      <c r="C570" s="8" t="str">
        <f t="shared" si="16"/>
        <v/>
      </c>
      <c r="D570" s="8" t="str">
        <f t="shared" si="17"/>
        <v/>
      </c>
      <c r="E570" s="12"/>
      <c r="F570" s="12"/>
      <c r="G570" s="12"/>
      <c r="H570" s="12" t="str">
        <f>IF(A570=0,"",VLOOKUP(B570,Materials!$A$2:$E$1001,6,FALSE))</f>
        <v/>
      </c>
      <c r="I570" s="12"/>
      <c r="J570" s="12"/>
      <c r="K570" s="12"/>
      <c r="L570" s="12"/>
    </row>
    <row r="571" spans="1:12" ht="16" x14ac:dyDescent="0.2">
      <c r="A571" s="8"/>
      <c r="B571" s="8"/>
      <c r="C571" s="8" t="str">
        <f t="shared" si="16"/>
        <v/>
      </c>
      <c r="D571" s="8" t="str">
        <f t="shared" si="17"/>
        <v/>
      </c>
      <c r="E571" s="12"/>
      <c r="F571" s="12"/>
      <c r="G571" s="12"/>
      <c r="H571" s="12" t="str">
        <f>IF(A571=0,"",VLOOKUP(B571,Materials!$A$2:$E$1001,6,FALSE))</f>
        <v/>
      </c>
      <c r="I571" s="12"/>
      <c r="J571" s="12"/>
      <c r="K571" s="12"/>
      <c r="L571" s="12"/>
    </row>
    <row r="572" spans="1:12" ht="16" x14ac:dyDescent="0.2">
      <c r="A572" s="8"/>
      <c r="B572" s="8"/>
      <c r="C572" s="8" t="str">
        <f t="shared" si="16"/>
        <v/>
      </c>
      <c r="D572" s="8" t="str">
        <f t="shared" si="17"/>
        <v/>
      </c>
      <c r="E572" s="12"/>
      <c r="F572" s="12"/>
      <c r="G572" s="12"/>
      <c r="H572" s="12" t="str">
        <f>IF(A572=0,"",VLOOKUP(B572,Materials!$A$2:$E$1001,6,FALSE))</f>
        <v/>
      </c>
      <c r="I572" s="12"/>
      <c r="J572" s="12"/>
      <c r="K572" s="12"/>
      <c r="L572" s="12"/>
    </row>
    <row r="573" spans="1:12" ht="16" x14ac:dyDescent="0.2">
      <c r="A573" s="8"/>
      <c r="B573" s="8"/>
      <c r="C573" s="8" t="str">
        <f t="shared" si="16"/>
        <v/>
      </c>
      <c r="D573" s="8" t="str">
        <f t="shared" si="17"/>
        <v/>
      </c>
      <c r="E573" s="12"/>
      <c r="F573" s="12"/>
      <c r="G573" s="12"/>
      <c r="H573" s="12" t="str">
        <f>IF(A573=0,"",VLOOKUP(B573,Materials!$A$2:$E$1001,6,FALSE))</f>
        <v/>
      </c>
      <c r="I573" s="12"/>
      <c r="J573" s="12"/>
      <c r="K573" s="12"/>
      <c r="L573" s="12"/>
    </row>
    <row r="574" spans="1:12" ht="16" x14ac:dyDescent="0.2">
      <c r="A574" s="8"/>
      <c r="B574" s="8"/>
      <c r="C574" s="8" t="str">
        <f t="shared" si="16"/>
        <v/>
      </c>
      <c r="D574" s="8" t="str">
        <f t="shared" si="17"/>
        <v/>
      </c>
      <c r="E574" s="12"/>
      <c r="F574" s="12"/>
      <c r="G574" s="12"/>
      <c r="H574" s="12" t="str">
        <f>IF(A574=0,"",VLOOKUP(B574,Materials!$A$2:$E$1001,6,FALSE))</f>
        <v/>
      </c>
      <c r="I574" s="12"/>
      <c r="J574" s="12"/>
      <c r="K574" s="12"/>
      <c r="L574" s="12"/>
    </row>
    <row r="575" spans="1:12" ht="16" x14ac:dyDescent="0.2">
      <c r="A575" s="8"/>
      <c r="B575" s="8"/>
      <c r="C575" s="8" t="str">
        <f t="shared" si="16"/>
        <v/>
      </c>
      <c r="D575" s="8" t="str">
        <f t="shared" si="17"/>
        <v/>
      </c>
      <c r="E575" s="12"/>
      <c r="F575" s="12"/>
      <c r="G575" s="12"/>
      <c r="H575" s="12" t="str">
        <f>IF(A575=0,"",VLOOKUP(B575,Materials!$A$2:$E$1001,6,FALSE))</f>
        <v/>
      </c>
      <c r="I575" s="12"/>
      <c r="J575" s="12"/>
      <c r="K575" s="12"/>
      <c r="L575" s="12"/>
    </row>
    <row r="576" spans="1:12" ht="16" x14ac:dyDescent="0.2">
      <c r="A576" s="8"/>
      <c r="B576" s="8"/>
      <c r="C576" s="8" t="str">
        <f t="shared" si="16"/>
        <v/>
      </c>
      <c r="D576" s="8" t="str">
        <f t="shared" si="17"/>
        <v/>
      </c>
      <c r="E576" s="12"/>
      <c r="F576" s="12"/>
      <c r="G576" s="12"/>
      <c r="H576" s="12" t="str">
        <f>IF(A576=0,"",VLOOKUP(B576,Materials!$A$2:$E$1001,6,FALSE))</f>
        <v/>
      </c>
      <c r="I576" s="12"/>
      <c r="J576" s="12"/>
      <c r="K576" s="12"/>
      <c r="L576" s="12"/>
    </row>
    <row r="577" spans="1:12" ht="16" x14ac:dyDescent="0.2">
      <c r="A577" s="8"/>
      <c r="B577" s="8"/>
      <c r="C577" s="8" t="str">
        <f t="shared" si="16"/>
        <v/>
      </c>
      <c r="D577" s="8" t="str">
        <f t="shared" si="17"/>
        <v/>
      </c>
      <c r="E577" s="12"/>
      <c r="F577" s="12"/>
      <c r="G577" s="12"/>
      <c r="H577" s="12" t="str">
        <f>IF(A577=0,"",VLOOKUP(B577,Materials!$A$2:$E$1001,6,FALSE))</f>
        <v/>
      </c>
      <c r="I577" s="12"/>
      <c r="J577" s="12"/>
      <c r="K577" s="12"/>
      <c r="L577" s="12"/>
    </row>
    <row r="578" spans="1:12" ht="16" x14ac:dyDescent="0.2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2"/>
      <c r="F578" s="12"/>
      <c r="G578" s="12"/>
      <c r="H578" s="12" t="str">
        <f>IF(A578=0,"",VLOOKUP(B578,Materials!$A$2:$E$1001,6,FALSE))</f>
        <v/>
      </c>
      <c r="I578" s="12"/>
      <c r="J578" s="12"/>
      <c r="K578" s="12"/>
      <c r="L578" s="12"/>
    </row>
    <row r="579" spans="1:12" ht="16" x14ac:dyDescent="0.2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2"/>
      <c r="F579" s="12"/>
      <c r="G579" s="12"/>
      <c r="H579" s="12" t="str">
        <f>IF(A579=0,"",VLOOKUP(B579,Materials!$A$2:$E$1001,6,FALSE))</f>
        <v/>
      </c>
      <c r="I579" s="12"/>
      <c r="J579" s="12"/>
      <c r="K579" s="12"/>
      <c r="L579" s="12"/>
    </row>
    <row r="580" spans="1:12" ht="16" x14ac:dyDescent="0.2">
      <c r="A580" s="8"/>
      <c r="B580" s="8"/>
      <c r="C580" s="8" t="str">
        <f t="shared" si="18"/>
        <v/>
      </c>
      <c r="D580" s="8" t="str">
        <f t="shared" si="19"/>
        <v/>
      </c>
      <c r="E580" s="12"/>
      <c r="F580" s="12"/>
      <c r="G580" s="12"/>
      <c r="H580" s="12" t="str">
        <f>IF(A580=0,"",VLOOKUP(B580,Materials!$A$2:$E$1001,6,FALSE))</f>
        <v/>
      </c>
      <c r="I580" s="12"/>
      <c r="J580" s="12"/>
      <c r="K580" s="12"/>
      <c r="L580" s="12"/>
    </row>
    <row r="581" spans="1:12" ht="16" x14ac:dyDescent="0.2">
      <c r="A581" s="8"/>
      <c r="B581" s="8"/>
      <c r="C581" s="8" t="str">
        <f t="shared" si="18"/>
        <v/>
      </c>
      <c r="D581" s="8" t="str">
        <f t="shared" si="19"/>
        <v/>
      </c>
      <c r="E581" s="12"/>
      <c r="F581" s="12"/>
      <c r="G581" s="12"/>
      <c r="H581" s="12" t="str">
        <f>IF(A581=0,"",VLOOKUP(B581,Materials!$A$2:$E$1001,6,FALSE))</f>
        <v/>
      </c>
      <c r="I581" s="12"/>
      <c r="J581" s="12"/>
      <c r="K581" s="12"/>
      <c r="L581" s="12"/>
    </row>
    <row r="582" spans="1:12" ht="16" x14ac:dyDescent="0.2">
      <c r="A582" s="8"/>
      <c r="B582" s="8"/>
      <c r="C582" s="8" t="str">
        <f t="shared" si="18"/>
        <v/>
      </c>
      <c r="D582" s="8" t="str">
        <f t="shared" si="19"/>
        <v/>
      </c>
      <c r="E582" s="12"/>
      <c r="F582" s="12"/>
      <c r="G582" s="12"/>
      <c r="H582" s="12" t="str">
        <f>IF(A582=0,"",VLOOKUP(B582,Materials!$A$2:$E$1001,6,FALSE))</f>
        <v/>
      </c>
      <c r="I582" s="12"/>
      <c r="J582" s="12"/>
      <c r="K582" s="12"/>
      <c r="L582" s="12"/>
    </row>
    <row r="583" spans="1:12" ht="16" x14ac:dyDescent="0.2">
      <c r="A583" s="8"/>
      <c r="B583" s="8"/>
      <c r="C583" s="8" t="str">
        <f t="shared" si="18"/>
        <v/>
      </c>
      <c r="D583" s="8" t="str">
        <f t="shared" si="19"/>
        <v/>
      </c>
      <c r="E583" s="12"/>
      <c r="F583" s="12"/>
      <c r="G583" s="12"/>
      <c r="H583" s="12" t="str">
        <f>IF(A583=0,"",VLOOKUP(B583,Materials!$A$2:$E$1001,6,FALSE))</f>
        <v/>
      </c>
      <c r="I583" s="12"/>
      <c r="J583" s="12"/>
      <c r="K583" s="12"/>
      <c r="L583" s="12"/>
    </row>
    <row r="584" spans="1:12" ht="16" x14ac:dyDescent="0.2">
      <c r="A584" s="8"/>
      <c r="B584" s="8"/>
      <c r="C584" s="8" t="str">
        <f t="shared" si="18"/>
        <v/>
      </c>
      <c r="D584" s="8" t="str">
        <f t="shared" si="19"/>
        <v/>
      </c>
      <c r="E584" s="12"/>
      <c r="F584" s="12"/>
      <c r="G584" s="12"/>
      <c r="H584" s="12" t="str">
        <f>IF(A584=0,"",VLOOKUP(B584,Materials!$A$2:$E$1001,6,FALSE))</f>
        <v/>
      </c>
      <c r="I584" s="12"/>
      <c r="J584" s="12"/>
      <c r="K584" s="12"/>
      <c r="L584" s="12"/>
    </row>
    <row r="585" spans="1:12" ht="16" x14ac:dyDescent="0.2">
      <c r="A585" s="8"/>
      <c r="B585" s="8"/>
      <c r="C585" s="8" t="str">
        <f t="shared" si="18"/>
        <v/>
      </c>
      <c r="D585" s="8" t="str">
        <f t="shared" si="19"/>
        <v/>
      </c>
      <c r="E585" s="12"/>
      <c r="F585" s="12"/>
      <c r="G585" s="12"/>
      <c r="H585" s="12" t="str">
        <f>IF(A585=0,"",VLOOKUP(B585,Materials!$A$2:$E$1001,6,FALSE))</f>
        <v/>
      </c>
      <c r="I585" s="12"/>
      <c r="J585" s="12"/>
      <c r="K585" s="12"/>
      <c r="L585" s="12"/>
    </row>
    <row r="586" spans="1:12" ht="16" x14ac:dyDescent="0.2">
      <c r="A586" s="8"/>
      <c r="B586" s="8"/>
      <c r="C586" s="8" t="str">
        <f t="shared" si="18"/>
        <v/>
      </c>
      <c r="D586" s="8" t="str">
        <f t="shared" si="19"/>
        <v/>
      </c>
      <c r="E586" s="12"/>
      <c r="F586" s="12"/>
      <c r="G586" s="12"/>
      <c r="H586" s="12" t="str">
        <f>IF(A586=0,"",VLOOKUP(B586,Materials!$A$2:$E$1001,6,FALSE))</f>
        <v/>
      </c>
      <c r="I586" s="12"/>
      <c r="J586" s="12"/>
      <c r="K586" s="12"/>
      <c r="L586" s="12"/>
    </row>
    <row r="587" spans="1:12" ht="16" x14ac:dyDescent="0.2">
      <c r="A587" s="8"/>
      <c r="B587" s="8"/>
      <c r="C587" s="8" t="str">
        <f t="shared" si="18"/>
        <v/>
      </c>
      <c r="D587" s="8" t="str">
        <f t="shared" si="19"/>
        <v/>
      </c>
      <c r="E587" s="12"/>
      <c r="F587" s="12"/>
      <c r="G587" s="12"/>
      <c r="H587" s="12" t="str">
        <f>IF(A587=0,"",VLOOKUP(B587,Materials!$A$2:$E$1001,6,FALSE))</f>
        <v/>
      </c>
      <c r="I587" s="12"/>
      <c r="J587" s="12"/>
      <c r="K587" s="12"/>
      <c r="L587" s="12"/>
    </row>
    <row r="588" spans="1:12" ht="16" x14ac:dyDescent="0.2">
      <c r="A588" s="8"/>
      <c r="B588" s="8"/>
      <c r="C588" s="8" t="str">
        <f t="shared" si="18"/>
        <v/>
      </c>
      <c r="D588" s="8" t="str">
        <f t="shared" si="19"/>
        <v/>
      </c>
      <c r="E588" s="12"/>
      <c r="F588" s="12"/>
      <c r="G588" s="12"/>
      <c r="H588" s="12" t="str">
        <f>IF(A588=0,"",VLOOKUP(B588,Materials!$A$2:$E$1001,6,FALSE))</f>
        <v/>
      </c>
      <c r="I588" s="12"/>
      <c r="J588" s="12"/>
      <c r="K588" s="12"/>
      <c r="L588" s="12"/>
    </row>
    <row r="589" spans="1:12" ht="16" x14ac:dyDescent="0.2">
      <c r="A589" s="8"/>
      <c r="B589" s="8"/>
      <c r="C589" s="8" t="str">
        <f t="shared" si="18"/>
        <v/>
      </c>
      <c r="D589" s="8" t="str">
        <f t="shared" si="19"/>
        <v/>
      </c>
      <c r="E589" s="12"/>
      <c r="F589" s="12"/>
      <c r="G589" s="12"/>
      <c r="H589" s="12" t="str">
        <f>IF(A589=0,"",VLOOKUP(B589,Materials!$A$2:$E$1001,6,FALSE))</f>
        <v/>
      </c>
      <c r="I589" s="12"/>
      <c r="J589" s="12"/>
      <c r="K589" s="12"/>
      <c r="L589" s="12"/>
    </row>
    <row r="590" spans="1:12" ht="16" x14ac:dyDescent="0.2">
      <c r="A590" s="8"/>
      <c r="B590" s="8"/>
      <c r="C590" s="8" t="str">
        <f t="shared" si="18"/>
        <v/>
      </c>
      <c r="D590" s="8" t="str">
        <f t="shared" si="19"/>
        <v/>
      </c>
      <c r="E590" s="12"/>
      <c r="F590" s="12"/>
      <c r="G590" s="12"/>
      <c r="H590" s="12" t="str">
        <f>IF(A590=0,"",VLOOKUP(B590,Materials!$A$2:$E$1001,6,FALSE))</f>
        <v/>
      </c>
      <c r="I590" s="12"/>
      <c r="J590" s="12"/>
      <c r="K590" s="12"/>
      <c r="L590" s="12"/>
    </row>
    <row r="591" spans="1:12" ht="16" x14ac:dyDescent="0.2">
      <c r="A591" s="8"/>
      <c r="B591" s="8"/>
      <c r="C591" s="8" t="str">
        <f t="shared" si="18"/>
        <v/>
      </c>
      <c r="D591" s="8" t="str">
        <f t="shared" si="19"/>
        <v/>
      </c>
      <c r="E591" s="12"/>
      <c r="F591" s="12"/>
      <c r="G591" s="12"/>
      <c r="H591" s="12" t="str">
        <f>IF(A591=0,"",VLOOKUP(B591,Materials!$A$2:$E$1001,6,FALSE))</f>
        <v/>
      </c>
      <c r="I591" s="12"/>
      <c r="J591" s="12"/>
      <c r="K591" s="12"/>
      <c r="L591" s="12"/>
    </row>
    <row r="592" spans="1:12" ht="16" x14ac:dyDescent="0.2">
      <c r="A592" s="8"/>
      <c r="B592" s="8"/>
      <c r="C592" s="8" t="str">
        <f t="shared" si="18"/>
        <v/>
      </c>
      <c r="D592" s="8" t="str">
        <f t="shared" si="19"/>
        <v/>
      </c>
      <c r="E592" s="12"/>
      <c r="F592" s="12"/>
      <c r="G592" s="12"/>
      <c r="H592" s="12" t="str">
        <f>IF(A592=0,"",VLOOKUP(B592,Materials!$A$2:$E$1001,6,FALSE))</f>
        <v/>
      </c>
      <c r="I592" s="12"/>
      <c r="J592" s="12"/>
      <c r="K592" s="12"/>
      <c r="L592" s="12"/>
    </row>
    <row r="593" spans="1:12" ht="16" x14ac:dyDescent="0.2">
      <c r="A593" s="8"/>
      <c r="B593" s="8"/>
      <c r="C593" s="8" t="str">
        <f t="shared" si="18"/>
        <v/>
      </c>
      <c r="D593" s="8" t="str">
        <f t="shared" si="19"/>
        <v/>
      </c>
      <c r="E593" s="12"/>
      <c r="F593" s="12"/>
      <c r="G593" s="12"/>
      <c r="H593" s="12" t="str">
        <f>IF(A593=0,"",VLOOKUP(B593,Materials!$A$2:$E$1001,6,FALSE))</f>
        <v/>
      </c>
      <c r="I593" s="12"/>
      <c r="J593" s="12"/>
      <c r="K593" s="12"/>
      <c r="L593" s="12"/>
    </row>
    <row r="594" spans="1:12" ht="16" x14ac:dyDescent="0.2">
      <c r="A594" s="8"/>
      <c r="B594" s="8"/>
      <c r="C594" s="8" t="str">
        <f t="shared" si="18"/>
        <v/>
      </c>
      <c r="D594" s="8" t="str">
        <f t="shared" si="19"/>
        <v/>
      </c>
      <c r="E594" s="12"/>
      <c r="F594" s="12"/>
      <c r="G594" s="12"/>
      <c r="H594" s="12" t="str">
        <f>IF(A594=0,"",VLOOKUP(B594,Materials!$A$2:$E$1001,6,FALSE))</f>
        <v/>
      </c>
      <c r="I594" s="12"/>
      <c r="J594" s="12"/>
      <c r="K594" s="12"/>
      <c r="L594" s="12"/>
    </row>
    <row r="595" spans="1:12" ht="16" x14ac:dyDescent="0.2">
      <c r="A595" s="8"/>
      <c r="B595" s="8"/>
      <c r="C595" s="8" t="str">
        <f t="shared" si="18"/>
        <v/>
      </c>
      <c r="D595" s="8" t="str">
        <f t="shared" si="19"/>
        <v/>
      </c>
      <c r="E595" s="12"/>
      <c r="F595" s="12"/>
      <c r="G595" s="12"/>
      <c r="H595" s="12" t="str">
        <f>IF(A595=0,"",VLOOKUP(B595,Materials!$A$2:$E$1001,6,FALSE))</f>
        <v/>
      </c>
      <c r="I595" s="12"/>
      <c r="J595" s="12"/>
      <c r="K595" s="12"/>
      <c r="L595" s="12"/>
    </row>
    <row r="596" spans="1:12" ht="16" x14ac:dyDescent="0.2">
      <c r="A596" s="8"/>
      <c r="B596" s="8"/>
      <c r="C596" s="8" t="str">
        <f t="shared" si="18"/>
        <v/>
      </c>
      <c r="D596" s="8" t="str">
        <f t="shared" si="19"/>
        <v/>
      </c>
      <c r="E596" s="12"/>
      <c r="F596" s="12"/>
      <c r="G596" s="12"/>
      <c r="H596" s="12" t="str">
        <f>IF(A596=0,"",VLOOKUP(B596,Materials!$A$2:$E$1001,6,FALSE))</f>
        <v/>
      </c>
      <c r="I596" s="12"/>
      <c r="J596" s="12"/>
      <c r="K596" s="12"/>
      <c r="L596" s="12"/>
    </row>
    <row r="597" spans="1:12" ht="16" x14ac:dyDescent="0.2">
      <c r="A597" s="8"/>
      <c r="B597" s="8"/>
      <c r="C597" s="8" t="str">
        <f t="shared" si="18"/>
        <v/>
      </c>
      <c r="D597" s="8" t="str">
        <f t="shared" si="19"/>
        <v/>
      </c>
      <c r="E597" s="12"/>
      <c r="F597" s="12"/>
      <c r="G597" s="12"/>
      <c r="H597" s="12" t="str">
        <f>IF(A597=0,"",VLOOKUP(B597,Materials!$A$2:$E$1001,6,FALSE))</f>
        <v/>
      </c>
      <c r="I597" s="12"/>
      <c r="J597" s="12"/>
      <c r="K597" s="12"/>
      <c r="L597" s="12"/>
    </row>
    <row r="598" spans="1:12" ht="16" x14ac:dyDescent="0.2">
      <c r="A598" s="8"/>
      <c r="B598" s="8"/>
      <c r="C598" s="8" t="str">
        <f t="shared" si="18"/>
        <v/>
      </c>
      <c r="D598" s="8" t="str">
        <f t="shared" si="19"/>
        <v/>
      </c>
      <c r="E598" s="12"/>
      <c r="F598" s="12"/>
      <c r="G598" s="12"/>
      <c r="H598" s="12" t="str">
        <f>IF(A598=0,"",VLOOKUP(B598,Materials!$A$2:$E$1001,6,FALSE))</f>
        <v/>
      </c>
      <c r="I598" s="12"/>
      <c r="J598" s="12"/>
      <c r="K598" s="12"/>
      <c r="L598" s="12"/>
    </row>
    <row r="599" spans="1:12" ht="16" x14ac:dyDescent="0.2">
      <c r="A599" s="8"/>
      <c r="B599" s="8"/>
      <c r="C599" s="8" t="str">
        <f t="shared" si="18"/>
        <v/>
      </c>
      <c r="D599" s="8" t="str">
        <f t="shared" si="19"/>
        <v/>
      </c>
      <c r="E599" s="12"/>
      <c r="F599" s="12"/>
      <c r="G599" s="12"/>
      <c r="H599" s="12" t="str">
        <f>IF(A599=0,"",VLOOKUP(B599,Materials!$A$2:$E$1001,6,FALSE))</f>
        <v/>
      </c>
      <c r="I599" s="12"/>
      <c r="J599" s="12"/>
      <c r="K599" s="12"/>
      <c r="L599" s="12"/>
    </row>
    <row r="600" spans="1:12" ht="16" x14ac:dyDescent="0.2">
      <c r="A600" s="8"/>
      <c r="B600" s="8"/>
      <c r="C600" s="8" t="str">
        <f t="shared" si="18"/>
        <v/>
      </c>
      <c r="D600" s="8" t="str">
        <f t="shared" si="19"/>
        <v/>
      </c>
      <c r="E600" s="12"/>
      <c r="F600" s="12"/>
      <c r="G600" s="12"/>
      <c r="H600" s="12" t="str">
        <f>IF(A600=0,"",VLOOKUP(B600,Materials!$A$2:$E$1001,6,FALSE))</f>
        <v/>
      </c>
      <c r="I600" s="12"/>
      <c r="J600" s="12"/>
      <c r="K600" s="12"/>
      <c r="L600" s="12"/>
    </row>
    <row r="601" spans="1:12" ht="16" x14ac:dyDescent="0.2">
      <c r="A601" s="8"/>
      <c r="B601" s="8"/>
      <c r="C601" s="8" t="str">
        <f t="shared" si="18"/>
        <v/>
      </c>
      <c r="D601" s="8" t="str">
        <f t="shared" si="19"/>
        <v/>
      </c>
      <c r="E601" s="12"/>
      <c r="F601" s="12"/>
      <c r="G601" s="12"/>
      <c r="H601" s="12" t="str">
        <f>IF(A601=0,"",VLOOKUP(B601,Materials!$A$2:$E$1001,6,FALSE))</f>
        <v/>
      </c>
      <c r="I601" s="12"/>
      <c r="J601" s="12"/>
      <c r="K601" s="12"/>
      <c r="L601" s="12"/>
    </row>
    <row r="602" spans="1:12" ht="16" x14ac:dyDescent="0.2">
      <c r="A602" s="8"/>
      <c r="B602" s="8"/>
      <c r="C602" s="8" t="str">
        <f t="shared" si="18"/>
        <v/>
      </c>
      <c r="D602" s="8" t="str">
        <f t="shared" si="19"/>
        <v/>
      </c>
      <c r="E602" s="12"/>
      <c r="F602" s="12"/>
      <c r="G602" s="12"/>
      <c r="H602" s="12" t="str">
        <f>IF(A602=0,"",VLOOKUP(B602,Materials!$A$2:$E$1001,6,FALSE))</f>
        <v/>
      </c>
      <c r="I602" s="12"/>
      <c r="J602" s="12"/>
      <c r="K602" s="12"/>
      <c r="L602" s="12"/>
    </row>
    <row r="603" spans="1:12" ht="16" x14ac:dyDescent="0.2">
      <c r="A603" s="8"/>
      <c r="B603" s="8"/>
      <c r="C603" s="8" t="str">
        <f t="shared" si="18"/>
        <v/>
      </c>
      <c r="D603" s="8" t="str">
        <f t="shared" si="19"/>
        <v/>
      </c>
      <c r="E603" s="12"/>
      <c r="F603" s="12"/>
      <c r="G603" s="12"/>
      <c r="H603" s="12" t="str">
        <f>IF(A603=0,"",VLOOKUP(B603,Materials!$A$2:$E$1001,6,FALSE))</f>
        <v/>
      </c>
      <c r="I603" s="12"/>
      <c r="J603" s="12"/>
      <c r="K603" s="12"/>
      <c r="L603" s="12"/>
    </row>
    <row r="604" spans="1:12" ht="16" x14ac:dyDescent="0.2">
      <c r="A604" s="8"/>
      <c r="B604" s="8"/>
      <c r="C604" s="8" t="str">
        <f t="shared" si="18"/>
        <v/>
      </c>
      <c r="D604" s="8" t="str">
        <f t="shared" si="19"/>
        <v/>
      </c>
      <c r="E604" s="12"/>
      <c r="F604" s="12"/>
      <c r="G604" s="12"/>
      <c r="H604" s="12" t="str">
        <f>IF(A604=0,"",VLOOKUP(B604,Materials!$A$2:$E$1001,6,FALSE))</f>
        <v/>
      </c>
      <c r="I604" s="12"/>
      <c r="J604" s="12"/>
      <c r="K604" s="12"/>
      <c r="L604" s="12"/>
    </row>
    <row r="605" spans="1:12" ht="16" x14ac:dyDescent="0.2">
      <c r="A605" s="8"/>
      <c r="B605" s="8"/>
      <c r="C605" s="8" t="str">
        <f t="shared" si="18"/>
        <v/>
      </c>
      <c r="D605" s="8" t="str">
        <f t="shared" si="19"/>
        <v/>
      </c>
      <c r="E605" s="12"/>
      <c r="F605" s="12"/>
      <c r="G605" s="12"/>
      <c r="H605" s="12" t="str">
        <f>IF(A605=0,"",VLOOKUP(B605,Materials!$A$2:$E$1001,6,FALSE))</f>
        <v/>
      </c>
      <c r="I605" s="12"/>
      <c r="J605" s="12"/>
      <c r="K605" s="12"/>
      <c r="L605" s="12"/>
    </row>
    <row r="606" spans="1:12" ht="16" x14ac:dyDescent="0.2">
      <c r="A606" s="8"/>
      <c r="B606" s="8"/>
      <c r="C606" s="8" t="str">
        <f t="shared" si="18"/>
        <v/>
      </c>
      <c r="D606" s="8" t="str">
        <f t="shared" si="19"/>
        <v/>
      </c>
      <c r="E606" s="12"/>
      <c r="F606" s="12"/>
      <c r="G606" s="12"/>
      <c r="H606" s="12" t="str">
        <f>IF(A606=0,"",VLOOKUP(B606,Materials!$A$2:$E$1001,6,FALSE))</f>
        <v/>
      </c>
      <c r="I606" s="12"/>
      <c r="J606" s="12"/>
      <c r="K606" s="12"/>
      <c r="L606" s="12"/>
    </row>
    <row r="607" spans="1:12" ht="16" x14ac:dyDescent="0.2">
      <c r="A607" s="8"/>
      <c r="B607" s="8"/>
      <c r="C607" s="8" t="str">
        <f t="shared" si="18"/>
        <v/>
      </c>
      <c r="D607" s="8" t="str">
        <f t="shared" si="19"/>
        <v/>
      </c>
      <c r="E607" s="12"/>
      <c r="F607" s="12"/>
      <c r="G607" s="12"/>
      <c r="H607" s="12" t="str">
        <f>IF(A607=0,"",VLOOKUP(B607,Materials!$A$2:$E$1001,6,FALSE))</f>
        <v/>
      </c>
      <c r="I607" s="12"/>
      <c r="J607" s="12"/>
      <c r="K607" s="12"/>
      <c r="L607" s="12"/>
    </row>
    <row r="608" spans="1:12" ht="16" x14ac:dyDescent="0.2">
      <c r="A608" s="8"/>
      <c r="B608" s="8"/>
      <c r="C608" s="8" t="str">
        <f t="shared" si="18"/>
        <v/>
      </c>
      <c r="D608" s="8" t="str">
        <f t="shared" si="19"/>
        <v/>
      </c>
      <c r="E608" s="12"/>
      <c r="F608" s="12"/>
      <c r="G608" s="12"/>
      <c r="H608" s="12" t="str">
        <f>IF(A608=0,"",VLOOKUP(B608,Materials!$A$2:$E$1001,6,FALSE))</f>
        <v/>
      </c>
      <c r="I608" s="12"/>
      <c r="J608" s="12"/>
      <c r="K608" s="12"/>
      <c r="L608" s="12"/>
    </row>
    <row r="609" spans="1:12" ht="16" x14ac:dyDescent="0.2">
      <c r="A609" s="8"/>
      <c r="B609" s="8"/>
      <c r="C609" s="8" t="str">
        <f t="shared" si="18"/>
        <v/>
      </c>
      <c r="D609" s="8" t="str">
        <f t="shared" si="19"/>
        <v/>
      </c>
      <c r="E609" s="12"/>
      <c r="F609" s="12"/>
      <c r="G609" s="12"/>
      <c r="H609" s="12" t="str">
        <f>IF(A609=0,"",VLOOKUP(B609,Materials!$A$2:$E$1001,6,FALSE))</f>
        <v/>
      </c>
      <c r="I609" s="12"/>
      <c r="J609" s="12"/>
      <c r="K609" s="12"/>
      <c r="L609" s="12"/>
    </row>
    <row r="610" spans="1:12" ht="16" x14ac:dyDescent="0.2">
      <c r="A610" s="8"/>
      <c r="B610" s="8"/>
      <c r="C610" s="8" t="str">
        <f t="shared" si="18"/>
        <v/>
      </c>
      <c r="D610" s="8" t="str">
        <f t="shared" si="19"/>
        <v/>
      </c>
      <c r="E610" s="12"/>
      <c r="F610" s="12"/>
      <c r="G610" s="12"/>
      <c r="H610" s="12" t="str">
        <f>IF(A610=0,"",VLOOKUP(B610,Materials!$A$2:$E$1001,6,FALSE))</f>
        <v/>
      </c>
      <c r="I610" s="12"/>
      <c r="J610" s="12"/>
      <c r="K610" s="12"/>
      <c r="L610" s="12"/>
    </row>
    <row r="611" spans="1:12" ht="16" x14ac:dyDescent="0.2">
      <c r="A611" s="8"/>
      <c r="B611" s="8"/>
      <c r="C611" s="8" t="str">
        <f t="shared" si="18"/>
        <v/>
      </c>
      <c r="D611" s="8" t="str">
        <f t="shared" si="19"/>
        <v/>
      </c>
      <c r="E611" s="12"/>
      <c r="F611" s="12"/>
      <c r="G611" s="12"/>
      <c r="H611" s="12" t="str">
        <f>IF(A611=0,"",VLOOKUP(B611,Materials!$A$2:$E$1001,6,FALSE))</f>
        <v/>
      </c>
      <c r="I611" s="12"/>
      <c r="J611" s="12"/>
      <c r="K611" s="12"/>
      <c r="L611" s="12"/>
    </row>
    <row r="612" spans="1:12" ht="16" x14ac:dyDescent="0.2">
      <c r="A612" s="8"/>
      <c r="B612" s="8"/>
      <c r="C612" s="8" t="str">
        <f t="shared" si="18"/>
        <v/>
      </c>
      <c r="D612" s="8" t="str">
        <f t="shared" si="19"/>
        <v/>
      </c>
      <c r="E612" s="12"/>
      <c r="F612" s="12"/>
      <c r="G612" s="12"/>
      <c r="H612" s="12" t="str">
        <f>IF(A612=0,"",VLOOKUP(B612,Materials!$A$2:$E$1001,6,FALSE))</f>
        <v/>
      </c>
      <c r="I612" s="12"/>
      <c r="J612" s="12"/>
      <c r="K612" s="12"/>
      <c r="L612" s="12"/>
    </row>
    <row r="613" spans="1:12" ht="16" x14ac:dyDescent="0.2">
      <c r="A613" s="8"/>
      <c r="B613" s="8"/>
      <c r="C613" s="8" t="str">
        <f t="shared" si="18"/>
        <v/>
      </c>
      <c r="D613" s="8" t="str">
        <f t="shared" si="19"/>
        <v/>
      </c>
      <c r="E613" s="12"/>
      <c r="F613" s="12"/>
      <c r="G613" s="12"/>
      <c r="H613" s="12" t="str">
        <f>IF(A613=0,"",VLOOKUP(B613,Materials!$A$2:$E$1001,6,FALSE))</f>
        <v/>
      </c>
      <c r="I613" s="12"/>
      <c r="J613" s="12"/>
      <c r="K613" s="12"/>
      <c r="L613" s="12"/>
    </row>
    <row r="614" spans="1:12" ht="16" x14ac:dyDescent="0.2">
      <c r="A614" s="8"/>
      <c r="B614" s="8"/>
      <c r="C614" s="8" t="str">
        <f t="shared" si="18"/>
        <v/>
      </c>
      <c r="D614" s="8" t="str">
        <f t="shared" si="19"/>
        <v/>
      </c>
      <c r="E614" s="12"/>
      <c r="F614" s="12"/>
      <c r="G614" s="12"/>
      <c r="H614" s="12" t="str">
        <f>IF(A614=0,"",VLOOKUP(B614,Materials!$A$2:$E$1001,6,FALSE))</f>
        <v/>
      </c>
      <c r="I614" s="12"/>
      <c r="J614" s="12"/>
      <c r="K614" s="12"/>
      <c r="L614" s="12"/>
    </row>
    <row r="615" spans="1:12" ht="16" x14ac:dyDescent="0.2">
      <c r="A615" s="8"/>
      <c r="B615" s="8"/>
      <c r="C615" s="8" t="str">
        <f t="shared" si="18"/>
        <v/>
      </c>
      <c r="D615" s="8" t="str">
        <f t="shared" si="19"/>
        <v/>
      </c>
      <c r="E615" s="12"/>
      <c r="F615" s="12"/>
      <c r="G615" s="12"/>
      <c r="H615" s="12" t="str">
        <f>IF(A615=0,"",VLOOKUP(B615,Materials!$A$2:$E$1001,6,FALSE))</f>
        <v/>
      </c>
      <c r="I615" s="12"/>
      <c r="J615" s="12"/>
      <c r="K615" s="12"/>
      <c r="L615" s="12"/>
    </row>
    <row r="616" spans="1:12" ht="16" x14ac:dyDescent="0.2">
      <c r="A616" s="8"/>
      <c r="B616" s="8"/>
      <c r="C616" s="8" t="str">
        <f t="shared" si="18"/>
        <v/>
      </c>
      <c r="D616" s="8" t="str">
        <f t="shared" si="19"/>
        <v/>
      </c>
      <c r="E616" s="12"/>
      <c r="F616" s="12"/>
      <c r="G616" s="12"/>
      <c r="H616" s="12" t="str">
        <f>IF(A616=0,"",VLOOKUP(B616,Materials!$A$2:$E$1001,6,FALSE))</f>
        <v/>
      </c>
      <c r="I616" s="12"/>
      <c r="J616" s="12"/>
      <c r="K616" s="12"/>
      <c r="L616" s="12"/>
    </row>
    <row r="617" spans="1:12" ht="16" x14ac:dyDescent="0.2">
      <c r="A617" s="8"/>
      <c r="B617" s="8"/>
      <c r="C617" s="8" t="str">
        <f t="shared" si="18"/>
        <v/>
      </c>
      <c r="D617" s="8" t="str">
        <f t="shared" si="19"/>
        <v/>
      </c>
      <c r="E617" s="12"/>
      <c r="F617" s="12"/>
      <c r="G617" s="12"/>
      <c r="H617" s="12" t="str">
        <f>IF(A617=0,"",VLOOKUP(B617,Materials!$A$2:$E$1001,6,FALSE))</f>
        <v/>
      </c>
      <c r="I617" s="12"/>
      <c r="J617" s="12"/>
      <c r="K617" s="12"/>
      <c r="L617" s="12"/>
    </row>
    <row r="618" spans="1:12" ht="16" x14ac:dyDescent="0.2">
      <c r="A618" s="8"/>
      <c r="B618" s="8"/>
      <c r="C618" s="8" t="str">
        <f t="shared" si="18"/>
        <v/>
      </c>
      <c r="D618" s="8" t="str">
        <f t="shared" si="19"/>
        <v/>
      </c>
      <c r="E618" s="12"/>
      <c r="F618" s="12"/>
      <c r="G618" s="12"/>
      <c r="H618" s="12" t="str">
        <f>IF(A618=0,"",VLOOKUP(B618,Materials!$A$2:$E$1001,6,FALSE))</f>
        <v/>
      </c>
      <c r="I618" s="12"/>
      <c r="J618" s="12"/>
      <c r="K618" s="12"/>
      <c r="L618" s="12"/>
    </row>
    <row r="619" spans="1:12" ht="16" x14ac:dyDescent="0.2">
      <c r="A619" s="8"/>
      <c r="B619" s="8"/>
      <c r="C619" s="8" t="str">
        <f t="shared" si="18"/>
        <v/>
      </c>
      <c r="D619" s="8" t="str">
        <f t="shared" si="19"/>
        <v/>
      </c>
      <c r="E619" s="12"/>
      <c r="F619" s="12"/>
      <c r="G619" s="12"/>
      <c r="H619" s="12" t="str">
        <f>IF(A619=0,"",VLOOKUP(B619,Materials!$A$2:$E$1001,6,FALSE))</f>
        <v/>
      </c>
      <c r="I619" s="12"/>
      <c r="J619" s="12"/>
      <c r="K619" s="12"/>
      <c r="L619" s="12"/>
    </row>
    <row r="620" spans="1:12" ht="16" x14ac:dyDescent="0.2">
      <c r="A620" s="8"/>
      <c r="B620" s="8"/>
      <c r="C620" s="8" t="str">
        <f t="shared" si="18"/>
        <v/>
      </c>
      <c r="D620" s="8" t="str">
        <f t="shared" si="19"/>
        <v/>
      </c>
      <c r="E620" s="12"/>
      <c r="F620" s="12"/>
      <c r="G620" s="12"/>
      <c r="H620" s="12" t="str">
        <f>IF(A620=0,"",VLOOKUP(B620,Materials!$A$2:$E$1001,6,FALSE))</f>
        <v/>
      </c>
      <c r="I620" s="12"/>
      <c r="J620" s="12"/>
      <c r="K620" s="12"/>
      <c r="L620" s="12"/>
    </row>
    <row r="621" spans="1:12" ht="16" x14ac:dyDescent="0.2">
      <c r="A621" s="8"/>
      <c r="B621" s="8"/>
      <c r="C621" s="8" t="str">
        <f t="shared" si="18"/>
        <v/>
      </c>
      <c r="D621" s="8" t="str">
        <f t="shared" si="19"/>
        <v/>
      </c>
      <c r="E621" s="12"/>
      <c r="F621" s="12"/>
      <c r="G621" s="12"/>
      <c r="H621" s="12" t="str">
        <f>IF(A621=0,"",VLOOKUP(B621,Materials!$A$2:$E$1001,6,FALSE))</f>
        <v/>
      </c>
      <c r="I621" s="12"/>
      <c r="J621" s="12"/>
      <c r="K621" s="12"/>
      <c r="L621" s="12"/>
    </row>
    <row r="622" spans="1:12" ht="16" x14ac:dyDescent="0.2">
      <c r="A622" s="8"/>
      <c r="B622" s="8"/>
      <c r="C622" s="8" t="str">
        <f t="shared" si="18"/>
        <v/>
      </c>
      <c r="D622" s="8" t="str">
        <f t="shared" si="19"/>
        <v/>
      </c>
      <c r="E622" s="12"/>
      <c r="F622" s="12"/>
      <c r="G622" s="12"/>
      <c r="H622" s="12" t="str">
        <f>IF(A622=0,"",VLOOKUP(B622,Materials!$A$2:$E$1001,6,FALSE))</f>
        <v/>
      </c>
      <c r="I622" s="12"/>
      <c r="J622" s="12"/>
      <c r="K622" s="12"/>
      <c r="L622" s="12"/>
    </row>
    <row r="623" spans="1:12" ht="16" x14ac:dyDescent="0.2">
      <c r="A623" s="8"/>
      <c r="B623" s="8"/>
      <c r="C623" s="8" t="str">
        <f t="shared" si="18"/>
        <v/>
      </c>
      <c r="D623" s="8" t="str">
        <f t="shared" si="19"/>
        <v/>
      </c>
      <c r="E623" s="12"/>
      <c r="F623" s="12"/>
      <c r="G623" s="12"/>
      <c r="H623" s="12" t="str">
        <f>IF(A623=0,"",VLOOKUP(B623,Materials!$A$2:$E$1001,6,FALSE))</f>
        <v/>
      </c>
      <c r="I623" s="12"/>
      <c r="J623" s="12"/>
      <c r="K623" s="12"/>
      <c r="L623" s="12"/>
    </row>
    <row r="624" spans="1:12" ht="16" x14ac:dyDescent="0.2">
      <c r="A624" s="8"/>
      <c r="B624" s="8"/>
      <c r="C624" s="8" t="str">
        <f t="shared" si="18"/>
        <v/>
      </c>
      <c r="D624" s="8" t="str">
        <f t="shared" si="19"/>
        <v/>
      </c>
      <c r="E624" s="12"/>
      <c r="F624" s="12"/>
      <c r="G624" s="12"/>
      <c r="H624" s="12" t="str">
        <f>IF(A624=0,"",VLOOKUP(B624,Materials!$A$2:$E$1001,6,FALSE))</f>
        <v/>
      </c>
      <c r="I624" s="12"/>
      <c r="J624" s="12"/>
      <c r="K624" s="12"/>
      <c r="L624" s="12"/>
    </row>
    <row r="625" spans="1:12" ht="16" x14ac:dyDescent="0.2">
      <c r="A625" s="8"/>
      <c r="B625" s="8"/>
      <c r="C625" s="8" t="str">
        <f t="shared" si="18"/>
        <v/>
      </c>
      <c r="D625" s="8" t="str">
        <f t="shared" si="19"/>
        <v/>
      </c>
      <c r="E625" s="12"/>
      <c r="F625" s="12"/>
      <c r="G625" s="12"/>
      <c r="H625" s="12" t="str">
        <f>IF(A625=0,"",VLOOKUP(B625,Materials!$A$2:$E$1001,6,FALSE))</f>
        <v/>
      </c>
      <c r="I625" s="12"/>
      <c r="J625" s="12"/>
      <c r="K625" s="12"/>
      <c r="L625" s="12"/>
    </row>
    <row r="626" spans="1:12" ht="16" x14ac:dyDescent="0.2">
      <c r="A626" s="8"/>
      <c r="B626" s="8"/>
      <c r="C626" s="8" t="str">
        <f t="shared" si="18"/>
        <v/>
      </c>
      <c r="D626" s="8" t="str">
        <f t="shared" si="19"/>
        <v/>
      </c>
      <c r="E626" s="12"/>
      <c r="F626" s="12"/>
      <c r="G626" s="12"/>
      <c r="H626" s="12" t="str">
        <f>IF(A626=0,"",VLOOKUP(B626,Materials!$A$2:$E$1001,6,FALSE))</f>
        <v/>
      </c>
      <c r="I626" s="12"/>
      <c r="J626" s="12"/>
      <c r="K626" s="12"/>
      <c r="L626" s="12"/>
    </row>
    <row r="627" spans="1:12" ht="16" x14ac:dyDescent="0.2">
      <c r="A627" s="8"/>
      <c r="B627" s="8"/>
      <c r="C627" s="8" t="str">
        <f t="shared" si="18"/>
        <v/>
      </c>
      <c r="D627" s="8" t="str">
        <f t="shared" si="19"/>
        <v/>
      </c>
      <c r="E627" s="12"/>
      <c r="F627" s="12"/>
      <c r="G627" s="12"/>
      <c r="H627" s="12" t="str">
        <f>IF(A627=0,"",VLOOKUP(B627,Materials!$A$2:$E$1001,6,FALSE))</f>
        <v/>
      </c>
      <c r="I627" s="12"/>
      <c r="J627" s="12"/>
      <c r="K627" s="12"/>
      <c r="L627" s="12"/>
    </row>
    <row r="628" spans="1:12" ht="16" x14ac:dyDescent="0.2">
      <c r="A628" s="8"/>
      <c r="B628" s="8"/>
      <c r="C628" s="8" t="str">
        <f t="shared" si="18"/>
        <v/>
      </c>
      <c r="D628" s="8" t="str">
        <f t="shared" si="19"/>
        <v/>
      </c>
      <c r="E628" s="12"/>
      <c r="F628" s="12"/>
      <c r="G628" s="12"/>
      <c r="H628" s="12" t="str">
        <f>IF(A628=0,"",VLOOKUP(B628,Materials!$A$2:$E$1001,6,FALSE))</f>
        <v/>
      </c>
      <c r="I628" s="12"/>
      <c r="J628" s="12"/>
      <c r="K628" s="12"/>
      <c r="L628" s="12"/>
    </row>
    <row r="629" spans="1:12" ht="16" x14ac:dyDescent="0.2">
      <c r="A629" s="8"/>
      <c r="B629" s="8"/>
      <c r="C629" s="8" t="str">
        <f t="shared" si="18"/>
        <v/>
      </c>
      <c r="D629" s="8" t="str">
        <f t="shared" si="19"/>
        <v/>
      </c>
      <c r="E629" s="12"/>
      <c r="F629" s="12"/>
      <c r="G629" s="12"/>
      <c r="H629" s="12" t="str">
        <f>IF(A629=0,"",VLOOKUP(B629,Materials!$A$2:$E$1001,6,FALSE))</f>
        <v/>
      </c>
      <c r="I629" s="12"/>
      <c r="J629" s="12"/>
      <c r="K629" s="12"/>
      <c r="L629" s="12"/>
    </row>
    <row r="630" spans="1:12" ht="16" x14ac:dyDescent="0.2">
      <c r="A630" s="8"/>
      <c r="B630" s="8"/>
      <c r="C630" s="8" t="str">
        <f t="shared" si="18"/>
        <v/>
      </c>
      <c r="D630" s="8" t="str">
        <f t="shared" si="19"/>
        <v/>
      </c>
      <c r="E630" s="12"/>
      <c r="F630" s="12"/>
      <c r="G630" s="12"/>
      <c r="H630" s="12" t="str">
        <f>IF(A630=0,"",VLOOKUP(B630,Materials!$A$2:$E$1001,6,FALSE))</f>
        <v/>
      </c>
      <c r="I630" s="12"/>
      <c r="J630" s="12"/>
      <c r="K630" s="12"/>
      <c r="L630" s="12"/>
    </row>
    <row r="631" spans="1:12" ht="16" x14ac:dyDescent="0.2">
      <c r="A631" s="8"/>
      <c r="B631" s="8"/>
      <c r="C631" s="8" t="str">
        <f t="shared" si="18"/>
        <v/>
      </c>
      <c r="D631" s="8" t="str">
        <f t="shared" si="19"/>
        <v/>
      </c>
      <c r="E631" s="12"/>
      <c r="F631" s="12"/>
      <c r="G631" s="12"/>
      <c r="H631" s="12" t="str">
        <f>IF(A631=0,"",VLOOKUP(B631,Materials!$A$2:$E$1001,6,FALSE))</f>
        <v/>
      </c>
      <c r="I631" s="12"/>
      <c r="J631" s="12"/>
      <c r="K631" s="12"/>
      <c r="L631" s="12"/>
    </row>
    <row r="632" spans="1:12" ht="16" x14ac:dyDescent="0.2">
      <c r="A632" s="8"/>
      <c r="B632" s="8"/>
      <c r="C632" s="8" t="str">
        <f t="shared" si="18"/>
        <v/>
      </c>
      <c r="D632" s="8" t="str">
        <f t="shared" si="19"/>
        <v/>
      </c>
      <c r="E632" s="12"/>
      <c r="F632" s="12"/>
      <c r="G632" s="12"/>
      <c r="H632" s="12" t="str">
        <f>IF(A632=0,"",VLOOKUP(B632,Materials!$A$2:$E$1001,6,FALSE))</f>
        <v/>
      </c>
      <c r="I632" s="12"/>
      <c r="J632" s="12"/>
      <c r="K632" s="12"/>
      <c r="L632" s="12"/>
    </row>
    <row r="633" spans="1:12" ht="16" x14ac:dyDescent="0.2">
      <c r="A633" s="8"/>
      <c r="B633" s="8"/>
      <c r="C633" s="8" t="str">
        <f t="shared" si="18"/>
        <v/>
      </c>
      <c r="D633" s="8" t="str">
        <f t="shared" si="19"/>
        <v/>
      </c>
      <c r="E633" s="12"/>
      <c r="F633" s="12"/>
      <c r="G633" s="12"/>
      <c r="H633" s="12" t="str">
        <f>IF(A633=0,"",VLOOKUP(B633,Materials!$A$2:$E$1001,6,FALSE))</f>
        <v/>
      </c>
      <c r="I633" s="12"/>
      <c r="J633" s="12"/>
      <c r="K633" s="12"/>
      <c r="L633" s="12"/>
    </row>
    <row r="634" spans="1:12" ht="16" x14ac:dyDescent="0.2">
      <c r="A634" s="8"/>
      <c r="B634" s="8"/>
      <c r="C634" s="8" t="str">
        <f t="shared" si="18"/>
        <v/>
      </c>
      <c r="D634" s="8" t="str">
        <f t="shared" si="19"/>
        <v/>
      </c>
      <c r="E634" s="12"/>
      <c r="F634" s="12"/>
      <c r="G634" s="12"/>
      <c r="H634" s="12" t="str">
        <f>IF(A634=0,"",VLOOKUP(B634,Materials!$A$2:$E$1001,6,FALSE))</f>
        <v/>
      </c>
      <c r="I634" s="12"/>
      <c r="J634" s="12"/>
      <c r="K634" s="12"/>
      <c r="L634" s="12"/>
    </row>
    <row r="635" spans="1:12" ht="16" x14ac:dyDescent="0.2">
      <c r="A635" s="8"/>
      <c r="B635" s="8"/>
      <c r="C635" s="8" t="str">
        <f t="shared" si="18"/>
        <v/>
      </c>
      <c r="D635" s="8" t="str">
        <f t="shared" si="19"/>
        <v/>
      </c>
      <c r="E635" s="12"/>
      <c r="F635" s="12"/>
      <c r="G635" s="12"/>
      <c r="H635" s="12" t="str">
        <f>IF(A635=0,"",VLOOKUP(B635,Materials!$A$2:$E$1001,6,FALSE))</f>
        <v/>
      </c>
      <c r="I635" s="12"/>
      <c r="J635" s="12"/>
      <c r="K635" s="12"/>
      <c r="L635" s="12"/>
    </row>
    <row r="636" spans="1:12" ht="16" x14ac:dyDescent="0.2">
      <c r="A636" s="8"/>
      <c r="B636" s="8"/>
      <c r="C636" s="8" t="str">
        <f t="shared" si="18"/>
        <v/>
      </c>
      <c r="D636" s="8" t="str">
        <f t="shared" si="19"/>
        <v/>
      </c>
      <c r="E636" s="12"/>
      <c r="F636" s="12"/>
      <c r="G636" s="12"/>
      <c r="H636" s="12" t="str">
        <f>IF(A636=0,"",VLOOKUP(B636,Materials!$A$2:$E$1001,6,FALSE))</f>
        <v/>
      </c>
      <c r="I636" s="12"/>
      <c r="J636" s="12"/>
      <c r="K636" s="12"/>
      <c r="L636" s="12"/>
    </row>
    <row r="637" spans="1:12" ht="16" x14ac:dyDescent="0.2">
      <c r="A637" s="8"/>
      <c r="B637" s="8"/>
      <c r="C637" s="8" t="str">
        <f t="shared" si="18"/>
        <v/>
      </c>
      <c r="D637" s="8" t="str">
        <f t="shared" si="19"/>
        <v/>
      </c>
      <c r="E637" s="12"/>
      <c r="F637" s="12"/>
      <c r="G637" s="12"/>
      <c r="H637" s="12" t="str">
        <f>IF(A637=0,"",VLOOKUP(B637,Materials!$A$2:$E$1001,6,FALSE))</f>
        <v/>
      </c>
      <c r="I637" s="12"/>
      <c r="J637" s="12"/>
      <c r="K637" s="12"/>
      <c r="L637" s="12"/>
    </row>
    <row r="638" spans="1:12" ht="16" x14ac:dyDescent="0.2">
      <c r="A638" s="8"/>
      <c r="B638" s="8"/>
      <c r="C638" s="8" t="str">
        <f t="shared" si="18"/>
        <v/>
      </c>
      <c r="D638" s="8" t="str">
        <f t="shared" si="19"/>
        <v/>
      </c>
      <c r="E638" s="12"/>
      <c r="F638" s="12"/>
      <c r="G638" s="12"/>
      <c r="H638" s="12" t="str">
        <f>IF(A638=0,"",VLOOKUP(B638,Materials!$A$2:$E$1001,6,FALSE))</f>
        <v/>
      </c>
      <c r="I638" s="12"/>
      <c r="J638" s="12"/>
      <c r="K638" s="12"/>
      <c r="L638" s="12"/>
    </row>
    <row r="639" spans="1:12" ht="16" x14ac:dyDescent="0.2">
      <c r="A639" s="8"/>
      <c r="B639" s="8"/>
      <c r="C639" s="8" t="str">
        <f t="shared" si="18"/>
        <v/>
      </c>
      <c r="D639" s="8" t="str">
        <f t="shared" si="19"/>
        <v/>
      </c>
      <c r="E639" s="12"/>
      <c r="F639" s="12"/>
      <c r="G639" s="12"/>
      <c r="H639" s="12" t="str">
        <f>IF(A639=0,"",VLOOKUP(B639,Materials!$A$2:$E$1001,6,FALSE))</f>
        <v/>
      </c>
      <c r="I639" s="12"/>
      <c r="J639" s="12"/>
      <c r="K639" s="12"/>
      <c r="L639" s="12"/>
    </row>
    <row r="640" spans="1:12" ht="16" x14ac:dyDescent="0.2">
      <c r="A640" s="8"/>
      <c r="B640" s="8"/>
      <c r="C640" s="8" t="str">
        <f t="shared" si="18"/>
        <v/>
      </c>
      <c r="D640" s="8" t="str">
        <f t="shared" si="19"/>
        <v/>
      </c>
      <c r="E640" s="12"/>
      <c r="F640" s="12"/>
      <c r="G640" s="12"/>
      <c r="H640" s="12" t="str">
        <f>IF(A640=0,"",VLOOKUP(B640,Materials!$A$2:$E$1001,6,FALSE))</f>
        <v/>
      </c>
      <c r="I640" s="12"/>
      <c r="J640" s="12"/>
      <c r="K640" s="12"/>
      <c r="L640" s="12"/>
    </row>
    <row r="641" spans="1:12" ht="16" x14ac:dyDescent="0.2">
      <c r="A641" s="8"/>
      <c r="B641" s="8"/>
      <c r="C641" s="8" t="str">
        <f t="shared" si="18"/>
        <v/>
      </c>
      <c r="D641" s="8" t="str">
        <f t="shared" si="19"/>
        <v/>
      </c>
      <c r="E641" s="12"/>
      <c r="F641" s="12"/>
      <c r="G641" s="12"/>
      <c r="H641" s="12" t="str">
        <f>IF(A641=0,"",VLOOKUP(B641,Materials!$A$2:$E$1001,6,FALSE))</f>
        <v/>
      </c>
      <c r="I641" s="12"/>
      <c r="J641" s="12"/>
      <c r="K641" s="12"/>
      <c r="L641" s="12"/>
    </row>
    <row r="642" spans="1:12" ht="16" x14ac:dyDescent="0.2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2"/>
      <c r="F642" s="12"/>
      <c r="G642" s="12"/>
      <c r="H642" s="12" t="str">
        <f>IF(A642=0,"",VLOOKUP(B642,Materials!$A$2:$E$1001,6,FALSE))</f>
        <v/>
      </c>
      <c r="I642" s="12"/>
      <c r="J642" s="12"/>
      <c r="K642" s="12"/>
      <c r="L642" s="12"/>
    </row>
    <row r="643" spans="1:12" ht="16" x14ac:dyDescent="0.2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2"/>
      <c r="F643" s="12"/>
      <c r="G643" s="12"/>
      <c r="H643" s="12" t="str">
        <f>IF(A643=0,"",VLOOKUP(B643,Materials!$A$2:$E$1001,6,FALSE))</f>
        <v/>
      </c>
      <c r="I643" s="12"/>
      <c r="J643" s="12"/>
      <c r="K643" s="12"/>
      <c r="L643" s="12"/>
    </row>
    <row r="644" spans="1:12" ht="16" x14ac:dyDescent="0.2">
      <c r="A644" s="8"/>
      <c r="B644" s="8"/>
      <c r="C644" s="8" t="str">
        <f t="shared" si="20"/>
        <v/>
      </c>
      <c r="D644" s="8" t="str">
        <f t="shared" si="21"/>
        <v/>
      </c>
      <c r="E644" s="12"/>
      <c r="F644" s="12"/>
      <c r="G644" s="12"/>
      <c r="H644" s="12" t="str">
        <f>IF(A644=0,"",VLOOKUP(B644,Materials!$A$2:$E$1001,6,FALSE))</f>
        <v/>
      </c>
      <c r="I644" s="12"/>
      <c r="J644" s="12"/>
      <c r="K644" s="12"/>
      <c r="L644" s="12"/>
    </row>
    <row r="645" spans="1:12" ht="16" x14ac:dyDescent="0.2">
      <c r="A645" s="8"/>
      <c r="B645" s="8"/>
      <c r="C645" s="8" t="str">
        <f t="shared" si="20"/>
        <v/>
      </c>
      <c r="D645" s="8" t="str">
        <f t="shared" si="21"/>
        <v/>
      </c>
      <c r="E645" s="12"/>
      <c r="F645" s="12"/>
      <c r="G645" s="12"/>
      <c r="H645" s="12" t="str">
        <f>IF(A645=0,"",VLOOKUP(B645,Materials!$A$2:$E$1001,6,FALSE))</f>
        <v/>
      </c>
      <c r="I645" s="12"/>
      <c r="J645" s="12"/>
      <c r="K645" s="12"/>
      <c r="L645" s="12"/>
    </row>
    <row r="646" spans="1:12" ht="16" x14ac:dyDescent="0.2">
      <c r="A646" s="8"/>
      <c r="B646" s="8"/>
      <c r="C646" s="8" t="str">
        <f t="shared" si="20"/>
        <v/>
      </c>
      <c r="D646" s="8" t="str">
        <f t="shared" si="21"/>
        <v/>
      </c>
      <c r="E646" s="12"/>
      <c r="F646" s="12"/>
      <c r="G646" s="12"/>
      <c r="H646" s="12" t="str">
        <f>IF(A646=0,"",VLOOKUP(B646,Materials!$A$2:$E$1001,6,FALSE))</f>
        <v/>
      </c>
      <c r="I646" s="12"/>
      <c r="J646" s="12"/>
      <c r="K646" s="12"/>
      <c r="L646" s="12"/>
    </row>
    <row r="647" spans="1:12" ht="16" x14ac:dyDescent="0.2">
      <c r="A647" s="8"/>
      <c r="B647" s="8"/>
      <c r="C647" s="8" t="str">
        <f t="shared" si="20"/>
        <v/>
      </c>
      <c r="D647" s="8" t="str">
        <f t="shared" si="21"/>
        <v/>
      </c>
      <c r="E647" s="12"/>
      <c r="F647" s="12"/>
      <c r="G647" s="12"/>
      <c r="H647" s="12" t="str">
        <f>IF(A647=0,"",VLOOKUP(B647,Materials!$A$2:$E$1001,6,FALSE))</f>
        <v/>
      </c>
      <c r="I647" s="12"/>
      <c r="J647" s="12"/>
      <c r="K647" s="12"/>
      <c r="L647" s="12"/>
    </row>
    <row r="648" spans="1:12" ht="16" x14ac:dyDescent="0.2">
      <c r="A648" s="8"/>
      <c r="B648" s="8"/>
      <c r="C648" s="8" t="str">
        <f t="shared" si="20"/>
        <v/>
      </c>
      <c r="D648" s="8" t="str">
        <f t="shared" si="21"/>
        <v/>
      </c>
      <c r="E648" s="12"/>
      <c r="F648" s="12"/>
      <c r="G648" s="12"/>
      <c r="H648" s="12" t="str">
        <f>IF(A648=0,"",VLOOKUP(B648,Materials!$A$2:$E$1001,6,FALSE))</f>
        <v/>
      </c>
      <c r="I648" s="12"/>
      <c r="J648" s="12"/>
      <c r="K648" s="12"/>
      <c r="L648" s="12"/>
    </row>
    <row r="649" spans="1:12" ht="16" x14ac:dyDescent="0.2">
      <c r="A649" s="8"/>
      <c r="B649" s="8"/>
      <c r="C649" s="8" t="str">
        <f t="shared" si="20"/>
        <v/>
      </c>
      <c r="D649" s="8" t="str">
        <f t="shared" si="21"/>
        <v/>
      </c>
      <c r="E649" s="12"/>
      <c r="F649" s="12"/>
      <c r="G649" s="12"/>
      <c r="H649" s="12" t="str">
        <f>IF(A649=0,"",VLOOKUP(B649,Materials!$A$2:$E$1001,6,FALSE))</f>
        <v/>
      </c>
      <c r="I649" s="12"/>
      <c r="J649" s="12"/>
      <c r="K649" s="12"/>
      <c r="L649" s="12"/>
    </row>
    <row r="650" spans="1:12" ht="16" x14ac:dyDescent="0.2">
      <c r="A650" s="8"/>
      <c r="B650" s="8"/>
      <c r="C650" s="8" t="str">
        <f t="shared" si="20"/>
        <v/>
      </c>
      <c r="D650" s="8" t="str">
        <f t="shared" si="21"/>
        <v/>
      </c>
      <c r="E650" s="12"/>
      <c r="F650" s="12"/>
      <c r="G650" s="12"/>
      <c r="H650" s="12" t="str">
        <f>IF(A650=0,"",VLOOKUP(B650,Materials!$A$2:$E$1001,6,FALSE))</f>
        <v/>
      </c>
      <c r="I650" s="12"/>
      <c r="J650" s="12"/>
      <c r="K650" s="12"/>
      <c r="L650" s="12"/>
    </row>
    <row r="651" spans="1:12" ht="16" x14ac:dyDescent="0.2">
      <c r="A651" s="8"/>
      <c r="B651" s="8"/>
      <c r="C651" s="8" t="str">
        <f t="shared" si="20"/>
        <v/>
      </c>
      <c r="D651" s="8" t="str">
        <f t="shared" si="21"/>
        <v/>
      </c>
      <c r="E651" s="12"/>
      <c r="F651" s="12"/>
      <c r="G651" s="12"/>
      <c r="H651" s="12" t="str">
        <f>IF(A651=0,"",VLOOKUP(B651,Materials!$A$2:$E$1001,6,FALSE))</f>
        <v/>
      </c>
      <c r="I651" s="12"/>
      <c r="J651" s="12"/>
      <c r="K651" s="12"/>
      <c r="L651" s="12"/>
    </row>
    <row r="652" spans="1:12" ht="16" x14ac:dyDescent="0.2">
      <c r="A652" s="8"/>
      <c r="B652" s="8"/>
      <c r="C652" s="8" t="str">
        <f t="shared" si="20"/>
        <v/>
      </c>
      <c r="D652" s="8" t="str">
        <f t="shared" si="21"/>
        <v/>
      </c>
      <c r="E652" s="12"/>
      <c r="F652" s="12"/>
      <c r="G652" s="12"/>
      <c r="H652" s="12" t="str">
        <f>IF(A652=0,"",VLOOKUP(B652,Materials!$A$2:$E$1001,6,FALSE))</f>
        <v/>
      </c>
      <c r="I652" s="12"/>
      <c r="J652" s="12"/>
      <c r="K652" s="12"/>
      <c r="L652" s="12"/>
    </row>
    <row r="653" spans="1:12" ht="16" x14ac:dyDescent="0.2">
      <c r="A653" s="8"/>
      <c r="B653" s="8"/>
      <c r="C653" s="8" t="str">
        <f t="shared" si="20"/>
        <v/>
      </c>
      <c r="D653" s="8" t="str">
        <f t="shared" si="21"/>
        <v/>
      </c>
      <c r="E653" s="12"/>
      <c r="F653" s="12"/>
      <c r="G653" s="12"/>
      <c r="H653" s="12" t="str">
        <f>IF(A653=0,"",VLOOKUP(B653,Materials!$A$2:$E$1001,6,FALSE))</f>
        <v/>
      </c>
      <c r="I653" s="12"/>
      <c r="J653" s="12"/>
      <c r="K653" s="12"/>
      <c r="L653" s="12"/>
    </row>
    <row r="654" spans="1:12" ht="16" x14ac:dyDescent="0.2">
      <c r="A654" s="8"/>
      <c r="B654" s="8"/>
      <c r="C654" s="8" t="str">
        <f t="shared" si="20"/>
        <v/>
      </c>
      <c r="D654" s="8" t="str">
        <f t="shared" si="21"/>
        <v/>
      </c>
      <c r="E654" s="12"/>
      <c r="F654" s="12"/>
      <c r="G654" s="12"/>
      <c r="H654" s="12" t="str">
        <f>IF(A654=0,"",VLOOKUP(B654,Materials!$A$2:$E$1001,6,FALSE))</f>
        <v/>
      </c>
      <c r="I654" s="12"/>
      <c r="J654" s="12"/>
      <c r="K654" s="12"/>
      <c r="L654" s="12"/>
    </row>
    <row r="655" spans="1:12" ht="16" x14ac:dyDescent="0.2">
      <c r="A655" s="8"/>
      <c r="B655" s="8"/>
      <c r="C655" s="8" t="str">
        <f t="shared" si="20"/>
        <v/>
      </c>
      <c r="D655" s="8" t="str">
        <f t="shared" si="21"/>
        <v/>
      </c>
      <c r="E655" s="12"/>
      <c r="F655" s="12"/>
      <c r="G655" s="12"/>
      <c r="H655" s="12" t="str">
        <f>IF(A655=0,"",VLOOKUP(B655,Materials!$A$2:$E$1001,6,FALSE))</f>
        <v/>
      </c>
      <c r="I655" s="12"/>
      <c r="J655" s="12"/>
      <c r="K655" s="12"/>
      <c r="L655" s="12"/>
    </row>
    <row r="656" spans="1:12" ht="16" x14ac:dyDescent="0.2">
      <c r="A656" s="8"/>
      <c r="B656" s="8"/>
      <c r="C656" s="8" t="str">
        <f t="shared" si="20"/>
        <v/>
      </c>
      <c r="D656" s="8" t="str">
        <f t="shared" si="21"/>
        <v/>
      </c>
      <c r="E656" s="12"/>
      <c r="F656" s="12"/>
      <c r="G656" s="12"/>
      <c r="H656" s="12" t="str">
        <f>IF(A656=0,"",VLOOKUP(B656,Materials!$A$2:$E$1001,6,FALSE))</f>
        <v/>
      </c>
      <c r="I656" s="12"/>
      <c r="J656" s="12"/>
      <c r="K656" s="12"/>
      <c r="L656" s="12"/>
    </row>
    <row r="657" spans="1:12" ht="16" x14ac:dyDescent="0.2">
      <c r="A657" s="8"/>
      <c r="B657" s="8"/>
      <c r="C657" s="8" t="str">
        <f t="shared" si="20"/>
        <v/>
      </c>
      <c r="D657" s="8" t="str">
        <f t="shared" si="21"/>
        <v/>
      </c>
      <c r="E657" s="12"/>
      <c r="F657" s="12"/>
      <c r="G657" s="12"/>
      <c r="H657" s="12" t="str">
        <f>IF(A657=0,"",VLOOKUP(B657,Materials!$A$2:$E$1001,6,FALSE))</f>
        <v/>
      </c>
      <c r="I657" s="12"/>
      <c r="J657" s="12"/>
      <c r="K657" s="12"/>
      <c r="L657" s="12"/>
    </row>
    <row r="658" spans="1:12" ht="16" x14ac:dyDescent="0.2">
      <c r="A658" s="8"/>
      <c r="B658" s="8"/>
      <c r="C658" s="8" t="str">
        <f t="shared" si="20"/>
        <v/>
      </c>
      <c r="D658" s="8" t="str">
        <f t="shared" si="21"/>
        <v/>
      </c>
      <c r="E658" s="12"/>
      <c r="F658" s="12"/>
      <c r="G658" s="12"/>
      <c r="H658" s="12" t="str">
        <f>IF(A658=0,"",VLOOKUP(B658,Materials!$A$2:$E$1001,6,FALSE))</f>
        <v/>
      </c>
      <c r="I658" s="12"/>
      <c r="J658" s="12"/>
      <c r="K658" s="12"/>
      <c r="L658" s="12"/>
    </row>
    <row r="659" spans="1:12" ht="16" x14ac:dyDescent="0.2">
      <c r="A659" s="8"/>
      <c r="B659" s="8"/>
      <c r="C659" s="8" t="str">
        <f t="shared" si="20"/>
        <v/>
      </c>
      <c r="D659" s="8" t="str">
        <f t="shared" si="21"/>
        <v/>
      </c>
      <c r="E659" s="12"/>
      <c r="F659" s="12"/>
      <c r="G659" s="12"/>
      <c r="H659" s="12" t="str">
        <f>IF(A659=0,"",VLOOKUP(B659,Materials!$A$2:$E$1001,6,FALSE))</f>
        <v/>
      </c>
      <c r="I659" s="12"/>
      <c r="J659" s="12"/>
      <c r="K659" s="12"/>
      <c r="L659" s="12"/>
    </row>
    <row r="660" spans="1:12" ht="16" x14ac:dyDescent="0.2">
      <c r="A660" s="8"/>
      <c r="B660" s="8"/>
      <c r="C660" s="8" t="str">
        <f t="shared" si="20"/>
        <v/>
      </c>
      <c r="D660" s="8" t="str">
        <f t="shared" si="21"/>
        <v/>
      </c>
      <c r="E660" s="12"/>
      <c r="F660" s="12"/>
      <c r="G660" s="12"/>
      <c r="H660" s="12" t="str">
        <f>IF(A660=0,"",VLOOKUP(B660,Materials!$A$2:$E$1001,6,FALSE))</f>
        <v/>
      </c>
      <c r="I660" s="12"/>
      <c r="J660" s="12"/>
      <c r="K660" s="12"/>
      <c r="L660" s="12"/>
    </row>
    <row r="661" spans="1:12" ht="16" x14ac:dyDescent="0.2">
      <c r="A661" s="8"/>
      <c r="B661" s="8"/>
      <c r="C661" s="8" t="str">
        <f t="shared" si="20"/>
        <v/>
      </c>
      <c r="D661" s="8" t="str">
        <f t="shared" si="21"/>
        <v/>
      </c>
      <c r="E661" s="12"/>
      <c r="F661" s="12"/>
      <c r="G661" s="12"/>
      <c r="H661" s="12" t="str">
        <f>IF(A661=0,"",VLOOKUP(B661,Materials!$A$2:$E$1001,6,FALSE))</f>
        <v/>
      </c>
      <c r="I661" s="12"/>
      <c r="J661" s="12"/>
      <c r="K661" s="12"/>
      <c r="L661" s="12"/>
    </row>
    <row r="662" spans="1:12" ht="16" x14ac:dyDescent="0.2">
      <c r="A662" s="8"/>
      <c r="B662" s="8"/>
      <c r="C662" s="8" t="str">
        <f t="shared" si="20"/>
        <v/>
      </c>
      <c r="D662" s="8" t="str">
        <f t="shared" si="21"/>
        <v/>
      </c>
      <c r="E662" s="12"/>
      <c r="F662" s="12"/>
      <c r="G662" s="12"/>
      <c r="H662" s="12" t="str">
        <f>IF(A662=0,"",VLOOKUP(B662,Materials!$A$2:$E$1001,6,FALSE))</f>
        <v/>
      </c>
      <c r="I662" s="12"/>
      <c r="J662" s="12"/>
      <c r="K662" s="12"/>
      <c r="L662" s="12"/>
    </row>
    <row r="663" spans="1:12" ht="16" x14ac:dyDescent="0.2">
      <c r="A663" s="8"/>
      <c r="B663" s="8"/>
      <c r="C663" s="8" t="str">
        <f t="shared" si="20"/>
        <v/>
      </c>
      <c r="D663" s="8" t="str">
        <f t="shared" si="21"/>
        <v/>
      </c>
      <c r="E663" s="12"/>
      <c r="F663" s="12"/>
      <c r="G663" s="12"/>
      <c r="H663" s="12" t="str">
        <f>IF(A663=0,"",VLOOKUP(B663,Materials!$A$2:$E$1001,6,FALSE))</f>
        <v/>
      </c>
      <c r="I663" s="12"/>
      <c r="J663" s="12"/>
      <c r="K663" s="12"/>
      <c r="L663" s="12"/>
    </row>
    <row r="664" spans="1:12" ht="16" x14ac:dyDescent="0.2">
      <c r="A664" s="8"/>
      <c r="B664" s="8"/>
      <c r="C664" s="8" t="str">
        <f t="shared" si="20"/>
        <v/>
      </c>
      <c r="D664" s="8" t="str">
        <f t="shared" si="21"/>
        <v/>
      </c>
      <c r="E664" s="12"/>
      <c r="F664" s="12"/>
      <c r="G664" s="12"/>
      <c r="H664" s="12" t="str">
        <f>IF(A664=0,"",VLOOKUP(B664,Materials!$A$2:$E$1001,6,FALSE))</f>
        <v/>
      </c>
      <c r="I664" s="12"/>
      <c r="J664" s="12"/>
      <c r="K664" s="12"/>
      <c r="L664" s="12"/>
    </row>
    <row r="665" spans="1:12" ht="16" x14ac:dyDescent="0.2">
      <c r="A665" s="8"/>
      <c r="B665" s="8"/>
      <c r="C665" s="8" t="str">
        <f t="shared" si="20"/>
        <v/>
      </c>
      <c r="D665" s="8" t="str">
        <f t="shared" si="21"/>
        <v/>
      </c>
      <c r="E665" s="12"/>
      <c r="F665" s="12"/>
      <c r="G665" s="12"/>
      <c r="H665" s="12" t="str">
        <f>IF(A665=0,"",VLOOKUP(B665,Materials!$A$2:$E$1001,6,FALSE))</f>
        <v/>
      </c>
      <c r="I665" s="12"/>
      <c r="J665" s="12"/>
      <c r="K665" s="12"/>
      <c r="L665" s="12"/>
    </row>
    <row r="666" spans="1:12" ht="16" x14ac:dyDescent="0.2">
      <c r="A666" s="8"/>
      <c r="B666" s="8"/>
      <c r="C666" s="8" t="str">
        <f t="shared" si="20"/>
        <v/>
      </c>
      <c r="D666" s="8" t="str">
        <f t="shared" si="21"/>
        <v/>
      </c>
      <c r="E666" s="12"/>
      <c r="F666" s="12"/>
      <c r="G666" s="12"/>
      <c r="H666" s="12" t="str">
        <f>IF(A666=0,"",VLOOKUP(B666,Materials!$A$2:$E$1001,6,FALSE))</f>
        <v/>
      </c>
      <c r="I666" s="12"/>
      <c r="J666" s="12"/>
      <c r="K666" s="12"/>
      <c r="L666" s="12"/>
    </row>
    <row r="667" spans="1:12" ht="16" x14ac:dyDescent="0.2">
      <c r="A667" s="8"/>
      <c r="B667" s="8"/>
      <c r="C667" s="8" t="str">
        <f t="shared" si="20"/>
        <v/>
      </c>
      <c r="D667" s="8" t="str">
        <f t="shared" si="21"/>
        <v/>
      </c>
      <c r="E667" s="12"/>
      <c r="F667" s="12"/>
      <c r="G667" s="12"/>
      <c r="H667" s="12" t="str">
        <f>IF(A667=0,"",VLOOKUP(B667,Materials!$A$2:$E$1001,6,FALSE))</f>
        <v/>
      </c>
      <c r="I667" s="12"/>
      <c r="J667" s="12"/>
      <c r="K667" s="12"/>
      <c r="L667" s="12"/>
    </row>
    <row r="668" spans="1:12" ht="16" x14ac:dyDescent="0.2">
      <c r="A668" s="8"/>
      <c r="B668" s="8"/>
      <c r="C668" s="8" t="str">
        <f t="shared" si="20"/>
        <v/>
      </c>
      <c r="D668" s="8" t="str">
        <f t="shared" si="21"/>
        <v/>
      </c>
      <c r="E668" s="12"/>
      <c r="F668" s="12"/>
      <c r="G668" s="12"/>
      <c r="H668" s="12" t="str">
        <f>IF(A668=0,"",VLOOKUP(B668,Materials!$A$2:$E$1001,6,FALSE))</f>
        <v/>
      </c>
      <c r="I668" s="12"/>
      <c r="J668" s="12"/>
      <c r="K668" s="12"/>
      <c r="L668" s="12"/>
    </row>
    <row r="669" spans="1:12" ht="16" x14ac:dyDescent="0.2">
      <c r="A669" s="8"/>
      <c r="B669" s="8"/>
      <c r="C669" s="8" t="str">
        <f t="shared" si="20"/>
        <v/>
      </c>
      <c r="D669" s="8" t="str">
        <f t="shared" si="21"/>
        <v/>
      </c>
      <c r="E669" s="12"/>
      <c r="F669" s="12"/>
      <c r="G669" s="12"/>
      <c r="H669" s="12" t="str">
        <f>IF(A669=0,"",VLOOKUP(B669,Materials!$A$2:$E$1001,6,FALSE))</f>
        <v/>
      </c>
      <c r="I669" s="12"/>
      <c r="J669" s="12"/>
      <c r="K669" s="12"/>
      <c r="L669" s="12"/>
    </row>
    <row r="670" spans="1:12" ht="16" x14ac:dyDescent="0.2">
      <c r="A670" s="8"/>
      <c r="B670" s="8"/>
      <c r="C670" s="8" t="str">
        <f t="shared" si="20"/>
        <v/>
      </c>
      <c r="D670" s="8" t="str">
        <f t="shared" si="21"/>
        <v/>
      </c>
      <c r="E670" s="12"/>
      <c r="F670" s="12"/>
      <c r="G670" s="12"/>
      <c r="H670" s="12" t="str">
        <f>IF(A670=0,"",VLOOKUP(B670,Materials!$A$2:$E$1001,6,FALSE))</f>
        <v/>
      </c>
      <c r="I670" s="12"/>
      <c r="J670" s="12"/>
      <c r="K670" s="12"/>
      <c r="L670" s="12"/>
    </row>
    <row r="671" spans="1:12" ht="16" x14ac:dyDescent="0.2">
      <c r="A671" s="8"/>
      <c r="B671" s="8"/>
      <c r="C671" s="8" t="str">
        <f t="shared" si="20"/>
        <v/>
      </c>
      <c r="D671" s="8" t="str">
        <f t="shared" si="21"/>
        <v/>
      </c>
      <c r="E671" s="12"/>
      <c r="F671" s="12"/>
      <c r="G671" s="12"/>
      <c r="H671" s="12" t="str">
        <f>IF(A671=0,"",VLOOKUP(B671,Materials!$A$2:$E$1001,6,FALSE))</f>
        <v/>
      </c>
      <c r="I671" s="12"/>
      <c r="J671" s="12"/>
      <c r="K671" s="12"/>
      <c r="L671" s="12"/>
    </row>
    <row r="672" spans="1:12" ht="16" x14ac:dyDescent="0.2">
      <c r="A672" s="8"/>
      <c r="B672" s="8"/>
      <c r="C672" s="8" t="str">
        <f t="shared" si="20"/>
        <v/>
      </c>
      <c r="D672" s="8" t="str">
        <f t="shared" si="21"/>
        <v/>
      </c>
      <c r="E672" s="12"/>
      <c r="F672" s="12"/>
      <c r="G672" s="12"/>
      <c r="H672" s="12" t="str">
        <f>IF(A672=0,"",VLOOKUP(B672,Materials!$A$2:$E$1001,6,FALSE))</f>
        <v/>
      </c>
      <c r="I672" s="12"/>
      <c r="J672" s="12"/>
      <c r="K672" s="12"/>
      <c r="L672" s="12"/>
    </row>
    <row r="673" spans="1:12" ht="16" x14ac:dyDescent="0.2">
      <c r="A673" s="8"/>
      <c r="B673" s="8"/>
      <c r="C673" s="8" t="str">
        <f t="shared" si="20"/>
        <v/>
      </c>
      <c r="D673" s="8" t="str">
        <f t="shared" si="21"/>
        <v/>
      </c>
      <c r="E673" s="12"/>
      <c r="F673" s="12"/>
      <c r="G673" s="12"/>
      <c r="H673" s="12" t="str">
        <f>IF(A673=0,"",VLOOKUP(B673,Materials!$A$2:$E$1001,6,FALSE))</f>
        <v/>
      </c>
      <c r="I673" s="12"/>
      <c r="J673" s="12"/>
      <c r="K673" s="12"/>
      <c r="L673" s="12"/>
    </row>
    <row r="674" spans="1:12" ht="16" x14ac:dyDescent="0.2">
      <c r="A674" s="8"/>
      <c r="B674" s="8"/>
      <c r="C674" s="8" t="str">
        <f t="shared" si="20"/>
        <v/>
      </c>
      <c r="D674" s="8" t="str">
        <f t="shared" si="21"/>
        <v/>
      </c>
      <c r="E674" s="12"/>
      <c r="F674" s="12"/>
      <c r="G674" s="12"/>
      <c r="H674" s="12" t="str">
        <f>IF(A674=0,"",VLOOKUP(B674,Materials!$A$2:$E$1001,6,FALSE))</f>
        <v/>
      </c>
      <c r="I674" s="12"/>
      <c r="J674" s="12"/>
      <c r="K674" s="12"/>
      <c r="L674" s="12"/>
    </row>
    <row r="675" spans="1:12" ht="16" x14ac:dyDescent="0.2">
      <c r="A675" s="8"/>
      <c r="B675" s="8"/>
      <c r="C675" s="8" t="str">
        <f t="shared" si="20"/>
        <v/>
      </c>
      <c r="D675" s="8" t="str">
        <f t="shared" si="21"/>
        <v/>
      </c>
      <c r="E675" s="12"/>
      <c r="F675" s="12"/>
      <c r="G675" s="12"/>
      <c r="H675" s="12" t="str">
        <f>IF(A675=0,"",VLOOKUP(B675,Materials!$A$2:$E$1001,6,FALSE))</f>
        <v/>
      </c>
      <c r="I675" s="12"/>
      <c r="J675" s="12"/>
      <c r="K675" s="12"/>
      <c r="L675" s="12"/>
    </row>
    <row r="676" spans="1:12" ht="16" x14ac:dyDescent="0.2">
      <c r="A676" s="8"/>
      <c r="B676" s="8"/>
      <c r="C676" s="8" t="str">
        <f t="shared" si="20"/>
        <v/>
      </c>
      <c r="D676" s="8" t="str">
        <f t="shared" si="21"/>
        <v/>
      </c>
      <c r="E676" s="12"/>
      <c r="F676" s="12"/>
      <c r="G676" s="12"/>
      <c r="H676" s="12" t="str">
        <f>IF(A676=0,"",VLOOKUP(B676,Materials!$A$2:$E$1001,6,FALSE))</f>
        <v/>
      </c>
      <c r="I676" s="12"/>
      <c r="J676" s="12"/>
      <c r="K676" s="12"/>
      <c r="L676" s="12"/>
    </row>
    <row r="677" spans="1:12" ht="16" x14ac:dyDescent="0.2">
      <c r="A677" s="8"/>
      <c r="B677" s="8"/>
      <c r="C677" s="8" t="str">
        <f t="shared" si="20"/>
        <v/>
      </c>
      <c r="D677" s="8" t="str">
        <f t="shared" si="21"/>
        <v/>
      </c>
      <c r="E677" s="12"/>
      <c r="F677" s="12"/>
      <c r="G677" s="12"/>
      <c r="H677" s="12" t="str">
        <f>IF(A677=0,"",VLOOKUP(B677,Materials!$A$2:$E$1001,6,FALSE))</f>
        <v/>
      </c>
      <c r="I677" s="12"/>
      <c r="J677" s="12"/>
      <c r="K677" s="12"/>
      <c r="L677" s="12"/>
    </row>
    <row r="678" spans="1:12" ht="16" x14ac:dyDescent="0.2">
      <c r="A678" s="8"/>
      <c r="B678" s="8"/>
      <c r="C678" s="8" t="str">
        <f t="shared" si="20"/>
        <v/>
      </c>
      <c r="D678" s="8" t="str">
        <f t="shared" si="21"/>
        <v/>
      </c>
      <c r="E678" s="12"/>
      <c r="F678" s="12"/>
      <c r="G678" s="12"/>
      <c r="H678" s="12" t="str">
        <f>IF(A678=0,"",VLOOKUP(B678,Materials!$A$2:$E$1001,6,FALSE))</f>
        <v/>
      </c>
      <c r="I678" s="12"/>
      <c r="J678" s="12"/>
      <c r="K678" s="12"/>
      <c r="L678" s="12"/>
    </row>
    <row r="679" spans="1:12" ht="16" x14ac:dyDescent="0.2">
      <c r="A679" s="8"/>
      <c r="B679" s="8"/>
      <c r="C679" s="8" t="str">
        <f t="shared" si="20"/>
        <v/>
      </c>
      <c r="D679" s="8" t="str">
        <f t="shared" si="21"/>
        <v/>
      </c>
      <c r="E679" s="12"/>
      <c r="F679" s="12"/>
      <c r="G679" s="12"/>
      <c r="H679" s="12" t="str">
        <f>IF(A679=0,"",VLOOKUP(B679,Materials!$A$2:$E$1001,6,FALSE))</f>
        <v/>
      </c>
      <c r="I679" s="12"/>
      <c r="J679" s="12"/>
      <c r="K679" s="12"/>
      <c r="L679" s="12"/>
    </row>
    <row r="680" spans="1:12" ht="16" x14ac:dyDescent="0.2">
      <c r="A680" s="8"/>
      <c r="B680" s="8"/>
      <c r="C680" s="8" t="str">
        <f t="shared" si="20"/>
        <v/>
      </c>
      <c r="D680" s="8" t="str">
        <f t="shared" si="21"/>
        <v/>
      </c>
      <c r="E680" s="12"/>
      <c r="F680" s="12"/>
      <c r="G680" s="12"/>
      <c r="H680" s="12" t="str">
        <f>IF(A680=0,"",VLOOKUP(B680,Materials!$A$2:$E$1001,6,FALSE))</f>
        <v/>
      </c>
      <c r="I680" s="12"/>
      <c r="J680" s="12"/>
      <c r="K680" s="12"/>
      <c r="L680" s="12"/>
    </row>
    <row r="681" spans="1:12" ht="16" x14ac:dyDescent="0.2">
      <c r="A681" s="8"/>
      <c r="B681" s="8"/>
      <c r="C681" s="8" t="str">
        <f t="shared" si="20"/>
        <v/>
      </c>
      <c r="D681" s="8" t="str">
        <f t="shared" si="21"/>
        <v/>
      </c>
      <c r="E681" s="12"/>
      <c r="F681" s="12"/>
      <c r="G681" s="12"/>
      <c r="H681" s="12" t="str">
        <f>IF(A681=0,"",VLOOKUP(B681,Materials!$A$2:$E$1001,6,FALSE))</f>
        <v/>
      </c>
      <c r="I681" s="12"/>
      <c r="J681" s="12"/>
      <c r="K681" s="12"/>
      <c r="L681" s="12"/>
    </row>
    <row r="682" spans="1:12" ht="16" x14ac:dyDescent="0.2">
      <c r="A682" s="8"/>
      <c r="B682" s="8"/>
      <c r="C682" s="8" t="str">
        <f t="shared" si="20"/>
        <v/>
      </c>
      <c r="D682" s="8" t="str">
        <f t="shared" si="21"/>
        <v/>
      </c>
      <c r="E682" s="12"/>
      <c r="F682" s="12"/>
      <c r="G682" s="12"/>
      <c r="H682" s="12" t="str">
        <f>IF(A682=0,"",VLOOKUP(B682,Materials!$A$2:$E$1001,6,FALSE))</f>
        <v/>
      </c>
      <c r="I682" s="12"/>
      <c r="J682" s="12"/>
      <c r="K682" s="12"/>
      <c r="L682" s="12"/>
    </row>
    <row r="683" spans="1:12" ht="16" x14ac:dyDescent="0.2">
      <c r="A683" s="8"/>
      <c r="B683" s="8"/>
      <c r="C683" s="8" t="str">
        <f t="shared" si="20"/>
        <v/>
      </c>
      <c r="D683" s="8" t="str">
        <f t="shared" si="21"/>
        <v/>
      </c>
      <c r="E683" s="12"/>
      <c r="F683" s="12"/>
      <c r="G683" s="12"/>
      <c r="H683" s="12" t="str">
        <f>IF(A683=0,"",VLOOKUP(B683,Materials!$A$2:$E$1001,6,FALSE))</f>
        <v/>
      </c>
      <c r="I683" s="12"/>
      <c r="J683" s="12"/>
      <c r="K683" s="12"/>
      <c r="L683" s="12"/>
    </row>
    <row r="684" spans="1:12" ht="16" x14ac:dyDescent="0.2">
      <c r="A684" s="8"/>
      <c r="B684" s="8"/>
      <c r="C684" s="8" t="str">
        <f t="shared" si="20"/>
        <v/>
      </c>
      <c r="D684" s="8" t="str">
        <f t="shared" si="21"/>
        <v/>
      </c>
      <c r="E684" s="12"/>
      <c r="F684" s="12"/>
      <c r="G684" s="12"/>
      <c r="H684" s="12" t="str">
        <f>IF(A684=0,"",VLOOKUP(B684,Materials!$A$2:$E$1001,6,FALSE))</f>
        <v/>
      </c>
      <c r="I684" s="12"/>
      <c r="J684" s="12"/>
      <c r="K684" s="12"/>
      <c r="L684" s="12"/>
    </row>
    <row r="685" spans="1:12" ht="16" x14ac:dyDescent="0.2">
      <c r="A685" s="8"/>
      <c r="B685" s="8"/>
      <c r="C685" s="8" t="str">
        <f t="shared" si="20"/>
        <v/>
      </c>
      <c r="D685" s="8" t="str">
        <f t="shared" si="21"/>
        <v/>
      </c>
      <c r="E685" s="12"/>
      <c r="F685" s="12"/>
      <c r="G685" s="12"/>
      <c r="H685" s="12" t="str">
        <f>IF(A685=0,"",VLOOKUP(B685,Materials!$A$2:$E$1001,6,FALSE))</f>
        <v/>
      </c>
      <c r="I685" s="12"/>
      <c r="J685" s="12"/>
      <c r="K685" s="12"/>
      <c r="L685" s="12"/>
    </row>
    <row r="686" spans="1:12" ht="16" x14ac:dyDescent="0.2">
      <c r="A686" s="8"/>
      <c r="B686" s="8"/>
      <c r="C686" s="8" t="str">
        <f t="shared" si="20"/>
        <v/>
      </c>
      <c r="D686" s="8" t="str">
        <f t="shared" si="21"/>
        <v/>
      </c>
      <c r="E686" s="12"/>
      <c r="F686" s="12"/>
      <c r="G686" s="12"/>
      <c r="H686" s="12" t="str">
        <f>IF(A686=0,"",VLOOKUP(B686,Materials!$A$2:$E$1001,6,FALSE))</f>
        <v/>
      </c>
      <c r="I686" s="12"/>
      <c r="J686" s="12"/>
      <c r="K686" s="12"/>
      <c r="L686" s="12"/>
    </row>
    <row r="687" spans="1:12" ht="16" x14ac:dyDescent="0.2">
      <c r="A687" s="8"/>
      <c r="B687" s="8"/>
      <c r="C687" s="8" t="str">
        <f t="shared" si="20"/>
        <v/>
      </c>
      <c r="D687" s="8" t="str">
        <f t="shared" si="21"/>
        <v/>
      </c>
      <c r="E687" s="12"/>
      <c r="F687" s="12"/>
      <c r="G687" s="12"/>
      <c r="H687" s="12" t="str">
        <f>IF(A687=0,"",VLOOKUP(B687,Materials!$A$2:$E$1001,6,FALSE))</f>
        <v/>
      </c>
      <c r="I687" s="12"/>
      <c r="J687" s="12"/>
      <c r="K687" s="12"/>
      <c r="L687" s="12"/>
    </row>
    <row r="688" spans="1:12" ht="16" x14ac:dyDescent="0.2">
      <c r="A688" s="8"/>
      <c r="B688" s="8"/>
      <c r="C688" s="8" t="str">
        <f t="shared" si="20"/>
        <v/>
      </c>
      <c r="D688" s="8" t="str">
        <f t="shared" si="21"/>
        <v/>
      </c>
      <c r="E688" s="12"/>
      <c r="F688" s="12"/>
      <c r="G688" s="12"/>
      <c r="H688" s="12" t="str">
        <f>IF(A688=0,"",VLOOKUP(B688,Materials!$A$2:$E$1001,6,FALSE))</f>
        <v/>
      </c>
      <c r="I688" s="12"/>
      <c r="J688" s="12"/>
      <c r="K688" s="12"/>
      <c r="L688" s="12"/>
    </row>
    <row r="689" spans="1:12" ht="16" x14ac:dyDescent="0.2">
      <c r="A689" s="8"/>
      <c r="B689" s="8"/>
      <c r="C689" s="8" t="str">
        <f t="shared" si="20"/>
        <v/>
      </c>
      <c r="D689" s="8" t="str">
        <f t="shared" si="21"/>
        <v/>
      </c>
      <c r="E689" s="12"/>
      <c r="F689" s="12"/>
      <c r="G689" s="12"/>
      <c r="H689" s="12" t="str">
        <f>IF(A689=0,"",VLOOKUP(B689,Materials!$A$2:$E$1001,6,FALSE))</f>
        <v/>
      </c>
      <c r="I689" s="12"/>
      <c r="J689" s="12"/>
      <c r="K689" s="12"/>
      <c r="L689" s="12"/>
    </row>
    <row r="690" spans="1:12" ht="16" x14ac:dyDescent="0.2">
      <c r="A690" s="8"/>
      <c r="B690" s="8"/>
      <c r="C690" s="8" t="str">
        <f t="shared" si="20"/>
        <v/>
      </c>
      <c r="D690" s="8" t="str">
        <f t="shared" si="21"/>
        <v/>
      </c>
      <c r="E690" s="12"/>
      <c r="F690" s="12"/>
      <c r="G690" s="12"/>
      <c r="H690" s="12" t="str">
        <f>IF(A690=0,"",VLOOKUP(B690,Materials!$A$2:$E$1001,6,FALSE))</f>
        <v/>
      </c>
      <c r="I690" s="12"/>
      <c r="J690" s="12"/>
      <c r="K690" s="12"/>
      <c r="L690" s="12"/>
    </row>
    <row r="691" spans="1:12" ht="16" x14ac:dyDescent="0.2">
      <c r="A691" s="8"/>
      <c r="B691" s="8"/>
      <c r="C691" s="8" t="str">
        <f t="shared" si="20"/>
        <v/>
      </c>
      <c r="D691" s="8" t="str">
        <f t="shared" si="21"/>
        <v/>
      </c>
      <c r="E691" s="12"/>
      <c r="F691" s="12"/>
      <c r="G691" s="12"/>
      <c r="H691" s="12" t="str">
        <f>IF(A691=0,"",VLOOKUP(B691,Materials!$A$2:$E$1001,6,FALSE))</f>
        <v/>
      </c>
      <c r="I691" s="12"/>
      <c r="J691" s="12"/>
      <c r="K691" s="12"/>
      <c r="L691" s="12"/>
    </row>
    <row r="692" spans="1:12" ht="16" x14ac:dyDescent="0.2">
      <c r="A692" s="8"/>
      <c r="B692" s="8"/>
      <c r="C692" s="8" t="str">
        <f t="shared" si="20"/>
        <v/>
      </c>
      <c r="D692" s="8" t="str">
        <f t="shared" si="21"/>
        <v/>
      </c>
      <c r="E692" s="12"/>
      <c r="F692" s="12"/>
      <c r="G692" s="12"/>
      <c r="H692" s="12" t="str">
        <f>IF(A692=0,"",VLOOKUP(B692,Materials!$A$2:$E$1001,6,FALSE))</f>
        <v/>
      </c>
      <c r="I692" s="12"/>
      <c r="J692" s="12"/>
      <c r="K692" s="12"/>
      <c r="L692" s="12"/>
    </row>
    <row r="693" spans="1:12" ht="16" x14ac:dyDescent="0.2">
      <c r="A693" s="8"/>
      <c r="B693" s="8"/>
      <c r="C693" s="8" t="str">
        <f t="shared" si="20"/>
        <v/>
      </c>
      <c r="D693" s="8" t="str">
        <f t="shared" si="21"/>
        <v/>
      </c>
      <c r="E693" s="12"/>
      <c r="F693" s="12"/>
      <c r="G693" s="12"/>
      <c r="H693" s="12" t="str">
        <f>IF(A693=0,"",VLOOKUP(B693,Materials!$A$2:$E$1001,6,FALSE))</f>
        <v/>
      </c>
      <c r="I693" s="12"/>
      <c r="J693" s="12"/>
      <c r="K693" s="12"/>
      <c r="L693" s="12"/>
    </row>
    <row r="694" spans="1:12" ht="16" x14ac:dyDescent="0.2">
      <c r="A694" s="8"/>
      <c r="B694" s="8"/>
      <c r="C694" s="8" t="str">
        <f t="shared" si="20"/>
        <v/>
      </c>
      <c r="D694" s="8" t="str">
        <f t="shared" si="21"/>
        <v/>
      </c>
      <c r="E694" s="12"/>
      <c r="F694" s="12"/>
      <c r="G694" s="12"/>
      <c r="H694" s="12" t="str">
        <f>IF(A694=0,"",VLOOKUP(B694,Materials!$A$2:$E$1001,6,FALSE))</f>
        <v/>
      </c>
      <c r="I694" s="12"/>
      <c r="J694" s="12"/>
      <c r="K694" s="12"/>
      <c r="L694" s="12"/>
    </row>
    <row r="695" spans="1:12" ht="16" x14ac:dyDescent="0.2">
      <c r="A695" s="8"/>
      <c r="B695" s="8"/>
      <c r="C695" s="8" t="str">
        <f t="shared" si="20"/>
        <v/>
      </c>
      <c r="D695" s="8" t="str">
        <f t="shared" si="21"/>
        <v/>
      </c>
      <c r="E695" s="12"/>
      <c r="F695" s="12"/>
      <c r="G695" s="12"/>
      <c r="H695" s="12" t="str">
        <f>IF(A695=0,"",VLOOKUP(B695,Materials!$A$2:$E$1001,6,FALSE))</f>
        <v/>
      </c>
      <c r="I695" s="12"/>
      <c r="J695" s="12"/>
      <c r="K695" s="12"/>
      <c r="L695" s="12"/>
    </row>
    <row r="696" spans="1:12" ht="16" x14ac:dyDescent="0.2">
      <c r="A696" s="8"/>
      <c r="B696" s="8"/>
      <c r="C696" s="8" t="str">
        <f t="shared" si="20"/>
        <v/>
      </c>
      <c r="D696" s="8" t="str">
        <f t="shared" si="21"/>
        <v/>
      </c>
      <c r="E696" s="12"/>
      <c r="F696" s="12"/>
      <c r="G696" s="12"/>
      <c r="H696" s="12" t="str">
        <f>IF(A696=0,"",VLOOKUP(B696,Materials!$A$2:$E$1001,6,FALSE))</f>
        <v/>
      </c>
      <c r="I696" s="12"/>
      <c r="J696" s="12"/>
      <c r="K696" s="12"/>
      <c r="L696" s="12"/>
    </row>
    <row r="697" spans="1:12" ht="16" x14ac:dyDescent="0.2">
      <c r="A697" s="8"/>
      <c r="B697" s="8"/>
      <c r="C697" s="8" t="str">
        <f t="shared" si="20"/>
        <v/>
      </c>
      <c r="D697" s="8" t="str">
        <f t="shared" si="21"/>
        <v/>
      </c>
      <c r="E697" s="12"/>
      <c r="F697" s="12"/>
      <c r="G697" s="12"/>
      <c r="H697" s="12" t="str">
        <f>IF(A697=0,"",VLOOKUP(B697,Materials!$A$2:$E$1001,6,FALSE))</f>
        <v/>
      </c>
      <c r="I697" s="12"/>
      <c r="J697" s="12"/>
      <c r="K697" s="12"/>
      <c r="L697" s="12"/>
    </row>
    <row r="698" spans="1:12" ht="16" x14ac:dyDescent="0.2">
      <c r="A698" s="8"/>
      <c r="B698" s="8"/>
      <c r="C698" s="8" t="str">
        <f t="shared" si="20"/>
        <v/>
      </c>
      <c r="D698" s="8" t="str">
        <f t="shared" si="21"/>
        <v/>
      </c>
      <c r="E698" s="12"/>
      <c r="F698" s="12"/>
      <c r="G698" s="12"/>
      <c r="H698" s="12" t="str">
        <f>IF(A698=0,"",VLOOKUP(B698,Materials!$A$2:$E$1001,6,FALSE))</f>
        <v/>
      </c>
      <c r="I698" s="12"/>
      <c r="J698" s="12"/>
      <c r="K698" s="12"/>
      <c r="L698" s="12"/>
    </row>
    <row r="699" spans="1:12" ht="16" x14ac:dyDescent="0.2">
      <c r="A699" s="8"/>
      <c r="B699" s="8"/>
      <c r="C699" s="8" t="str">
        <f t="shared" si="20"/>
        <v/>
      </c>
      <c r="D699" s="8" t="str">
        <f t="shared" si="21"/>
        <v/>
      </c>
      <c r="E699" s="12"/>
      <c r="F699" s="12"/>
      <c r="G699" s="12"/>
      <c r="H699" s="12" t="str">
        <f>IF(A699=0,"",VLOOKUP(B699,Materials!$A$2:$E$1001,6,FALSE))</f>
        <v/>
      </c>
      <c r="I699" s="12"/>
      <c r="J699" s="12"/>
      <c r="K699" s="12"/>
      <c r="L699" s="12"/>
    </row>
    <row r="700" spans="1:12" ht="16" x14ac:dyDescent="0.2">
      <c r="A700" s="8"/>
      <c r="B700" s="8"/>
      <c r="C700" s="8" t="str">
        <f t="shared" si="20"/>
        <v/>
      </c>
      <c r="D700" s="8" t="str">
        <f t="shared" si="21"/>
        <v/>
      </c>
      <c r="E700" s="12"/>
      <c r="F700" s="12"/>
      <c r="G700" s="12"/>
      <c r="H700" s="12" t="str">
        <f>IF(A700=0,"",VLOOKUP(B700,Materials!$A$2:$E$1001,6,FALSE))</f>
        <v/>
      </c>
      <c r="I700" s="12"/>
      <c r="J700" s="12"/>
      <c r="K700" s="12"/>
      <c r="L700" s="12"/>
    </row>
    <row r="701" spans="1:12" ht="16" x14ac:dyDescent="0.2">
      <c r="A701" s="8"/>
      <c r="B701" s="8"/>
      <c r="C701" s="8" t="str">
        <f t="shared" si="20"/>
        <v/>
      </c>
      <c r="D701" s="8" t="str">
        <f t="shared" si="21"/>
        <v/>
      </c>
      <c r="E701" s="12"/>
      <c r="F701" s="12"/>
      <c r="G701" s="12"/>
      <c r="H701" s="12" t="str">
        <f>IF(A701=0,"",VLOOKUP(B701,Materials!$A$2:$E$1001,6,FALSE))</f>
        <v/>
      </c>
      <c r="I701" s="12"/>
      <c r="J701" s="12"/>
      <c r="K701" s="12"/>
      <c r="L701" s="12"/>
    </row>
    <row r="702" spans="1:12" ht="16" x14ac:dyDescent="0.2">
      <c r="A702" s="8"/>
      <c r="B702" s="8"/>
      <c r="C702" s="8" t="str">
        <f t="shared" si="20"/>
        <v/>
      </c>
      <c r="D702" s="8" t="str">
        <f t="shared" si="21"/>
        <v/>
      </c>
      <c r="E702" s="12"/>
      <c r="F702" s="12"/>
      <c r="G702" s="12"/>
      <c r="H702" s="12" t="str">
        <f>IF(A702=0,"",VLOOKUP(B702,Materials!$A$2:$E$1001,6,FALSE))</f>
        <v/>
      </c>
      <c r="I702" s="12"/>
      <c r="J702" s="12"/>
      <c r="K702" s="12"/>
      <c r="L702" s="12"/>
    </row>
    <row r="703" spans="1:12" ht="16" x14ac:dyDescent="0.2">
      <c r="A703" s="8"/>
      <c r="B703" s="8"/>
      <c r="C703" s="8" t="str">
        <f t="shared" si="20"/>
        <v/>
      </c>
      <c r="D703" s="8" t="str">
        <f t="shared" si="21"/>
        <v/>
      </c>
      <c r="E703" s="12"/>
      <c r="F703" s="12"/>
      <c r="G703" s="12"/>
      <c r="H703" s="12" t="str">
        <f>IF(A703=0,"",VLOOKUP(B703,Materials!$A$2:$E$1001,6,FALSE))</f>
        <v/>
      </c>
      <c r="I703" s="12"/>
      <c r="J703" s="12"/>
      <c r="K703" s="12"/>
      <c r="L703" s="12"/>
    </row>
    <row r="704" spans="1:12" ht="16" x14ac:dyDescent="0.2">
      <c r="A704" s="8"/>
      <c r="B704" s="8"/>
      <c r="C704" s="8" t="str">
        <f t="shared" si="20"/>
        <v/>
      </c>
      <c r="D704" s="8" t="str">
        <f t="shared" si="21"/>
        <v/>
      </c>
      <c r="E704" s="12"/>
      <c r="F704" s="12"/>
      <c r="G704" s="12"/>
      <c r="H704" s="12" t="str">
        <f>IF(A704=0,"",VLOOKUP(B704,Materials!$A$2:$E$1001,6,FALSE))</f>
        <v/>
      </c>
      <c r="I704" s="12"/>
      <c r="J704" s="12"/>
      <c r="K704" s="12"/>
      <c r="L704" s="12"/>
    </row>
    <row r="705" spans="1:12" ht="16" x14ac:dyDescent="0.2">
      <c r="A705" s="8"/>
      <c r="B705" s="8"/>
      <c r="C705" s="8" t="str">
        <f t="shared" si="20"/>
        <v/>
      </c>
      <c r="D705" s="8" t="str">
        <f t="shared" si="21"/>
        <v/>
      </c>
      <c r="E705" s="12"/>
      <c r="F705" s="12"/>
      <c r="G705" s="12"/>
      <c r="H705" s="12" t="str">
        <f>IF(A705=0,"",VLOOKUP(B705,Materials!$A$2:$E$1001,6,FALSE))</f>
        <v/>
      </c>
      <c r="I705" s="12"/>
      <c r="J705" s="12"/>
      <c r="K705" s="12"/>
      <c r="L705" s="12"/>
    </row>
    <row r="706" spans="1:12" ht="16" x14ac:dyDescent="0.2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2"/>
      <c r="F706" s="12"/>
      <c r="G706" s="12"/>
      <c r="H706" s="12" t="str">
        <f>IF(A706=0,"",VLOOKUP(B706,Materials!$A$2:$E$1001,6,FALSE))</f>
        <v/>
      </c>
      <c r="I706" s="12"/>
      <c r="J706" s="12"/>
      <c r="K706" s="12"/>
      <c r="L706" s="12"/>
    </row>
    <row r="707" spans="1:12" ht="16" x14ac:dyDescent="0.2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2"/>
      <c r="F707" s="12"/>
      <c r="G707" s="12"/>
      <c r="H707" s="12" t="str">
        <f>IF(A707=0,"",VLOOKUP(B707,Materials!$A$2:$E$1001,6,FALSE))</f>
        <v/>
      </c>
      <c r="I707" s="12"/>
      <c r="J707" s="12"/>
      <c r="K707" s="12"/>
      <c r="L707" s="12"/>
    </row>
    <row r="708" spans="1:12" ht="16" x14ac:dyDescent="0.2">
      <c r="A708" s="8"/>
      <c r="B708" s="8"/>
      <c r="C708" s="8" t="str">
        <f t="shared" si="22"/>
        <v/>
      </c>
      <c r="D708" s="8" t="str">
        <f t="shared" si="23"/>
        <v/>
      </c>
      <c r="E708" s="12"/>
      <c r="F708" s="12"/>
      <c r="G708" s="12"/>
      <c r="H708" s="12" t="str">
        <f>IF(A708=0,"",VLOOKUP(B708,Materials!$A$2:$E$1001,6,FALSE))</f>
        <v/>
      </c>
      <c r="I708" s="12"/>
      <c r="J708" s="12"/>
      <c r="K708" s="12"/>
      <c r="L708" s="12"/>
    </row>
    <row r="709" spans="1:12" ht="16" x14ac:dyDescent="0.2">
      <c r="A709" s="8"/>
      <c r="B709" s="8"/>
      <c r="C709" s="8" t="str">
        <f t="shared" si="22"/>
        <v/>
      </c>
      <c r="D709" s="8" t="str">
        <f t="shared" si="23"/>
        <v/>
      </c>
      <c r="E709" s="12"/>
      <c r="F709" s="12"/>
      <c r="G709" s="12"/>
      <c r="H709" s="12" t="str">
        <f>IF(A709=0,"",VLOOKUP(B709,Materials!$A$2:$E$1001,6,FALSE))</f>
        <v/>
      </c>
      <c r="I709" s="12"/>
      <c r="J709" s="12"/>
      <c r="K709" s="12"/>
      <c r="L709" s="12"/>
    </row>
    <row r="710" spans="1:12" ht="16" x14ac:dyDescent="0.2">
      <c r="A710" s="8"/>
      <c r="B710" s="8"/>
      <c r="C710" s="8" t="str">
        <f t="shared" si="22"/>
        <v/>
      </c>
      <c r="D710" s="8" t="str">
        <f t="shared" si="23"/>
        <v/>
      </c>
      <c r="E710" s="12"/>
      <c r="F710" s="12"/>
      <c r="G710" s="12"/>
      <c r="H710" s="12" t="str">
        <f>IF(A710=0,"",VLOOKUP(B710,Materials!$A$2:$E$1001,6,FALSE))</f>
        <v/>
      </c>
      <c r="I710" s="12"/>
      <c r="J710" s="12"/>
      <c r="K710" s="12"/>
      <c r="L710" s="12"/>
    </row>
    <row r="711" spans="1:12" ht="16" x14ac:dyDescent="0.2">
      <c r="A711" s="8"/>
      <c r="B711" s="8"/>
      <c r="C711" s="8" t="str">
        <f t="shared" si="22"/>
        <v/>
      </c>
      <c r="D711" s="8" t="str">
        <f t="shared" si="23"/>
        <v/>
      </c>
      <c r="E711" s="12"/>
      <c r="F711" s="12"/>
      <c r="G711" s="12"/>
      <c r="H711" s="12" t="str">
        <f>IF(A711=0,"",VLOOKUP(B711,Materials!$A$2:$E$1001,6,FALSE))</f>
        <v/>
      </c>
      <c r="I711" s="12"/>
      <c r="J711" s="12"/>
      <c r="K711" s="12"/>
      <c r="L711" s="12"/>
    </row>
    <row r="712" spans="1:12" ht="16" x14ac:dyDescent="0.2">
      <c r="A712" s="8"/>
      <c r="B712" s="8"/>
      <c r="C712" s="8" t="str">
        <f t="shared" si="22"/>
        <v/>
      </c>
      <c r="D712" s="8" t="str">
        <f t="shared" si="23"/>
        <v/>
      </c>
      <c r="E712" s="12"/>
      <c r="F712" s="12"/>
      <c r="G712" s="12"/>
      <c r="H712" s="12" t="str">
        <f>IF(A712=0,"",VLOOKUP(B712,Materials!$A$2:$E$1001,6,FALSE))</f>
        <v/>
      </c>
      <c r="I712" s="12"/>
      <c r="J712" s="12"/>
      <c r="K712" s="12"/>
      <c r="L712" s="12"/>
    </row>
    <row r="713" spans="1:12" ht="16" x14ac:dyDescent="0.2">
      <c r="A713" s="8"/>
      <c r="B713" s="8"/>
      <c r="C713" s="8" t="str">
        <f t="shared" si="22"/>
        <v/>
      </c>
      <c r="D713" s="8" t="str">
        <f t="shared" si="23"/>
        <v/>
      </c>
      <c r="E713" s="12"/>
      <c r="F713" s="12"/>
      <c r="G713" s="12"/>
      <c r="H713" s="12" t="str">
        <f>IF(A713=0,"",VLOOKUP(B713,Materials!$A$2:$E$1001,6,FALSE))</f>
        <v/>
      </c>
      <c r="I713" s="12"/>
      <c r="J713" s="12"/>
      <c r="K713" s="12"/>
      <c r="L713" s="12"/>
    </row>
    <row r="714" spans="1:12" ht="16" x14ac:dyDescent="0.2">
      <c r="A714" s="8"/>
      <c r="B714" s="8"/>
      <c r="C714" s="8" t="str">
        <f t="shared" si="22"/>
        <v/>
      </c>
      <c r="D714" s="8" t="str">
        <f t="shared" si="23"/>
        <v/>
      </c>
      <c r="E714" s="12"/>
      <c r="F714" s="12"/>
      <c r="G714" s="12"/>
      <c r="H714" s="12" t="str">
        <f>IF(A714=0,"",VLOOKUP(B714,Materials!$A$2:$E$1001,6,FALSE))</f>
        <v/>
      </c>
      <c r="I714" s="12"/>
      <c r="J714" s="12"/>
      <c r="K714" s="12"/>
      <c r="L714" s="12"/>
    </row>
    <row r="715" spans="1:12" ht="16" x14ac:dyDescent="0.2">
      <c r="A715" s="8"/>
      <c r="B715" s="8"/>
      <c r="C715" s="8" t="str">
        <f t="shared" si="22"/>
        <v/>
      </c>
      <c r="D715" s="8" t="str">
        <f t="shared" si="23"/>
        <v/>
      </c>
      <c r="E715" s="12"/>
      <c r="F715" s="12"/>
      <c r="G715" s="12"/>
      <c r="H715" s="12" t="str">
        <f>IF(A715=0,"",VLOOKUP(B715,Materials!$A$2:$E$1001,6,FALSE))</f>
        <v/>
      </c>
      <c r="I715" s="12"/>
      <c r="J715" s="12"/>
      <c r="K715" s="12"/>
      <c r="L715" s="12"/>
    </row>
    <row r="716" spans="1:12" ht="16" x14ac:dyDescent="0.2">
      <c r="A716" s="8"/>
      <c r="B716" s="8"/>
      <c r="C716" s="8" t="str">
        <f t="shared" si="22"/>
        <v/>
      </c>
      <c r="D716" s="8" t="str">
        <f t="shared" si="23"/>
        <v/>
      </c>
      <c r="E716" s="12"/>
      <c r="F716" s="12"/>
      <c r="G716" s="12"/>
      <c r="H716" s="12" t="str">
        <f>IF(A716=0,"",VLOOKUP(B716,Materials!$A$2:$E$1001,6,FALSE))</f>
        <v/>
      </c>
      <c r="I716" s="12"/>
      <c r="J716" s="12"/>
      <c r="K716" s="12"/>
      <c r="L716" s="12"/>
    </row>
    <row r="717" spans="1:12" ht="16" x14ac:dyDescent="0.2">
      <c r="A717" s="8"/>
      <c r="B717" s="8"/>
      <c r="C717" s="8" t="str">
        <f t="shared" si="22"/>
        <v/>
      </c>
      <c r="D717" s="8" t="str">
        <f t="shared" si="23"/>
        <v/>
      </c>
      <c r="E717" s="12"/>
      <c r="F717" s="12"/>
      <c r="G717" s="12"/>
      <c r="H717" s="12" t="str">
        <f>IF(A717=0,"",VLOOKUP(B717,Materials!$A$2:$E$1001,6,FALSE))</f>
        <v/>
      </c>
      <c r="I717" s="12"/>
      <c r="J717" s="12"/>
      <c r="K717" s="12"/>
      <c r="L717" s="12"/>
    </row>
    <row r="718" spans="1:12" ht="16" x14ac:dyDescent="0.2">
      <c r="A718" s="8"/>
      <c r="B718" s="8"/>
      <c r="C718" s="8" t="str">
        <f t="shared" si="22"/>
        <v/>
      </c>
      <c r="D718" s="8" t="str">
        <f t="shared" si="23"/>
        <v/>
      </c>
      <c r="E718" s="12"/>
      <c r="F718" s="12"/>
      <c r="G718" s="12"/>
      <c r="H718" s="12" t="str">
        <f>IF(A718=0,"",VLOOKUP(B718,Materials!$A$2:$E$1001,6,FALSE))</f>
        <v/>
      </c>
      <c r="I718" s="12"/>
      <c r="J718" s="12"/>
      <c r="K718" s="12"/>
      <c r="L718" s="12"/>
    </row>
    <row r="719" spans="1:12" ht="16" x14ac:dyDescent="0.2">
      <c r="A719" s="8"/>
      <c r="B719" s="8"/>
      <c r="C719" s="8" t="str">
        <f t="shared" si="22"/>
        <v/>
      </c>
      <c r="D719" s="8" t="str">
        <f t="shared" si="23"/>
        <v/>
      </c>
      <c r="E719" s="12"/>
      <c r="F719" s="12"/>
      <c r="G719" s="12"/>
      <c r="H719" s="12" t="str">
        <f>IF(A719=0,"",VLOOKUP(B719,Materials!$A$2:$E$1001,6,FALSE))</f>
        <v/>
      </c>
      <c r="I719" s="12"/>
      <c r="J719" s="12"/>
      <c r="K719" s="12"/>
      <c r="L719" s="12"/>
    </row>
    <row r="720" spans="1:12" ht="16" x14ac:dyDescent="0.2">
      <c r="A720" s="8"/>
      <c r="B720" s="8"/>
      <c r="C720" s="8" t="str">
        <f t="shared" si="22"/>
        <v/>
      </c>
      <c r="D720" s="8" t="str">
        <f t="shared" si="23"/>
        <v/>
      </c>
      <c r="E720" s="12"/>
      <c r="F720" s="12"/>
      <c r="G720" s="12"/>
      <c r="H720" s="12" t="str">
        <f>IF(A720=0,"",VLOOKUP(B720,Materials!$A$2:$E$1001,6,FALSE))</f>
        <v/>
      </c>
      <c r="I720" s="12"/>
      <c r="J720" s="12"/>
      <c r="K720" s="12"/>
      <c r="L720" s="12"/>
    </row>
    <row r="721" spans="1:12" ht="16" x14ac:dyDescent="0.2">
      <c r="A721" s="8"/>
      <c r="B721" s="8"/>
      <c r="C721" s="8" t="str">
        <f t="shared" si="22"/>
        <v/>
      </c>
      <c r="D721" s="8" t="str">
        <f t="shared" si="23"/>
        <v/>
      </c>
      <c r="E721" s="12"/>
      <c r="F721" s="12"/>
      <c r="G721" s="12"/>
      <c r="H721" s="12" t="str">
        <f>IF(A721=0,"",VLOOKUP(B721,Materials!$A$2:$E$1001,6,FALSE))</f>
        <v/>
      </c>
      <c r="I721" s="12"/>
      <c r="J721" s="12"/>
      <c r="K721" s="12"/>
      <c r="L721" s="12"/>
    </row>
    <row r="722" spans="1:12" ht="16" x14ac:dyDescent="0.2">
      <c r="A722" s="8"/>
      <c r="B722" s="8"/>
      <c r="C722" s="8" t="str">
        <f t="shared" si="22"/>
        <v/>
      </c>
      <c r="D722" s="8" t="str">
        <f t="shared" si="23"/>
        <v/>
      </c>
      <c r="E722" s="12"/>
      <c r="F722" s="12"/>
      <c r="G722" s="12"/>
      <c r="H722" s="12" t="str">
        <f>IF(A722=0,"",VLOOKUP(B722,Materials!$A$2:$E$1001,6,FALSE))</f>
        <v/>
      </c>
      <c r="I722" s="12"/>
      <c r="J722" s="12"/>
      <c r="K722" s="12"/>
      <c r="L722" s="12"/>
    </row>
    <row r="723" spans="1:12" ht="16" x14ac:dyDescent="0.2">
      <c r="A723" s="8"/>
      <c r="B723" s="8"/>
      <c r="C723" s="8" t="str">
        <f t="shared" si="22"/>
        <v/>
      </c>
      <c r="D723" s="8" t="str">
        <f t="shared" si="23"/>
        <v/>
      </c>
      <c r="E723" s="12"/>
      <c r="F723" s="12"/>
      <c r="G723" s="12"/>
      <c r="H723" s="12" t="str">
        <f>IF(A723=0,"",VLOOKUP(B723,Materials!$A$2:$E$1001,6,FALSE))</f>
        <v/>
      </c>
      <c r="I723" s="12"/>
      <c r="J723" s="12"/>
      <c r="K723" s="12"/>
      <c r="L723" s="12"/>
    </row>
    <row r="724" spans="1:12" ht="16" x14ac:dyDescent="0.2">
      <c r="A724" s="8"/>
      <c r="B724" s="8"/>
      <c r="C724" s="8" t="str">
        <f t="shared" si="22"/>
        <v/>
      </c>
      <c r="D724" s="8" t="str">
        <f t="shared" si="23"/>
        <v/>
      </c>
      <c r="E724" s="12"/>
      <c r="F724" s="12"/>
      <c r="G724" s="12"/>
      <c r="H724" s="12" t="str">
        <f>IF(A724=0,"",VLOOKUP(B724,Materials!$A$2:$E$1001,6,FALSE))</f>
        <v/>
      </c>
      <c r="I724" s="12"/>
      <c r="J724" s="12"/>
      <c r="K724" s="12"/>
      <c r="L724" s="12"/>
    </row>
    <row r="725" spans="1:12" ht="16" x14ac:dyDescent="0.2">
      <c r="A725" s="8"/>
      <c r="B725" s="8"/>
      <c r="C725" s="8" t="str">
        <f t="shared" si="22"/>
        <v/>
      </c>
      <c r="D725" s="8" t="str">
        <f t="shared" si="23"/>
        <v/>
      </c>
      <c r="E725" s="12"/>
      <c r="F725" s="12"/>
      <c r="G725" s="12"/>
      <c r="H725" s="12" t="str">
        <f>IF(A725=0,"",VLOOKUP(B725,Materials!$A$2:$E$1001,6,FALSE))</f>
        <v/>
      </c>
      <c r="I725" s="12"/>
      <c r="J725" s="12"/>
      <c r="K725" s="12"/>
      <c r="L725" s="12"/>
    </row>
    <row r="726" spans="1:12" ht="16" x14ac:dyDescent="0.2">
      <c r="A726" s="8"/>
      <c r="B726" s="8"/>
      <c r="C726" s="8" t="str">
        <f t="shared" si="22"/>
        <v/>
      </c>
      <c r="D726" s="8" t="str">
        <f t="shared" si="23"/>
        <v/>
      </c>
      <c r="E726" s="12"/>
      <c r="F726" s="12"/>
      <c r="G726" s="12"/>
      <c r="H726" s="12" t="str">
        <f>IF(A726=0,"",VLOOKUP(B726,Materials!$A$2:$E$1001,6,FALSE))</f>
        <v/>
      </c>
      <c r="I726" s="12"/>
      <c r="J726" s="12"/>
      <c r="K726" s="12"/>
      <c r="L726" s="12"/>
    </row>
    <row r="727" spans="1:12" ht="16" x14ac:dyDescent="0.2">
      <c r="A727" s="8"/>
      <c r="B727" s="8"/>
      <c r="C727" s="8" t="str">
        <f t="shared" si="22"/>
        <v/>
      </c>
      <c r="D727" s="8" t="str">
        <f t="shared" si="23"/>
        <v/>
      </c>
      <c r="E727" s="12"/>
      <c r="F727" s="12"/>
      <c r="G727" s="12"/>
      <c r="H727" s="12" t="str">
        <f>IF(A727=0,"",VLOOKUP(B727,Materials!$A$2:$E$1001,6,FALSE))</f>
        <v/>
      </c>
      <c r="I727" s="12"/>
      <c r="J727" s="12"/>
      <c r="K727" s="12"/>
      <c r="L727" s="12"/>
    </row>
    <row r="728" spans="1:12" ht="16" x14ac:dyDescent="0.2">
      <c r="A728" s="8"/>
      <c r="B728" s="8"/>
      <c r="C728" s="8" t="str">
        <f t="shared" si="22"/>
        <v/>
      </c>
      <c r="D728" s="8" t="str">
        <f t="shared" si="23"/>
        <v/>
      </c>
      <c r="E728" s="12"/>
      <c r="F728" s="12"/>
      <c r="G728" s="12"/>
      <c r="H728" s="12" t="str">
        <f>IF(A728=0,"",VLOOKUP(B728,Materials!$A$2:$E$1001,6,FALSE))</f>
        <v/>
      </c>
      <c r="I728" s="12"/>
      <c r="J728" s="12"/>
      <c r="K728" s="12"/>
      <c r="L728" s="12"/>
    </row>
    <row r="729" spans="1:12" ht="16" x14ac:dyDescent="0.2">
      <c r="A729" s="8"/>
      <c r="B729" s="8"/>
      <c r="C729" s="8" t="str">
        <f t="shared" si="22"/>
        <v/>
      </c>
      <c r="D729" s="8" t="str">
        <f t="shared" si="23"/>
        <v/>
      </c>
      <c r="E729" s="12"/>
      <c r="F729" s="12"/>
      <c r="G729" s="12"/>
      <c r="H729" s="12" t="str">
        <f>IF(A729=0,"",VLOOKUP(B729,Materials!$A$2:$E$1001,6,FALSE))</f>
        <v/>
      </c>
      <c r="I729" s="12"/>
      <c r="J729" s="12"/>
      <c r="K729" s="12"/>
      <c r="L729" s="12"/>
    </row>
    <row r="730" spans="1:12" ht="16" x14ac:dyDescent="0.2">
      <c r="A730" s="8"/>
      <c r="B730" s="8"/>
      <c r="C730" s="8" t="str">
        <f t="shared" si="22"/>
        <v/>
      </c>
      <c r="D730" s="8" t="str">
        <f t="shared" si="23"/>
        <v/>
      </c>
      <c r="E730" s="12"/>
      <c r="F730" s="12"/>
      <c r="G730" s="12"/>
      <c r="H730" s="12" t="str">
        <f>IF(A730=0,"",VLOOKUP(B730,Materials!$A$2:$E$1001,6,FALSE))</f>
        <v/>
      </c>
      <c r="I730" s="12"/>
      <c r="J730" s="12"/>
      <c r="K730" s="12"/>
      <c r="L730" s="12"/>
    </row>
    <row r="731" spans="1:12" ht="16" x14ac:dyDescent="0.2">
      <c r="A731" s="8"/>
      <c r="B731" s="8"/>
      <c r="C731" s="8" t="str">
        <f t="shared" si="22"/>
        <v/>
      </c>
      <c r="D731" s="8" t="str">
        <f t="shared" si="23"/>
        <v/>
      </c>
      <c r="E731" s="12"/>
      <c r="F731" s="12"/>
      <c r="G731" s="12"/>
      <c r="H731" s="12" t="str">
        <f>IF(A731=0,"",VLOOKUP(B731,Materials!$A$2:$E$1001,6,FALSE))</f>
        <v/>
      </c>
      <c r="I731" s="12"/>
      <c r="J731" s="12"/>
      <c r="K731" s="12"/>
      <c r="L731" s="12"/>
    </row>
    <row r="732" spans="1:12" ht="16" x14ac:dyDescent="0.2">
      <c r="A732" s="8"/>
      <c r="B732" s="8"/>
      <c r="C732" s="8" t="str">
        <f t="shared" si="22"/>
        <v/>
      </c>
      <c r="D732" s="8" t="str">
        <f t="shared" si="23"/>
        <v/>
      </c>
      <c r="E732" s="12"/>
      <c r="F732" s="12"/>
      <c r="G732" s="12"/>
      <c r="H732" s="12" t="str">
        <f>IF(A732=0,"",VLOOKUP(B732,Materials!$A$2:$E$1001,6,FALSE))</f>
        <v/>
      </c>
      <c r="I732" s="12"/>
      <c r="J732" s="12"/>
      <c r="K732" s="12"/>
      <c r="L732" s="12"/>
    </row>
    <row r="733" spans="1:12" ht="16" x14ac:dyDescent="0.2">
      <c r="A733" s="8"/>
      <c r="B733" s="8"/>
      <c r="C733" s="8" t="str">
        <f t="shared" si="22"/>
        <v/>
      </c>
      <c r="D733" s="8" t="str">
        <f t="shared" si="23"/>
        <v/>
      </c>
      <c r="E733" s="12"/>
      <c r="F733" s="12"/>
      <c r="G733" s="12"/>
      <c r="H733" s="12" t="str">
        <f>IF(A733=0,"",VLOOKUP(B733,Materials!$A$2:$E$1001,6,FALSE))</f>
        <v/>
      </c>
      <c r="I733" s="12"/>
      <c r="J733" s="12"/>
      <c r="K733" s="12"/>
      <c r="L733" s="12"/>
    </row>
    <row r="734" spans="1:12" ht="16" x14ac:dyDescent="0.2">
      <c r="A734" s="8"/>
      <c r="B734" s="8"/>
      <c r="C734" s="8" t="str">
        <f t="shared" si="22"/>
        <v/>
      </c>
      <c r="D734" s="8" t="str">
        <f t="shared" si="23"/>
        <v/>
      </c>
      <c r="E734" s="12"/>
      <c r="F734" s="12"/>
      <c r="G734" s="12"/>
      <c r="H734" s="12" t="str">
        <f>IF(A734=0,"",VLOOKUP(B734,Materials!$A$2:$E$1001,6,FALSE))</f>
        <v/>
      </c>
      <c r="I734" s="12"/>
      <c r="J734" s="12"/>
      <c r="K734" s="12"/>
      <c r="L734" s="12"/>
    </row>
    <row r="735" spans="1:12" ht="16" x14ac:dyDescent="0.2">
      <c r="A735" s="8"/>
      <c r="B735" s="8"/>
      <c r="C735" s="8" t="str">
        <f t="shared" si="22"/>
        <v/>
      </c>
      <c r="D735" s="8" t="str">
        <f t="shared" si="23"/>
        <v/>
      </c>
      <c r="E735" s="12"/>
      <c r="F735" s="12"/>
      <c r="G735" s="12"/>
      <c r="H735" s="12" t="str">
        <f>IF(A735=0,"",VLOOKUP(B735,Materials!$A$2:$E$1001,6,FALSE))</f>
        <v/>
      </c>
      <c r="I735" s="12"/>
      <c r="J735" s="12"/>
      <c r="K735" s="12"/>
      <c r="L735" s="12"/>
    </row>
    <row r="736" spans="1:12" ht="16" x14ac:dyDescent="0.2">
      <c r="A736" s="8"/>
      <c r="B736" s="8"/>
      <c r="C736" s="8" t="str">
        <f t="shared" si="22"/>
        <v/>
      </c>
      <c r="D736" s="8" t="str">
        <f t="shared" si="23"/>
        <v/>
      </c>
      <c r="E736" s="12"/>
      <c r="F736" s="12"/>
      <c r="G736" s="12"/>
      <c r="H736" s="12" t="str">
        <f>IF(A736=0,"",VLOOKUP(B736,Materials!$A$2:$E$1001,6,FALSE))</f>
        <v/>
      </c>
      <c r="I736" s="12"/>
      <c r="J736" s="12"/>
      <c r="K736" s="12"/>
      <c r="L736" s="12"/>
    </row>
    <row r="737" spans="1:12" ht="16" x14ac:dyDescent="0.2">
      <c r="A737" s="8"/>
      <c r="B737" s="8"/>
      <c r="C737" s="8" t="str">
        <f t="shared" si="22"/>
        <v/>
      </c>
      <c r="D737" s="8" t="str">
        <f t="shared" si="23"/>
        <v/>
      </c>
      <c r="E737" s="12"/>
      <c r="F737" s="12"/>
      <c r="G737" s="12"/>
      <c r="H737" s="12" t="str">
        <f>IF(A737=0,"",VLOOKUP(B737,Materials!$A$2:$E$1001,6,FALSE))</f>
        <v/>
      </c>
      <c r="I737" s="12"/>
      <c r="J737" s="12"/>
      <c r="K737" s="12"/>
      <c r="L737" s="12"/>
    </row>
    <row r="738" spans="1:12" ht="16" x14ac:dyDescent="0.2">
      <c r="A738" s="8"/>
      <c r="B738" s="8"/>
      <c r="C738" s="8" t="str">
        <f t="shared" si="22"/>
        <v/>
      </c>
      <c r="D738" s="8" t="str">
        <f t="shared" si="23"/>
        <v/>
      </c>
      <c r="E738" s="12"/>
      <c r="F738" s="12"/>
      <c r="G738" s="12"/>
      <c r="H738" s="12" t="str">
        <f>IF(A738=0,"",VLOOKUP(B738,Materials!$A$2:$E$1001,6,FALSE))</f>
        <v/>
      </c>
      <c r="I738" s="12"/>
      <c r="J738" s="12"/>
      <c r="K738" s="12"/>
      <c r="L738" s="12"/>
    </row>
    <row r="739" spans="1:12" ht="16" x14ac:dyDescent="0.2">
      <c r="A739" s="8"/>
      <c r="B739" s="8"/>
      <c r="C739" s="8" t="str">
        <f t="shared" si="22"/>
        <v/>
      </c>
      <c r="D739" s="8" t="str">
        <f t="shared" si="23"/>
        <v/>
      </c>
      <c r="E739" s="12"/>
      <c r="F739" s="12"/>
      <c r="G739" s="12"/>
      <c r="H739" s="12" t="str">
        <f>IF(A739=0,"",VLOOKUP(B739,Materials!$A$2:$E$1001,6,FALSE))</f>
        <v/>
      </c>
      <c r="I739" s="12"/>
      <c r="J739" s="12"/>
      <c r="K739" s="12"/>
      <c r="L739" s="12"/>
    </row>
    <row r="740" spans="1:12" ht="16" x14ac:dyDescent="0.2">
      <c r="A740" s="8"/>
      <c r="B740" s="8"/>
      <c r="C740" s="8" t="str">
        <f t="shared" si="22"/>
        <v/>
      </c>
      <c r="D740" s="8" t="str">
        <f t="shared" si="23"/>
        <v/>
      </c>
      <c r="E740" s="12"/>
      <c r="F740" s="12"/>
      <c r="G740" s="12"/>
      <c r="H740" s="12" t="str">
        <f>IF(A740=0,"",VLOOKUP(B740,Materials!$A$2:$E$1001,6,FALSE))</f>
        <v/>
      </c>
      <c r="I740" s="12"/>
      <c r="J740" s="12"/>
      <c r="K740" s="12"/>
      <c r="L740" s="12"/>
    </row>
    <row r="741" spans="1:12" ht="16" x14ac:dyDescent="0.2">
      <c r="A741" s="8"/>
      <c r="B741" s="8"/>
      <c r="C741" s="8" t="str">
        <f t="shared" si="22"/>
        <v/>
      </c>
      <c r="D741" s="8" t="str">
        <f t="shared" si="23"/>
        <v/>
      </c>
      <c r="E741" s="12"/>
      <c r="F741" s="12"/>
      <c r="G741" s="12"/>
      <c r="H741" s="12" t="str">
        <f>IF(A741=0,"",VLOOKUP(B741,Materials!$A$2:$E$1001,6,FALSE))</f>
        <v/>
      </c>
      <c r="I741" s="12"/>
      <c r="J741" s="12"/>
      <c r="K741" s="12"/>
      <c r="L741" s="12"/>
    </row>
    <row r="742" spans="1:12" ht="16" x14ac:dyDescent="0.2">
      <c r="A742" s="8"/>
      <c r="B742" s="8"/>
      <c r="C742" s="8" t="str">
        <f t="shared" si="22"/>
        <v/>
      </c>
      <c r="D742" s="8" t="str">
        <f t="shared" si="23"/>
        <v/>
      </c>
      <c r="E742" s="12"/>
      <c r="F742" s="12"/>
      <c r="G742" s="12"/>
      <c r="H742" s="12" t="str">
        <f>IF(A742=0,"",VLOOKUP(B742,Materials!$A$2:$E$1001,6,FALSE))</f>
        <v/>
      </c>
      <c r="I742" s="12"/>
      <c r="J742" s="12"/>
      <c r="K742" s="12"/>
      <c r="L742" s="12"/>
    </row>
    <row r="743" spans="1:12" ht="16" x14ac:dyDescent="0.2">
      <c r="A743" s="8"/>
      <c r="B743" s="8"/>
      <c r="C743" s="8" t="str">
        <f t="shared" si="22"/>
        <v/>
      </c>
      <c r="D743" s="8" t="str">
        <f t="shared" si="23"/>
        <v/>
      </c>
      <c r="E743" s="12"/>
      <c r="F743" s="12"/>
      <c r="G743" s="12"/>
      <c r="H743" s="12" t="str">
        <f>IF(A743=0,"",VLOOKUP(B743,Materials!$A$2:$E$1001,6,FALSE))</f>
        <v/>
      </c>
      <c r="I743" s="12"/>
      <c r="J743" s="12"/>
      <c r="K743" s="12"/>
      <c r="L743" s="12"/>
    </row>
    <row r="744" spans="1:12" ht="16" x14ac:dyDescent="0.2">
      <c r="A744" s="8"/>
      <c r="B744" s="8"/>
      <c r="C744" s="8" t="str">
        <f t="shared" si="22"/>
        <v/>
      </c>
      <c r="D744" s="8" t="str">
        <f t="shared" si="23"/>
        <v/>
      </c>
      <c r="E744" s="12"/>
      <c r="F744" s="12"/>
      <c r="G744" s="12"/>
      <c r="H744" s="12" t="str">
        <f>IF(A744=0,"",VLOOKUP(B744,Materials!$A$2:$E$1001,6,FALSE))</f>
        <v/>
      </c>
      <c r="I744" s="12"/>
      <c r="J744" s="12"/>
      <c r="K744" s="12"/>
      <c r="L744" s="12"/>
    </row>
    <row r="745" spans="1:12" ht="16" x14ac:dyDescent="0.2">
      <c r="A745" s="8"/>
      <c r="B745" s="8"/>
      <c r="C745" s="8" t="str">
        <f t="shared" si="22"/>
        <v/>
      </c>
      <c r="D745" s="8" t="str">
        <f t="shared" si="23"/>
        <v/>
      </c>
      <c r="E745" s="12"/>
      <c r="F745" s="12"/>
      <c r="G745" s="12"/>
      <c r="H745" s="12" t="str">
        <f>IF(A745=0,"",VLOOKUP(B745,Materials!$A$2:$E$1001,6,FALSE))</f>
        <v/>
      </c>
      <c r="I745" s="12"/>
      <c r="J745" s="12"/>
      <c r="K745" s="12"/>
      <c r="L745" s="12"/>
    </row>
    <row r="746" spans="1:12" ht="16" x14ac:dyDescent="0.2">
      <c r="A746" s="8"/>
      <c r="B746" s="8"/>
      <c r="C746" s="8" t="str">
        <f t="shared" si="22"/>
        <v/>
      </c>
      <c r="D746" s="8" t="str">
        <f t="shared" si="23"/>
        <v/>
      </c>
      <c r="E746" s="12"/>
      <c r="F746" s="12"/>
      <c r="G746" s="12"/>
      <c r="H746" s="12" t="str">
        <f>IF(A746=0,"",VLOOKUP(B746,Materials!$A$2:$E$1001,6,FALSE))</f>
        <v/>
      </c>
      <c r="I746" s="12"/>
      <c r="J746" s="12"/>
      <c r="K746" s="12"/>
      <c r="L746" s="12"/>
    </row>
    <row r="747" spans="1:12" ht="16" x14ac:dyDescent="0.2">
      <c r="A747" s="8"/>
      <c r="B747" s="8"/>
      <c r="C747" s="8" t="str">
        <f t="shared" si="22"/>
        <v/>
      </c>
      <c r="D747" s="8" t="str">
        <f t="shared" si="23"/>
        <v/>
      </c>
      <c r="E747" s="12"/>
      <c r="F747" s="12"/>
      <c r="G747" s="12"/>
      <c r="H747" s="12" t="str">
        <f>IF(A747=0,"",VLOOKUP(B747,Materials!$A$2:$E$1001,6,FALSE))</f>
        <v/>
      </c>
      <c r="I747" s="12"/>
      <c r="J747" s="12"/>
      <c r="K747" s="12"/>
      <c r="L747" s="12"/>
    </row>
    <row r="748" spans="1:12" ht="16" x14ac:dyDescent="0.2">
      <c r="A748" s="8"/>
      <c r="B748" s="8"/>
      <c r="C748" s="8" t="str">
        <f t="shared" si="22"/>
        <v/>
      </c>
      <c r="D748" s="8" t="str">
        <f t="shared" si="23"/>
        <v/>
      </c>
      <c r="E748" s="12"/>
      <c r="F748" s="12"/>
      <c r="G748" s="12"/>
      <c r="H748" s="12" t="str">
        <f>IF(A748=0,"",VLOOKUP(B748,Materials!$A$2:$E$1001,6,FALSE))</f>
        <v/>
      </c>
      <c r="I748" s="12"/>
      <c r="J748" s="12"/>
      <c r="K748" s="12"/>
      <c r="L748" s="12"/>
    </row>
    <row r="749" spans="1:12" ht="16" x14ac:dyDescent="0.2">
      <c r="A749" s="8"/>
      <c r="B749" s="8"/>
      <c r="C749" s="8" t="str">
        <f t="shared" si="22"/>
        <v/>
      </c>
      <c r="D749" s="8" t="str">
        <f t="shared" si="23"/>
        <v/>
      </c>
      <c r="E749" s="12"/>
      <c r="F749" s="12"/>
      <c r="G749" s="12"/>
      <c r="H749" s="12" t="str">
        <f>IF(A749=0,"",VLOOKUP(B749,Materials!$A$2:$E$1001,6,FALSE))</f>
        <v/>
      </c>
      <c r="I749" s="12"/>
      <c r="J749" s="12"/>
      <c r="K749" s="12"/>
      <c r="L749" s="12"/>
    </row>
    <row r="750" spans="1:12" ht="16" x14ac:dyDescent="0.2">
      <c r="A750" s="8"/>
      <c r="B750" s="8"/>
      <c r="C750" s="8" t="str">
        <f t="shared" si="22"/>
        <v/>
      </c>
      <c r="D750" s="8" t="str">
        <f t="shared" si="23"/>
        <v/>
      </c>
      <c r="E750" s="12"/>
      <c r="F750" s="12"/>
      <c r="G750" s="12"/>
      <c r="H750" s="12" t="str">
        <f>IF(A750=0,"",VLOOKUP(B750,Materials!$A$2:$E$1001,6,FALSE))</f>
        <v/>
      </c>
      <c r="I750" s="12"/>
      <c r="J750" s="12"/>
      <c r="K750" s="12"/>
      <c r="L750" s="12"/>
    </row>
    <row r="751" spans="1:12" ht="16" x14ac:dyDescent="0.2">
      <c r="A751" s="8"/>
      <c r="B751" s="8"/>
      <c r="C751" s="8" t="str">
        <f t="shared" si="22"/>
        <v/>
      </c>
      <c r="D751" s="8" t="str">
        <f t="shared" si="23"/>
        <v/>
      </c>
      <c r="E751" s="12"/>
      <c r="F751" s="12"/>
      <c r="G751" s="12"/>
      <c r="H751" s="12" t="str">
        <f>IF(A751=0,"",VLOOKUP(B751,Materials!$A$2:$E$1001,6,FALSE))</f>
        <v/>
      </c>
      <c r="I751" s="12"/>
      <c r="J751" s="12"/>
      <c r="K751" s="12"/>
      <c r="L751" s="12"/>
    </row>
    <row r="752" spans="1:12" ht="16" x14ac:dyDescent="0.2">
      <c r="A752" s="8"/>
      <c r="B752" s="8"/>
      <c r="C752" s="8" t="str">
        <f t="shared" si="22"/>
        <v/>
      </c>
      <c r="D752" s="8" t="str">
        <f t="shared" si="23"/>
        <v/>
      </c>
      <c r="E752" s="12"/>
      <c r="F752" s="12"/>
      <c r="G752" s="12"/>
      <c r="H752" s="12" t="str">
        <f>IF(A752=0,"",VLOOKUP(B752,Materials!$A$2:$E$1001,6,FALSE))</f>
        <v/>
      </c>
      <c r="I752" s="12"/>
      <c r="J752" s="12"/>
      <c r="K752" s="12"/>
      <c r="L752" s="12"/>
    </row>
    <row r="753" spans="1:12" ht="16" x14ac:dyDescent="0.2">
      <c r="A753" s="8"/>
      <c r="B753" s="8"/>
      <c r="C753" s="8" t="str">
        <f t="shared" si="22"/>
        <v/>
      </c>
      <c r="D753" s="8" t="str">
        <f t="shared" si="23"/>
        <v/>
      </c>
      <c r="E753" s="12"/>
      <c r="F753" s="12"/>
      <c r="G753" s="12"/>
      <c r="H753" s="12" t="str">
        <f>IF(A753=0,"",VLOOKUP(B753,Materials!$A$2:$E$1001,6,FALSE))</f>
        <v/>
      </c>
      <c r="I753" s="12"/>
      <c r="J753" s="12"/>
      <c r="K753" s="12"/>
      <c r="L753" s="12"/>
    </row>
    <row r="754" spans="1:12" ht="16" x14ac:dyDescent="0.2">
      <c r="A754" s="8"/>
      <c r="B754" s="8"/>
      <c r="C754" s="8" t="str">
        <f t="shared" si="22"/>
        <v/>
      </c>
      <c r="D754" s="8" t="str">
        <f t="shared" si="23"/>
        <v/>
      </c>
      <c r="E754" s="12"/>
      <c r="F754" s="12"/>
      <c r="G754" s="12"/>
      <c r="H754" s="12" t="str">
        <f>IF(A754=0,"",VLOOKUP(B754,Materials!$A$2:$E$1001,6,FALSE))</f>
        <v/>
      </c>
      <c r="I754" s="12"/>
      <c r="J754" s="12"/>
      <c r="K754" s="12"/>
      <c r="L754" s="12"/>
    </row>
    <row r="755" spans="1:12" ht="16" x14ac:dyDescent="0.2">
      <c r="A755" s="8"/>
      <c r="B755" s="8"/>
      <c r="C755" s="8" t="str">
        <f t="shared" si="22"/>
        <v/>
      </c>
      <c r="D755" s="8" t="str">
        <f t="shared" si="23"/>
        <v/>
      </c>
      <c r="E755" s="12"/>
      <c r="F755" s="12"/>
      <c r="G755" s="12"/>
      <c r="H755" s="12" t="str">
        <f>IF(A755=0,"",VLOOKUP(B755,Materials!$A$2:$E$1001,6,FALSE))</f>
        <v/>
      </c>
      <c r="I755" s="12"/>
      <c r="J755" s="12"/>
      <c r="K755" s="12"/>
      <c r="L755" s="12"/>
    </row>
    <row r="756" spans="1:12" ht="16" x14ac:dyDescent="0.2">
      <c r="A756" s="8"/>
      <c r="B756" s="8"/>
      <c r="C756" s="8" t="str">
        <f t="shared" si="22"/>
        <v/>
      </c>
      <c r="D756" s="8" t="str">
        <f t="shared" si="23"/>
        <v/>
      </c>
      <c r="E756" s="12"/>
      <c r="F756" s="12"/>
      <c r="G756" s="12"/>
      <c r="H756" s="12" t="str">
        <f>IF(A756=0,"",VLOOKUP(B756,Materials!$A$2:$E$1001,6,FALSE))</f>
        <v/>
      </c>
      <c r="I756" s="12"/>
      <c r="J756" s="12"/>
      <c r="K756" s="12"/>
      <c r="L756" s="12"/>
    </row>
    <row r="757" spans="1:12" ht="16" x14ac:dyDescent="0.2">
      <c r="A757" s="8"/>
      <c r="B757" s="8"/>
      <c r="C757" s="8" t="str">
        <f t="shared" si="22"/>
        <v/>
      </c>
      <c r="D757" s="8" t="str">
        <f t="shared" si="23"/>
        <v/>
      </c>
      <c r="E757" s="12"/>
      <c r="F757" s="12"/>
      <c r="G757" s="12"/>
      <c r="H757" s="12" t="str">
        <f>IF(A757=0,"",VLOOKUP(B757,Materials!$A$2:$E$1001,6,FALSE))</f>
        <v/>
      </c>
      <c r="I757" s="12"/>
      <c r="J757" s="12"/>
      <c r="K757" s="12"/>
      <c r="L757" s="12"/>
    </row>
    <row r="758" spans="1:12" ht="16" x14ac:dyDescent="0.2">
      <c r="A758" s="8"/>
      <c r="B758" s="8"/>
      <c r="C758" s="8" t="str">
        <f t="shared" si="22"/>
        <v/>
      </c>
      <c r="D758" s="8" t="str">
        <f t="shared" si="23"/>
        <v/>
      </c>
      <c r="E758" s="12"/>
      <c r="F758" s="12"/>
      <c r="G758" s="12"/>
      <c r="H758" s="12" t="str">
        <f>IF(A758=0,"",VLOOKUP(B758,Materials!$A$2:$E$1001,6,FALSE))</f>
        <v/>
      </c>
      <c r="I758" s="12"/>
      <c r="J758" s="12"/>
      <c r="K758" s="12"/>
      <c r="L758" s="12"/>
    </row>
    <row r="759" spans="1:12" ht="16" x14ac:dyDescent="0.2">
      <c r="A759" s="8"/>
      <c r="B759" s="8"/>
      <c r="C759" s="8" t="str">
        <f t="shared" si="22"/>
        <v/>
      </c>
      <c r="D759" s="8" t="str">
        <f t="shared" si="23"/>
        <v/>
      </c>
      <c r="E759" s="12"/>
      <c r="F759" s="12"/>
      <c r="G759" s="12"/>
      <c r="H759" s="12" t="str">
        <f>IF(A759=0,"",VLOOKUP(B759,Materials!$A$2:$E$1001,6,FALSE))</f>
        <v/>
      </c>
      <c r="I759" s="12"/>
      <c r="J759" s="12"/>
      <c r="K759" s="12"/>
      <c r="L759" s="12"/>
    </row>
    <row r="760" spans="1:12" ht="16" x14ac:dyDescent="0.2">
      <c r="A760" s="8"/>
      <c r="B760" s="8"/>
      <c r="C760" s="8" t="str">
        <f t="shared" si="22"/>
        <v/>
      </c>
      <c r="D760" s="8" t="str">
        <f t="shared" si="23"/>
        <v/>
      </c>
      <c r="E760" s="12"/>
      <c r="F760" s="12"/>
      <c r="G760" s="12"/>
      <c r="H760" s="12" t="str">
        <f>IF(A760=0,"",VLOOKUP(B760,Materials!$A$2:$E$1001,6,FALSE))</f>
        <v/>
      </c>
      <c r="I760" s="12"/>
      <c r="J760" s="12"/>
      <c r="K760" s="12"/>
      <c r="L760" s="12"/>
    </row>
    <row r="761" spans="1:12" ht="16" x14ac:dyDescent="0.2">
      <c r="A761" s="8"/>
      <c r="B761" s="8"/>
      <c r="C761" s="8" t="str">
        <f t="shared" si="22"/>
        <v/>
      </c>
      <c r="D761" s="8" t="str">
        <f t="shared" si="23"/>
        <v/>
      </c>
      <c r="E761" s="12"/>
      <c r="F761" s="12"/>
      <c r="G761" s="12"/>
      <c r="H761" s="12" t="str">
        <f>IF(A761=0,"",VLOOKUP(B761,Materials!$A$2:$E$1001,6,FALSE))</f>
        <v/>
      </c>
      <c r="I761" s="12"/>
      <c r="J761" s="12"/>
      <c r="K761" s="12"/>
      <c r="L761" s="12"/>
    </row>
    <row r="762" spans="1:12" ht="16" x14ac:dyDescent="0.2">
      <c r="A762" s="8"/>
      <c r="B762" s="8"/>
      <c r="C762" s="8" t="str">
        <f t="shared" si="22"/>
        <v/>
      </c>
      <c r="D762" s="8" t="str">
        <f t="shared" si="23"/>
        <v/>
      </c>
      <c r="E762" s="12"/>
      <c r="F762" s="12"/>
      <c r="G762" s="12"/>
      <c r="H762" s="12" t="str">
        <f>IF(A762=0,"",VLOOKUP(B762,Materials!$A$2:$E$1001,6,FALSE))</f>
        <v/>
      </c>
      <c r="I762" s="12"/>
      <c r="J762" s="12"/>
      <c r="K762" s="12"/>
      <c r="L762" s="12"/>
    </row>
    <row r="763" spans="1:12" ht="16" x14ac:dyDescent="0.2">
      <c r="A763" s="8"/>
      <c r="B763" s="8"/>
      <c r="C763" s="8" t="str">
        <f t="shared" si="22"/>
        <v/>
      </c>
      <c r="D763" s="8" t="str">
        <f t="shared" si="23"/>
        <v/>
      </c>
      <c r="E763" s="12"/>
      <c r="F763" s="12"/>
      <c r="G763" s="12"/>
      <c r="H763" s="12" t="str">
        <f>IF(A763=0,"",VLOOKUP(B763,Materials!$A$2:$E$1001,6,FALSE))</f>
        <v/>
      </c>
      <c r="I763" s="12"/>
      <c r="J763" s="12"/>
      <c r="K763" s="12"/>
      <c r="L763" s="12"/>
    </row>
    <row r="764" spans="1:12" ht="16" x14ac:dyDescent="0.2">
      <c r="A764" s="8"/>
      <c r="B764" s="8"/>
      <c r="C764" s="8" t="str">
        <f t="shared" si="22"/>
        <v/>
      </c>
      <c r="D764" s="8" t="str">
        <f t="shared" si="23"/>
        <v/>
      </c>
      <c r="E764" s="12"/>
      <c r="F764" s="12"/>
      <c r="G764" s="12"/>
      <c r="H764" s="12" t="str">
        <f>IF(A764=0,"",VLOOKUP(B764,Materials!$A$2:$E$1001,6,FALSE))</f>
        <v/>
      </c>
      <c r="I764" s="12"/>
      <c r="J764" s="12"/>
      <c r="K764" s="12"/>
      <c r="L764" s="12"/>
    </row>
    <row r="765" spans="1:12" ht="16" x14ac:dyDescent="0.2">
      <c r="A765" s="8"/>
      <c r="B765" s="8"/>
      <c r="C765" s="8" t="str">
        <f t="shared" si="22"/>
        <v/>
      </c>
      <c r="D765" s="8" t="str">
        <f t="shared" si="23"/>
        <v/>
      </c>
      <c r="E765" s="12"/>
      <c r="F765" s="12"/>
      <c r="G765" s="12"/>
      <c r="H765" s="12" t="str">
        <f>IF(A765=0,"",VLOOKUP(B765,Materials!$A$2:$E$1001,6,FALSE))</f>
        <v/>
      </c>
      <c r="I765" s="12"/>
      <c r="J765" s="12"/>
      <c r="K765" s="12"/>
      <c r="L765" s="12"/>
    </row>
    <row r="766" spans="1:12" ht="16" x14ac:dyDescent="0.2">
      <c r="A766" s="8"/>
      <c r="B766" s="8"/>
      <c r="C766" s="8" t="str">
        <f t="shared" si="22"/>
        <v/>
      </c>
      <c r="D766" s="8" t="str">
        <f t="shared" si="23"/>
        <v/>
      </c>
      <c r="E766" s="12"/>
      <c r="F766" s="12"/>
      <c r="G766" s="12"/>
      <c r="H766" s="12" t="str">
        <f>IF(A766=0,"",VLOOKUP(B766,Materials!$A$2:$E$1001,6,FALSE))</f>
        <v/>
      </c>
      <c r="I766" s="12"/>
      <c r="J766" s="12"/>
      <c r="K766" s="12"/>
      <c r="L766" s="12"/>
    </row>
    <row r="767" spans="1:12" ht="16" x14ac:dyDescent="0.2">
      <c r="A767" s="8"/>
      <c r="B767" s="8"/>
      <c r="C767" s="8" t="str">
        <f t="shared" si="22"/>
        <v/>
      </c>
      <c r="D767" s="8" t="str">
        <f t="shared" si="23"/>
        <v/>
      </c>
      <c r="E767" s="12"/>
      <c r="F767" s="12"/>
      <c r="G767" s="12"/>
      <c r="H767" s="12" t="str">
        <f>IF(A767=0,"",VLOOKUP(B767,Materials!$A$2:$E$1001,6,FALSE))</f>
        <v/>
      </c>
      <c r="I767" s="12"/>
      <c r="J767" s="12"/>
      <c r="K767" s="12"/>
      <c r="L767" s="12"/>
    </row>
    <row r="768" spans="1:12" ht="16" x14ac:dyDescent="0.2">
      <c r="A768" s="8"/>
      <c r="B768" s="8"/>
      <c r="C768" s="8" t="str">
        <f t="shared" si="22"/>
        <v/>
      </c>
      <c r="D768" s="8" t="str">
        <f t="shared" si="23"/>
        <v/>
      </c>
      <c r="E768" s="12"/>
      <c r="F768" s="12"/>
      <c r="G768" s="12"/>
      <c r="H768" s="12" t="str">
        <f>IF(A768=0,"",VLOOKUP(B768,Materials!$A$2:$E$1001,6,FALSE))</f>
        <v/>
      </c>
      <c r="I768" s="12"/>
      <c r="J768" s="12"/>
      <c r="K768" s="12"/>
      <c r="L768" s="12"/>
    </row>
    <row r="769" spans="1:12" ht="16" x14ac:dyDescent="0.2">
      <c r="A769" s="8"/>
      <c r="B769" s="8"/>
      <c r="C769" s="8" t="str">
        <f t="shared" si="22"/>
        <v/>
      </c>
      <c r="D769" s="8" t="str">
        <f t="shared" si="23"/>
        <v/>
      </c>
      <c r="E769" s="12"/>
      <c r="F769" s="12"/>
      <c r="G769" s="12"/>
      <c r="H769" s="12" t="str">
        <f>IF(A769=0,"",VLOOKUP(B769,Materials!$A$2:$E$1001,6,FALSE))</f>
        <v/>
      </c>
      <c r="I769" s="12"/>
      <c r="J769" s="12"/>
      <c r="K769" s="12"/>
      <c r="L769" s="12"/>
    </row>
    <row r="770" spans="1:12" ht="16" x14ac:dyDescent="0.2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2"/>
      <c r="F770" s="12"/>
      <c r="G770" s="12"/>
      <c r="H770" s="12" t="str">
        <f>IF(A770=0,"",VLOOKUP(B770,Materials!$A$2:$E$1001,6,FALSE))</f>
        <v/>
      </c>
      <c r="I770" s="12"/>
      <c r="J770" s="12"/>
      <c r="K770" s="12"/>
      <c r="L770" s="12"/>
    </row>
    <row r="771" spans="1:12" ht="16" x14ac:dyDescent="0.2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2"/>
      <c r="F771" s="12"/>
      <c r="G771" s="12"/>
      <c r="H771" s="12" t="str">
        <f>IF(A771=0,"",VLOOKUP(B771,Materials!$A$2:$E$1001,6,FALSE))</f>
        <v/>
      </c>
      <c r="I771" s="12"/>
      <c r="J771" s="12"/>
      <c r="K771" s="12"/>
      <c r="L771" s="12"/>
    </row>
    <row r="772" spans="1:12" ht="16" x14ac:dyDescent="0.2">
      <c r="A772" s="8"/>
      <c r="B772" s="8"/>
      <c r="C772" s="8" t="str">
        <f t="shared" si="24"/>
        <v/>
      </c>
      <c r="D772" s="8" t="str">
        <f t="shared" si="25"/>
        <v/>
      </c>
      <c r="E772" s="12"/>
      <c r="F772" s="12"/>
      <c r="G772" s="12"/>
      <c r="H772" s="12" t="str">
        <f>IF(A772=0,"",VLOOKUP(B772,Materials!$A$2:$E$1001,6,FALSE))</f>
        <v/>
      </c>
      <c r="I772" s="12"/>
      <c r="J772" s="12"/>
      <c r="K772" s="12"/>
      <c r="L772" s="12"/>
    </row>
    <row r="773" spans="1:12" ht="16" x14ac:dyDescent="0.2">
      <c r="A773" s="8"/>
      <c r="B773" s="8"/>
      <c r="C773" s="8" t="str">
        <f t="shared" si="24"/>
        <v/>
      </c>
      <c r="D773" s="8" t="str">
        <f t="shared" si="25"/>
        <v/>
      </c>
      <c r="E773" s="12"/>
      <c r="F773" s="12"/>
      <c r="G773" s="12"/>
      <c r="H773" s="12" t="str">
        <f>IF(A773=0,"",VLOOKUP(B773,Materials!$A$2:$E$1001,6,FALSE))</f>
        <v/>
      </c>
      <c r="I773" s="12"/>
      <c r="J773" s="12"/>
      <c r="K773" s="12"/>
      <c r="L773" s="12"/>
    </row>
    <row r="774" spans="1:12" ht="16" x14ac:dyDescent="0.2">
      <c r="A774" s="8"/>
      <c r="B774" s="8"/>
      <c r="C774" s="8" t="str">
        <f t="shared" si="24"/>
        <v/>
      </c>
      <c r="D774" s="8" t="str">
        <f t="shared" si="25"/>
        <v/>
      </c>
      <c r="E774" s="12"/>
      <c r="F774" s="12"/>
      <c r="G774" s="12"/>
      <c r="H774" s="12" t="str">
        <f>IF(A774=0,"",VLOOKUP(B774,Materials!$A$2:$E$1001,6,FALSE))</f>
        <v/>
      </c>
      <c r="I774" s="12"/>
      <c r="J774" s="12"/>
      <c r="K774" s="12"/>
      <c r="L774" s="12"/>
    </row>
    <row r="775" spans="1:12" ht="16" x14ac:dyDescent="0.2">
      <c r="A775" s="8"/>
      <c r="B775" s="8"/>
      <c r="C775" s="8" t="str">
        <f t="shared" si="24"/>
        <v/>
      </c>
      <c r="D775" s="8" t="str">
        <f t="shared" si="25"/>
        <v/>
      </c>
      <c r="E775" s="12"/>
      <c r="F775" s="12"/>
      <c r="G775" s="12"/>
      <c r="H775" s="12" t="str">
        <f>IF(A775=0,"",VLOOKUP(B775,Materials!$A$2:$E$1001,6,FALSE))</f>
        <v/>
      </c>
      <c r="I775" s="12"/>
      <c r="J775" s="12"/>
      <c r="K775" s="12"/>
      <c r="L775" s="12"/>
    </row>
    <row r="776" spans="1:12" ht="16" x14ac:dyDescent="0.2">
      <c r="A776" s="8"/>
      <c r="B776" s="8"/>
      <c r="C776" s="8" t="str">
        <f t="shared" si="24"/>
        <v/>
      </c>
      <c r="D776" s="8" t="str">
        <f t="shared" si="25"/>
        <v/>
      </c>
      <c r="E776" s="12"/>
      <c r="F776" s="12"/>
      <c r="G776" s="12"/>
      <c r="H776" s="12" t="str">
        <f>IF(A776=0,"",VLOOKUP(B776,Materials!$A$2:$E$1001,6,FALSE))</f>
        <v/>
      </c>
      <c r="I776" s="12"/>
      <c r="J776" s="12"/>
      <c r="K776" s="12"/>
      <c r="L776" s="12"/>
    </row>
    <row r="777" spans="1:12" ht="16" x14ac:dyDescent="0.2">
      <c r="A777" s="8"/>
      <c r="B777" s="8"/>
      <c r="C777" s="8" t="str">
        <f t="shared" si="24"/>
        <v/>
      </c>
      <c r="D777" s="8" t="str">
        <f t="shared" si="25"/>
        <v/>
      </c>
      <c r="E777" s="12"/>
      <c r="F777" s="12"/>
      <c r="G777" s="12"/>
      <c r="H777" s="12" t="str">
        <f>IF(A777=0,"",VLOOKUP(B777,Materials!$A$2:$E$1001,6,FALSE))</f>
        <v/>
      </c>
      <c r="I777" s="12"/>
      <c r="J777" s="12"/>
      <c r="K777" s="12"/>
      <c r="L777" s="12"/>
    </row>
    <row r="778" spans="1:12" ht="16" x14ac:dyDescent="0.2">
      <c r="A778" s="8"/>
      <c r="B778" s="8"/>
      <c r="C778" s="8" t="str">
        <f t="shared" si="24"/>
        <v/>
      </c>
      <c r="D778" s="8" t="str">
        <f t="shared" si="25"/>
        <v/>
      </c>
      <c r="E778" s="12"/>
      <c r="F778" s="12"/>
      <c r="G778" s="12"/>
      <c r="H778" s="12" t="str">
        <f>IF(A778=0,"",VLOOKUP(B778,Materials!$A$2:$E$1001,6,FALSE))</f>
        <v/>
      </c>
      <c r="I778" s="12"/>
      <c r="J778" s="12"/>
      <c r="K778" s="12"/>
      <c r="L778" s="12"/>
    </row>
    <row r="779" spans="1:12" ht="16" x14ac:dyDescent="0.2">
      <c r="A779" s="8"/>
      <c r="B779" s="8"/>
      <c r="C779" s="8" t="str">
        <f t="shared" si="24"/>
        <v/>
      </c>
      <c r="D779" s="8" t="str">
        <f t="shared" si="25"/>
        <v/>
      </c>
      <c r="E779" s="12"/>
      <c r="F779" s="12"/>
      <c r="G779" s="12"/>
      <c r="H779" s="12" t="str">
        <f>IF(A779=0,"",VLOOKUP(B779,Materials!$A$2:$E$1001,6,FALSE))</f>
        <v/>
      </c>
      <c r="I779" s="12"/>
      <c r="J779" s="12"/>
      <c r="K779" s="12"/>
      <c r="L779" s="12"/>
    </row>
    <row r="780" spans="1:12" ht="16" x14ac:dyDescent="0.2">
      <c r="A780" s="8"/>
      <c r="B780" s="8"/>
      <c r="C780" s="8" t="str">
        <f t="shared" si="24"/>
        <v/>
      </c>
      <c r="D780" s="8" t="str">
        <f t="shared" si="25"/>
        <v/>
      </c>
      <c r="E780" s="12"/>
      <c r="F780" s="12"/>
      <c r="G780" s="12"/>
      <c r="H780" s="12" t="str">
        <f>IF(A780=0,"",VLOOKUP(B780,Materials!$A$2:$E$1001,6,FALSE))</f>
        <v/>
      </c>
      <c r="I780" s="12"/>
      <c r="J780" s="12"/>
      <c r="K780" s="12"/>
      <c r="L780" s="12"/>
    </row>
    <row r="781" spans="1:12" ht="16" x14ac:dyDescent="0.2">
      <c r="A781" s="8"/>
      <c r="B781" s="8"/>
      <c r="C781" s="8" t="str">
        <f t="shared" si="24"/>
        <v/>
      </c>
      <c r="D781" s="8" t="str">
        <f t="shared" si="25"/>
        <v/>
      </c>
      <c r="E781" s="12"/>
      <c r="F781" s="12"/>
      <c r="G781" s="12"/>
      <c r="H781" s="12" t="str">
        <f>IF(A781=0,"",VLOOKUP(B781,Materials!$A$2:$E$1001,6,FALSE))</f>
        <v/>
      </c>
      <c r="I781" s="12"/>
      <c r="J781" s="12"/>
      <c r="K781" s="12"/>
      <c r="L781" s="12"/>
    </row>
    <row r="782" spans="1:12" ht="16" x14ac:dyDescent="0.2">
      <c r="A782" s="8"/>
      <c r="B782" s="8"/>
      <c r="C782" s="8" t="str">
        <f t="shared" si="24"/>
        <v/>
      </c>
      <c r="D782" s="8" t="str">
        <f t="shared" si="25"/>
        <v/>
      </c>
      <c r="E782" s="12"/>
      <c r="F782" s="12"/>
      <c r="G782" s="12"/>
      <c r="H782" s="12" t="str">
        <f>IF(A782=0,"",VLOOKUP(B782,Materials!$A$2:$E$1001,6,FALSE))</f>
        <v/>
      </c>
      <c r="I782" s="12"/>
      <c r="J782" s="12"/>
      <c r="K782" s="12"/>
      <c r="L782" s="12"/>
    </row>
    <row r="783" spans="1:12" ht="16" x14ac:dyDescent="0.2">
      <c r="A783" s="8"/>
      <c r="B783" s="8"/>
      <c r="C783" s="8" t="str">
        <f t="shared" si="24"/>
        <v/>
      </c>
      <c r="D783" s="8" t="str">
        <f t="shared" si="25"/>
        <v/>
      </c>
      <c r="E783" s="12"/>
      <c r="F783" s="12"/>
      <c r="G783" s="12"/>
      <c r="H783" s="12" t="str">
        <f>IF(A783=0,"",VLOOKUP(B783,Materials!$A$2:$E$1001,6,FALSE))</f>
        <v/>
      </c>
      <c r="I783" s="12"/>
      <c r="J783" s="12"/>
      <c r="K783" s="12"/>
      <c r="L783" s="12"/>
    </row>
    <row r="784" spans="1:12" ht="16" x14ac:dyDescent="0.2">
      <c r="A784" s="8"/>
      <c r="B784" s="8"/>
      <c r="C784" s="8" t="str">
        <f t="shared" si="24"/>
        <v/>
      </c>
      <c r="D784" s="8" t="str">
        <f t="shared" si="25"/>
        <v/>
      </c>
      <c r="E784" s="12"/>
      <c r="F784" s="12"/>
      <c r="G784" s="12"/>
      <c r="H784" s="12" t="str">
        <f>IF(A784=0,"",VLOOKUP(B784,Materials!$A$2:$E$1001,6,FALSE))</f>
        <v/>
      </c>
      <c r="I784" s="12"/>
      <c r="J784" s="12"/>
      <c r="K784" s="12"/>
      <c r="L784" s="12"/>
    </row>
    <row r="785" spans="1:12" ht="16" x14ac:dyDescent="0.2">
      <c r="A785" s="8"/>
      <c r="B785" s="8"/>
      <c r="C785" s="8" t="str">
        <f t="shared" si="24"/>
        <v/>
      </c>
      <c r="D785" s="8" t="str">
        <f t="shared" si="25"/>
        <v/>
      </c>
      <c r="E785" s="12"/>
      <c r="F785" s="12"/>
      <c r="G785" s="12"/>
      <c r="H785" s="12" t="str">
        <f>IF(A785=0,"",VLOOKUP(B785,Materials!$A$2:$E$1001,6,FALSE))</f>
        <v/>
      </c>
      <c r="I785" s="12"/>
      <c r="J785" s="12"/>
      <c r="K785" s="12"/>
      <c r="L785" s="12"/>
    </row>
    <row r="786" spans="1:12" ht="16" x14ac:dyDescent="0.2">
      <c r="A786" s="8"/>
      <c r="B786" s="8"/>
      <c r="C786" s="8" t="str">
        <f t="shared" si="24"/>
        <v/>
      </c>
      <c r="D786" s="8" t="str">
        <f t="shared" si="25"/>
        <v/>
      </c>
      <c r="E786" s="12"/>
      <c r="F786" s="12"/>
      <c r="G786" s="12"/>
      <c r="H786" s="12" t="str">
        <f>IF(A786=0,"",VLOOKUP(B786,Materials!$A$2:$E$1001,6,FALSE))</f>
        <v/>
      </c>
      <c r="I786" s="12"/>
      <c r="J786" s="12"/>
      <c r="K786" s="12"/>
      <c r="L786" s="12"/>
    </row>
    <row r="787" spans="1:12" ht="16" x14ac:dyDescent="0.2">
      <c r="A787" s="8"/>
      <c r="B787" s="8"/>
      <c r="C787" s="8" t="str">
        <f t="shared" si="24"/>
        <v/>
      </c>
      <c r="D787" s="8" t="str">
        <f t="shared" si="25"/>
        <v/>
      </c>
      <c r="E787" s="12"/>
      <c r="F787" s="12"/>
      <c r="G787" s="12"/>
      <c r="H787" s="12" t="str">
        <f>IF(A787=0,"",VLOOKUP(B787,Materials!$A$2:$E$1001,6,FALSE))</f>
        <v/>
      </c>
      <c r="I787" s="12"/>
      <c r="J787" s="12"/>
      <c r="K787" s="12"/>
      <c r="L787" s="12"/>
    </row>
    <row r="788" spans="1:12" ht="16" x14ac:dyDescent="0.2">
      <c r="A788" s="8"/>
      <c r="B788" s="8"/>
      <c r="C788" s="8" t="str">
        <f t="shared" si="24"/>
        <v/>
      </c>
      <c r="D788" s="8" t="str">
        <f t="shared" si="25"/>
        <v/>
      </c>
      <c r="E788" s="12"/>
      <c r="F788" s="12"/>
      <c r="G788" s="12"/>
      <c r="H788" s="12" t="str">
        <f>IF(A788=0,"",VLOOKUP(B788,Materials!$A$2:$E$1001,6,FALSE))</f>
        <v/>
      </c>
      <c r="I788" s="12"/>
      <c r="J788" s="12"/>
      <c r="K788" s="12"/>
      <c r="L788" s="12"/>
    </row>
    <row r="789" spans="1:12" ht="16" x14ac:dyDescent="0.2">
      <c r="A789" s="8"/>
      <c r="B789" s="8"/>
      <c r="C789" s="8" t="str">
        <f t="shared" si="24"/>
        <v/>
      </c>
      <c r="D789" s="8" t="str">
        <f t="shared" si="25"/>
        <v/>
      </c>
      <c r="E789" s="12"/>
      <c r="F789" s="12"/>
      <c r="G789" s="12"/>
      <c r="H789" s="12" t="str">
        <f>IF(A789=0,"",VLOOKUP(B789,Materials!$A$2:$E$1001,6,FALSE))</f>
        <v/>
      </c>
      <c r="I789" s="12"/>
      <c r="J789" s="12"/>
      <c r="K789" s="12"/>
      <c r="L789" s="12"/>
    </row>
    <row r="790" spans="1:12" ht="16" x14ac:dyDescent="0.2">
      <c r="A790" s="8"/>
      <c r="B790" s="8"/>
      <c r="C790" s="8" t="str">
        <f t="shared" si="24"/>
        <v/>
      </c>
      <c r="D790" s="8" t="str">
        <f t="shared" si="25"/>
        <v/>
      </c>
      <c r="E790" s="12"/>
      <c r="F790" s="12"/>
      <c r="G790" s="12"/>
      <c r="H790" s="12" t="str">
        <f>IF(A790=0,"",VLOOKUP(B790,Materials!$A$2:$E$1001,6,FALSE))</f>
        <v/>
      </c>
      <c r="I790" s="12"/>
      <c r="J790" s="12"/>
      <c r="K790" s="12"/>
      <c r="L790" s="12"/>
    </row>
    <row r="791" spans="1:12" ht="16" x14ac:dyDescent="0.2">
      <c r="A791" s="8"/>
      <c r="B791" s="8"/>
      <c r="C791" s="8" t="str">
        <f t="shared" si="24"/>
        <v/>
      </c>
      <c r="D791" s="8" t="str">
        <f t="shared" si="25"/>
        <v/>
      </c>
      <c r="E791" s="12"/>
      <c r="F791" s="12"/>
      <c r="G791" s="12"/>
      <c r="H791" s="12" t="str">
        <f>IF(A791=0,"",VLOOKUP(B791,Materials!$A$2:$E$1001,6,FALSE))</f>
        <v/>
      </c>
      <c r="I791" s="12"/>
      <c r="J791" s="12"/>
      <c r="K791" s="12"/>
      <c r="L791" s="12"/>
    </row>
    <row r="792" spans="1:12" ht="16" x14ac:dyDescent="0.2">
      <c r="A792" s="8"/>
      <c r="B792" s="8"/>
      <c r="C792" s="8" t="str">
        <f t="shared" si="24"/>
        <v/>
      </c>
      <c r="D792" s="8" t="str">
        <f t="shared" si="25"/>
        <v/>
      </c>
      <c r="E792" s="12"/>
      <c r="F792" s="12"/>
      <c r="G792" s="12"/>
      <c r="H792" s="12" t="str">
        <f>IF(A792=0,"",VLOOKUP(B792,Materials!$A$2:$E$1001,6,FALSE))</f>
        <v/>
      </c>
      <c r="I792" s="12"/>
      <c r="J792" s="12"/>
      <c r="K792" s="12"/>
      <c r="L792" s="12"/>
    </row>
    <row r="793" spans="1:12" ht="16" x14ac:dyDescent="0.2">
      <c r="A793" s="8"/>
      <c r="B793" s="8"/>
      <c r="C793" s="8" t="str">
        <f t="shared" si="24"/>
        <v/>
      </c>
      <c r="D793" s="8" t="str">
        <f t="shared" si="25"/>
        <v/>
      </c>
      <c r="E793" s="12"/>
      <c r="F793" s="12"/>
      <c r="G793" s="12"/>
      <c r="H793" s="12" t="str">
        <f>IF(A793=0,"",VLOOKUP(B793,Materials!$A$2:$E$1001,6,FALSE))</f>
        <v/>
      </c>
      <c r="I793" s="12"/>
      <c r="J793" s="12"/>
      <c r="K793" s="12"/>
      <c r="L793" s="12"/>
    </row>
    <row r="794" spans="1:12" ht="16" x14ac:dyDescent="0.2">
      <c r="A794" s="8"/>
      <c r="B794" s="8"/>
      <c r="C794" s="8" t="str">
        <f t="shared" si="24"/>
        <v/>
      </c>
      <c r="D794" s="8" t="str">
        <f t="shared" si="25"/>
        <v/>
      </c>
      <c r="E794" s="12"/>
      <c r="F794" s="12"/>
      <c r="G794" s="12"/>
      <c r="H794" s="12" t="str">
        <f>IF(A794=0,"",VLOOKUP(B794,Materials!$A$2:$E$1001,6,FALSE))</f>
        <v/>
      </c>
      <c r="I794" s="12"/>
      <c r="J794" s="12"/>
      <c r="K794" s="12"/>
      <c r="L794" s="12"/>
    </row>
    <row r="795" spans="1:12" ht="16" x14ac:dyDescent="0.2">
      <c r="A795" s="8"/>
      <c r="B795" s="8"/>
      <c r="C795" s="8" t="str">
        <f t="shared" si="24"/>
        <v/>
      </c>
      <c r="D795" s="8" t="str">
        <f t="shared" si="25"/>
        <v/>
      </c>
      <c r="E795" s="12"/>
      <c r="F795" s="12"/>
      <c r="G795" s="12"/>
      <c r="H795" s="12" t="str">
        <f>IF(A795=0,"",VLOOKUP(B795,Materials!$A$2:$E$1001,6,FALSE))</f>
        <v/>
      </c>
      <c r="I795" s="12"/>
      <c r="J795" s="12"/>
      <c r="K795" s="12"/>
      <c r="L795" s="12"/>
    </row>
    <row r="796" spans="1:12" ht="16" x14ac:dyDescent="0.2">
      <c r="A796" s="8"/>
      <c r="B796" s="8"/>
      <c r="C796" s="8" t="str">
        <f t="shared" si="24"/>
        <v/>
      </c>
      <c r="D796" s="8" t="str">
        <f t="shared" si="25"/>
        <v/>
      </c>
      <c r="E796" s="12"/>
      <c r="F796" s="12"/>
      <c r="G796" s="12"/>
      <c r="H796" s="12" t="str">
        <f>IF(A796=0,"",VLOOKUP(B796,Materials!$A$2:$E$1001,6,FALSE))</f>
        <v/>
      </c>
      <c r="I796" s="12"/>
      <c r="J796" s="12"/>
      <c r="K796" s="12"/>
      <c r="L796" s="12"/>
    </row>
    <row r="797" spans="1:12" ht="16" x14ac:dyDescent="0.2">
      <c r="A797" s="8"/>
      <c r="B797" s="8"/>
      <c r="C797" s="8" t="str">
        <f t="shared" si="24"/>
        <v/>
      </c>
      <c r="D797" s="8" t="str">
        <f t="shared" si="25"/>
        <v/>
      </c>
      <c r="E797" s="12"/>
      <c r="F797" s="12"/>
      <c r="G797" s="12"/>
      <c r="H797" s="12" t="str">
        <f>IF(A797=0,"",VLOOKUP(B797,Materials!$A$2:$E$1001,6,FALSE))</f>
        <v/>
      </c>
      <c r="I797" s="12"/>
      <c r="J797" s="12"/>
      <c r="K797" s="12"/>
      <c r="L797" s="12"/>
    </row>
    <row r="798" spans="1:12" ht="16" x14ac:dyDescent="0.2">
      <c r="A798" s="8"/>
      <c r="B798" s="8"/>
      <c r="C798" s="8" t="str">
        <f t="shared" si="24"/>
        <v/>
      </c>
      <c r="D798" s="8" t="str">
        <f t="shared" si="25"/>
        <v/>
      </c>
      <c r="E798" s="12"/>
      <c r="F798" s="12"/>
      <c r="G798" s="12"/>
      <c r="H798" s="12" t="str">
        <f>IF(A798=0,"",VLOOKUP(B798,Materials!$A$2:$E$1001,6,FALSE))</f>
        <v/>
      </c>
      <c r="I798" s="12"/>
      <c r="J798" s="12"/>
      <c r="K798" s="12"/>
      <c r="L798" s="12"/>
    </row>
    <row r="799" spans="1:12" ht="16" x14ac:dyDescent="0.2">
      <c r="A799" s="8"/>
      <c r="B799" s="8"/>
      <c r="C799" s="8" t="str">
        <f t="shared" si="24"/>
        <v/>
      </c>
      <c r="D799" s="8" t="str">
        <f t="shared" si="25"/>
        <v/>
      </c>
      <c r="E799" s="12"/>
      <c r="F799" s="12"/>
      <c r="G799" s="12"/>
      <c r="H799" s="12" t="str">
        <f>IF(A799=0,"",VLOOKUP(B799,Materials!$A$2:$E$1001,6,FALSE))</f>
        <v/>
      </c>
      <c r="I799" s="12"/>
      <c r="J799" s="12"/>
      <c r="K799" s="12"/>
      <c r="L799" s="12"/>
    </row>
    <row r="800" spans="1:12" ht="16" x14ac:dyDescent="0.2">
      <c r="A800" s="8"/>
      <c r="B800" s="8"/>
      <c r="C800" s="8" t="str">
        <f t="shared" si="24"/>
        <v/>
      </c>
      <c r="D800" s="8" t="str">
        <f t="shared" si="25"/>
        <v/>
      </c>
      <c r="E800" s="12"/>
      <c r="F800" s="12"/>
      <c r="G800" s="12"/>
      <c r="H800" s="12" t="str">
        <f>IF(A800=0,"",VLOOKUP(B800,Materials!$A$2:$E$1001,6,FALSE))</f>
        <v/>
      </c>
      <c r="I800" s="12"/>
      <c r="J800" s="12"/>
      <c r="K800" s="12"/>
      <c r="L800" s="12"/>
    </row>
    <row r="801" spans="1:12" ht="16" x14ac:dyDescent="0.2">
      <c r="A801" s="8"/>
      <c r="B801" s="8"/>
      <c r="C801" s="8" t="str">
        <f t="shared" si="24"/>
        <v/>
      </c>
      <c r="D801" s="8" t="str">
        <f t="shared" si="25"/>
        <v/>
      </c>
      <c r="E801" s="12"/>
      <c r="F801" s="12"/>
      <c r="G801" s="12"/>
      <c r="H801" s="12" t="str">
        <f>IF(A801=0,"",VLOOKUP(B801,Materials!$A$2:$E$1001,6,FALSE))</f>
        <v/>
      </c>
      <c r="I801" s="12"/>
      <c r="J801" s="12"/>
      <c r="K801" s="12"/>
      <c r="L801" s="12"/>
    </row>
    <row r="802" spans="1:12" ht="16" x14ac:dyDescent="0.2">
      <c r="A802" s="8"/>
      <c r="B802" s="8"/>
      <c r="C802" s="8" t="str">
        <f t="shared" si="24"/>
        <v/>
      </c>
      <c r="D802" s="8" t="str">
        <f t="shared" si="25"/>
        <v/>
      </c>
      <c r="E802" s="12"/>
      <c r="F802" s="12"/>
      <c r="G802" s="12"/>
      <c r="H802" s="12" t="str">
        <f>IF(A802=0,"",VLOOKUP(B802,Materials!$A$2:$E$1001,6,FALSE))</f>
        <v/>
      </c>
      <c r="I802" s="12"/>
      <c r="J802" s="12"/>
      <c r="K802" s="12"/>
      <c r="L802" s="12"/>
    </row>
    <row r="803" spans="1:12" ht="16" x14ac:dyDescent="0.2">
      <c r="A803" s="8"/>
      <c r="B803" s="8"/>
      <c r="C803" s="8" t="str">
        <f t="shared" si="24"/>
        <v/>
      </c>
      <c r="D803" s="8" t="str">
        <f t="shared" si="25"/>
        <v/>
      </c>
      <c r="E803" s="12"/>
      <c r="F803" s="12"/>
      <c r="G803" s="12"/>
      <c r="H803" s="12" t="str">
        <f>IF(A803=0,"",VLOOKUP(B803,Materials!$A$2:$E$1001,6,FALSE))</f>
        <v/>
      </c>
      <c r="I803" s="12"/>
      <c r="J803" s="12"/>
      <c r="K803" s="12"/>
      <c r="L803" s="12"/>
    </row>
    <row r="804" spans="1:12" ht="16" x14ac:dyDescent="0.2">
      <c r="A804" s="8"/>
      <c r="B804" s="8"/>
      <c r="C804" s="8" t="str">
        <f t="shared" si="24"/>
        <v/>
      </c>
      <c r="D804" s="8" t="str">
        <f t="shared" si="25"/>
        <v/>
      </c>
      <c r="E804" s="12"/>
      <c r="F804" s="12"/>
      <c r="G804" s="12"/>
      <c r="H804" s="12" t="str">
        <f>IF(A804=0,"",VLOOKUP(B804,Materials!$A$2:$E$1001,6,FALSE))</f>
        <v/>
      </c>
      <c r="I804" s="12"/>
      <c r="J804" s="12"/>
      <c r="K804" s="12"/>
      <c r="L804" s="12"/>
    </row>
    <row r="805" spans="1:12" ht="16" x14ac:dyDescent="0.2">
      <c r="A805" s="8"/>
      <c r="B805" s="8"/>
      <c r="C805" s="8" t="str">
        <f t="shared" si="24"/>
        <v/>
      </c>
      <c r="D805" s="8" t="str">
        <f t="shared" si="25"/>
        <v/>
      </c>
      <c r="E805" s="12"/>
      <c r="F805" s="12"/>
      <c r="G805" s="12"/>
      <c r="H805" s="12" t="str">
        <f>IF(A805=0,"",VLOOKUP(B805,Materials!$A$2:$E$1001,6,FALSE))</f>
        <v/>
      </c>
      <c r="I805" s="12"/>
      <c r="J805" s="12"/>
      <c r="K805" s="12"/>
      <c r="L805" s="12"/>
    </row>
    <row r="806" spans="1:12" ht="16" x14ac:dyDescent="0.2">
      <c r="A806" s="8"/>
      <c r="B806" s="8"/>
      <c r="C806" s="8" t="str">
        <f t="shared" si="24"/>
        <v/>
      </c>
      <c r="D806" s="8" t="str">
        <f t="shared" si="25"/>
        <v/>
      </c>
      <c r="E806" s="12"/>
      <c r="F806" s="12"/>
      <c r="G806" s="12"/>
      <c r="H806" s="12" t="str">
        <f>IF(A806=0,"",VLOOKUP(B806,Materials!$A$2:$E$1001,6,FALSE))</f>
        <v/>
      </c>
      <c r="I806" s="12"/>
      <c r="J806" s="12"/>
      <c r="K806" s="12"/>
      <c r="L806" s="12"/>
    </row>
    <row r="807" spans="1:12" ht="16" x14ac:dyDescent="0.2">
      <c r="A807" s="8"/>
      <c r="B807" s="8"/>
      <c r="C807" s="8" t="str">
        <f t="shared" si="24"/>
        <v/>
      </c>
      <c r="D807" s="8" t="str">
        <f t="shared" si="25"/>
        <v/>
      </c>
      <c r="E807" s="12"/>
      <c r="F807" s="12"/>
      <c r="G807" s="12"/>
      <c r="H807" s="12" t="str">
        <f>IF(A807=0,"",VLOOKUP(B807,Materials!$A$2:$E$1001,6,FALSE))</f>
        <v/>
      </c>
      <c r="I807" s="12"/>
      <c r="J807" s="12"/>
      <c r="K807" s="12"/>
      <c r="L807" s="12"/>
    </row>
    <row r="808" spans="1:12" ht="16" x14ac:dyDescent="0.2">
      <c r="A808" s="8"/>
      <c r="B808" s="8"/>
      <c r="C808" s="8" t="str">
        <f t="shared" si="24"/>
        <v/>
      </c>
      <c r="D808" s="8" t="str">
        <f t="shared" si="25"/>
        <v/>
      </c>
      <c r="E808" s="12"/>
      <c r="F808" s="12"/>
      <c r="G808" s="12"/>
      <c r="H808" s="12" t="str">
        <f>IF(A808=0,"",VLOOKUP(B808,Materials!$A$2:$E$1001,6,FALSE))</f>
        <v/>
      </c>
      <c r="I808" s="12"/>
      <c r="J808" s="12"/>
      <c r="K808" s="12"/>
      <c r="L808" s="12"/>
    </row>
    <row r="809" spans="1:12" ht="16" x14ac:dyDescent="0.2">
      <c r="A809" s="8"/>
      <c r="B809" s="8"/>
      <c r="C809" s="8" t="str">
        <f t="shared" si="24"/>
        <v/>
      </c>
      <c r="D809" s="8" t="str">
        <f t="shared" si="25"/>
        <v/>
      </c>
      <c r="E809" s="12"/>
      <c r="F809" s="12"/>
      <c r="G809" s="12"/>
      <c r="H809" s="12" t="str">
        <f>IF(A809=0,"",VLOOKUP(B809,Materials!$A$2:$E$1001,6,FALSE))</f>
        <v/>
      </c>
      <c r="I809" s="12"/>
      <c r="J809" s="12"/>
      <c r="K809" s="12"/>
      <c r="L809" s="12"/>
    </row>
    <row r="810" spans="1:12" ht="16" x14ac:dyDescent="0.2">
      <c r="A810" s="8"/>
      <c r="B810" s="8"/>
      <c r="C810" s="8" t="str">
        <f t="shared" si="24"/>
        <v/>
      </c>
      <c r="D810" s="8" t="str">
        <f t="shared" si="25"/>
        <v/>
      </c>
      <c r="E810" s="12"/>
      <c r="F810" s="12"/>
      <c r="G810" s="12"/>
      <c r="H810" s="12" t="str">
        <f>IF(A810=0,"",VLOOKUP(B810,Materials!$A$2:$E$1001,6,FALSE))</f>
        <v/>
      </c>
      <c r="I810" s="12"/>
      <c r="J810" s="12"/>
      <c r="K810" s="12"/>
      <c r="L810" s="12"/>
    </row>
    <row r="811" spans="1:12" ht="16" x14ac:dyDescent="0.2">
      <c r="A811" s="8"/>
      <c r="B811" s="8"/>
      <c r="C811" s="8" t="str">
        <f t="shared" si="24"/>
        <v/>
      </c>
      <c r="D811" s="8" t="str">
        <f t="shared" si="25"/>
        <v/>
      </c>
      <c r="E811" s="12"/>
      <c r="F811" s="12"/>
      <c r="G811" s="12"/>
      <c r="H811" s="12" t="str">
        <f>IF(A811=0,"",VLOOKUP(B811,Materials!$A$2:$E$1001,6,FALSE))</f>
        <v/>
      </c>
      <c r="I811" s="12"/>
      <c r="J811" s="12"/>
      <c r="K811" s="12"/>
      <c r="L811" s="12"/>
    </row>
    <row r="812" spans="1:12" ht="16" x14ac:dyDescent="0.2">
      <c r="A812" s="8"/>
      <c r="B812" s="8"/>
      <c r="C812" s="8" t="str">
        <f t="shared" si="24"/>
        <v/>
      </c>
      <c r="D812" s="8" t="str">
        <f t="shared" si="25"/>
        <v/>
      </c>
      <c r="E812" s="12"/>
      <c r="F812" s="12"/>
      <c r="G812" s="12"/>
      <c r="H812" s="12" t="str">
        <f>IF(A812=0,"",VLOOKUP(B812,Materials!$A$2:$E$1001,6,FALSE))</f>
        <v/>
      </c>
      <c r="I812" s="12"/>
      <c r="J812" s="12"/>
      <c r="K812" s="12"/>
      <c r="L812" s="12"/>
    </row>
    <row r="813" spans="1:12" ht="16" x14ac:dyDescent="0.2">
      <c r="A813" s="8"/>
      <c r="B813" s="8"/>
      <c r="C813" s="8" t="str">
        <f t="shared" si="24"/>
        <v/>
      </c>
      <c r="D813" s="8" t="str">
        <f t="shared" si="25"/>
        <v/>
      </c>
      <c r="E813" s="12"/>
      <c r="F813" s="12"/>
      <c r="G813" s="12"/>
      <c r="H813" s="12" t="str">
        <f>IF(A813=0,"",VLOOKUP(B813,Materials!$A$2:$E$1001,6,FALSE))</f>
        <v/>
      </c>
      <c r="I813" s="12"/>
      <c r="J813" s="12"/>
      <c r="K813" s="12"/>
      <c r="L813" s="12"/>
    </row>
    <row r="814" spans="1:12" ht="16" x14ac:dyDescent="0.2">
      <c r="A814" s="8"/>
      <c r="B814" s="8"/>
      <c r="C814" s="8" t="str">
        <f t="shared" si="24"/>
        <v/>
      </c>
      <c r="D814" s="8" t="str">
        <f t="shared" si="25"/>
        <v/>
      </c>
      <c r="E814" s="12"/>
      <c r="F814" s="12"/>
      <c r="G814" s="12"/>
      <c r="H814" s="12" t="str">
        <f>IF(A814=0,"",VLOOKUP(B814,Materials!$A$2:$E$1001,6,FALSE))</f>
        <v/>
      </c>
      <c r="I814" s="12"/>
      <c r="J814" s="12"/>
      <c r="K814" s="12"/>
      <c r="L814" s="12"/>
    </row>
    <row r="815" spans="1:12" ht="16" x14ac:dyDescent="0.2">
      <c r="A815" s="8"/>
      <c r="B815" s="8"/>
      <c r="C815" s="8" t="str">
        <f t="shared" si="24"/>
        <v/>
      </c>
      <c r="D815" s="8" t="str">
        <f t="shared" si="25"/>
        <v/>
      </c>
      <c r="E815" s="12"/>
      <c r="F815" s="12"/>
      <c r="G815" s="12"/>
      <c r="H815" s="12" t="str">
        <f>IF(A815=0,"",VLOOKUP(B815,Materials!$A$2:$E$1001,6,FALSE))</f>
        <v/>
      </c>
      <c r="I815" s="12"/>
      <c r="J815" s="12"/>
      <c r="K815" s="12"/>
      <c r="L815" s="12"/>
    </row>
    <row r="816" spans="1:12" ht="16" x14ac:dyDescent="0.2">
      <c r="A816" s="8"/>
      <c r="B816" s="8"/>
      <c r="C816" s="8" t="str">
        <f t="shared" si="24"/>
        <v/>
      </c>
      <c r="D816" s="8" t="str">
        <f t="shared" si="25"/>
        <v/>
      </c>
      <c r="E816" s="12"/>
      <c r="F816" s="12"/>
      <c r="G816" s="12"/>
      <c r="H816" s="12" t="str">
        <f>IF(A816=0,"",VLOOKUP(B816,Materials!$A$2:$E$1001,6,FALSE))</f>
        <v/>
      </c>
      <c r="I816" s="12"/>
      <c r="J816" s="12"/>
      <c r="K816" s="12"/>
      <c r="L816" s="12"/>
    </row>
    <row r="817" spans="1:12" ht="16" x14ac:dyDescent="0.2">
      <c r="A817" s="8"/>
      <c r="B817" s="8"/>
      <c r="C817" s="8" t="str">
        <f t="shared" si="24"/>
        <v/>
      </c>
      <c r="D817" s="8" t="str">
        <f t="shared" si="25"/>
        <v/>
      </c>
      <c r="E817" s="12"/>
      <c r="F817" s="12"/>
      <c r="G817" s="12"/>
      <c r="H817" s="12" t="str">
        <f>IF(A817=0,"",VLOOKUP(B817,Materials!$A$2:$E$1001,6,FALSE))</f>
        <v/>
      </c>
      <c r="I817" s="12"/>
      <c r="J817" s="12"/>
      <c r="K817" s="12"/>
      <c r="L817" s="12"/>
    </row>
    <row r="818" spans="1:12" ht="16" x14ac:dyDescent="0.2">
      <c r="A818" s="8"/>
      <c r="B818" s="8"/>
      <c r="C818" s="8" t="str">
        <f t="shared" si="24"/>
        <v/>
      </c>
      <c r="D818" s="8" t="str">
        <f t="shared" si="25"/>
        <v/>
      </c>
      <c r="E818" s="12"/>
      <c r="F818" s="12"/>
      <c r="G818" s="12"/>
      <c r="H818" s="12" t="str">
        <f>IF(A818=0,"",VLOOKUP(B818,Materials!$A$2:$E$1001,6,FALSE))</f>
        <v/>
      </c>
      <c r="I818" s="12"/>
      <c r="J818" s="12"/>
      <c r="K818" s="12"/>
      <c r="L818" s="12"/>
    </row>
    <row r="819" spans="1:12" ht="16" x14ac:dyDescent="0.2">
      <c r="A819" s="8"/>
      <c r="B819" s="8"/>
      <c r="C819" s="8" t="str">
        <f t="shared" si="24"/>
        <v/>
      </c>
      <c r="D819" s="8" t="str">
        <f t="shared" si="25"/>
        <v/>
      </c>
      <c r="E819" s="12"/>
      <c r="F819" s="12"/>
      <c r="G819" s="12"/>
      <c r="H819" s="12" t="str">
        <f>IF(A819=0,"",VLOOKUP(B819,Materials!$A$2:$E$1001,6,FALSE))</f>
        <v/>
      </c>
      <c r="I819" s="12"/>
      <c r="J819" s="12"/>
      <c r="K819" s="12"/>
      <c r="L819" s="12"/>
    </row>
    <row r="820" spans="1:12" ht="16" x14ac:dyDescent="0.2">
      <c r="A820" s="8"/>
      <c r="B820" s="8"/>
      <c r="C820" s="8" t="str">
        <f t="shared" si="24"/>
        <v/>
      </c>
      <c r="D820" s="8" t="str">
        <f t="shared" si="25"/>
        <v/>
      </c>
      <c r="E820" s="12"/>
      <c r="F820" s="12"/>
      <c r="G820" s="12"/>
      <c r="H820" s="12" t="str">
        <f>IF(A820=0,"",VLOOKUP(B820,Materials!$A$2:$E$1001,6,FALSE))</f>
        <v/>
      </c>
      <c r="I820" s="12"/>
      <c r="J820" s="12"/>
      <c r="K820" s="12"/>
      <c r="L820" s="12"/>
    </row>
    <row r="821" spans="1:12" ht="16" x14ac:dyDescent="0.2">
      <c r="A821" s="8"/>
      <c r="B821" s="8"/>
      <c r="C821" s="8" t="str">
        <f t="shared" si="24"/>
        <v/>
      </c>
      <c r="D821" s="8" t="str">
        <f t="shared" si="25"/>
        <v/>
      </c>
      <c r="E821" s="12"/>
      <c r="F821" s="12"/>
      <c r="G821" s="12"/>
      <c r="H821" s="12" t="str">
        <f>IF(A821=0,"",VLOOKUP(B821,Materials!$A$2:$E$1001,6,FALSE))</f>
        <v/>
      </c>
      <c r="I821" s="12"/>
      <c r="J821" s="12"/>
      <c r="K821" s="12"/>
      <c r="L821" s="12"/>
    </row>
    <row r="822" spans="1:12" ht="16" x14ac:dyDescent="0.2">
      <c r="A822" s="8"/>
      <c r="B822" s="8"/>
      <c r="C822" s="8" t="str">
        <f t="shared" si="24"/>
        <v/>
      </c>
      <c r="D822" s="8" t="str">
        <f t="shared" si="25"/>
        <v/>
      </c>
      <c r="E822" s="12"/>
      <c r="F822" s="12"/>
      <c r="G822" s="12"/>
      <c r="H822" s="12" t="str">
        <f>IF(A822=0,"",VLOOKUP(B822,Materials!$A$2:$E$1001,6,FALSE))</f>
        <v/>
      </c>
      <c r="I822" s="12"/>
      <c r="J822" s="12"/>
      <c r="K822" s="12"/>
      <c r="L822" s="12"/>
    </row>
    <row r="823" spans="1:12" ht="16" x14ac:dyDescent="0.2">
      <c r="A823" s="8"/>
      <c r="B823" s="8"/>
      <c r="C823" s="8" t="str">
        <f t="shared" si="24"/>
        <v/>
      </c>
      <c r="D823" s="8" t="str">
        <f t="shared" si="25"/>
        <v/>
      </c>
      <c r="E823" s="12"/>
      <c r="F823" s="12"/>
      <c r="G823" s="12"/>
      <c r="H823" s="12" t="str">
        <f>IF(A823=0,"",VLOOKUP(B823,Materials!$A$2:$E$1001,6,FALSE))</f>
        <v/>
      </c>
      <c r="I823" s="12"/>
      <c r="J823" s="12"/>
      <c r="K823" s="12"/>
      <c r="L823" s="12"/>
    </row>
    <row r="824" spans="1:12" ht="16" x14ac:dyDescent="0.2">
      <c r="A824" s="8"/>
      <c r="B824" s="8"/>
      <c r="C824" s="8" t="str">
        <f t="shared" si="24"/>
        <v/>
      </c>
      <c r="D824" s="8" t="str">
        <f t="shared" si="25"/>
        <v/>
      </c>
      <c r="E824" s="12"/>
      <c r="F824" s="12"/>
      <c r="G824" s="12"/>
      <c r="H824" s="12" t="str">
        <f>IF(A824=0,"",VLOOKUP(B824,Materials!$A$2:$E$1001,6,FALSE))</f>
        <v/>
      </c>
      <c r="I824" s="12"/>
      <c r="J824" s="12"/>
      <c r="K824" s="12"/>
      <c r="L824" s="12"/>
    </row>
    <row r="825" spans="1:12" ht="16" x14ac:dyDescent="0.2">
      <c r="A825" s="8"/>
      <c r="B825" s="8"/>
      <c r="C825" s="8" t="str">
        <f t="shared" si="24"/>
        <v/>
      </c>
      <c r="D825" s="8" t="str">
        <f t="shared" si="25"/>
        <v/>
      </c>
      <c r="E825" s="12"/>
      <c r="F825" s="12"/>
      <c r="G825" s="12"/>
      <c r="H825" s="12" t="str">
        <f>IF(A825=0,"",VLOOKUP(B825,Materials!$A$2:$E$1001,6,FALSE))</f>
        <v/>
      </c>
      <c r="I825" s="12"/>
      <c r="J825" s="12"/>
      <c r="K825" s="12"/>
      <c r="L825" s="12"/>
    </row>
    <row r="826" spans="1:12" ht="16" x14ac:dyDescent="0.2">
      <c r="A826" s="8"/>
      <c r="B826" s="8"/>
      <c r="C826" s="8" t="str">
        <f t="shared" si="24"/>
        <v/>
      </c>
      <c r="D826" s="8" t="str">
        <f t="shared" si="25"/>
        <v/>
      </c>
      <c r="E826" s="12"/>
      <c r="F826" s="12"/>
      <c r="G826" s="12"/>
      <c r="H826" s="12" t="str">
        <f>IF(A826=0,"",VLOOKUP(B826,Materials!$A$2:$E$1001,6,FALSE))</f>
        <v/>
      </c>
      <c r="I826" s="12"/>
      <c r="J826" s="12"/>
      <c r="K826" s="12"/>
      <c r="L826" s="12"/>
    </row>
    <row r="827" spans="1:12" ht="16" x14ac:dyDescent="0.2">
      <c r="A827" s="8"/>
      <c r="B827" s="8"/>
      <c r="C827" s="8" t="str">
        <f t="shared" si="24"/>
        <v/>
      </c>
      <c r="D827" s="8" t="str">
        <f t="shared" si="25"/>
        <v/>
      </c>
      <c r="E827" s="12"/>
      <c r="F827" s="12"/>
      <c r="G827" s="12"/>
      <c r="H827" s="12" t="str">
        <f>IF(A827=0,"",VLOOKUP(B827,Materials!$A$2:$E$1001,6,FALSE))</f>
        <v/>
      </c>
      <c r="I827" s="12"/>
      <c r="J827" s="12"/>
      <c r="K827" s="12"/>
      <c r="L827" s="12"/>
    </row>
    <row r="828" spans="1:12" ht="16" x14ac:dyDescent="0.2">
      <c r="A828" s="8"/>
      <c r="B828" s="8"/>
      <c r="C828" s="8" t="str">
        <f t="shared" si="24"/>
        <v/>
      </c>
      <c r="D828" s="8" t="str">
        <f t="shared" si="25"/>
        <v/>
      </c>
      <c r="E828" s="12"/>
      <c r="F828" s="12"/>
      <c r="G828" s="12"/>
      <c r="H828" s="12" t="str">
        <f>IF(A828=0,"",VLOOKUP(B828,Materials!$A$2:$E$1001,6,FALSE))</f>
        <v/>
      </c>
      <c r="I828" s="12"/>
      <c r="J828" s="12"/>
      <c r="K828" s="12"/>
      <c r="L828" s="12"/>
    </row>
    <row r="829" spans="1:12" ht="16" x14ac:dyDescent="0.2">
      <c r="A829" s="8"/>
      <c r="B829" s="8"/>
      <c r="C829" s="8" t="str">
        <f t="shared" si="24"/>
        <v/>
      </c>
      <c r="D829" s="8" t="str">
        <f t="shared" si="25"/>
        <v/>
      </c>
      <c r="E829" s="12"/>
      <c r="F829" s="12"/>
      <c r="G829" s="12"/>
      <c r="H829" s="12" t="str">
        <f>IF(A829=0,"",VLOOKUP(B829,Materials!$A$2:$E$1001,6,FALSE))</f>
        <v/>
      </c>
      <c r="I829" s="12"/>
      <c r="J829" s="12"/>
      <c r="K829" s="12"/>
      <c r="L829" s="12"/>
    </row>
    <row r="830" spans="1:12" ht="16" x14ac:dyDescent="0.2">
      <c r="A830" s="8"/>
      <c r="B830" s="8"/>
      <c r="C830" s="8" t="str">
        <f t="shared" si="24"/>
        <v/>
      </c>
      <c r="D830" s="8" t="str">
        <f t="shared" si="25"/>
        <v/>
      </c>
      <c r="E830" s="12"/>
      <c r="F830" s="12"/>
      <c r="G830" s="12"/>
      <c r="H830" s="12" t="str">
        <f>IF(A830=0,"",VLOOKUP(B830,Materials!$A$2:$E$1001,6,FALSE))</f>
        <v/>
      </c>
      <c r="I830" s="12"/>
      <c r="J830" s="12"/>
      <c r="K830" s="12"/>
      <c r="L830" s="12"/>
    </row>
    <row r="831" spans="1:12" ht="16" x14ac:dyDescent="0.2">
      <c r="A831" s="8"/>
      <c r="B831" s="8"/>
      <c r="C831" s="8" t="str">
        <f t="shared" si="24"/>
        <v/>
      </c>
      <c r="D831" s="8" t="str">
        <f t="shared" si="25"/>
        <v/>
      </c>
      <c r="E831" s="12"/>
      <c r="F831" s="12"/>
      <c r="G831" s="12"/>
      <c r="H831" s="12" t="str">
        <f>IF(A831=0,"",VLOOKUP(B831,Materials!$A$2:$E$1001,6,FALSE))</f>
        <v/>
      </c>
      <c r="I831" s="12"/>
      <c r="J831" s="12"/>
      <c r="K831" s="12"/>
      <c r="L831" s="12"/>
    </row>
    <row r="832" spans="1:12" ht="16" x14ac:dyDescent="0.2">
      <c r="A832" s="8"/>
      <c r="B832" s="8"/>
      <c r="C832" s="8" t="str">
        <f t="shared" si="24"/>
        <v/>
      </c>
      <c r="D832" s="8" t="str">
        <f t="shared" si="25"/>
        <v/>
      </c>
      <c r="E832" s="12"/>
      <c r="F832" s="12"/>
      <c r="G832" s="12"/>
      <c r="H832" s="12" t="str">
        <f>IF(A832=0,"",VLOOKUP(B832,Materials!$A$2:$E$1001,6,FALSE))</f>
        <v/>
      </c>
      <c r="I832" s="12"/>
      <c r="J832" s="12"/>
      <c r="K832" s="12"/>
      <c r="L832" s="12"/>
    </row>
    <row r="833" spans="1:12" ht="16" x14ac:dyDescent="0.2">
      <c r="A833" s="8"/>
      <c r="B833" s="8"/>
      <c r="C833" s="8" t="str">
        <f t="shared" si="24"/>
        <v/>
      </c>
      <c r="D833" s="8" t="str">
        <f t="shared" si="25"/>
        <v/>
      </c>
      <c r="E833" s="12"/>
      <c r="F833" s="12"/>
      <c r="G833" s="12"/>
      <c r="H833" s="12" t="str">
        <f>IF(A833=0,"",VLOOKUP(B833,Materials!$A$2:$E$1001,6,FALSE))</f>
        <v/>
      </c>
      <c r="I833" s="12"/>
      <c r="J833" s="12"/>
      <c r="K833" s="12"/>
      <c r="L833" s="12"/>
    </row>
    <row r="834" spans="1:12" ht="16" x14ac:dyDescent="0.2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2"/>
      <c r="F834" s="12"/>
      <c r="G834" s="12"/>
      <c r="H834" s="12" t="str">
        <f>IF(A834=0,"",VLOOKUP(B834,Materials!$A$2:$E$1001,6,FALSE))</f>
        <v/>
      </c>
      <c r="I834" s="12"/>
      <c r="J834" s="12"/>
      <c r="K834" s="12"/>
      <c r="L834" s="12"/>
    </row>
    <row r="835" spans="1:12" ht="16" x14ac:dyDescent="0.2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2"/>
      <c r="F835" s="12"/>
      <c r="G835" s="12"/>
      <c r="H835" s="12" t="str">
        <f>IF(A835=0,"",VLOOKUP(B835,Materials!$A$2:$E$1001,6,FALSE))</f>
        <v/>
      </c>
      <c r="I835" s="12"/>
      <c r="J835" s="12"/>
      <c r="K835" s="12"/>
      <c r="L835" s="12"/>
    </row>
    <row r="836" spans="1:12" ht="16" x14ac:dyDescent="0.2">
      <c r="A836" s="8"/>
      <c r="B836" s="8"/>
      <c r="C836" s="8" t="str">
        <f t="shared" si="26"/>
        <v/>
      </c>
      <c r="D836" s="8" t="str">
        <f t="shared" si="27"/>
        <v/>
      </c>
      <c r="E836" s="12"/>
      <c r="F836" s="12"/>
      <c r="G836" s="12"/>
      <c r="H836" s="12" t="str">
        <f>IF(A836=0,"",VLOOKUP(B836,Materials!$A$2:$E$1001,6,FALSE))</f>
        <v/>
      </c>
      <c r="I836" s="12"/>
      <c r="J836" s="12"/>
      <c r="K836" s="12"/>
      <c r="L836" s="12"/>
    </row>
    <row r="837" spans="1:12" ht="16" x14ac:dyDescent="0.2">
      <c r="A837" s="8"/>
      <c r="B837" s="8"/>
      <c r="C837" s="8" t="str">
        <f t="shared" si="26"/>
        <v/>
      </c>
      <c r="D837" s="8" t="str">
        <f t="shared" si="27"/>
        <v/>
      </c>
      <c r="E837" s="12"/>
      <c r="F837" s="12"/>
      <c r="G837" s="12"/>
      <c r="H837" s="12" t="str">
        <f>IF(A837=0,"",VLOOKUP(B837,Materials!$A$2:$E$1001,6,FALSE))</f>
        <v/>
      </c>
      <c r="I837" s="12"/>
      <c r="J837" s="12"/>
      <c r="K837" s="12"/>
      <c r="L837" s="12"/>
    </row>
    <row r="838" spans="1:12" ht="16" x14ac:dyDescent="0.2">
      <c r="A838" s="8"/>
      <c r="B838" s="8"/>
      <c r="C838" s="8" t="str">
        <f t="shared" si="26"/>
        <v/>
      </c>
      <c r="D838" s="8" t="str">
        <f t="shared" si="27"/>
        <v/>
      </c>
      <c r="E838" s="12"/>
      <c r="F838" s="12"/>
      <c r="G838" s="12"/>
      <c r="H838" s="12" t="str">
        <f>IF(A838=0,"",VLOOKUP(B838,Materials!$A$2:$E$1001,6,FALSE))</f>
        <v/>
      </c>
      <c r="I838" s="12"/>
      <c r="J838" s="12"/>
      <c r="K838" s="12"/>
      <c r="L838" s="12"/>
    </row>
    <row r="839" spans="1:12" ht="16" x14ac:dyDescent="0.2">
      <c r="A839" s="8"/>
      <c r="B839" s="8"/>
      <c r="C839" s="8" t="str">
        <f t="shared" si="26"/>
        <v/>
      </c>
      <c r="D839" s="8" t="str">
        <f t="shared" si="27"/>
        <v/>
      </c>
      <c r="E839" s="12"/>
      <c r="F839" s="12"/>
      <c r="G839" s="12"/>
      <c r="H839" s="12" t="str">
        <f>IF(A839=0,"",VLOOKUP(B839,Materials!$A$2:$E$1001,6,FALSE))</f>
        <v/>
      </c>
      <c r="I839" s="12"/>
      <c r="J839" s="12"/>
      <c r="K839" s="12"/>
      <c r="L839" s="12"/>
    </row>
    <row r="840" spans="1:12" ht="16" x14ac:dyDescent="0.2">
      <c r="A840" s="8"/>
      <c r="B840" s="8"/>
      <c r="C840" s="8" t="str">
        <f t="shared" si="26"/>
        <v/>
      </c>
      <c r="D840" s="8" t="str">
        <f t="shared" si="27"/>
        <v/>
      </c>
      <c r="E840" s="12"/>
      <c r="F840" s="12"/>
      <c r="G840" s="12"/>
      <c r="H840" s="12" t="str">
        <f>IF(A840=0,"",VLOOKUP(B840,Materials!$A$2:$E$1001,6,FALSE))</f>
        <v/>
      </c>
      <c r="I840" s="12"/>
      <c r="J840" s="12"/>
      <c r="K840" s="12"/>
      <c r="L840" s="12"/>
    </row>
    <row r="841" spans="1:12" ht="16" x14ac:dyDescent="0.2">
      <c r="A841" s="8"/>
      <c r="B841" s="8"/>
      <c r="C841" s="8" t="str">
        <f t="shared" si="26"/>
        <v/>
      </c>
      <c r="D841" s="8" t="str">
        <f t="shared" si="27"/>
        <v/>
      </c>
      <c r="E841" s="12"/>
      <c r="F841" s="12"/>
      <c r="G841" s="12"/>
      <c r="H841" s="12" t="str">
        <f>IF(A841=0,"",VLOOKUP(B841,Materials!$A$2:$E$1001,6,FALSE))</f>
        <v/>
      </c>
      <c r="I841" s="12"/>
      <c r="J841" s="12"/>
      <c r="K841" s="12"/>
      <c r="L841" s="12"/>
    </row>
    <row r="842" spans="1:12" ht="16" x14ac:dyDescent="0.2">
      <c r="A842" s="8"/>
      <c r="B842" s="8"/>
      <c r="C842" s="8" t="str">
        <f t="shared" si="26"/>
        <v/>
      </c>
      <c r="D842" s="8" t="str">
        <f t="shared" si="27"/>
        <v/>
      </c>
      <c r="E842" s="12"/>
      <c r="F842" s="12"/>
      <c r="G842" s="12"/>
      <c r="H842" s="12" t="str">
        <f>IF(A842=0,"",VLOOKUP(B842,Materials!$A$2:$E$1001,6,FALSE))</f>
        <v/>
      </c>
      <c r="I842" s="12"/>
      <c r="J842" s="12"/>
      <c r="K842" s="12"/>
      <c r="L842" s="12"/>
    </row>
    <row r="843" spans="1:12" ht="16" x14ac:dyDescent="0.2">
      <c r="A843" s="8"/>
      <c r="B843" s="8"/>
      <c r="C843" s="8" t="str">
        <f t="shared" si="26"/>
        <v/>
      </c>
      <c r="D843" s="8" t="str">
        <f t="shared" si="27"/>
        <v/>
      </c>
      <c r="E843" s="12"/>
      <c r="F843" s="12"/>
      <c r="G843" s="12"/>
      <c r="H843" s="12" t="str">
        <f>IF(A843=0,"",VLOOKUP(B843,Materials!$A$2:$E$1001,6,FALSE))</f>
        <v/>
      </c>
      <c r="I843" s="12"/>
      <c r="J843" s="12"/>
      <c r="K843" s="12"/>
      <c r="L843" s="12"/>
    </row>
    <row r="844" spans="1:12" ht="16" x14ac:dyDescent="0.2">
      <c r="A844" s="8"/>
      <c r="B844" s="8"/>
      <c r="C844" s="8" t="str">
        <f t="shared" si="26"/>
        <v/>
      </c>
      <c r="D844" s="8" t="str">
        <f t="shared" si="27"/>
        <v/>
      </c>
      <c r="E844" s="12"/>
      <c r="F844" s="12"/>
      <c r="G844" s="12"/>
      <c r="H844" s="12" t="str">
        <f>IF(A844=0,"",VLOOKUP(B844,Materials!$A$2:$E$1001,6,FALSE))</f>
        <v/>
      </c>
      <c r="I844" s="12"/>
      <c r="J844" s="12"/>
      <c r="K844" s="12"/>
      <c r="L844" s="12"/>
    </row>
    <row r="845" spans="1:12" ht="16" x14ac:dyDescent="0.2">
      <c r="A845" s="8"/>
      <c r="B845" s="8"/>
      <c r="C845" s="8" t="str">
        <f t="shared" si="26"/>
        <v/>
      </c>
      <c r="D845" s="8" t="str">
        <f t="shared" si="27"/>
        <v/>
      </c>
      <c r="E845" s="12"/>
      <c r="F845" s="12"/>
      <c r="G845" s="12"/>
      <c r="H845" s="12" t="str">
        <f>IF(A845=0,"",VLOOKUP(B845,Materials!$A$2:$E$1001,6,FALSE))</f>
        <v/>
      </c>
      <c r="I845" s="12"/>
      <c r="J845" s="12"/>
      <c r="K845" s="12"/>
      <c r="L845" s="12"/>
    </row>
    <row r="846" spans="1:12" ht="16" x14ac:dyDescent="0.2">
      <c r="A846" s="8"/>
      <c r="B846" s="8"/>
      <c r="C846" s="8" t="str">
        <f t="shared" si="26"/>
        <v/>
      </c>
      <c r="D846" s="8" t="str">
        <f t="shared" si="27"/>
        <v/>
      </c>
      <c r="E846" s="12"/>
      <c r="F846" s="12"/>
      <c r="G846" s="12"/>
      <c r="H846" s="12" t="str">
        <f>IF(A846=0,"",VLOOKUP(B846,Materials!$A$2:$E$1001,6,FALSE))</f>
        <v/>
      </c>
      <c r="I846" s="12"/>
      <c r="J846" s="12"/>
      <c r="K846" s="12"/>
      <c r="L846" s="12"/>
    </row>
    <row r="847" spans="1:12" ht="16" x14ac:dyDescent="0.2">
      <c r="A847" s="8"/>
      <c r="B847" s="8"/>
      <c r="C847" s="8" t="str">
        <f t="shared" si="26"/>
        <v/>
      </c>
      <c r="D847" s="8" t="str">
        <f t="shared" si="27"/>
        <v/>
      </c>
      <c r="E847" s="12"/>
      <c r="F847" s="12"/>
      <c r="G847" s="12"/>
      <c r="H847" s="12" t="str">
        <f>IF(A847=0,"",VLOOKUP(B847,Materials!$A$2:$E$1001,6,FALSE))</f>
        <v/>
      </c>
      <c r="I847" s="12"/>
      <c r="J847" s="12"/>
      <c r="K847" s="12"/>
      <c r="L847" s="12"/>
    </row>
    <row r="848" spans="1:12" ht="16" x14ac:dyDescent="0.2">
      <c r="A848" s="8"/>
      <c r="B848" s="8"/>
      <c r="C848" s="8" t="str">
        <f t="shared" si="26"/>
        <v/>
      </c>
      <c r="D848" s="8" t="str">
        <f t="shared" si="27"/>
        <v/>
      </c>
      <c r="E848" s="12"/>
      <c r="F848" s="12"/>
      <c r="G848" s="12"/>
      <c r="H848" s="12" t="str">
        <f>IF(A848=0,"",VLOOKUP(B848,Materials!$A$2:$E$1001,6,FALSE))</f>
        <v/>
      </c>
      <c r="I848" s="12"/>
      <c r="J848" s="12"/>
      <c r="K848" s="12"/>
      <c r="L848" s="12"/>
    </row>
    <row r="849" spans="1:12" ht="16" x14ac:dyDescent="0.2">
      <c r="A849" s="8"/>
      <c r="B849" s="8"/>
      <c r="C849" s="8" t="str">
        <f t="shared" si="26"/>
        <v/>
      </c>
      <c r="D849" s="8" t="str">
        <f t="shared" si="27"/>
        <v/>
      </c>
      <c r="E849" s="12"/>
      <c r="F849" s="12"/>
      <c r="G849" s="12"/>
      <c r="H849" s="12" t="str">
        <f>IF(A849=0,"",VLOOKUP(B849,Materials!$A$2:$E$1001,6,FALSE))</f>
        <v/>
      </c>
      <c r="I849" s="12"/>
      <c r="J849" s="12"/>
      <c r="K849" s="12"/>
      <c r="L849" s="12"/>
    </row>
    <row r="850" spans="1:12" ht="16" x14ac:dyDescent="0.2">
      <c r="A850" s="8"/>
      <c r="B850" s="8"/>
      <c r="C850" s="8" t="str">
        <f t="shared" si="26"/>
        <v/>
      </c>
      <c r="D850" s="8" t="str">
        <f t="shared" si="27"/>
        <v/>
      </c>
      <c r="E850" s="12"/>
      <c r="F850" s="12"/>
      <c r="G850" s="12"/>
      <c r="H850" s="12" t="str">
        <f>IF(A850=0,"",VLOOKUP(B850,Materials!$A$2:$E$1001,6,FALSE))</f>
        <v/>
      </c>
      <c r="I850" s="12"/>
      <c r="J850" s="12"/>
      <c r="K850" s="12"/>
      <c r="L850" s="12"/>
    </row>
    <row r="851" spans="1:12" ht="16" x14ac:dyDescent="0.2">
      <c r="A851" s="8"/>
      <c r="B851" s="8"/>
      <c r="C851" s="8" t="str">
        <f t="shared" si="26"/>
        <v/>
      </c>
      <c r="D851" s="8" t="str">
        <f t="shared" si="27"/>
        <v/>
      </c>
      <c r="E851" s="12"/>
      <c r="F851" s="12"/>
      <c r="G851" s="12"/>
      <c r="H851" s="12" t="str">
        <f>IF(A851=0,"",VLOOKUP(B851,Materials!$A$2:$E$1001,6,FALSE))</f>
        <v/>
      </c>
      <c r="I851" s="12"/>
      <c r="J851" s="12"/>
      <c r="K851" s="12"/>
      <c r="L851" s="12"/>
    </row>
    <row r="852" spans="1:12" ht="16" x14ac:dyDescent="0.2">
      <c r="A852" s="8"/>
      <c r="B852" s="8"/>
      <c r="C852" s="8" t="str">
        <f t="shared" si="26"/>
        <v/>
      </c>
      <c r="D852" s="8" t="str">
        <f t="shared" si="27"/>
        <v/>
      </c>
      <c r="E852" s="12"/>
      <c r="F852" s="12"/>
      <c r="G852" s="12"/>
      <c r="H852" s="12" t="str">
        <f>IF(A852=0,"",VLOOKUP(B852,Materials!$A$2:$E$1001,6,FALSE))</f>
        <v/>
      </c>
      <c r="I852" s="12"/>
      <c r="J852" s="12"/>
      <c r="K852" s="12"/>
      <c r="L852" s="12"/>
    </row>
    <row r="853" spans="1:12" ht="16" x14ac:dyDescent="0.2">
      <c r="A853" s="8"/>
      <c r="B853" s="8"/>
      <c r="C853" s="8" t="str">
        <f t="shared" si="26"/>
        <v/>
      </c>
      <c r="D853" s="8" t="str">
        <f t="shared" si="27"/>
        <v/>
      </c>
      <c r="E853" s="12"/>
      <c r="F853" s="12"/>
      <c r="G853" s="12"/>
      <c r="H853" s="12" t="str">
        <f>IF(A853=0,"",VLOOKUP(B853,Materials!$A$2:$E$1001,6,FALSE))</f>
        <v/>
      </c>
      <c r="I853" s="12"/>
      <c r="J853" s="12"/>
      <c r="K853" s="12"/>
      <c r="L853" s="12"/>
    </row>
    <row r="854" spans="1:12" ht="16" x14ac:dyDescent="0.2">
      <c r="A854" s="8"/>
      <c r="B854" s="8"/>
      <c r="C854" s="8" t="str">
        <f t="shared" si="26"/>
        <v/>
      </c>
      <c r="D854" s="8" t="str">
        <f t="shared" si="27"/>
        <v/>
      </c>
      <c r="E854" s="12"/>
      <c r="F854" s="12"/>
      <c r="G854" s="12"/>
      <c r="H854" s="12" t="str">
        <f>IF(A854=0,"",VLOOKUP(B854,Materials!$A$2:$E$1001,6,FALSE))</f>
        <v/>
      </c>
      <c r="I854" s="12"/>
      <c r="J854" s="12"/>
      <c r="K854" s="12"/>
      <c r="L854" s="12"/>
    </row>
    <row r="855" spans="1:12" ht="16" x14ac:dyDescent="0.2">
      <c r="A855" s="8"/>
      <c r="B855" s="8"/>
      <c r="C855" s="8" t="str">
        <f t="shared" si="26"/>
        <v/>
      </c>
      <c r="D855" s="8" t="str">
        <f t="shared" si="27"/>
        <v/>
      </c>
      <c r="E855" s="12"/>
      <c r="F855" s="12"/>
      <c r="G855" s="12"/>
      <c r="H855" s="12" t="str">
        <f>IF(A855=0,"",VLOOKUP(B855,Materials!$A$2:$E$1001,6,FALSE))</f>
        <v/>
      </c>
      <c r="I855" s="12"/>
      <c r="J855" s="12"/>
      <c r="K855" s="12"/>
      <c r="L855" s="12"/>
    </row>
    <row r="856" spans="1:12" ht="16" x14ac:dyDescent="0.2">
      <c r="A856" s="8"/>
      <c r="B856" s="8"/>
      <c r="C856" s="8" t="str">
        <f t="shared" si="26"/>
        <v/>
      </c>
      <c r="D856" s="8" t="str">
        <f t="shared" si="27"/>
        <v/>
      </c>
      <c r="E856" s="12"/>
      <c r="F856" s="12"/>
      <c r="G856" s="12"/>
      <c r="H856" s="12" t="str">
        <f>IF(A856=0,"",VLOOKUP(B856,Materials!$A$2:$E$1001,6,FALSE))</f>
        <v/>
      </c>
      <c r="I856" s="12"/>
      <c r="J856" s="12"/>
      <c r="K856" s="12"/>
      <c r="L856" s="12"/>
    </row>
    <row r="857" spans="1:12" ht="16" x14ac:dyDescent="0.2">
      <c r="A857" s="8"/>
      <c r="B857" s="8"/>
      <c r="C857" s="8" t="str">
        <f t="shared" si="26"/>
        <v/>
      </c>
      <c r="D857" s="8" t="str">
        <f t="shared" si="27"/>
        <v/>
      </c>
      <c r="E857" s="12"/>
      <c r="F857" s="12"/>
      <c r="G857" s="12"/>
      <c r="H857" s="12" t="str">
        <f>IF(A857=0,"",VLOOKUP(B857,Materials!$A$2:$E$1001,6,FALSE))</f>
        <v/>
      </c>
      <c r="I857" s="12"/>
      <c r="J857" s="12"/>
      <c r="K857" s="12"/>
      <c r="L857" s="12"/>
    </row>
    <row r="858" spans="1:12" ht="16" x14ac:dyDescent="0.2">
      <c r="A858" s="8"/>
      <c r="B858" s="8"/>
      <c r="C858" s="8" t="str">
        <f t="shared" si="26"/>
        <v/>
      </c>
      <c r="D858" s="8" t="str">
        <f t="shared" si="27"/>
        <v/>
      </c>
      <c r="E858" s="12"/>
      <c r="F858" s="12"/>
      <c r="G858" s="12"/>
      <c r="H858" s="12" t="str">
        <f>IF(A858=0,"",VLOOKUP(B858,Materials!$A$2:$E$1001,6,FALSE))</f>
        <v/>
      </c>
      <c r="I858" s="12"/>
      <c r="J858" s="12"/>
      <c r="K858" s="12"/>
      <c r="L858" s="12"/>
    </row>
    <row r="859" spans="1:12" ht="16" x14ac:dyDescent="0.2">
      <c r="A859" s="8"/>
      <c r="B859" s="8"/>
      <c r="C859" s="8" t="str">
        <f t="shared" si="26"/>
        <v/>
      </c>
      <c r="D859" s="8" t="str">
        <f t="shared" si="27"/>
        <v/>
      </c>
      <c r="E859" s="12"/>
      <c r="F859" s="12"/>
      <c r="G859" s="12"/>
      <c r="H859" s="12" t="str">
        <f>IF(A859=0,"",VLOOKUP(B859,Materials!$A$2:$E$1001,6,FALSE))</f>
        <v/>
      </c>
      <c r="I859" s="12"/>
      <c r="J859" s="12"/>
      <c r="K859" s="12"/>
      <c r="L859" s="12"/>
    </row>
    <row r="860" spans="1:12" ht="16" x14ac:dyDescent="0.2">
      <c r="A860" s="8"/>
      <c r="B860" s="8"/>
      <c r="C860" s="8" t="str">
        <f t="shared" si="26"/>
        <v/>
      </c>
      <c r="D860" s="8" t="str">
        <f t="shared" si="27"/>
        <v/>
      </c>
      <c r="E860" s="12"/>
      <c r="F860" s="12"/>
      <c r="G860" s="12"/>
      <c r="H860" s="12" t="str">
        <f>IF(A860=0,"",VLOOKUP(B860,Materials!$A$2:$E$1001,6,FALSE))</f>
        <v/>
      </c>
      <c r="I860" s="12"/>
      <c r="J860" s="12"/>
      <c r="K860" s="12"/>
      <c r="L860" s="12"/>
    </row>
    <row r="861" spans="1:12" ht="16" x14ac:dyDescent="0.2">
      <c r="A861" s="8"/>
      <c r="B861" s="8"/>
      <c r="C861" s="8" t="str">
        <f t="shared" si="26"/>
        <v/>
      </c>
      <c r="D861" s="8" t="str">
        <f t="shared" si="27"/>
        <v/>
      </c>
      <c r="E861" s="12"/>
      <c r="F861" s="12"/>
      <c r="G861" s="12"/>
      <c r="H861" s="12" t="str">
        <f>IF(A861=0,"",VLOOKUP(B861,Materials!$A$2:$E$1001,6,FALSE))</f>
        <v/>
      </c>
      <c r="I861" s="12"/>
      <c r="J861" s="12"/>
      <c r="K861" s="12"/>
      <c r="L861" s="12"/>
    </row>
    <row r="862" spans="1:12" ht="16" x14ac:dyDescent="0.2">
      <c r="A862" s="8"/>
      <c r="B862" s="8"/>
      <c r="C862" s="8" t="str">
        <f t="shared" si="26"/>
        <v/>
      </c>
      <c r="D862" s="8" t="str">
        <f t="shared" si="27"/>
        <v/>
      </c>
      <c r="E862" s="12"/>
      <c r="F862" s="12"/>
      <c r="G862" s="12"/>
      <c r="H862" s="12" t="str">
        <f>IF(A862=0,"",VLOOKUP(B862,Materials!$A$2:$E$1001,6,FALSE))</f>
        <v/>
      </c>
      <c r="I862" s="12"/>
      <c r="J862" s="12"/>
      <c r="K862" s="12"/>
      <c r="L862" s="12"/>
    </row>
    <row r="863" spans="1:12" ht="16" x14ac:dyDescent="0.2">
      <c r="A863" s="8"/>
      <c r="B863" s="8"/>
      <c r="C863" s="8" t="str">
        <f t="shared" si="26"/>
        <v/>
      </c>
      <c r="D863" s="8" t="str">
        <f t="shared" si="27"/>
        <v/>
      </c>
      <c r="E863" s="12"/>
      <c r="F863" s="12"/>
      <c r="G863" s="12"/>
      <c r="H863" s="12" t="str">
        <f>IF(A863=0,"",VLOOKUP(B863,Materials!$A$2:$E$1001,6,FALSE))</f>
        <v/>
      </c>
      <c r="I863" s="12"/>
      <c r="J863" s="12"/>
      <c r="K863" s="12"/>
      <c r="L863" s="12"/>
    </row>
    <row r="864" spans="1:12" ht="16" x14ac:dyDescent="0.2">
      <c r="A864" s="8"/>
      <c r="B864" s="8"/>
      <c r="C864" s="8" t="str">
        <f t="shared" si="26"/>
        <v/>
      </c>
      <c r="D864" s="8" t="str">
        <f t="shared" si="27"/>
        <v/>
      </c>
      <c r="E864" s="12"/>
      <c r="F864" s="12"/>
      <c r="G864" s="12"/>
      <c r="H864" s="12" t="str">
        <f>IF(A864=0,"",VLOOKUP(B864,Materials!$A$2:$E$1001,6,FALSE))</f>
        <v/>
      </c>
      <c r="I864" s="12"/>
      <c r="J864" s="12"/>
      <c r="K864" s="12"/>
      <c r="L864" s="12"/>
    </row>
    <row r="865" spans="1:12" ht="16" x14ac:dyDescent="0.2">
      <c r="A865" s="8"/>
      <c r="B865" s="8"/>
      <c r="C865" s="8" t="str">
        <f t="shared" si="26"/>
        <v/>
      </c>
      <c r="D865" s="8" t="str">
        <f t="shared" si="27"/>
        <v/>
      </c>
      <c r="E865" s="12"/>
      <c r="F865" s="12"/>
      <c r="G865" s="12"/>
      <c r="H865" s="12" t="str">
        <f>IF(A865=0,"",VLOOKUP(B865,Materials!$A$2:$E$1001,6,FALSE))</f>
        <v/>
      </c>
      <c r="I865" s="12"/>
      <c r="J865" s="12"/>
      <c r="K865" s="12"/>
      <c r="L865" s="12"/>
    </row>
    <row r="866" spans="1:12" ht="16" x14ac:dyDescent="0.2">
      <c r="A866" s="8"/>
      <c r="B866" s="8"/>
      <c r="C866" s="8" t="str">
        <f t="shared" si="26"/>
        <v/>
      </c>
      <c r="D866" s="8" t="str">
        <f t="shared" si="27"/>
        <v/>
      </c>
      <c r="E866" s="12"/>
      <c r="F866" s="12"/>
      <c r="G866" s="12"/>
      <c r="H866" s="12" t="str">
        <f>IF(A866=0,"",VLOOKUP(B866,Materials!$A$2:$E$1001,6,FALSE))</f>
        <v/>
      </c>
      <c r="I866" s="12"/>
      <c r="J866" s="12"/>
      <c r="K866" s="12"/>
      <c r="L866" s="12"/>
    </row>
    <row r="867" spans="1:12" ht="16" x14ac:dyDescent="0.2">
      <c r="A867" s="8"/>
      <c r="B867" s="8"/>
      <c r="C867" s="8" t="str">
        <f t="shared" si="26"/>
        <v/>
      </c>
      <c r="D867" s="8" t="str">
        <f t="shared" si="27"/>
        <v/>
      </c>
      <c r="E867" s="12"/>
      <c r="F867" s="12"/>
      <c r="G867" s="12"/>
      <c r="H867" s="12" t="str">
        <f>IF(A867=0,"",VLOOKUP(B867,Materials!$A$2:$E$1001,6,FALSE))</f>
        <v/>
      </c>
      <c r="I867" s="12"/>
      <c r="J867" s="12"/>
      <c r="K867" s="12"/>
      <c r="L867" s="12"/>
    </row>
    <row r="868" spans="1:12" ht="16" x14ac:dyDescent="0.2">
      <c r="A868" s="8"/>
      <c r="B868" s="8"/>
      <c r="C868" s="8" t="str">
        <f t="shared" si="26"/>
        <v/>
      </c>
      <c r="D868" s="8" t="str">
        <f t="shared" si="27"/>
        <v/>
      </c>
      <c r="E868" s="12"/>
      <c r="F868" s="12"/>
      <c r="G868" s="12"/>
      <c r="H868" s="12" t="str">
        <f>IF(A868=0,"",VLOOKUP(B868,Materials!$A$2:$E$1001,6,FALSE))</f>
        <v/>
      </c>
      <c r="I868" s="12"/>
      <c r="J868" s="12"/>
      <c r="K868" s="12"/>
      <c r="L868" s="12"/>
    </row>
    <row r="869" spans="1:12" ht="16" x14ac:dyDescent="0.2">
      <c r="A869" s="8"/>
      <c r="B869" s="8"/>
      <c r="C869" s="8" t="str">
        <f t="shared" si="26"/>
        <v/>
      </c>
      <c r="D869" s="8" t="str">
        <f t="shared" si="27"/>
        <v/>
      </c>
      <c r="E869" s="12"/>
      <c r="F869" s="12"/>
      <c r="G869" s="12"/>
      <c r="H869" s="12" t="str">
        <f>IF(A869=0,"",VLOOKUP(B869,Materials!$A$2:$E$1001,6,FALSE))</f>
        <v/>
      </c>
      <c r="I869" s="12"/>
      <c r="J869" s="12"/>
      <c r="K869" s="12"/>
      <c r="L869" s="12"/>
    </row>
    <row r="870" spans="1:12" ht="16" x14ac:dyDescent="0.2">
      <c r="A870" s="8"/>
      <c r="B870" s="8"/>
      <c r="C870" s="8" t="str">
        <f t="shared" si="26"/>
        <v/>
      </c>
      <c r="D870" s="8" t="str">
        <f t="shared" si="27"/>
        <v/>
      </c>
      <c r="E870" s="12"/>
      <c r="F870" s="12"/>
      <c r="G870" s="12"/>
      <c r="H870" s="12" t="str">
        <f>IF(A870=0,"",VLOOKUP(B870,Materials!$A$2:$E$1001,6,FALSE))</f>
        <v/>
      </c>
      <c r="I870" s="12"/>
      <c r="J870" s="12"/>
      <c r="K870" s="12"/>
      <c r="L870" s="12"/>
    </row>
    <row r="871" spans="1:12" ht="16" x14ac:dyDescent="0.2">
      <c r="A871" s="8"/>
      <c r="B871" s="8"/>
      <c r="C871" s="8" t="str">
        <f t="shared" si="26"/>
        <v/>
      </c>
      <c r="D871" s="8" t="str">
        <f t="shared" si="27"/>
        <v/>
      </c>
      <c r="E871" s="12"/>
      <c r="F871" s="12"/>
      <c r="G871" s="12"/>
      <c r="H871" s="12" t="str">
        <f>IF(A871=0,"",VLOOKUP(B871,Materials!$A$2:$E$1001,6,FALSE))</f>
        <v/>
      </c>
      <c r="I871" s="12"/>
      <c r="J871" s="12"/>
      <c r="K871" s="12"/>
      <c r="L871" s="12"/>
    </row>
    <row r="872" spans="1:12" ht="16" x14ac:dyDescent="0.2">
      <c r="A872" s="8"/>
      <c r="B872" s="8"/>
      <c r="C872" s="8" t="str">
        <f t="shared" si="26"/>
        <v/>
      </c>
      <c r="D872" s="8" t="str">
        <f t="shared" si="27"/>
        <v/>
      </c>
      <c r="E872" s="12"/>
      <c r="F872" s="12"/>
      <c r="G872" s="12"/>
      <c r="H872" s="12" t="str">
        <f>IF(A872=0,"",VLOOKUP(B872,Materials!$A$2:$E$1001,6,FALSE))</f>
        <v/>
      </c>
      <c r="I872" s="12"/>
      <c r="J872" s="12"/>
      <c r="K872" s="12"/>
      <c r="L872" s="12"/>
    </row>
    <row r="873" spans="1:12" ht="16" x14ac:dyDescent="0.2">
      <c r="A873" s="8"/>
      <c r="B873" s="8"/>
      <c r="C873" s="8" t="str">
        <f t="shared" si="26"/>
        <v/>
      </c>
      <c r="D873" s="8" t="str">
        <f t="shared" si="27"/>
        <v/>
      </c>
      <c r="E873" s="12"/>
      <c r="F873" s="12"/>
      <c r="G873" s="12"/>
      <c r="H873" s="12" t="str">
        <f>IF(A873=0,"",VLOOKUP(B873,Materials!$A$2:$E$1001,6,FALSE))</f>
        <v/>
      </c>
      <c r="I873" s="12"/>
      <c r="J873" s="12"/>
      <c r="K873" s="12"/>
      <c r="L873" s="12"/>
    </row>
    <row r="874" spans="1:12" ht="16" x14ac:dyDescent="0.2">
      <c r="A874" s="8"/>
      <c r="B874" s="8"/>
      <c r="C874" s="8" t="str">
        <f t="shared" si="26"/>
        <v/>
      </c>
      <c r="D874" s="8" t="str">
        <f t="shared" si="27"/>
        <v/>
      </c>
      <c r="E874" s="12"/>
      <c r="F874" s="12"/>
      <c r="G874" s="12"/>
      <c r="H874" s="12" t="str">
        <f>IF(A874=0,"",VLOOKUP(B874,Materials!$A$2:$E$1001,6,FALSE))</f>
        <v/>
      </c>
      <c r="I874" s="12"/>
      <c r="J874" s="12"/>
      <c r="K874" s="12"/>
      <c r="L874" s="12"/>
    </row>
    <row r="875" spans="1:12" ht="16" x14ac:dyDescent="0.2">
      <c r="A875" s="8"/>
      <c r="B875" s="8"/>
      <c r="C875" s="8" t="str">
        <f t="shared" si="26"/>
        <v/>
      </c>
      <c r="D875" s="8" t="str">
        <f t="shared" si="27"/>
        <v/>
      </c>
      <c r="E875" s="12"/>
      <c r="F875" s="12"/>
      <c r="G875" s="12"/>
      <c r="H875" s="12" t="str">
        <f>IF(A875=0,"",VLOOKUP(B875,Materials!$A$2:$E$1001,6,FALSE))</f>
        <v/>
      </c>
      <c r="I875" s="12"/>
      <c r="J875" s="12"/>
      <c r="K875" s="12"/>
      <c r="L875" s="12"/>
    </row>
    <row r="876" spans="1:12" ht="16" x14ac:dyDescent="0.2">
      <c r="A876" s="8"/>
      <c r="B876" s="8"/>
      <c r="C876" s="8" t="str">
        <f t="shared" si="26"/>
        <v/>
      </c>
      <c r="D876" s="8" t="str">
        <f t="shared" si="27"/>
        <v/>
      </c>
      <c r="E876" s="12"/>
      <c r="F876" s="12"/>
      <c r="G876" s="12"/>
      <c r="H876" s="12" t="str">
        <f>IF(A876=0,"",VLOOKUP(B876,Materials!$A$2:$E$1001,6,FALSE))</f>
        <v/>
      </c>
      <c r="I876" s="12"/>
      <c r="J876" s="12"/>
      <c r="K876" s="12"/>
      <c r="L876" s="12"/>
    </row>
    <row r="877" spans="1:12" ht="16" x14ac:dyDescent="0.2">
      <c r="A877" s="8"/>
      <c r="B877" s="8"/>
      <c r="C877" s="8" t="str">
        <f t="shared" si="26"/>
        <v/>
      </c>
      <c r="D877" s="8" t="str">
        <f t="shared" si="27"/>
        <v/>
      </c>
      <c r="E877" s="12"/>
      <c r="F877" s="12"/>
      <c r="G877" s="12"/>
      <c r="H877" s="12" t="str">
        <f>IF(A877=0,"",VLOOKUP(B877,Materials!$A$2:$E$1001,6,FALSE))</f>
        <v/>
      </c>
      <c r="I877" s="12"/>
      <c r="J877" s="12"/>
      <c r="K877" s="12"/>
      <c r="L877" s="12"/>
    </row>
    <row r="878" spans="1:12" ht="16" x14ac:dyDescent="0.2">
      <c r="A878" s="8"/>
      <c r="B878" s="8"/>
      <c r="C878" s="8" t="str">
        <f t="shared" si="26"/>
        <v/>
      </c>
      <c r="D878" s="8" t="str">
        <f t="shared" si="27"/>
        <v/>
      </c>
      <c r="E878" s="12"/>
      <c r="F878" s="12"/>
      <c r="G878" s="12"/>
      <c r="H878" s="12" t="str">
        <f>IF(A878=0,"",VLOOKUP(B878,Materials!$A$2:$E$1001,6,FALSE))</f>
        <v/>
      </c>
      <c r="I878" s="12"/>
      <c r="J878" s="12"/>
      <c r="K878" s="12"/>
      <c r="L878" s="12"/>
    </row>
    <row r="879" spans="1:12" ht="16" x14ac:dyDescent="0.2">
      <c r="A879" s="8"/>
      <c r="B879" s="8"/>
      <c r="C879" s="8" t="str">
        <f t="shared" si="26"/>
        <v/>
      </c>
      <c r="D879" s="8" t="str">
        <f t="shared" si="27"/>
        <v/>
      </c>
      <c r="E879" s="12"/>
      <c r="F879" s="12"/>
      <c r="G879" s="12"/>
      <c r="H879" s="12" t="str">
        <f>IF(A879=0,"",VLOOKUP(B879,Materials!$A$2:$E$1001,6,FALSE))</f>
        <v/>
      </c>
      <c r="I879" s="12"/>
      <c r="J879" s="12"/>
      <c r="K879" s="12"/>
      <c r="L879" s="12"/>
    </row>
    <row r="880" spans="1:12" ht="16" x14ac:dyDescent="0.2">
      <c r="A880" s="8"/>
      <c r="B880" s="8"/>
      <c r="C880" s="8" t="str">
        <f t="shared" si="26"/>
        <v/>
      </c>
      <c r="D880" s="8" t="str">
        <f t="shared" si="27"/>
        <v/>
      </c>
      <c r="E880" s="12"/>
      <c r="F880" s="12"/>
      <c r="G880" s="12"/>
      <c r="H880" s="12" t="str">
        <f>IF(A880=0,"",VLOOKUP(B880,Materials!$A$2:$E$1001,6,FALSE))</f>
        <v/>
      </c>
      <c r="I880" s="12"/>
      <c r="J880" s="12"/>
      <c r="K880" s="12"/>
      <c r="L880" s="12"/>
    </row>
    <row r="881" spans="1:12" ht="16" x14ac:dyDescent="0.2">
      <c r="A881" s="8"/>
      <c r="B881" s="8"/>
      <c r="C881" s="8" t="str">
        <f t="shared" si="26"/>
        <v/>
      </c>
      <c r="D881" s="8" t="str">
        <f t="shared" si="27"/>
        <v/>
      </c>
      <c r="E881" s="12"/>
      <c r="F881" s="12"/>
      <c r="G881" s="12"/>
      <c r="H881" s="12" t="str">
        <f>IF(A881=0,"",VLOOKUP(B881,Materials!$A$2:$E$1001,6,FALSE))</f>
        <v/>
      </c>
      <c r="I881" s="12"/>
      <c r="J881" s="12"/>
      <c r="K881" s="12"/>
      <c r="L881" s="12"/>
    </row>
    <row r="882" spans="1:12" ht="16" x14ac:dyDescent="0.2">
      <c r="A882" s="8"/>
      <c r="B882" s="8"/>
      <c r="C882" s="8" t="str">
        <f t="shared" si="26"/>
        <v/>
      </c>
      <c r="D882" s="8" t="str">
        <f t="shared" si="27"/>
        <v/>
      </c>
      <c r="E882" s="12"/>
      <c r="F882" s="12"/>
      <c r="G882" s="12"/>
      <c r="H882" s="12" t="str">
        <f>IF(A882=0,"",VLOOKUP(B882,Materials!$A$2:$E$1001,6,FALSE))</f>
        <v/>
      </c>
      <c r="I882" s="12"/>
      <c r="J882" s="12"/>
      <c r="K882" s="12"/>
      <c r="L882" s="12"/>
    </row>
    <row r="883" spans="1:12" ht="16" x14ac:dyDescent="0.2">
      <c r="A883" s="8"/>
      <c r="B883" s="8"/>
      <c r="C883" s="8" t="str">
        <f t="shared" si="26"/>
        <v/>
      </c>
      <c r="D883" s="8" t="str">
        <f t="shared" si="27"/>
        <v/>
      </c>
      <c r="E883" s="12"/>
      <c r="F883" s="12"/>
      <c r="G883" s="12"/>
      <c r="H883" s="12" t="str">
        <f>IF(A883=0,"",VLOOKUP(B883,Materials!$A$2:$E$1001,6,FALSE))</f>
        <v/>
      </c>
      <c r="I883" s="12"/>
      <c r="J883" s="12"/>
      <c r="K883" s="12"/>
      <c r="L883" s="12"/>
    </row>
    <row r="884" spans="1:12" ht="16" x14ac:dyDescent="0.2">
      <c r="A884" s="8"/>
      <c r="B884" s="8"/>
      <c r="C884" s="8" t="str">
        <f t="shared" si="26"/>
        <v/>
      </c>
      <c r="D884" s="8" t="str">
        <f t="shared" si="27"/>
        <v/>
      </c>
      <c r="E884" s="12"/>
      <c r="F884" s="12"/>
      <c r="G884" s="12"/>
      <c r="H884" s="12" t="str">
        <f>IF(A884=0,"",VLOOKUP(B884,Materials!$A$2:$E$1001,6,FALSE))</f>
        <v/>
      </c>
      <c r="I884" s="12"/>
      <c r="J884" s="12"/>
      <c r="K884" s="12"/>
      <c r="L884" s="12"/>
    </row>
    <row r="885" spans="1:12" ht="16" x14ac:dyDescent="0.2">
      <c r="A885" s="8"/>
      <c r="B885" s="8"/>
      <c r="C885" s="8" t="str">
        <f t="shared" si="26"/>
        <v/>
      </c>
      <c r="D885" s="8" t="str">
        <f t="shared" si="27"/>
        <v/>
      </c>
      <c r="E885" s="12"/>
      <c r="F885" s="12"/>
      <c r="G885" s="12"/>
      <c r="H885" s="12" t="str">
        <f>IF(A885=0,"",VLOOKUP(B885,Materials!$A$2:$E$1001,6,FALSE))</f>
        <v/>
      </c>
      <c r="I885" s="12"/>
      <c r="J885" s="12"/>
      <c r="K885" s="12"/>
      <c r="L885" s="12"/>
    </row>
    <row r="886" spans="1:12" ht="16" x14ac:dyDescent="0.2">
      <c r="A886" s="8"/>
      <c r="B886" s="8"/>
      <c r="C886" s="8" t="str">
        <f t="shared" si="26"/>
        <v/>
      </c>
      <c r="D886" s="8" t="str">
        <f t="shared" si="27"/>
        <v/>
      </c>
      <c r="E886" s="12"/>
      <c r="F886" s="12"/>
      <c r="G886" s="12"/>
      <c r="H886" s="12" t="str">
        <f>IF(A886=0,"",VLOOKUP(B886,Materials!$A$2:$E$1001,6,FALSE))</f>
        <v/>
      </c>
      <c r="I886" s="12"/>
      <c r="J886" s="12"/>
      <c r="K886" s="12"/>
      <c r="L886" s="12"/>
    </row>
    <row r="887" spans="1:12" ht="16" x14ac:dyDescent="0.2">
      <c r="A887" s="8"/>
      <c r="B887" s="8"/>
      <c r="C887" s="8" t="str">
        <f t="shared" si="26"/>
        <v/>
      </c>
      <c r="D887" s="8" t="str">
        <f t="shared" si="27"/>
        <v/>
      </c>
      <c r="E887" s="12"/>
      <c r="F887" s="12"/>
      <c r="G887" s="12"/>
      <c r="H887" s="12" t="str">
        <f>IF(A887=0,"",VLOOKUP(B887,Materials!$A$2:$E$1001,6,FALSE))</f>
        <v/>
      </c>
      <c r="I887" s="12"/>
      <c r="J887" s="12"/>
      <c r="K887" s="12"/>
      <c r="L887" s="12"/>
    </row>
    <row r="888" spans="1:12" ht="16" x14ac:dyDescent="0.2">
      <c r="A888" s="8"/>
      <c r="B888" s="8"/>
      <c r="C888" s="8" t="str">
        <f t="shared" si="26"/>
        <v/>
      </c>
      <c r="D888" s="8" t="str">
        <f t="shared" si="27"/>
        <v/>
      </c>
      <c r="E888" s="12"/>
      <c r="F888" s="12"/>
      <c r="G888" s="12"/>
      <c r="H888" s="12" t="str">
        <f>IF(A888=0,"",VLOOKUP(B888,Materials!$A$2:$E$1001,6,FALSE))</f>
        <v/>
      </c>
      <c r="I888" s="12"/>
      <c r="J888" s="12"/>
      <c r="K888" s="12"/>
      <c r="L888" s="12"/>
    </row>
    <row r="889" spans="1:12" ht="16" x14ac:dyDescent="0.2">
      <c r="A889" s="8"/>
      <c r="B889" s="8"/>
      <c r="C889" s="8" t="str">
        <f t="shared" si="26"/>
        <v/>
      </c>
      <c r="D889" s="8" t="str">
        <f t="shared" si="27"/>
        <v/>
      </c>
      <c r="E889" s="12"/>
      <c r="F889" s="12"/>
      <c r="G889" s="12"/>
      <c r="H889" s="12" t="str">
        <f>IF(A889=0,"",VLOOKUP(B889,Materials!$A$2:$E$1001,6,FALSE))</f>
        <v/>
      </c>
      <c r="I889" s="12"/>
      <c r="J889" s="12"/>
      <c r="K889" s="12"/>
      <c r="L889" s="12"/>
    </row>
    <row r="890" spans="1:12" ht="16" x14ac:dyDescent="0.2">
      <c r="A890" s="8"/>
      <c r="B890" s="8"/>
      <c r="C890" s="8" t="str">
        <f t="shared" si="26"/>
        <v/>
      </c>
      <c r="D890" s="8" t="str">
        <f t="shared" si="27"/>
        <v/>
      </c>
      <c r="E890" s="12"/>
      <c r="F890" s="12"/>
      <c r="G890" s="12"/>
      <c r="H890" s="12" t="str">
        <f>IF(A890=0,"",VLOOKUP(B890,Materials!$A$2:$E$1001,6,FALSE))</f>
        <v/>
      </c>
      <c r="I890" s="12"/>
      <c r="J890" s="12"/>
      <c r="K890" s="12"/>
      <c r="L890" s="12"/>
    </row>
    <row r="891" spans="1:12" ht="16" x14ac:dyDescent="0.2">
      <c r="A891" s="8"/>
      <c r="B891" s="8"/>
      <c r="C891" s="8" t="str">
        <f t="shared" si="26"/>
        <v/>
      </c>
      <c r="D891" s="8" t="str">
        <f t="shared" si="27"/>
        <v/>
      </c>
      <c r="E891" s="12"/>
      <c r="F891" s="12"/>
      <c r="G891" s="12"/>
      <c r="H891" s="12" t="str">
        <f>IF(A891=0,"",VLOOKUP(B891,Materials!$A$2:$E$1001,6,FALSE))</f>
        <v/>
      </c>
      <c r="I891" s="12"/>
      <c r="J891" s="12"/>
      <c r="K891" s="12"/>
      <c r="L891" s="12"/>
    </row>
    <row r="892" spans="1:12" ht="16" x14ac:dyDescent="0.2">
      <c r="A892" s="8"/>
      <c r="B892" s="8"/>
      <c r="C892" s="8" t="str">
        <f t="shared" si="26"/>
        <v/>
      </c>
      <c r="D892" s="8" t="str">
        <f t="shared" si="27"/>
        <v/>
      </c>
      <c r="E892" s="12"/>
      <c r="F892" s="12"/>
      <c r="G892" s="12"/>
      <c r="H892" s="12" t="str">
        <f>IF(A892=0,"",VLOOKUP(B892,Materials!$A$2:$E$1001,6,FALSE))</f>
        <v/>
      </c>
      <c r="I892" s="12"/>
      <c r="J892" s="12"/>
      <c r="K892" s="12"/>
      <c r="L892" s="12"/>
    </row>
    <row r="893" spans="1:12" ht="16" x14ac:dyDescent="0.2">
      <c r="A893" s="8"/>
      <c r="B893" s="8"/>
      <c r="C893" s="8" t="str">
        <f t="shared" si="26"/>
        <v/>
      </c>
      <c r="D893" s="8" t="str">
        <f t="shared" si="27"/>
        <v/>
      </c>
      <c r="E893" s="12"/>
      <c r="F893" s="12"/>
      <c r="G893" s="12"/>
      <c r="H893" s="12" t="str">
        <f>IF(A893=0,"",VLOOKUP(B893,Materials!$A$2:$E$1001,6,FALSE))</f>
        <v/>
      </c>
      <c r="I893" s="12"/>
      <c r="J893" s="12"/>
      <c r="K893" s="12"/>
      <c r="L893" s="12"/>
    </row>
    <row r="894" spans="1:12" ht="16" x14ac:dyDescent="0.2">
      <c r="A894" s="8"/>
      <c r="B894" s="8"/>
      <c r="C894" s="8" t="str">
        <f t="shared" si="26"/>
        <v/>
      </c>
      <c r="D894" s="8" t="str">
        <f t="shared" si="27"/>
        <v/>
      </c>
      <c r="E894" s="12"/>
      <c r="F894" s="12"/>
      <c r="G894" s="12"/>
      <c r="H894" s="12" t="str">
        <f>IF(A894=0,"",VLOOKUP(B894,Materials!$A$2:$E$1001,6,FALSE))</f>
        <v/>
      </c>
      <c r="I894" s="12"/>
      <c r="J894" s="12"/>
      <c r="K894" s="12"/>
      <c r="L894" s="12"/>
    </row>
    <row r="895" spans="1:12" ht="16" x14ac:dyDescent="0.2">
      <c r="A895" s="8"/>
      <c r="B895" s="8"/>
      <c r="C895" s="8" t="str">
        <f t="shared" si="26"/>
        <v/>
      </c>
      <c r="D895" s="8" t="str">
        <f t="shared" si="27"/>
        <v/>
      </c>
      <c r="E895" s="12"/>
      <c r="F895" s="12"/>
      <c r="G895" s="12"/>
      <c r="H895" s="12" t="str">
        <f>IF(A895=0,"",VLOOKUP(B895,Materials!$A$2:$E$1001,6,FALSE))</f>
        <v/>
      </c>
      <c r="I895" s="12"/>
      <c r="J895" s="12"/>
      <c r="K895" s="12"/>
      <c r="L895" s="12"/>
    </row>
    <row r="896" spans="1:12" ht="16" x14ac:dyDescent="0.2">
      <c r="A896" s="8"/>
      <c r="B896" s="8"/>
      <c r="C896" s="8" t="str">
        <f t="shared" si="26"/>
        <v/>
      </c>
      <c r="D896" s="8" t="str">
        <f t="shared" si="27"/>
        <v/>
      </c>
      <c r="E896" s="12"/>
      <c r="F896" s="12"/>
      <c r="G896" s="12"/>
      <c r="H896" s="12" t="str">
        <f>IF(A896=0,"",VLOOKUP(B896,Materials!$A$2:$E$1001,6,FALSE))</f>
        <v/>
      </c>
      <c r="I896" s="12"/>
      <c r="J896" s="12"/>
      <c r="K896" s="12"/>
      <c r="L896" s="12"/>
    </row>
    <row r="897" spans="1:12" ht="16" x14ac:dyDescent="0.2">
      <c r="A897" s="8"/>
      <c r="B897" s="8"/>
      <c r="C897" s="8" t="str">
        <f t="shared" si="26"/>
        <v/>
      </c>
      <c r="D897" s="8" t="str">
        <f t="shared" si="27"/>
        <v/>
      </c>
      <c r="E897" s="12"/>
      <c r="F897" s="12"/>
      <c r="G897" s="12"/>
      <c r="H897" s="12" t="str">
        <f>IF(A897=0,"",VLOOKUP(B897,Materials!$A$2:$E$1001,6,FALSE))</f>
        <v/>
      </c>
      <c r="I897" s="12"/>
      <c r="J897" s="12"/>
      <c r="K897" s="12"/>
      <c r="L897" s="12"/>
    </row>
    <row r="898" spans="1:12" ht="16" x14ac:dyDescent="0.2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2"/>
      <c r="F898" s="12"/>
      <c r="G898" s="12"/>
      <c r="H898" s="12" t="str">
        <f>IF(A898=0,"",VLOOKUP(B898,Materials!$A$2:$E$1001,6,FALSE))</f>
        <v/>
      </c>
      <c r="I898" s="12"/>
      <c r="J898" s="12"/>
      <c r="K898" s="12"/>
      <c r="L898" s="12"/>
    </row>
    <row r="899" spans="1:12" ht="16" x14ac:dyDescent="0.2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2"/>
      <c r="F899" s="12"/>
      <c r="G899" s="12"/>
      <c r="H899" s="12" t="str">
        <f>IF(A899=0,"",VLOOKUP(B899,Materials!$A$2:$E$1001,6,FALSE))</f>
        <v/>
      </c>
      <c r="I899" s="12"/>
      <c r="J899" s="12"/>
      <c r="K899" s="12"/>
      <c r="L899" s="12"/>
    </row>
    <row r="900" spans="1:12" ht="16" x14ac:dyDescent="0.2">
      <c r="A900" s="8"/>
      <c r="B900" s="8"/>
      <c r="C900" s="8" t="str">
        <f t="shared" si="28"/>
        <v/>
      </c>
      <c r="D900" s="8" t="str">
        <f t="shared" si="29"/>
        <v/>
      </c>
      <c r="E900" s="12"/>
      <c r="F900" s="12"/>
      <c r="G900" s="12"/>
      <c r="H900" s="12" t="str">
        <f>IF(A900=0,"",VLOOKUP(B900,Materials!$A$2:$E$1001,6,FALSE))</f>
        <v/>
      </c>
      <c r="I900" s="12"/>
      <c r="J900" s="12"/>
      <c r="K900" s="12"/>
      <c r="L900" s="12"/>
    </row>
    <row r="901" spans="1:12" ht="16" x14ac:dyDescent="0.2">
      <c r="A901" s="8"/>
      <c r="B901" s="8"/>
      <c r="C901" s="8" t="str">
        <f t="shared" si="28"/>
        <v/>
      </c>
      <c r="D901" s="8" t="str">
        <f t="shared" si="29"/>
        <v/>
      </c>
      <c r="E901" s="12"/>
      <c r="F901" s="12"/>
      <c r="G901" s="12"/>
      <c r="H901" s="12" t="str">
        <f>IF(A901=0,"",VLOOKUP(B901,Materials!$A$2:$E$1001,6,FALSE))</f>
        <v/>
      </c>
      <c r="I901" s="12"/>
      <c r="J901" s="12"/>
      <c r="K901" s="12"/>
      <c r="L901" s="12"/>
    </row>
    <row r="902" spans="1:12" ht="16" x14ac:dyDescent="0.2">
      <c r="A902" s="8"/>
      <c r="B902" s="8"/>
      <c r="C902" s="8" t="str">
        <f t="shared" si="28"/>
        <v/>
      </c>
      <c r="D902" s="8" t="str">
        <f t="shared" si="29"/>
        <v/>
      </c>
      <c r="E902" s="12"/>
      <c r="F902" s="12"/>
      <c r="G902" s="12"/>
      <c r="H902" s="12" t="str">
        <f>IF(A902=0,"",VLOOKUP(B902,Materials!$A$2:$E$1001,6,FALSE))</f>
        <v/>
      </c>
      <c r="I902" s="12"/>
      <c r="J902" s="12"/>
      <c r="K902" s="12"/>
      <c r="L902" s="12"/>
    </row>
    <row r="903" spans="1:12" ht="16" x14ac:dyDescent="0.2">
      <c r="A903" s="8"/>
      <c r="B903" s="8"/>
      <c r="C903" s="8" t="str">
        <f t="shared" si="28"/>
        <v/>
      </c>
      <c r="D903" s="8" t="str">
        <f t="shared" si="29"/>
        <v/>
      </c>
      <c r="E903" s="12"/>
      <c r="F903" s="12"/>
      <c r="G903" s="12"/>
      <c r="H903" s="12" t="str">
        <f>IF(A903=0,"",VLOOKUP(B903,Materials!$A$2:$E$1001,6,FALSE))</f>
        <v/>
      </c>
      <c r="I903" s="12"/>
      <c r="J903" s="12"/>
      <c r="K903" s="12"/>
      <c r="L903" s="12"/>
    </row>
    <row r="904" spans="1:12" ht="16" x14ac:dyDescent="0.2">
      <c r="A904" s="8"/>
      <c r="B904" s="8"/>
      <c r="C904" s="8" t="str">
        <f t="shared" si="28"/>
        <v/>
      </c>
      <c r="D904" s="8" t="str">
        <f t="shared" si="29"/>
        <v/>
      </c>
      <c r="E904" s="12"/>
      <c r="F904" s="12"/>
      <c r="G904" s="12"/>
      <c r="H904" s="12" t="str">
        <f>IF(A904=0,"",VLOOKUP(B904,Materials!$A$2:$E$1001,6,FALSE))</f>
        <v/>
      </c>
      <c r="I904" s="12"/>
      <c r="J904" s="12"/>
      <c r="K904" s="12"/>
      <c r="L904" s="12"/>
    </row>
    <row r="905" spans="1:12" ht="16" x14ac:dyDescent="0.2">
      <c r="A905" s="8"/>
      <c r="B905" s="8"/>
      <c r="C905" s="8" t="str">
        <f t="shared" si="28"/>
        <v/>
      </c>
      <c r="D905" s="8" t="str">
        <f t="shared" si="29"/>
        <v/>
      </c>
      <c r="E905" s="12"/>
      <c r="F905" s="12"/>
      <c r="G905" s="12"/>
      <c r="H905" s="12" t="str">
        <f>IF(A905=0,"",VLOOKUP(B905,Materials!$A$2:$E$1001,6,FALSE))</f>
        <v/>
      </c>
      <c r="I905" s="12"/>
      <c r="J905" s="12"/>
      <c r="K905" s="12"/>
      <c r="L905" s="12"/>
    </row>
    <row r="906" spans="1:12" ht="16" x14ac:dyDescent="0.2">
      <c r="A906" s="8"/>
      <c r="B906" s="8"/>
      <c r="C906" s="8" t="str">
        <f t="shared" si="28"/>
        <v/>
      </c>
      <c r="D906" s="8" t="str">
        <f t="shared" si="29"/>
        <v/>
      </c>
      <c r="E906" s="12"/>
      <c r="F906" s="12"/>
      <c r="G906" s="12"/>
      <c r="H906" s="12" t="str">
        <f>IF(A906=0,"",VLOOKUP(B906,Materials!$A$2:$E$1001,6,FALSE))</f>
        <v/>
      </c>
      <c r="I906" s="12"/>
      <c r="J906" s="12"/>
      <c r="K906" s="12"/>
      <c r="L906" s="12"/>
    </row>
    <row r="907" spans="1:12" ht="16" x14ac:dyDescent="0.2">
      <c r="A907" s="8"/>
      <c r="B907" s="8"/>
      <c r="C907" s="8" t="str">
        <f t="shared" si="28"/>
        <v/>
      </c>
      <c r="D907" s="8" t="str">
        <f t="shared" si="29"/>
        <v/>
      </c>
      <c r="E907" s="12"/>
      <c r="F907" s="12"/>
      <c r="G907" s="12"/>
      <c r="H907" s="12" t="str">
        <f>IF(A907=0,"",VLOOKUP(B907,Materials!$A$2:$E$1001,6,FALSE))</f>
        <v/>
      </c>
      <c r="I907" s="12"/>
      <c r="J907" s="12"/>
      <c r="K907" s="12"/>
      <c r="L907" s="12"/>
    </row>
    <row r="908" spans="1:12" ht="16" x14ac:dyDescent="0.2">
      <c r="A908" s="8"/>
      <c r="B908" s="8"/>
      <c r="C908" s="8" t="str">
        <f t="shared" si="28"/>
        <v/>
      </c>
      <c r="D908" s="8" t="str">
        <f t="shared" si="29"/>
        <v/>
      </c>
      <c r="E908" s="12"/>
      <c r="F908" s="12"/>
      <c r="G908" s="12"/>
      <c r="H908" s="12" t="str">
        <f>IF(A908=0,"",VLOOKUP(B908,Materials!$A$2:$E$1001,6,FALSE))</f>
        <v/>
      </c>
      <c r="I908" s="12"/>
      <c r="J908" s="12"/>
      <c r="K908" s="12"/>
      <c r="L908" s="12"/>
    </row>
    <row r="909" spans="1:12" ht="16" x14ac:dyDescent="0.2">
      <c r="A909" s="8"/>
      <c r="B909" s="8"/>
      <c r="C909" s="8" t="str">
        <f t="shared" si="28"/>
        <v/>
      </c>
      <c r="D909" s="8" t="str">
        <f t="shared" si="29"/>
        <v/>
      </c>
      <c r="E909" s="12"/>
      <c r="F909" s="12"/>
      <c r="G909" s="12"/>
      <c r="H909" s="12" t="str">
        <f>IF(A909=0,"",VLOOKUP(B909,Materials!$A$2:$E$1001,6,FALSE))</f>
        <v/>
      </c>
      <c r="I909" s="12"/>
      <c r="J909" s="12"/>
      <c r="K909" s="12"/>
      <c r="L909" s="12"/>
    </row>
    <row r="910" spans="1:12" ht="16" x14ac:dyDescent="0.2">
      <c r="A910" s="8"/>
      <c r="B910" s="8"/>
      <c r="C910" s="8" t="str">
        <f t="shared" si="28"/>
        <v/>
      </c>
      <c r="D910" s="8" t="str">
        <f t="shared" si="29"/>
        <v/>
      </c>
      <c r="E910" s="12"/>
      <c r="F910" s="12"/>
      <c r="G910" s="12"/>
      <c r="H910" s="12" t="str">
        <f>IF(A910=0,"",VLOOKUP(B910,Materials!$A$2:$E$1001,6,FALSE))</f>
        <v/>
      </c>
      <c r="I910" s="12"/>
      <c r="J910" s="12"/>
      <c r="K910" s="12"/>
      <c r="L910" s="12"/>
    </row>
    <row r="911" spans="1:12" ht="16" x14ac:dyDescent="0.2">
      <c r="A911" s="8"/>
      <c r="B911" s="8"/>
      <c r="C911" s="8" t="str">
        <f t="shared" si="28"/>
        <v/>
      </c>
      <c r="D911" s="8" t="str">
        <f t="shared" si="29"/>
        <v/>
      </c>
      <c r="E911" s="12"/>
      <c r="F911" s="12"/>
      <c r="G911" s="12"/>
      <c r="H911" s="12" t="str">
        <f>IF(A911=0,"",VLOOKUP(B911,Materials!$A$2:$E$1001,6,FALSE))</f>
        <v/>
      </c>
      <c r="I911" s="12"/>
      <c r="J911" s="12"/>
      <c r="K911" s="12"/>
      <c r="L911" s="12"/>
    </row>
    <row r="912" spans="1:12" ht="16" x14ac:dyDescent="0.2">
      <c r="A912" s="8"/>
      <c r="B912" s="8"/>
      <c r="C912" s="8" t="str">
        <f t="shared" si="28"/>
        <v/>
      </c>
      <c r="D912" s="8" t="str">
        <f t="shared" si="29"/>
        <v/>
      </c>
      <c r="E912" s="12"/>
      <c r="F912" s="12"/>
      <c r="G912" s="12"/>
      <c r="H912" s="12" t="str">
        <f>IF(A912=0,"",VLOOKUP(B912,Materials!$A$2:$E$1001,6,FALSE))</f>
        <v/>
      </c>
      <c r="I912" s="12"/>
      <c r="J912" s="12"/>
      <c r="K912" s="12"/>
      <c r="L912" s="12"/>
    </row>
    <row r="913" spans="1:12" ht="16" x14ac:dyDescent="0.2">
      <c r="A913" s="8"/>
      <c r="B913" s="8"/>
      <c r="C913" s="8" t="str">
        <f t="shared" si="28"/>
        <v/>
      </c>
      <c r="D913" s="8" t="str">
        <f t="shared" si="29"/>
        <v/>
      </c>
      <c r="E913" s="12"/>
      <c r="F913" s="12"/>
      <c r="G913" s="12"/>
      <c r="H913" s="12" t="str">
        <f>IF(A913=0,"",VLOOKUP(B913,Materials!$A$2:$E$1001,6,FALSE))</f>
        <v/>
      </c>
      <c r="I913" s="12"/>
      <c r="J913" s="12"/>
      <c r="K913" s="12"/>
      <c r="L913" s="12"/>
    </row>
    <row r="914" spans="1:12" ht="16" x14ac:dyDescent="0.2">
      <c r="A914" s="8"/>
      <c r="B914" s="8"/>
      <c r="C914" s="8" t="str">
        <f t="shared" si="28"/>
        <v/>
      </c>
      <c r="D914" s="8" t="str">
        <f t="shared" si="29"/>
        <v/>
      </c>
      <c r="E914" s="12"/>
      <c r="F914" s="12"/>
      <c r="G914" s="12"/>
      <c r="H914" s="12" t="str">
        <f>IF(A914=0,"",VLOOKUP(B914,Materials!$A$2:$E$1001,6,FALSE))</f>
        <v/>
      </c>
      <c r="I914" s="12"/>
      <c r="J914" s="12"/>
      <c r="K914" s="12"/>
      <c r="L914" s="12"/>
    </row>
    <row r="915" spans="1:12" ht="16" x14ac:dyDescent="0.2">
      <c r="A915" s="8"/>
      <c r="B915" s="8"/>
      <c r="C915" s="8" t="str">
        <f t="shared" si="28"/>
        <v/>
      </c>
      <c r="D915" s="8" t="str">
        <f t="shared" si="29"/>
        <v/>
      </c>
      <c r="E915" s="12"/>
      <c r="F915" s="12"/>
      <c r="G915" s="12"/>
      <c r="H915" s="12" t="str">
        <f>IF(A915=0,"",VLOOKUP(B915,Materials!$A$2:$E$1001,6,FALSE))</f>
        <v/>
      </c>
      <c r="I915" s="12"/>
      <c r="J915" s="12"/>
      <c r="K915" s="12"/>
      <c r="L915" s="12"/>
    </row>
    <row r="916" spans="1:12" ht="16" x14ac:dyDescent="0.2">
      <c r="A916" s="8"/>
      <c r="B916" s="8"/>
      <c r="C916" s="8" t="str">
        <f t="shared" si="28"/>
        <v/>
      </c>
      <c r="D916" s="8" t="str">
        <f t="shared" si="29"/>
        <v/>
      </c>
      <c r="E916" s="12"/>
      <c r="F916" s="12"/>
      <c r="G916" s="12"/>
      <c r="H916" s="12" t="str">
        <f>IF(A916=0,"",VLOOKUP(B916,Materials!$A$2:$E$1001,6,FALSE))</f>
        <v/>
      </c>
      <c r="I916" s="12"/>
      <c r="J916" s="12"/>
      <c r="K916" s="12"/>
      <c r="L916" s="12"/>
    </row>
    <row r="917" spans="1:12" ht="16" x14ac:dyDescent="0.2">
      <c r="A917" s="8"/>
      <c r="B917" s="8"/>
      <c r="C917" s="8" t="str">
        <f t="shared" si="28"/>
        <v/>
      </c>
      <c r="D917" s="8" t="str">
        <f t="shared" si="29"/>
        <v/>
      </c>
      <c r="E917" s="12"/>
      <c r="F917" s="12"/>
      <c r="G917" s="12"/>
      <c r="H917" s="12" t="str">
        <f>IF(A917=0,"",VLOOKUP(B917,Materials!$A$2:$E$1001,6,FALSE))</f>
        <v/>
      </c>
      <c r="I917" s="12"/>
      <c r="J917" s="12"/>
      <c r="K917" s="12"/>
      <c r="L917" s="12"/>
    </row>
    <row r="918" spans="1:12" ht="16" x14ac:dyDescent="0.2">
      <c r="A918" s="8"/>
      <c r="B918" s="8"/>
      <c r="C918" s="8" t="str">
        <f t="shared" si="28"/>
        <v/>
      </c>
      <c r="D918" s="8" t="str">
        <f t="shared" si="29"/>
        <v/>
      </c>
      <c r="E918" s="12"/>
      <c r="F918" s="12"/>
      <c r="G918" s="12"/>
      <c r="H918" s="12" t="str">
        <f>IF(A918=0,"",VLOOKUP(B918,Materials!$A$2:$E$1001,6,FALSE))</f>
        <v/>
      </c>
      <c r="I918" s="12"/>
      <c r="J918" s="12"/>
      <c r="K918" s="12"/>
      <c r="L918" s="12"/>
    </row>
    <row r="919" spans="1:12" ht="16" x14ac:dyDescent="0.2">
      <c r="A919" s="8"/>
      <c r="B919" s="8"/>
      <c r="C919" s="8" t="str">
        <f t="shared" si="28"/>
        <v/>
      </c>
      <c r="D919" s="8" t="str">
        <f t="shared" si="29"/>
        <v/>
      </c>
      <c r="E919" s="12"/>
      <c r="F919" s="12"/>
      <c r="G919" s="12"/>
      <c r="H919" s="12" t="str">
        <f>IF(A919=0,"",VLOOKUP(B919,Materials!$A$2:$E$1001,6,FALSE))</f>
        <v/>
      </c>
      <c r="I919" s="12"/>
      <c r="J919" s="12"/>
      <c r="K919" s="12"/>
      <c r="L919" s="12"/>
    </row>
    <row r="920" spans="1:12" ht="16" x14ac:dyDescent="0.2">
      <c r="A920" s="8"/>
      <c r="B920" s="8"/>
      <c r="C920" s="8" t="str">
        <f t="shared" si="28"/>
        <v/>
      </c>
      <c r="D920" s="8" t="str">
        <f t="shared" si="29"/>
        <v/>
      </c>
      <c r="E920" s="12"/>
      <c r="F920" s="12"/>
      <c r="G920" s="12"/>
      <c r="H920" s="12" t="str">
        <f>IF(A920=0,"",VLOOKUP(B920,Materials!$A$2:$E$1001,6,FALSE))</f>
        <v/>
      </c>
      <c r="I920" s="12"/>
      <c r="J920" s="12"/>
      <c r="K920" s="12"/>
      <c r="L920" s="12"/>
    </row>
    <row r="921" spans="1:12" ht="16" x14ac:dyDescent="0.2">
      <c r="A921" s="8"/>
      <c r="B921" s="8"/>
      <c r="C921" s="8" t="str">
        <f t="shared" si="28"/>
        <v/>
      </c>
      <c r="D921" s="8" t="str">
        <f t="shared" si="29"/>
        <v/>
      </c>
      <c r="E921" s="12"/>
      <c r="F921" s="12"/>
      <c r="G921" s="12"/>
      <c r="H921" s="12" t="str">
        <f>IF(A921=0,"",VLOOKUP(B921,Materials!$A$2:$E$1001,6,FALSE))</f>
        <v/>
      </c>
      <c r="I921" s="12"/>
      <c r="J921" s="12"/>
      <c r="K921" s="12"/>
      <c r="L921" s="12"/>
    </row>
    <row r="922" spans="1:12" ht="16" x14ac:dyDescent="0.2">
      <c r="A922" s="8"/>
      <c r="B922" s="8"/>
      <c r="C922" s="8" t="str">
        <f t="shared" si="28"/>
        <v/>
      </c>
      <c r="D922" s="8" t="str">
        <f t="shared" si="29"/>
        <v/>
      </c>
      <c r="E922" s="12"/>
      <c r="F922" s="12"/>
      <c r="G922" s="12"/>
      <c r="H922" s="12" t="str">
        <f>IF(A922=0,"",VLOOKUP(B922,Materials!$A$2:$E$1001,6,FALSE))</f>
        <v/>
      </c>
      <c r="I922" s="12"/>
      <c r="J922" s="12"/>
      <c r="K922" s="12"/>
      <c r="L922" s="12"/>
    </row>
    <row r="923" spans="1:12" ht="16" x14ac:dyDescent="0.2">
      <c r="A923" s="8"/>
      <c r="B923" s="8"/>
      <c r="C923" s="8" t="str">
        <f t="shared" si="28"/>
        <v/>
      </c>
      <c r="D923" s="8" t="str">
        <f t="shared" si="29"/>
        <v/>
      </c>
      <c r="E923" s="12"/>
      <c r="F923" s="12"/>
      <c r="G923" s="12"/>
      <c r="H923" s="12" t="str">
        <f>IF(A923=0,"",VLOOKUP(B923,Materials!$A$2:$E$1001,6,FALSE))</f>
        <v/>
      </c>
      <c r="I923" s="12"/>
      <c r="J923" s="12"/>
      <c r="K923" s="12"/>
      <c r="L923" s="12"/>
    </row>
    <row r="924" spans="1:12" ht="16" x14ac:dyDescent="0.2">
      <c r="A924" s="8"/>
      <c r="B924" s="8"/>
      <c r="C924" s="8" t="str">
        <f t="shared" si="28"/>
        <v/>
      </c>
      <c r="D924" s="8" t="str">
        <f t="shared" si="29"/>
        <v/>
      </c>
      <c r="E924" s="12"/>
      <c r="F924" s="12"/>
      <c r="G924" s="12"/>
      <c r="H924" s="12" t="str">
        <f>IF(A924=0,"",VLOOKUP(B924,Materials!$A$2:$E$1001,6,FALSE))</f>
        <v/>
      </c>
      <c r="I924" s="12"/>
      <c r="J924" s="12"/>
      <c r="K924" s="12"/>
      <c r="L924" s="12"/>
    </row>
    <row r="925" spans="1:12" ht="16" x14ac:dyDescent="0.2">
      <c r="A925" s="8"/>
      <c r="B925" s="8"/>
      <c r="C925" s="8" t="str">
        <f t="shared" si="28"/>
        <v/>
      </c>
      <c r="D925" s="8" t="str">
        <f t="shared" si="29"/>
        <v/>
      </c>
      <c r="E925" s="12"/>
      <c r="F925" s="12"/>
      <c r="G925" s="12"/>
      <c r="H925" s="12" t="str">
        <f>IF(A925=0,"",VLOOKUP(B925,Materials!$A$2:$E$1001,6,FALSE))</f>
        <v/>
      </c>
      <c r="I925" s="12"/>
      <c r="J925" s="12"/>
      <c r="K925" s="12"/>
      <c r="L925" s="12"/>
    </row>
    <row r="926" spans="1:12" ht="16" x14ac:dyDescent="0.2">
      <c r="A926" s="8"/>
      <c r="B926" s="8"/>
      <c r="C926" s="8" t="str">
        <f t="shared" si="28"/>
        <v/>
      </c>
      <c r="D926" s="8" t="str">
        <f t="shared" si="29"/>
        <v/>
      </c>
      <c r="E926" s="12"/>
      <c r="F926" s="12"/>
      <c r="G926" s="12"/>
      <c r="H926" s="12" t="str">
        <f>IF(A926=0,"",VLOOKUP(B926,Materials!$A$2:$E$1001,6,FALSE))</f>
        <v/>
      </c>
      <c r="I926" s="12"/>
      <c r="J926" s="12"/>
      <c r="K926" s="12"/>
      <c r="L926" s="12"/>
    </row>
    <row r="927" spans="1:12" ht="16" x14ac:dyDescent="0.2">
      <c r="A927" s="8"/>
      <c r="B927" s="8"/>
      <c r="C927" s="8" t="str">
        <f t="shared" si="28"/>
        <v/>
      </c>
      <c r="D927" s="8" t="str">
        <f t="shared" si="29"/>
        <v/>
      </c>
      <c r="E927" s="12"/>
      <c r="F927" s="12"/>
      <c r="G927" s="12"/>
      <c r="H927" s="12" t="str">
        <f>IF(A927=0,"",VLOOKUP(B927,Materials!$A$2:$E$1001,6,FALSE))</f>
        <v/>
      </c>
      <c r="I927" s="12"/>
      <c r="J927" s="12"/>
      <c r="K927" s="12"/>
      <c r="L927" s="12"/>
    </row>
    <row r="928" spans="1:12" ht="16" x14ac:dyDescent="0.2">
      <c r="A928" s="8"/>
      <c r="B928" s="8"/>
      <c r="C928" s="8" t="str">
        <f t="shared" si="28"/>
        <v/>
      </c>
      <c r="D928" s="8" t="str">
        <f t="shared" si="29"/>
        <v/>
      </c>
      <c r="E928" s="12"/>
      <c r="F928" s="12"/>
      <c r="G928" s="12"/>
      <c r="H928" s="12" t="str">
        <f>IF(A928=0,"",VLOOKUP(B928,Materials!$A$2:$E$1001,6,FALSE))</f>
        <v/>
      </c>
      <c r="I928" s="12"/>
      <c r="J928" s="12"/>
      <c r="K928" s="12"/>
      <c r="L928" s="12"/>
    </row>
    <row r="929" spans="1:12" ht="16" x14ac:dyDescent="0.2">
      <c r="A929" s="8"/>
      <c r="B929" s="8"/>
      <c r="C929" s="8" t="str">
        <f t="shared" si="28"/>
        <v/>
      </c>
      <c r="D929" s="8" t="str">
        <f t="shared" si="29"/>
        <v/>
      </c>
      <c r="E929" s="12"/>
      <c r="F929" s="12"/>
      <c r="G929" s="12"/>
      <c r="H929" s="12" t="str">
        <f>IF(A929=0,"",VLOOKUP(B929,Materials!$A$2:$E$1001,6,FALSE))</f>
        <v/>
      </c>
      <c r="I929" s="12"/>
      <c r="J929" s="12"/>
      <c r="K929" s="12"/>
      <c r="L929" s="12"/>
    </row>
    <row r="930" spans="1:12" ht="16" x14ac:dyDescent="0.2">
      <c r="A930" s="8"/>
      <c r="B930" s="8"/>
      <c r="C930" s="8" t="str">
        <f t="shared" si="28"/>
        <v/>
      </c>
      <c r="D930" s="8" t="str">
        <f t="shared" si="29"/>
        <v/>
      </c>
      <c r="E930" s="12"/>
      <c r="F930" s="12"/>
      <c r="G930" s="12"/>
      <c r="H930" s="12" t="str">
        <f>IF(A930=0,"",VLOOKUP(B930,Materials!$A$2:$E$1001,6,FALSE))</f>
        <v/>
      </c>
      <c r="I930" s="12"/>
      <c r="J930" s="12"/>
      <c r="K930" s="12"/>
      <c r="L930" s="12"/>
    </row>
    <row r="931" spans="1:12" ht="16" x14ac:dyDescent="0.2">
      <c r="A931" s="8"/>
      <c r="B931" s="8"/>
      <c r="C931" s="8" t="str">
        <f t="shared" si="28"/>
        <v/>
      </c>
      <c r="D931" s="8" t="str">
        <f t="shared" si="29"/>
        <v/>
      </c>
      <c r="E931" s="12"/>
      <c r="F931" s="12"/>
      <c r="G931" s="12"/>
      <c r="H931" s="12" t="str">
        <f>IF(A931=0,"",VLOOKUP(B931,Materials!$A$2:$E$1001,6,FALSE))</f>
        <v/>
      </c>
      <c r="I931" s="12"/>
      <c r="J931" s="12"/>
      <c r="K931" s="12"/>
      <c r="L931" s="12"/>
    </row>
    <row r="932" spans="1:12" ht="16" x14ac:dyDescent="0.2">
      <c r="A932" s="8"/>
      <c r="B932" s="8"/>
      <c r="C932" s="8" t="str">
        <f t="shared" si="28"/>
        <v/>
      </c>
      <c r="D932" s="8" t="str">
        <f t="shared" si="29"/>
        <v/>
      </c>
      <c r="E932" s="12"/>
      <c r="F932" s="12"/>
      <c r="G932" s="12"/>
      <c r="H932" s="12" t="str">
        <f>IF(A932=0,"",VLOOKUP(B932,Materials!$A$2:$E$1001,6,FALSE))</f>
        <v/>
      </c>
      <c r="I932" s="12"/>
      <c r="J932" s="12"/>
      <c r="K932" s="12"/>
      <c r="L932" s="12"/>
    </row>
    <row r="933" spans="1:12" ht="16" x14ac:dyDescent="0.2">
      <c r="A933" s="8"/>
      <c r="B933" s="8"/>
      <c r="C933" s="8" t="str">
        <f t="shared" si="28"/>
        <v/>
      </c>
      <c r="D933" s="8" t="str">
        <f t="shared" si="29"/>
        <v/>
      </c>
      <c r="E933" s="12"/>
      <c r="F933" s="12"/>
      <c r="G933" s="12"/>
      <c r="H933" s="12" t="str">
        <f>IF(A933=0,"",VLOOKUP(B933,Materials!$A$2:$E$1001,6,FALSE))</f>
        <v/>
      </c>
      <c r="I933" s="12"/>
      <c r="J933" s="12"/>
      <c r="K933" s="12"/>
      <c r="L933" s="12"/>
    </row>
    <row r="934" spans="1:12" ht="16" x14ac:dyDescent="0.2">
      <c r="A934" s="8"/>
      <c r="B934" s="8"/>
      <c r="C934" s="8" t="str">
        <f t="shared" si="28"/>
        <v/>
      </c>
      <c r="D934" s="8" t="str">
        <f t="shared" si="29"/>
        <v/>
      </c>
      <c r="E934" s="12"/>
      <c r="F934" s="12"/>
      <c r="G934" s="12"/>
      <c r="H934" s="12" t="str">
        <f>IF(A934=0,"",VLOOKUP(B934,Materials!$A$2:$E$1001,6,FALSE))</f>
        <v/>
      </c>
      <c r="I934" s="12"/>
      <c r="J934" s="12"/>
      <c r="K934" s="12"/>
      <c r="L934" s="12"/>
    </row>
    <row r="935" spans="1:12" ht="16" x14ac:dyDescent="0.2">
      <c r="A935" s="8"/>
      <c r="B935" s="8"/>
      <c r="C935" s="8" t="str">
        <f t="shared" si="28"/>
        <v/>
      </c>
      <c r="D935" s="8" t="str">
        <f t="shared" si="29"/>
        <v/>
      </c>
      <c r="E935" s="12"/>
      <c r="F935" s="12"/>
      <c r="G935" s="12"/>
      <c r="H935" s="12" t="str">
        <f>IF(A935=0,"",VLOOKUP(B935,Materials!$A$2:$E$1001,6,FALSE))</f>
        <v/>
      </c>
      <c r="I935" s="12"/>
      <c r="J935" s="12"/>
      <c r="K935" s="12"/>
      <c r="L935" s="12"/>
    </row>
    <row r="936" spans="1:12" ht="16" x14ac:dyDescent="0.2">
      <c r="A936" s="8"/>
      <c r="B936" s="8"/>
      <c r="C936" s="8" t="str">
        <f t="shared" si="28"/>
        <v/>
      </c>
      <c r="D936" s="8" t="str">
        <f t="shared" si="29"/>
        <v/>
      </c>
      <c r="E936" s="12"/>
      <c r="F936" s="12"/>
      <c r="G936" s="12"/>
      <c r="H936" s="12" t="str">
        <f>IF(A936=0,"",VLOOKUP(B936,Materials!$A$2:$E$1001,6,FALSE))</f>
        <v/>
      </c>
      <c r="I936" s="12"/>
      <c r="J936" s="12"/>
      <c r="K936" s="12"/>
      <c r="L936" s="12"/>
    </row>
    <row r="937" spans="1:12" ht="16" x14ac:dyDescent="0.2">
      <c r="A937" s="8"/>
      <c r="B937" s="8"/>
      <c r="C937" s="8" t="str">
        <f t="shared" si="28"/>
        <v/>
      </c>
      <c r="D937" s="8" t="str">
        <f t="shared" si="29"/>
        <v/>
      </c>
      <c r="E937" s="12"/>
      <c r="F937" s="12"/>
      <c r="G937" s="12"/>
      <c r="H937" s="12" t="str">
        <f>IF(A937=0,"",VLOOKUP(B937,Materials!$A$2:$E$1001,6,FALSE))</f>
        <v/>
      </c>
      <c r="I937" s="12"/>
      <c r="J937" s="12"/>
      <c r="K937" s="12"/>
      <c r="L937" s="12"/>
    </row>
    <row r="938" spans="1:12" ht="16" x14ac:dyDescent="0.2">
      <c r="A938" s="8"/>
      <c r="B938" s="8"/>
      <c r="C938" s="8" t="str">
        <f t="shared" si="28"/>
        <v/>
      </c>
      <c r="D938" s="8" t="str">
        <f t="shared" si="29"/>
        <v/>
      </c>
      <c r="E938" s="12"/>
      <c r="F938" s="12"/>
      <c r="G938" s="12"/>
      <c r="H938" s="12" t="str">
        <f>IF(A938=0,"",VLOOKUP(B938,Materials!$A$2:$E$1001,6,FALSE))</f>
        <v/>
      </c>
      <c r="I938" s="12"/>
      <c r="J938" s="12"/>
      <c r="K938" s="12"/>
      <c r="L938" s="12"/>
    </row>
    <row r="939" spans="1:12" ht="16" x14ac:dyDescent="0.2">
      <c r="A939" s="8"/>
      <c r="B939" s="8"/>
      <c r="C939" s="8" t="str">
        <f t="shared" si="28"/>
        <v/>
      </c>
      <c r="D939" s="8" t="str">
        <f t="shared" si="29"/>
        <v/>
      </c>
      <c r="E939" s="12"/>
      <c r="F939" s="12"/>
      <c r="G939" s="12"/>
      <c r="H939" s="12" t="str">
        <f>IF(A939=0,"",VLOOKUP(B939,Materials!$A$2:$E$1001,6,FALSE))</f>
        <v/>
      </c>
      <c r="I939" s="12"/>
      <c r="J939" s="12"/>
      <c r="K939" s="12"/>
      <c r="L939" s="12"/>
    </row>
    <row r="940" spans="1:12" ht="16" x14ac:dyDescent="0.2">
      <c r="A940" s="8"/>
      <c r="B940" s="8"/>
      <c r="C940" s="8" t="str">
        <f t="shared" si="28"/>
        <v/>
      </c>
      <c r="D940" s="8" t="str">
        <f t="shared" si="29"/>
        <v/>
      </c>
      <c r="E940" s="12"/>
      <c r="F940" s="12"/>
      <c r="G940" s="12"/>
      <c r="H940" s="12" t="str">
        <f>IF(A940=0,"",VLOOKUP(B940,Materials!$A$2:$E$1001,6,FALSE))</f>
        <v/>
      </c>
      <c r="I940" s="12"/>
      <c r="J940" s="12"/>
      <c r="K940" s="12"/>
      <c r="L940" s="12"/>
    </row>
    <row r="941" spans="1:12" ht="16" x14ac:dyDescent="0.2">
      <c r="A941" s="8"/>
      <c r="B941" s="8"/>
      <c r="C941" s="8" t="str">
        <f t="shared" si="28"/>
        <v/>
      </c>
      <c r="D941" s="8" t="str">
        <f t="shared" si="29"/>
        <v/>
      </c>
      <c r="E941" s="12"/>
      <c r="F941" s="12"/>
      <c r="G941" s="12"/>
      <c r="H941" s="12" t="str">
        <f>IF(A941=0,"",VLOOKUP(B941,Materials!$A$2:$E$1001,6,FALSE))</f>
        <v/>
      </c>
      <c r="I941" s="12"/>
      <c r="J941" s="12"/>
      <c r="K941" s="12"/>
      <c r="L941" s="12"/>
    </row>
    <row r="942" spans="1:12" ht="16" x14ac:dyDescent="0.2">
      <c r="A942" s="8"/>
      <c r="B942" s="8"/>
      <c r="C942" s="8" t="str">
        <f t="shared" si="28"/>
        <v/>
      </c>
      <c r="D942" s="8" t="str">
        <f t="shared" si="29"/>
        <v/>
      </c>
      <c r="E942" s="12"/>
      <c r="F942" s="12"/>
      <c r="G942" s="12"/>
      <c r="H942" s="12" t="str">
        <f>IF(A942=0,"",VLOOKUP(B942,Materials!$A$2:$E$1001,6,FALSE))</f>
        <v/>
      </c>
      <c r="I942" s="12"/>
      <c r="J942" s="12"/>
      <c r="K942" s="12"/>
      <c r="L942" s="12"/>
    </row>
    <row r="943" spans="1:12" ht="16" x14ac:dyDescent="0.2">
      <c r="A943" s="8"/>
      <c r="B943" s="8"/>
      <c r="C943" s="8" t="str">
        <f t="shared" si="28"/>
        <v/>
      </c>
      <c r="D943" s="8" t="str">
        <f t="shared" si="29"/>
        <v/>
      </c>
      <c r="E943" s="12"/>
      <c r="F943" s="12"/>
      <c r="G943" s="12"/>
      <c r="H943" s="12" t="str">
        <f>IF(A943=0,"",VLOOKUP(B943,Materials!$A$2:$E$1001,6,FALSE))</f>
        <v/>
      </c>
      <c r="I943" s="12"/>
      <c r="J943" s="12"/>
      <c r="K943" s="12"/>
      <c r="L943" s="12"/>
    </row>
    <row r="944" spans="1:12" ht="16" x14ac:dyDescent="0.2">
      <c r="A944" s="8"/>
      <c r="B944" s="8"/>
      <c r="C944" s="8" t="str">
        <f t="shared" si="28"/>
        <v/>
      </c>
      <c r="D944" s="8" t="str">
        <f t="shared" si="29"/>
        <v/>
      </c>
      <c r="E944" s="12"/>
      <c r="F944" s="12"/>
      <c r="G944" s="12"/>
      <c r="H944" s="12" t="str">
        <f>IF(A944=0,"",VLOOKUP(B944,Materials!$A$2:$E$1001,6,FALSE))</f>
        <v/>
      </c>
      <c r="I944" s="12"/>
      <c r="J944" s="12"/>
      <c r="K944" s="12"/>
      <c r="L944" s="12"/>
    </row>
    <row r="945" spans="1:12" ht="16" x14ac:dyDescent="0.2">
      <c r="A945" s="8"/>
      <c r="B945" s="8"/>
      <c r="C945" s="8" t="str">
        <f t="shared" si="28"/>
        <v/>
      </c>
      <c r="D945" s="8" t="str">
        <f t="shared" si="29"/>
        <v/>
      </c>
      <c r="E945" s="12"/>
      <c r="F945" s="12"/>
      <c r="G945" s="12"/>
      <c r="H945" s="12" t="str">
        <f>IF(A945=0,"",VLOOKUP(B945,Materials!$A$2:$E$1001,6,FALSE))</f>
        <v/>
      </c>
      <c r="I945" s="12"/>
      <c r="J945" s="12"/>
      <c r="K945" s="12"/>
      <c r="L945" s="12"/>
    </row>
    <row r="946" spans="1:12" ht="16" x14ac:dyDescent="0.2">
      <c r="A946" s="8"/>
      <c r="B946" s="8"/>
      <c r="C946" s="8" t="str">
        <f t="shared" si="28"/>
        <v/>
      </c>
      <c r="D946" s="8" t="str">
        <f t="shared" si="29"/>
        <v/>
      </c>
      <c r="E946" s="12"/>
      <c r="F946" s="12"/>
      <c r="G946" s="12"/>
      <c r="H946" s="12" t="str">
        <f>IF(A946=0,"",VLOOKUP(B946,Materials!$A$2:$E$1001,6,FALSE))</f>
        <v/>
      </c>
      <c r="I946" s="12"/>
      <c r="J946" s="12"/>
      <c r="K946" s="12"/>
      <c r="L946" s="12"/>
    </row>
    <row r="947" spans="1:12" ht="16" x14ac:dyDescent="0.2">
      <c r="A947" s="8"/>
      <c r="B947" s="8"/>
      <c r="C947" s="8" t="str">
        <f t="shared" si="28"/>
        <v/>
      </c>
      <c r="D947" s="8" t="str">
        <f t="shared" si="29"/>
        <v/>
      </c>
      <c r="E947" s="12"/>
      <c r="F947" s="12"/>
      <c r="G947" s="12"/>
      <c r="H947" s="12" t="str">
        <f>IF(A947=0,"",VLOOKUP(B947,Materials!$A$2:$E$1001,6,FALSE))</f>
        <v/>
      </c>
      <c r="I947" s="12"/>
      <c r="J947" s="12"/>
      <c r="K947" s="12"/>
      <c r="L947" s="12"/>
    </row>
    <row r="948" spans="1:12" ht="16" x14ac:dyDescent="0.2">
      <c r="A948" s="8"/>
      <c r="B948" s="8"/>
      <c r="C948" s="8" t="str">
        <f t="shared" si="28"/>
        <v/>
      </c>
      <c r="D948" s="8" t="str">
        <f t="shared" si="29"/>
        <v/>
      </c>
      <c r="E948" s="12"/>
      <c r="F948" s="12"/>
      <c r="G948" s="12"/>
      <c r="H948" s="12" t="str">
        <f>IF(A948=0,"",VLOOKUP(B948,Materials!$A$2:$E$1001,6,FALSE))</f>
        <v/>
      </c>
      <c r="I948" s="12"/>
      <c r="J948" s="12"/>
      <c r="K948" s="12"/>
      <c r="L948" s="12"/>
    </row>
    <row r="949" spans="1:12" ht="16" x14ac:dyDescent="0.2">
      <c r="A949" s="8"/>
      <c r="B949" s="8"/>
      <c r="C949" s="8" t="str">
        <f t="shared" si="28"/>
        <v/>
      </c>
      <c r="D949" s="8" t="str">
        <f t="shared" si="29"/>
        <v/>
      </c>
      <c r="E949" s="12"/>
      <c r="F949" s="12"/>
      <c r="G949" s="12"/>
      <c r="H949" s="12" t="str">
        <f>IF(A949=0,"",VLOOKUP(B949,Materials!$A$2:$E$1001,6,FALSE))</f>
        <v/>
      </c>
      <c r="I949" s="12"/>
      <c r="J949" s="12"/>
      <c r="K949" s="12"/>
      <c r="L949" s="12"/>
    </row>
    <row r="950" spans="1:12" ht="16" x14ac:dyDescent="0.2">
      <c r="A950" s="8"/>
      <c r="B950" s="8"/>
      <c r="C950" s="8" t="str">
        <f t="shared" si="28"/>
        <v/>
      </c>
      <c r="D950" s="8" t="str">
        <f t="shared" si="29"/>
        <v/>
      </c>
      <c r="E950" s="12"/>
      <c r="F950" s="12"/>
      <c r="G950" s="12"/>
      <c r="H950" s="12" t="str">
        <f>IF(A950=0,"",VLOOKUP(B950,Materials!$A$2:$E$1001,6,FALSE))</f>
        <v/>
      </c>
      <c r="I950" s="12"/>
      <c r="J950" s="12"/>
      <c r="K950" s="12"/>
      <c r="L950" s="12"/>
    </row>
    <row r="951" spans="1:12" ht="16" x14ac:dyDescent="0.2">
      <c r="A951" s="8"/>
      <c r="B951" s="8"/>
      <c r="C951" s="8" t="str">
        <f t="shared" si="28"/>
        <v/>
      </c>
      <c r="D951" s="8" t="str">
        <f t="shared" si="29"/>
        <v/>
      </c>
      <c r="E951" s="12"/>
      <c r="F951" s="12"/>
      <c r="G951" s="12"/>
      <c r="H951" s="12" t="str">
        <f>IF(A951=0,"",VLOOKUP(B951,Materials!$A$2:$E$1001,6,FALSE))</f>
        <v/>
      </c>
      <c r="I951" s="12"/>
      <c r="J951" s="12"/>
      <c r="K951" s="12"/>
      <c r="L951" s="12"/>
    </row>
    <row r="952" spans="1:12" ht="16" x14ac:dyDescent="0.2">
      <c r="A952" s="8"/>
      <c r="B952" s="8"/>
      <c r="C952" s="8" t="str">
        <f t="shared" si="28"/>
        <v/>
      </c>
      <c r="D952" s="8" t="str">
        <f t="shared" si="29"/>
        <v/>
      </c>
      <c r="E952" s="12"/>
      <c r="F952" s="12"/>
      <c r="G952" s="12"/>
      <c r="H952" s="12" t="str">
        <f>IF(A952=0,"",VLOOKUP(B952,Materials!$A$2:$E$1001,6,FALSE))</f>
        <v/>
      </c>
      <c r="I952" s="12"/>
      <c r="J952" s="12"/>
      <c r="K952" s="12"/>
      <c r="L952" s="12"/>
    </row>
    <row r="953" spans="1:12" ht="16" x14ac:dyDescent="0.2">
      <c r="A953" s="8"/>
      <c r="B953" s="8"/>
      <c r="C953" s="8" t="str">
        <f t="shared" si="28"/>
        <v/>
      </c>
      <c r="D953" s="8" t="str">
        <f t="shared" si="29"/>
        <v/>
      </c>
      <c r="E953" s="12"/>
      <c r="F953" s="12"/>
      <c r="G953" s="12"/>
      <c r="H953" s="12" t="str">
        <f>IF(A953=0,"",VLOOKUP(B953,Materials!$A$2:$E$1001,6,FALSE))</f>
        <v/>
      </c>
      <c r="I953" s="12"/>
      <c r="J953" s="12"/>
      <c r="K953" s="12"/>
      <c r="L953" s="12"/>
    </row>
    <row r="954" spans="1:12" ht="16" x14ac:dyDescent="0.2">
      <c r="A954" s="8"/>
      <c r="B954" s="8"/>
      <c r="C954" s="8" t="str">
        <f t="shared" si="28"/>
        <v/>
      </c>
      <c r="D954" s="8" t="str">
        <f t="shared" si="29"/>
        <v/>
      </c>
      <c r="E954" s="12"/>
      <c r="F954" s="12"/>
      <c r="G954" s="12"/>
      <c r="H954" s="12" t="str">
        <f>IF(A954=0,"",VLOOKUP(B954,Materials!$A$2:$E$1001,6,FALSE))</f>
        <v/>
      </c>
      <c r="I954" s="12"/>
      <c r="J954" s="12"/>
      <c r="K954" s="12"/>
      <c r="L954" s="12"/>
    </row>
    <row r="955" spans="1:12" ht="16" x14ac:dyDescent="0.2">
      <c r="A955" s="8"/>
      <c r="B955" s="8"/>
      <c r="C955" s="8" t="str">
        <f t="shared" si="28"/>
        <v/>
      </c>
      <c r="D955" s="8" t="str">
        <f t="shared" si="29"/>
        <v/>
      </c>
      <c r="E955" s="12"/>
      <c r="F955" s="12"/>
      <c r="G955" s="12"/>
      <c r="H955" s="12" t="str">
        <f>IF(A955=0,"",VLOOKUP(B955,Materials!$A$2:$E$1001,6,FALSE))</f>
        <v/>
      </c>
      <c r="I955" s="12"/>
      <c r="J955" s="12"/>
      <c r="K955" s="12"/>
      <c r="L955" s="12"/>
    </row>
    <row r="956" spans="1:12" ht="16" x14ac:dyDescent="0.2">
      <c r="A956" s="8"/>
      <c r="B956" s="8"/>
      <c r="C956" s="8" t="str">
        <f t="shared" si="28"/>
        <v/>
      </c>
      <c r="D956" s="8" t="str">
        <f t="shared" si="29"/>
        <v/>
      </c>
      <c r="E956" s="12"/>
      <c r="F956" s="12"/>
      <c r="G956" s="12"/>
      <c r="H956" s="12" t="str">
        <f>IF(A956=0,"",VLOOKUP(B956,Materials!$A$2:$E$1001,6,FALSE))</f>
        <v/>
      </c>
      <c r="I956" s="12"/>
      <c r="J956" s="12"/>
      <c r="K956" s="12"/>
      <c r="L956" s="12"/>
    </row>
    <row r="957" spans="1:12" ht="16" x14ac:dyDescent="0.2">
      <c r="A957" s="8"/>
      <c r="B957" s="8"/>
      <c r="C957" s="8" t="str">
        <f t="shared" si="28"/>
        <v/>
      </c>
      <c r="D957" s="8" t="str">
        <f t="shared" si="29"/>
        <v/>
      </c>
      <c r="E957" s="12"/>
      <c r="F957" s="12"/>
      <c r="G957" s="12"/>
      <c r="H957" s="12" t="str">
        <f>IF(A957=0,"",VLOOKUP(B957,Materials!$A$2:$E$1001,6,FALSE))</f>
        <v/>
      </c>
      <c r="I957" s="12"/>
      <c r="J957" s="12"/>
      <c r="K957" s="12"/>
      <c r="L957" s="12"/>
    </row>
    <row r="958" spans="1:12" ht="16" x14ac:dyDescent="0.2">
      <c r="A958" s="8"/>
      <c r="B958" s="8"/>
      <c r="C958" s="8" t="str">
        <f t="shared" si="28"/>
        <v/>
      </c>
      <c r="D958" s="8" t="str">
        <f t="shared" si="29"/>
        <v/>
      </c>
      <c r="E958" s="12"/>
      <c r="F958" s="12"/>
      <c r="G958" s="12"/>
      <c r="H958" s="12" t="str">
        <f>IF(A958=0,"",VLOOKUP(B958,Materials!$A$2:$E$1001,6,FALSE))</f>
        <v/>
      </c>
      <c r="I958" s="12"/>
      <c r="J958" s="12"/>
      <c r="K958" s="12"/>
      <c r="L958" s="12"/>
    </row>
    <row r="959" spans="1:12" ht="16" x14ac:dyDescent="0.2">
      <c r="A959" s="8"/>
      <c r="B959" s="8"/>
      <c r="C959" s="8" t="str">
        <f t="shared" si="28"/>
        <v/>
      </c>
      <c r="D959" s="8" t="str">
        <f t="shared" si="29"/>
        <v/>
      </c>
      <c r="E959" s="12"/>
      <c r="F959" s="12"/>
      <c r="G959" s="12"/>
      <c r="H959" s="12" t="str">
        <f>IF(A959=0,"",VLOOKUP(B959,Materials!$A$2:$E$1001,6,FALSE))</f>
        <v/>
      </c>
      <c r="I959" s="12"/>
      <c r="J959" s="12"/>
      <c r="K959" s="12"/>
      <c r="L959" s="12"/>
    </row>
    <row r="960" spans="1:12" ht="16" x14ac:dyDescent="0.2">
      <c r="A960" s="8"/>
      <c r="B960" s="8"/>
      <c r="C960" s="8" t="str">
        <f t="shared" si="28"/>
        <v/>
      </c>
      <c r="D960" s="8" t="str">
        <f t="shared" si="29"/>
        <v/>
      </c>
      <c r="E960" s="12"/>
      <c r="F960" s="12"/>
      <c r="G960" s="12"/>
      <c r="H960" s="12" t="str">
        <f>IF(A960=0,"",VLOOKUP(B960,Materials!$A$2:$E$1001,6,FALSE))</f>
        <v/>
      </c>
      <c r="I960" s="12"/>
      <c r="J960" s="12"/>
      <c r="K960" s="12"/>
      <c r="L960" s="12"/>
    </row>
    <row r="961" spans="1:12" ht="16" x14ac:dyDescent="0.2">
      <c r="A961" s="8"/>
      <c r="B961" s="8"/>
      <c r="C961" s="8" t="str">
        <f t="shared" si="28"/>
        <v/>
      </c>
      <c r="D961" s="8" t="str">
        <f t="shared" si="29"/>
        <v/>
      </c>
      <c r="E961" s="12"/>
      <c r="F961" s="12"/>
      <c r="G961" s="12"/>
      <c r="H961" s="12" t="str">
        <f>IF(A961=0,"",VLOOKUP(B961,Materials!$A$2:$E$1001,6,FALSE))</f>
        <v/>
      </c>
      <c r="I961" s="12"/>
      <c r="J961" s="12"/>
      <c r="K961" s="12"/>
      <c r="L961" s="12"/>
    </row>
    <row r="962" spans="1:12" ht="16" x14ac:dyDescent="0.2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2"/>
      <c r="F962" s="12"/>
      <c r="G962" s="12"/>
      <c r="H962" s="12" t="str">
        <f>IF(A962=0,"",VLOOKUP(B962,Materials!$A$2:$E$1001,6,FALSE))</f>
        <v/>
      </c>
      <c r="I962" s="12"/>
      <c r="J962" s="12"/>
      <c r="K962" s="12"/>
      <c r="L962" s="12"/>
    </row>
    <row r="963" spans="1:12" ht="16" x14ac:dyDescent="0.2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2"/>
      <c r="F963" s="12"/>
      <c r="G963" s="12"/>
      <c r="H963" s="12" t="str">
        <f>IF(A963=0,"",VLOOKUP(B963,Materials!$A$2:$E$1001,6,FALSE))</f>
        <v/>
      </c>
      <c r="I963" s="12"/>
      <c r="J963" s="12"/>
      <c r="K963" s="12"/>
      <c r="L963" s="12"/>
    </row>
    <row r="964" spans="1:12" ht="16" x14ac:dyDescent="0.2">
      <c r="A964" s="8"/>
      <c r="B964" s="8"/>
      <c r="C964" s="8" t="str">
        <f t="shared" si="30"/>
        <v/>
      </c>
      <c r="D964" s="8" t="str">
        <f t="shared" si="31"/>
        <v/>
      </c>
      <c r="E964" s="12"/>
      <c r="F964" s="12"/>
      <c r="G964" s="12"/>
      <c r="H964" s="12" t="str">
        <f>IF(A964=0,"",VLOOKUP(B964,Materials!$A$2:$E$1001,6,FALSE))</f>
        <v/>
      </c>
      <c r="I964" s="12"/>
      <c r="J964" s="12"/>
      <c r="K964" s="12"/>
      <c r="L964" s="12"/>
    </row>
    <row r="965" spans="1:12" ht="16" x14ac:dyDescent="0.2">
      <c r="A965" s="8"/>
      <c r="B965" s="8"/>
      <c r="C965" s="8" t="str">
        <f t="shared" si="30"/>
        <v/>
      </c>
      <c r="D965" s="8" t="str">
        <f t="shared" si="31"/>
        <v/>
      </c>
      <c r="E965" s="12"/>
      <c r="F965" s="12"/>
      <c r="G965" s="12"/>
      <c r="H965" s="12" t="str">
        <f>IF(A965=0,"",VLOOKUP(B965,Materials!$A$2:$E$1001,6,FALSE))</f>
        <v/>
      </c>
      <c r="I965" s="12"/>
      <c r="J965" s="12"/>
      <c r="K965" s="12"/>
      <c r="L965" s="12"/>
    </row>
    <row r="966" spans="1:12" ht="16" x14ac:dyDescent="0.2">
      <c r="A966" s="8"/>
      <c r="B966" s="8"/>
      <c r="C966" s="8" t="str">
        <f t="shared" si="30"/>
        <v/>
      </c>
      <c r="D966" s="8" t="str">
        <f t="shared" si="31"/>
        <v/>
      </c>
      <c r="E966" s="12"/>
      <c r="F966" s="12"/>
      <c r="G966" s="12"/>
      <c r="H966" s="12" t="str">
        <f>IF(A966=0,"",VLOOKUP(B966,Materials!$A$2:$E$1001,6,FALSE))</f>
        <v/>
      </c>
      <c r="I966" s="12"/>
      <c r="J966" s="12"/>
      <c r="K966" s="12"/>
      <c r="L966" s="12"/>
    </row>
    <row r="967" spans="1:12" ht="16" x14ac:dyDescent="0.2">
      <c r="A967" s="8"/>
      <c r="B967" s="8"/>
      <c r="C967" s="8" t="str">
        <f t="shared" si="30"/>
        <v/>
      </c>
      <c r="D967" s="8" t="str">
        <f t="shared" si="31"/>
        <v/>
      </c>
      <c r="E967" s="12"/>
      <c r="F967" s="12"/>
      <c r="G967" s="12"/>
      <c r="H967" s="12" t="str">
        <f>IF(A967=0,"",VLOOKUP(B967,Materials!$A$2:$E$1001,6,FALSE))</f>
        <v/>
      </c>
      <c r="I967" s="12"/>
      <c r="J967" s="12"/>
      <c r="K967" s="12"/>
      <c r="L967" s="12"/>
    </row>
    <row r="968" spans="1:12" ht="16" x14ac:dyDescent="0.2">
      <c r="A968" s="8"/>
      <c r="B968" s="8"/>
      <c r="C968" s="8" t="str">
        <f t="shared" si="30"/>
        <v/>
      </c>
      <c r="D968" s="8" t="str">
        <f t="shared" si="31"/>
        <v/>
      </c>
      <c r="E968" s="12"/>
      <c r="F968" s="12"/>
      <c r="G968" s="12"/>
      <c r="H968" s="12" t="str">
        <f>IF(A968=0,"",VLOOKUP(B968,Materials!$A$2:$E$1001,6,FALSE))</f>
        <v/>
      </c>
      <c r="I968" s="12"/>
      <c r="J968" s="12"/>
      <c r="K968" s="12"/>
      <c r="L968" s="12"/>
    </row>
    <row r="969" spans="1:12" ht="16" x14ac:dyDescent="0.2">
      <c r="A969" s="8"/>
      <c r="B969" s="8"/>
      <c r="C969" s="8" t="str">
        <f t="shared" si="30"/>
        <v/>
      </c>
      <c r="D969" s="8" t="str">
        <f t="shared" si="31"/>
        <v/>
      </c>
      <c r="E969" s="12"/>
      <c r="F969" s="12"/>
      <c r="G969" s="12"/>
      <c r="H969" s="12" t="str">
        <f>IF(A969=0,"",VLOOKUP(B969,Materials!$A$2:$E$1001,6,FALSE))</f>
        <v/>
      </c>
      <c r="I969" s="12"/>
      <c r="J969" s="12"/>
      <c r="K969" s="12"/>
      <c r="L969" s="12"/>
    </row>
    <row r="970" spans="1:12" ht="16" x14ac:dyDescent="0.2">
      <c r="A970" s="8"/>
      <c r="B970" s="8"/>
      <c r="C970" s="8" t="str">
        <f t="shared" si="30"/>
        <v/>
      </c>
      <c r="D970" s="8" t="str">
        <f t="shared" si="31"/>
        <v/>
      </c>
      <c r="E970" s="12"/>
      <c r="F970" s="12"/>
      <c r="G970" s="12"/>
      <c r="H970" s="12" t="str">
        <f>IF(A970=0,"",VLOOKUP(B970,Materials!$A$2:$E$1001,6,FALSE))</f>
        <v/>
      </c>
      <c r="I970" s="12"/>
      <c r="J970" s="12"/>
      <c r="K970" s="12"/>
      <c r="L970" s="12"/>
    </row>
    <row r="971" spans="1:12" ht="16" x14ac:dyDescent="0.2">
      <c r="A971" s="8"/>
      <c r="B971" s="8"/>
      <c r="C971" s="8" t="str">
        <f t="shared" si="30"/>
        <v/>
      </c>
      <c r="D971" s="8" t="str">
        <f t="shared" si="31"/>
        <v/>
      </c>
      <c r="E971" s="12"/>
      <c r="F971" s="12"/>
      <c r="G971" s="12"/>
      <c r="H971" s="12" t="str">
        <f>IF(A971=0,"",VLOOKUP(B971,Materials!$A$2:$E$1001,6,FALSE))</f>
        <v/>
      </c>
      <c r="I971" s="12"/>
      <c r="J971" s="12"/>
      <c r="K971" s="12"/>
      <c r="L971" s="12"/>
    </row>
    <row r="972" spans="1:12" ht="16" x14ac:dyDescent="0.2">
      <c r="A972" s="8"/>
      <c r="B972" s="8"/>
      <c r="C972" s="8" t="str">
        <f t="shared" si="30"/>
        <v/>
      </c>
      <c r="D972" s="8" t="str">
        <f t="shared" si="31"/>
        <v/>
      </c>
      <c r="E972" s="12"/>
      <c r="F972" s="12"/>
      <c r="G972" s="12"/>
      <c r="H972" s="12" t="str">
        <f>IF(A972=0,"",VLOOKUP(B972,Materials!$A$2:$E$1001,6,FALSE))</f>
        <v/>
      </c>
      <c r="I972" s="12"/>
      <c r="J972" s="12"/>
      <c r="K972" s="12"/>
      <c r="L972" s="12"/>
    </row>
    <row r="973" spans="1:12" ht="16" x14ac:dyDescent="0.2">
      <c r="A973" s="8"/>
      <c r="B973" s="8"/>
      <c r="C973" s="8" t="str">
        <f t="shared" si="30"/>
        <v/>
      </c>
      <c r="D973" s="8" t="str">
        <f t="shared" si="31"/>
        <v/>
      </c>
      <c r="E973" s="12"/>
      <c r="F973" s="12"/>
      <c r="G973" s="12"/>
      <c r="H973" s="12" t="str">
        <f>IF(A973=0,"",VLOOKUP(B973,Materials!$A$2:$E$1001,6,FALSE))</f>
        <v/>
      </c>
      <c r="I973" s="12"/>
      <c r="J973" s="12"/>
      <c r="K973" s="12"/>
      <c r="L973" s="12"/>
    </row>
    <row r="974" spans="1:12" ht="16" x14ac:dyDescent="0.2">
      <c r="A974" s="8"/>
      <c r="B974" s="8"/>
      <c r="C974" s="8" t="str">
        <f t="shared" si="30"/>
        <v/>
      </c>
      <c r="D974" s="8" t="str">
        <f t="shared" si="31"/>
        <v/>
      </c>
      <c r="E974" s="12"/>
      <c r="F974" s="12"/>
      <c r="G974" s="12"/>
      <c r="H974" s="12" t="str">
        <f>IF(A974=0,"",VLOOKUP(B974,Materials!$A$2:$E$1001,6,FALSE))</f>
        <v/>
      </c>
      <c r="I974" s="12"/>
      <c r="J974" s="12"/>
      <c r="K974" s="12"/>
      <c r="L974" s="12"/>
    </row>
    <row r="975" spans="1:12" ht="16" x14ac:dyDescent="0.2">
      <c r="A975" s="8"/>
      <c r="B975" s="8"/>
      <c r="C975" s="8" t="str">
        <f t="shared" si="30"/>
        <v/>
      </c>
      <c r="D975" s="8" t="str">
        <f t="shared" si="31"/>
        <v/>
      </c>
      <c r="E975" s="12"/>
      <c r="F975" s="12"/>
      <c r="G975" s="12"/>
      <c r="H975" s="12" t="str">
        <f>IF(A975=0,"",VLOOKUP(B975,Materials!$A$2:$E$1001,6,FALSE))</f>
        <v/>
      </c>
      <c r="I975" s="12"/>
      <c r="J975" s="12"/>
      <c r="K975" s="12"/>
      <c r="L975" s="12"/>
    </row>
    <row r="976" spans="1:12" ht="16" x14ac:dyDescent="0.2">
      <c r="A976" s="8"/>
      <c r="B976" s="8"/>
      <c r="C976" s="8" t="str">
        <f t="shared" si="30"/>
        <v/>
      </c>
      <c r="D976" s="8" t="str">
        <f t="shared" si="31"/>
        <v/>
      </c>
      <c r="E976" s="12"/>
      <c r="F976" s="12"/>
      <c r="G976" s="12"/>
      <c r="H976" s="12" t="str">
        <f>IF(A976=0,"",VLOOKUP(B976,Materials!$A$2:$E$1001,6,FALSE))</f>
        <v/>
      </c>
      <c r="I976" s="12"/>
      <c r="J976" s="12"/>
      <c r="K976" s="12"/>
      <c r="L976" s="12"/>
    </row>
    <row r="977" spans="1:12" ht="16" x14ac:dyDescent="0.2">
      <c r="A977" s="8"/>
      <c r="B977" s="8"/>
      <c r="C977" s="8" t="str">
        <f t="shared" si="30"/>
        <v/>
      </c>
      <c r="D977" s="8" t="str">
        <f t="shared" si="31"/>
        <v/>
      </c>
      <c r="E977" s="12"/>
      <c r="F977" s="12"/>
      <c r="G977" s="12"/>
      <c r="H977" s="12" t="str">
        <f>IF(A977=0,"",VLOOKUP(B977,Materials!$A$2:$E$1001,6,FALSE))</f>
        <v/>
      </c>
      <c r="I977" s="12"/>
      <c r="J977" s="12"/>
      <c r="K977" s="12"/>
      <c r="L977" s="12"/>
    </row>
    <row r="978" spans="1:12" ht="16" x14ac:dyDescent="0.2">
      <c r="A978" s="8"/>
      <c r="B978" s="8"/>
      <c r="C978" s="8" t="str">
        <f t="shared" si="30"/>
        <v/>
      </c>
      <c r="D978" s="8" t="str">
        <f t="shared" si="31"/>
        <v/>
      </c>
      <c r="E978" s="12"/>
      <c r="F978" s="12"/>
      <c r="G978" s="12"/>
      <c r="H978" s="12" t="str">
        <f>IF(A978=0,"",VLOOKUP(B978,Materials!$A$2:$E$1001,6,FALSE))</f>
        <v/>
      </c>
      <c r="I978" s="12"/>
      <c r="J978" s="12"/>
      <c r="K978" s="12"/>
      <c r="L978" s="12"/>
    </row>
    <row r="979" spans="1:12" ht="16" x14ac:dyDescent="0.2">
      <c r="A979" s="8"/>
      <c r="B979" s="8"/>
      <c r="C979" s="8" t="str">
        <f t="shared" si="30"/>
        <v/>
      </c>
      <c r="D979" s="8" t="str">
        <f t="shared" si="31"/>
        <v/>
      </c>
      <c r="E979" s="12"/>
      <c r="F979" s="12"/>
      <c r="G979" s="12"/>
      <c r="H979" s="12" t="str">
        <f>IF(A979=0,"",VLOOKUP(B979,Materials!$A$2:$E$1001,6,FALSE))</f>
        <v/>
      </c>
      <c r="I979" s="12"/>
      <c r="J979" s="12"/>
      <c r="K979" s="12"/>
      <c r="L979" s="12"/>
    </row>
    <row r="980" spans="1:12" ht="16" x14ac:dyDescent="0.2">
      <c r="A980" s="8"/>
      <c r="B980" s="8"/>
      <c r="C980" s="8" t="str">
        <f t="shared" si="30"/>
        <v/>
      </c>
      <c r="D980" s="8" t="str">
        <f t="shared" si="31"/>
        <v/>
      </c>
      <c r="E980" s="12"/>
      <c r="F980" s="12"/>
      <c r="G980" s="12"/>
      <c r="H980" s="12" t="str">
        <f>IF(A980=0,"",VLOOKUP(B980,Materials!$A$2:$E$1001,6,FALSE))</f>
        <v/>
      </c>
      <c r="I980" s="12"/>
      <c r="J980" s="12"/>
      <c r="K980" s="12"/>
      <c r="L980" s="12"/>
    </row>
    <row r="981" spans="1:12" ht="16" x14ac:dyDescent="0.2">
      <c r="A981" s="8"/>
      <c r="B981" s="8"/>
      <c r="C981" s="8" t="str">
        <f t="shared" si="30"/>
        <v/>
      </c>
      <c r="D981" s="8" t="str">
        <f t="shared" si="31"/>
        <v/>
      </c>
      <c r="E981" s="12"/>
      <c r="F981" s="12"/>
      <c r="G981" s="12"/>
      <c r="H981" s="12" t="str">
        <f>IF(A981=0,"",VLOOKUP(B981,Materials!$A$2:$E$1001,6,FALSE))</f>
        <v/>
      </c>
      <c r="I981" s="12"/>
      <c r="J981" s="12"/>
      <c r="K981" s="12"/>
      <c r="L981" s="12"/>
    </row>
    <row r="982" spans="1:12" ht="16" x14ac:dyDescent="0.2">
      <c r="A982" s="8"/>
      <c r="B982" s="8"/>
      <c r="C982" s="8" t="str">
        <f t="shared" si="30"/>
        <v/>
      </c>
      <c r="D982" s="8" t="str">
        <f t="shared" si="31"/>
        <v/>
      </c>
      <c r="E982" s="12"/>
      <c r="F982" s="12"/>
      <c r="G982" s="12"/>
      <c r="H982" s="12" t="str">
        <f>IF(A982=0,"",VLOOKUP(B982,Materials!$A$2:$E$1001,6,FALSE))</f>
        <v/>
      </c>
      <c r="I982" s="12"/>
      <c r="J982" s="12"/>
      <c r="K982" s="12"/>
      <c r="L982" s="12"/>
    </row>
    <row r="983" spans="1:12" ht="16" x14ac:dyDescent="0.2">
      <c r="A983" s="8"/>
      <c r="B983" s="8"/>
      <c r="C983" s="8" t="str">
        <f t="shared" si="30"/>
        <v/>
      </c>
      <c r="D983" s="8" t="str">
        <f t="shared" si="31"/>
        <v/>
      </c>
      <c r="E983" s="12"/>
      <c r="F983" s="12"/>
      <c r="G983" s="12"/>
      <c r="H983" s="12" t="str">
        <f>IF(A983=0,"",VLOOKUP(B983,Materials!$A$2:$E$1001,6,FALSE))</f>
        <v/>
      </c>
      <c r="I983" s="12"/>
      <c r="J983" s="12"/>
      <c r="K983" s="12"/>
      <c r="L983" s="12"/>
    </row>
    <row r="984" spans="1:12" ht="16" x14ac:dyDescent="0.2">
      <c r="A984" s="8"/>
      <c r="B984" s="8"/>
      <c r="C984" s="8" t="str">
        <f t="shared" si="30"/>
        <v/>
      </c>
      <c r="D984" s="8" t="str">
        <f t="shared" si="31"/>
        <v/>
      </c>
      <c r="E984" s="12"/>
      <c r="F984" s="12"/>
      <c r="G984" s="12"/>
      <c r="H984" s="12" t="str">
        <f>IF(A984=0,"",VLOOKUP(B984,Materials!$A$2:$E$1001,6,FALSE))</f>
        <v/>
      </c>
      <c r="I984" s="12"/>
      <c r="J984" s="12"/>
      <c r="K984" s="12"/>
      <c r="L984" s="12"/>
    </row>
    <row r="985" spans="1:12" ht="16" x14ac:dyDescent="0.2">
      <c r="A985" s="8"/>
      <c r="B985" s="8"/>
      <c r="C985" s="8" t="str">
        <f t="shared" si="30"/>
        <v/>
      </c>
      <c r="D985" s="8" t="str">
        <f t="shared" si="31"/>
        <v/>
      </c>
      <c r="E985" s="12"/>
      <c r="F985" s="12"/>
      <c r="G985" s="12"/>
      <c r="H985" s="12" t="str">
        <f>IF(A985=0,"",VLOOKUP(B985,Materials!$A$2:$E$1001,6,FALSE))</f>
        <v/>
      </c>
      <c r="I985" s="12"/>
      <c r="J985" s="12"/>
      <c r="K985" s="12"/>
      <c r="L985" s="12"/>
    </row>
    <row r="986" spans="1:12" ht="16" x14ac:dyDescent="0.2">
      <c r="A986" s="8"/>
      <c r="B986" s="8"/>
      <c r="C986" s="8" t="str">
        <f t="shared" si="30"/>
        <v/>
      </c>
      <c r="D986" s="8" t="str">
        <f t="shared" si="31"/>
        <v/>
      </c>
      <c r="E986" s="12"/>
      <c r="F986" s="12"/>
      <c r="G986" s="12"/>
      <c r="H986" s="12" t="str">
        <f>IF(A986=0,"",VLOOKUP(B986,Materials!$A$2:$E$1001,6,FALSE))</f>
        <v/>
      </c>
      <c r="I986" s="12"/>
      <c r="J986" s="12"/>
      <c r="K986" s="12"/>
      <c r="L986" s="12"/>
    </row>
    <row r="987" spans="1:12" ht="16" x14ac:dyDescent="0.2">
      <c r="A987" s="8"/>
      <c r="B987" s="8"/>
      <c r="C987" s="8" t="str">
        <f t="shared" si="30"/>
        <v/>
      </c>
      <c r="D987" s="8" t="str">
        <f t="shared" si="31"/>
        <v/>
      </c>
      <c r="E987" s="12"/>
      <c r="F987" s="12"/>
      <c r="G987" s="12"/>
      <c r="H987" s="12" t="str">
        <f>IF(A987=0,"",VLOOKUP(B987,Materials!$A$2:$E$1001,6,FALSE))</f>
        <v/>
      </c>
      <c r="I987" s="12"/>
      <c r="J987" s="12"/>
      <c r="K987" s="12"/>
      <c r="L987" s="12"/>
    </row>
    <row r="988" spans="1:12" ht="16" x14ac:dyDescent="0.2">
      <c r="A988" s="8"/>
      <c r="B988" s="8"/>
      <c r="C988" s="8" t="str">
        <f t="shared" si="30"/>
        <v/>
      </c>
      <c r="D988" s="8" t="str">
        <f t="shared" si="31"/>
        <v/>
      </c>
      <c r="E988" s="12"/>
      <c r="F988" s="12"/>
      <c r="G988" s="12"/>
      <c r="H988" s="12" t="str">
        <f>IF(A988=0,"",VLOOKUP(B988,Materials!$A$2:$E$1001,6,FALSE))</f>
        <v/>
      </c>
      <c r="I988" s="12"/>
      <c r="J988" s="12"/>
      <c r="K988" s="12"/>
      <c r="L988" s="12"/>
    </row>
    <row r="989" spans="1:12" ht="16" x14ac:dyDescent="0.2">
      <c r="A989" s="8"/>
      <c r="B989" s="8"/>
      <c r="C989" s="8" t="str">
        <f t="shared" si="30"/>
        <v/>
      </c>
      <c r="D989" s="8" t="str">
        <f t="shared" si="31"/>
        <v/>
      </c>
      <c r="E989" s="12"/>
      <c r="F989" s="12"/>
      <c r="G989" s="12"/>
      <c r="H989" s="12" t="str">
        <f>IF(A989=0,"",VLOOKUP(B989,Materials!$A$2:$E$1001,6,FALSE))</f>
        <v/>
      </c>
      <c r="I989" s="12"/>
      <c r="J989" s="12"/>
      <c r="K989" s="12"/>
      <c r="L989" s="12"/>
    </row>
    <row r="990" spans="1:12" ht="16" x14ac:dyDescent="0.2">
      <c r="A990" s="8"/>
      <c r="B990" s="8"/>
      <c r="C990" s="8" t="str">
        <f t="shared" si="30"/>
        <v/>
      </c>
      <c r="D990" s="8" t="str">
        <f t="shared" si="31"/>
        <v/>
      </c>
      <c r="E990" s="12"/>
      <c r="F990" s="12"/>
      <c r="G990" s="12"/>
      <c r="H990" s="12" t="str">
        <f>IF(A990=0,"",VLOOKUP(B990,Materials!$A$2:$E$1001,6,FALSE))</f>
        <v/>
      </c>
      <c r="I990" s="12"/>
      <c r="J990" s="12"/>
      <c r="K990" s="12"/>
      <c r="L990" s="12"/>
    </row>
    <row r="991" spans="1:12" ht="16" x14ac:dyDescent="0.2">
      <c r="A991" s="8"/>
      <c r="B991" s="8"/>
      <c r="C991" s="8" t="str">
        <f t="shared" si="30"/>
        <v/>
      </c>
      <c r="D991" s="8" t="str">
        <f t="shared" si="31"/>
        <v/>
      </c>
      <c r="E991" s="12"/>
      <c r="F991" s="12"/>
      <c r="G991" s="12"/>
      <c r="H991" s="12" t="str">
        <f>IF(A991=0,"",VLOOKUP(B991,Materials!$A$2:$E$1001,6,FALSE))</f>
        <v/>
      </c>
      <c r="I991" s="12"/>
      <c r="J991" s="12"/>
      <c r="K991" s="12"/>
      <c r="L991" s="12"/>
    </row>
    <row r="992" spans="1:12" ht="16" x14ac:dyDescent="0.2">
      <c r="A992" s="8"/>
      <c r="B992" s="8"/>
      <c r="C992" s="8" t="str">
        <f t="shared" si="30"/>
        <v/>
      </c>
      <c r="D992" s="8" t="str">
        <f t="shared" si="31"/>
        <v/>
      </c>
      <c r="E992" s="12"/>
      <c r="F992" s="12"/>
      <c r="G992" s="12"/>
      <c r="H992" s="12" t="str">
        <f>IF(A992=0,"",VLOOKUP(B992,Materials!$A$2:$E$1001,6,FALSE))</f>
        <v/>
      </c>
      <c r="I992" s="12"/>
      <c r="J992" s="12"/>
      <c r="K992" s="12"/>
      <c r="L992" s="12"/>
    </row>
    <row r="993" spans="1:12" ht="16" x14ac:dyDescent="0.2">
      <c r="A993" s="8"/>
      <c r="B993" s="8"/>
      <c r="C993" s="8" t="str">
        <f t="shared" si="30"/>
        <v/>
      </c>
      <c r="D993" s="8" t="str">
        <f t="shared" si="31"/>
        <v/>
      </c>
      <c r="E993" s="12"/>
      <c r="F993" s="12"/>
      <c r="G993" s="12"/>
      <c r="H993" s="12" t="str">
        <f>IF(A993=0,"",VLOOKUP(B993,Materials!$A$2:$E$1001,6,FALSE))</f>
        <v/>
      </c>
      <c r="I993" s="12"/>
      <c r="J993" s="12"/>
      <c r="K993" s="12"/>
      <c r="L993" s="12"/>
    </row>
    <row r="994" spans="1:12" ht="16" x14ac:dyDescent="0.2">
      <c r="A994" s="8"/>
      <c r="B994" s="8"/>
      <c r="C994" s="8" t="str">
        <f t="shared" si="30"/>
        <v/>
      </c>
      <c r="D994" s="8" t="str">
        <f t="shared" si="31"/>
        <v/>
      </c>
      <c r="E994" s="12"/>
      <c r="F994" s="12"/>
      <c r="G994" s="12"/>
      <c r="H994" s="12" t="str">
        <f>IF(A994=0,"",VLOOKUP(B994,Materials!$A$2:$E$1001,6,FALSE))</f>
        <v/>
      </c>
      <c r="I994" s="12"/>
      <c r="J994" s="12"/>
      <c r="K994" s="12"/>
      <c r="L994" s="12"/>
    </row>
    <row r="995" spans="1:12" ht="16" x14ac:dyDescent="0.2">
      <c r="A995" s="8"/>
      <c r="B995" s="8"/>
      <c r="C995" s="8" t="str">
        <f t="shared" si="30"/>
        <v/>
      </c>
      <c r="D995" s="8" t="str">
        <f t="shared" si="31"/>
        <v/>
      </c>
      <c r="E995" s="12"/>
      <c r="F995" s="12"/>
      <c r="G995" s="12"/>
      <c r="H995" s="12" t="str">
        <f>IF(A995=0,"",VLOOKUP(B995,Materials!$A$2:$E$1001,6,FALSE))</f>
        <v/>
      </c>
      <c r="I995" s="12"/>
      <c r="J995" s="12"/>
      <c r="K995" s="12"/>
      <c r="L995" s="12"/>
    </row>
    <row r="996" spans="1:12" ht="16" x14ac:dyDescent="0.2">
      <c r="A996" s="8"/>
      <c r="B996" s="8"/>
      <c r="C996" s="8" t="str">
        <f t="shared" si="30"/>
        <v/>
      </c>
      <c r="D996" s="8" t="str">
        <f t="shared" si="31"/>
        <v/>
      </c>
      <c r="E996" s="12"/>
      <c r="F996" s="12"/>
      <c r="G996" s="12"/>
      <c r="H996" s="12" t="str">
        <f>IF(A996=0,"",VLOOKUP(B996,Materials!$A$2:$E$1001,6,FALSE))</f>
        <v/>
      </c>
      <c r="I996" s="12"/>
      <c r="J996" s="12"/>
      <c r="K996" s="12"/>
      <c r="L996" s="12"/>
    </row>
    <row r="997" spans="1:12" ht="16" x14ac:dyDescent="0.2">
      <c r="A997" s="8"/>
      <c r="B997" s="8"/>
      <c r="C997" s="8" t="str">
        <f t="shared" si="30"/>
        <v/>
      </c>
      <c r="D997" s="8" t="str">
        <f t="shared" si="31"/>
        <v/>
      </c>
      <c r="E997" s="12"/>
      <c r="F997" s="12"/>
      <c r="G997" s="12"/>
      <c r="H997" s="12" t="str">
        <f>IF(A997=0,"",VLOOKUP(B997,Materials!$A$2:$E$1001,6,FALSE))</f>
        <v/>
      </c>
      <c r="I997" s="12"/>
      <c r="J997" s="12"/>
      <c r="K997" s="12"/>
      <c r="L997" s="12"/>
    </row>
    <row r="998" spans="1:12" ht="16" x14ac:dyDescent="0.2">
      <c r="A998" s="8"/>
      <c r="B998" s="8"/>
      <c r="C998" s="8" t="str">
        <f t="shared" si="30"/>
        <v/>
      </c>
      <c r="D998" s="8" t="str">
        <f t="shared" si="31"/>
        <v/>
      </c>
      <c r="E998" s="12"/>
      <c r="F998" s="12"/>
      <c r="G998" s="12"/>
      <c r="H998" s="12" t="str">
        <f>IF(A998=0,"",VLOOKUP(B998,Materials!$A$2:$E$1001,6,FALSE))</f>
        <v/>
      </c>
      <c r="I998" s="12"/>
      <c r="J998" s="12"/>
      <c r="K998" s="12"/>
      <c r="L998" s="12"/>
    </row>
    <row r="999" spans="1:12" ht="16" x14ac:dyDescent="0.2">
      <c r="A999" s="8"/>
      <c r="B999" s="8"/>
      <c r="C999" s="8" t="str">
        <f t="shared" si="30"/>
        <v/>
      </c>
      <c r="D999" s="8" t="str">
        <f t="shared" si="31"/>
        <v/>
      </c>
      <c r="E999" s="12"/>
      <c r="F999" s="12"/>
      <c r="G999" s="12"/>
      <c r="H999" s="12" t="str">
        <f>IF(A999=0,"",VLOOKUP(B999,Materials!$A$2:$E$1001,6,FALSE))</f>
        <v/>
      </c>
      <c r="I999" s="12"/>
      <c r="J999" s="12"/>
      <c r="K999" s="12"/>
      <c r="L999" s="12"/>
    </row>
    <row r="1000" spans="1:12" ht="16" x14ac:dyDescent="0.2">
      <c r="A1000" s="8"/>
      <c r="B1000" s="8"/>
      <c r="C1000" s="8" t="str">
        <f t="shared" si="30"/>
        <v/>
      </c>
      <c r="D1000" s="8" t="str">
        <f t="shared" si="31"/>
        <v/>
      </c>
      <c r="E1000" s="12"/>
      <c r="F1000" s="12"/>
      <c r="G1000" s="12"/>
      <c r="H1000" s="12" t="str">
        <f>IF(A1000=0,"",VLOOKUP(B1000,Materials!$A$2:$E$1001,6,FALSE))</f>
        <v/>
      </c>
      <c r="I1000" s="12"/>
      <c r="J1000" s="12"/>
      <c r="K1000" s="12"/>
      <c r="L1000" s="12"/>
    </row>
    <row r="1001" spans="1:12" ht="16" x14ac:dyDescent="0.2">
      <c r="A1001" s="8"/>
      <c r="B1001" s="8"/>
      <c r="C1001" s="8" t="str">
        <f t="shared" si="30"/>
        <v/>
      </c>
      <c r="D1001" s="8" t="str">
        <f t="shared" si="31"/>
        <v/>
      </c>
      <c r="E1001" s="12"/>
      <c r="F1001" s="12"/>
      <c r="G1001" s="12"/>
      <c r="H1001" s="12" t="str">
        <f>IF(A1001=0,"",VLOOKUP(B1001,Materials!$A$2:$E$1001,6,FALSE))</f>
        <v/>
      </c>
      <c r="I1001" s="12"/>
      <c r="J1001" s="12"/>
      <c r="K1001" s="12"/>
      <c r="L1001" s="12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baseColWidth="10" defaultColWidth="8.83203125" defaultRowHeight="15" x14ac:dyDescent="0.2"/>
  <cols>
    <col min="1" max="4" width="20.83203125" style="2" customWidth="1"/>
    <col min="5" max="6" width="10.83203125" style="4" customWidth="1"/>
  </cols>
  <sheetData>
    <row r="1" spans="1:6" ht="16" x14ac:dyDescent="0.2">
      <c r="A1" s="9" t="s">
        <v>11</v>
      </c>
      <c r="B1" s="9" t="s">
        <v>35</v>
      </c>
      <c r="C1" s="9" t="s">
        <v>9</v>
      </c>
      <c r="D1" s="9" t="s">
        <v>20</v>
      </c>
      <c r="E1" s="9" t="s">
        <v>36</v>
      </c>
      <c r="F1" s="9" t="s">
        <v>24</v>
      </c>
    </row>
    <row r="2" spans="1:6" ht="16" x14ac:dyDescent="0.2">
      <c r="A2" s="8" t="s">
        <v>37</v>
      </c>
      <c r="B2" s="8" t="s">
        <v>33</v>
      </c>
      <c r="C2" s="8" t="str" cm="1">
        <f t="array" ref="C2">IF(A2=0,"",VLOOKUP(B2,_xlfn.LET(_xlpm.data,_xlfn.VSTACK(Mat_Concrete04!A2:D1001,Mat_Steel02!A2:D1001),_xlfn._xlws.FILTER(_xlpm.data,_xlfn.BYROW(_xlpm.data,_xlfn.LAMBDA(_xlpm.r,SUM(LEN(TRIM(_xlpm.r)))&gt;0)))),3,FALSE))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3">
        <v>0.08</v>
      </c>
      <c r="F2" s="13">
        <v>0.08</v>
      </c>
    </row>
    <row r="3" spans="1:6" ht="16" x14ac:dyDescent="0.2">
      <c r="A3" s="8"/>
      <c r="B3" s="8"/>
      <c r="C3" s="8"/>
      <c r="D3" s="8" t="str">
        <f t="shared" ref="D3:D66" si="0">IF(A3=0,"","MinMax")</f>
        <v/>
      </c>
      <c r="E3" s="13"/>
      <c r="F3" s="13"/>
    </row>
    <row r="4" spans="1:6" ht="16" x14ac:dyDescent="0.2">
      <c r="A4" s="8"/>
      <c r="B4" s="8"/>
      <c r="C4" s="8"/>
      <c r="D4" s="8" t="str">
        <f t="shared" si="0"/>
        <v/>
      </c>
      <c r="E4" s="13"/>
      <c r="F4" s="13"/>
    </row>
    <row r="5" spans="1:6" ht="16" x14ac:dyDescent="0.2">
      <c r="A5" s="8"/>
      <c r="B5" s="8"/>
      <c r="C5" s="8"/>
      <c r="D5" s="8" t="str">
        <f t="shared" si="0"/>
        <v/>
      </c>
      <c r="E5" s="13"/>
      <c r="F5" s="13"/>
    </row>
    <row r="6" spans="1:6" ht="16" x14ac:dyDescent="0.2">
      <c r="A6" s="8"/>
      <c r="B6" s="8"/>
      <c r="C6" s="8"/>
      <c r="D6" s="8" t="str">
        <f t="shared" si="0"/>
        <v/>
      </c>
      <c r="E6" s="13"/>
      <c r="F6" s="13"/>
    </row>
    <row r="7" spans="1:6" ht="16" x14ac:dyDescent="0.2">
      <c r="A7" s="8"/>
      <c r="B7" s="8"/>
      <c r="C7" s="8"/>
      <c r="D7" s="8" t="str">
        <f t="shared" si="0"/>
        <v/>
      </c>
      <c r="E7" s="13"/>
      <c r="F7" s="13"/>
    </row>
    <row r="8" spans="1:6" ht="16" x14ac:dyDescent="0.2">
      <c r="A8" s="8"/>
      <c r="B8" s="8"/>
      <c r="C8" s="8"/>
      <c r="D8" s="8" t="str">
        <f t="shared" si="0"/>
        <v/>
      </c>
      <c r="E8" s="13"/>
      <c r="F8" s="13"/>
    </row>
    <row r="9" spans="1:6" ht="16" x14ac:dyDescent="0.2">
      <c r="A9" s="8"/>
      <c r="B9" s="8"/>
      <c r="C9" s="8"/>
      <c r="D9" s="8" t="str">
        <f t="shared" si="0"/>
        <v/>
      </c>
      <c r="E9" s="13"/>
      <c r="F9" s="13"/>
    </row>
    <row r="10" spans="1:6" ht="16" x14ac:dyDescent="0.2">
      <c r="A10" s="8"/>
      <c r="B10" s="8"/>
      <c r="C10" s="8"/>
      <c r="D10" s="8" t="str">
        <f t="shared" si="0"/>
        <v/>
      </c>
      <c r="E10" s="13"/>
      <c r="F10" s="13"/>
    </row>
    <row r="11" spans="1:6" ht="16" x14ac:dyDescent="0.2">
      <c r="A11" s="8"/>
      <c r="B11" s="8"/>
      <c r="C11" s="8"/>
      <c r="D11" s="8" t="str">
        <f t="shared" si="0"/>
        <v/>
      </c>
      <c r="E11" s="13"/>
      <c r="F11" s="13"/>
    </row>
    <row r="12" spans="1:6" ht="16" x14ac:dyDescent="0.2">
      <c r="A12" s="8"/>
      <c r="B12" s="8"/>
      <c r="C12" s="8"/>
      <c r="D12" s="8" t="str">
        <f t="shared" si="0"/>
        <v/>
      </c>
      <c r="E12" s="13"/>
      <c r="F12" s="13"/>
    </row>
    <row r="13" spans="1:6" ht="16" x14ac:dyDescent="0.2">
      <c r="A13" s="8"/>
      <c r="B13" s="8"/>
      <c r="C13" s="8"/>
      <c r="D13" s="8" t="str">
        <f t="shared" si="0"/>
        <v/>
      </c>
      <c r="E13" s="13"/>
      <c r="F13" s="13"/>
    </row>
    <row r="14" spans="1:6" ht="16" x14ac:dyDescent="0.2">
      <c r="A14" s="8"/>
      <c r="B14" s="8"/>
      <c r="C14" s="8"/>
      <c r="D14" s="8" t="str">
        <f t="shared" si="0"/>
        <v/>
      </c>
      <c r="E14" s="13"/>
      <c r="F14" s="13"/>
    </row>
    <row r="15" spans="1:6" ht="16" x14ac:dyDescent="0.2">
      <c r="A15" s="8"/>
      <c r="B15" s="8"/>
      <c r="C15" s="8"/>
      <c r="D15" s="8" t="str">
        <f t="shared" si="0"/>
        <v/>
      </c>
      <c r="E15" s="13"/>
      <c r="F15" s="13"/>
    </row>
    <row r="16" spans="1:6" ht="16" x14ac:dyDescent="0.2">
      <c r="A16" s="8"/>
      <c r="B16" s="8"/>
      <c r="C16" s="8"/>
      <c r="D16" s="8" t="str">
        <f t="shared" si="0"/>
        <v/>
      </c>
      <c r="E16" s="13"/>
      <c r="F16" s="13"/>
    </row>
    <row r="17" spans="1:6" ht="16" x14ac:dyDescent="0.2">
      <c r="A17" s="8"/>
      <c r="B17" s="8"/>
      <c r="C17" s="8"/>
      <c r="D17" s="8" t="str">
        <f t="shared" si="0"/>
        <v/>
      </c>
      <c r="E17" s="13"/>
      <c r="F17" s="13"/>
    </row>
    <row r="18" spans="1:6" ht="16" x14ac:dyDescent="0.2">
      <c r="A18" s="8"/>
      <c r="B18" s="8"/>
      <c r="C18" s="8"/>
      <c r="D18" s="8" t="str">
        <f t="shared" si="0"/>
        <v/>
      </c>
      <c r="E18" s="13"/>
      <c r="F18" s="13"/>
    </row>
    <row r="19" spans="1:6" ht="16" x14ac:dyDescent="0.2">
      <c r="A19" s="8"/>
      <c r="B19" s="8"/>
      <c r="C19" s="8"/>
      <c r="D19" s="8" t="str">
        <f t="shared" si="0"/>
        <v/>
      </c>
      <c r="E19" s="13"/>
      <c r="F19" s="13"/>
    </row>
    <row r="20" spans="1:6" ht="16" x14ac:dyDescent="0.2">
      <c r="A20" s="8"/>
      <c r="B20" s="8"/>
      <c r="C20" s="8"/>
      <c r="D20" s="8" t="str">
        <f t="shared" si="0"/>
        <v/>
      </c>
      <c r="E20" s="13"/>
      <c r="F20" s="13"/>
    </row>
    <row r="21" spans="1:6" ht="16" x14ac:dyDescent="0.2">
      <c r="A21" s="8"/>
      <c r="B21" s="8"/>
      <c r="C21" s="8"/>
      <c r="D21" s="8" t="str">
        <f t="shared" si="0"/>
        <v/>
      </c>
      <c r="E21" s="13"/>
      <c r="F21" s="13"/>
    </row>
    <row r="22" spans="1:6" ht="16" x14ac:dyDescent="0.2">
      <c r="A22" s="8"/>
      <c r="B22" s="8"/>
      <c r="C22" s="8"/>
      <c r="D22" s="8" t="str">
        <f t="shared" si="0"/>
        <v/>
      </c>
      <c r="E22" s="13"/>
      <c r="F22" s="13"/>
    </row>
    <row r="23" spans="1:6" ht="16" x14ac:dyDescent="0.2">
      <c r="A23" s="8"/>
      <c r="B23" s="8"/>
      <c r="C23" s="8"/>
      <c r="D23" s="8" t="str">
        <f t="shared" si="0"/>
        <v/>
      </c>
      <c r="E23" s="13"/>
      <c r="F23" s="13"/>
    </row>
    <row r="24" spans="1:6" ht="16" x14ac:dyDescent="0.2">
      <c r="A24" s="8"/>
      <c r="B24" s="8"/>
      <c r="C24" s="8"/>
      <c r="D24" s="8" t="str">
        <f t="shared" si="0"/>
        <v/>
      </c>
      <c r="E24" s="13"/>
      <c r="F24" s="13"/>
    </row>
    <row r="25" spans="1:6" ht="16" x14ac:dyDescent="0.2">
      <c r="A25" s="8"/>
      <c r="B25" s="8"/>
      <c r="C25" s="8"/>
      <c r="D25" s="8" t="str">
        <f t="shared" si="0"/>
        <v/>
      </c>
      <c r="E25" s="13"/>
      <c r="F25" s="13"/>
    </row>
    <row r="26" spans="1:6" ht="16" x14ac:dyDescent="0.2">
      <c r="A26" s="8"/>
      <c r="B26" s="8"/>
      <c r="C26" s="8"/>
      <c r="D26" s="8" t="str">
        <f t="shared" si="0"/>
        <v/>
      </c>
      <c r="E26" s="13"/>
      <c r="F26" s="13"/>
    </row>
    <row r="27" spans="1:6" ht="16" x14ac:dyDescent="0.2">
      <c r="A27" s="8"/>
      <c r="B27" s="8"/>
      <c r="C27" s="8"/>
      <c r="D27" s="8" t="str">
        <f t="shared" si="0"/>
        <v/>
      </c>
      <c r="E27" s="13"/>
      <c r="F27" s="13"/>
    </row>
    <row r="28" spans="1:6" ht="16" x14ac:dyDescent="0.2">
      <c r="A28" s="8"/>
      <c r="B28" s="8"/>
      <c r="C28" s="8"/>
      <c r="D28" s="8" t="str">
        <f t="shared" si="0"/>
        <v/>
      </c>
      <c r="E28" s="13"/>
      <c r="F28" s="13"/>
    </row>
    <row r="29" spans="1:6" ht="16" x14ac:dyDescent="0.2">
      <c r="A29" s="8"/>
      <c r="B29" s="8"/>
      <c r="C29" s="8"/>
      <c r="D29" s="8" t="str">
        <f t="shared" si="0"/>
        <v/>
      </c>
      <c r="E29" s="13"/>
      <c r="F29" s="13"/>
    </row>
    <row r="30" spans="1:6" ht="16" x14ac:dyDescent="0.2">
      <c r="A30" s="8"/>
      <c r="B30" s="8"/>
      <c r="C30" s="8"/>
      <c r="D30" s="8" t="str">
        <f t="shared" si="0"/>
        <v/>
      </c>
      <c r="E30" s="13"/>
      <c r="F30" s="13"/>
    </row>
    <row r="31" spans="1:6" ht="16" x14ac:dyDescent="0.2">
      <c r="A31" s="8"/>
      <c r="B31" s="8"/>
      <c r="C31" s="8"/>
      <c r="D31" s="8" t="str">
        <f t="shared" si="0"/>
        <v/>
      </c>
      <c r="E31" s="13"/>
      <c r="F31" s="13"/>
    </row>
    <row r="32" spans="1:6" ht="16" x14ac:dyDescent="0.2">
      <c r="A32" s="8"/>
      <c r="B32" s="8"/>
      <c r="C32" s="8"/>
      <c r="D32" s="8" t="str">
        <f t="shared" si="0"/>
        <v/>
      </c>
      <c r="E32" s="13"/>
      <c r="F32" s="13"/>
    </row>
    <row r="33" spans="1:6" ht="16" x14ac:dyDescent="0.2">
      <c r="A33" s="8"/>
      <c r="B33" s="8"/>
      <c r="C33" s="8"/>
      <c r="D33" s="8" t="str">
        <f t="shared" si="0"/>
        <v/>
      </c>
      <c r="E33" s="13"/>
      <c r="F33" s="13"/>
    </row>
    <row r="34" spans="1:6" ht="16" x14ac:dyDescent="0.2">
      <c r="A34" s="8"/>
      <c r="B34" s="8"/>
      <c r="C34" s="8"/>
      <c r="D34" s="8" t="str">
        <f t="shared" si="0"/>
        <v/>
      </c>
      <c r="E34" s="13"/>
      <c r="F34" s="13"/>
    </row>
    <row r="35" spans="1:6" ht="16" x14ac:dyDescent="0.2">
      <c r="A35" s="8"/>
      <c r="B35" s="8"/>
      <c r="C35" s="8"/>
      <c r="D35" s="8" t="str">
        <f t="shared" si="0"/>
        <v/>
      </c>
      <c r="E35" s="13"/>
      <c r="F35" s="13"/>
    </row>
    <row r="36" spans="1:6" ht="16" x14ac:dyDescent="0.2">
      <c r="A36" s="8"/>
      <c r="B36" s="8"/>
      <c r="C36" s="8"/>
      <c r="D36" s="8" t="str">
        <f t="shared" si="0"/>
        <v/>
      </c>
      <c r="E36" s="13"/>
      <c r="F36" s="13"/>
    </row>
    <row r="37" spans="1:6" ht="16" x14ac:dyDescent="0.2">
      <c r="A37" s="8"/>
      <c r="B37" s="8"/>
      <c r="C37" s="8"/>
      <c r="D37" s="8" t="str">
        <f t="shared" si="0"/>
        <v/>
      </c>
      <c r="E37" s="13"/>
      <c r="F37" s="13"/>
    </row>
    <row r="38" spans="1:6" ht="16" x14ac:dyDescent="0.2">
      <c r="A38" s="8"/>
      <c r="B38" s="8"/>
      <c r="C38" s="8"/>
      <c r="D38" s="8" t="str">
        <f t="shared" si="0"/>
        <v/>
      </c>
      <c r="E38" s="13"/>
      <c r="F38" s="13"/>
    </row>
    <row r="39" spans="1:6" ht="16" x14ac:dyDescent="0.2">
      <c r="A39" s="8"/>
      <c r="B39" s="8"/>
      <c r="C39" s="8"/>
      <c r="D39" s="8" t="str">
        <f t="shared" si="0"/>
        <v/>
      </c>
      <c r="E39" s="13"/>
      <c r="F39" s="13"/>
    </row>
    <row r="40" spans="1:6" ht="16" x14ac:dyDescent="0.2">
      <c r="A40" s="8"/>
      <c r="B40" s="8"/>
      <c r="C40" s="8"/>
      <c r="D40" s="8" t="str">
        <f t="shared" si="0"/>
        <v/>
      </c>
      <c r="E40" s="13"/>
      <c r="F40" s="13"/>
    </row>
    <row r="41" spans="1:6" ht="16" x14ac:dyDescent="0.2">
      <c r="A41" s="8"/>
      <c r="B41" s="8"/>
      <c r="C41" s="8"/>
      <c r="D41" s="8" t="str">
        <f t="shared" si="0"/>
        <v/>
      </c>
      <c r="E41" s="13"/>
      <c r="F41" s="13"/>
    </row>
    <row r="42" spans="1:6" ht="16" x14ac:dyDescent="0.2">
      <c r="A42" s="8"/>
      <c r="B42" s="8"/>
      <c r="C42" s="8"/>
      <c r="D42" s="8" t="str">
        <f t="shared" si="0"/>
        <v/>
      </c>
      <c r="E42" s="13"/>
      <c r="F42" s="13"/>
    </row>
    <row r="43" spans="1:6" ht="16" x14ac:dyDescent="0.2">
      <c r="A43" s="8"/>
      <c r="B43" s="8"/>
      <c r="C43" s="8"/>
      <c r="D43" s="8" t="str">
        <f t="shared" si="0"/>
        <v/>
      </c>
      <c r="E43" s="13"/>
      <c r="F43" s="13"/>
    </row>
    <row r="44" spans="1:6" ht="16" x14ac:dyDescent="0.2">
      <c r="A44" s="8"/>
      <c r="B44" s="8"/>
      <c r="C44" s="8"/>
      <c r="D44" s="8" t="str">
        <f t="shared" si="0"/>
        <v/>
      </c>
      <c r="E44" s="13"/>
      <c r="F44" s="13"/>
    </row>
    <row r="45" spans="1:6" ht="16" x14ac:dyDescent="0.2">
      <c r="A45" s="8"/>
      <c r="B45" s="8"/>
      <c r="C45" s="8"/>
      <c r="D45" s="8" t="str">
        <f t="shared" si="0"/>
        <v/>
      </c>
      <c r="E45" s="13"/>
      <c r="F45" s="13"/>
    </row>
    <row r="46" spans="1:6" ht="16" x14ac:dyDescent="0.2">
      <c r="A46" s="8"/>
      <c r="B46" s="8"/>
      <c r="C46" s="8"/>
      <c r="D46" s="8" t="str">
        <f t="shared" si="0"/>
        <v/>
      </c>
      <c r="E46" s="13"/>
      <c r="F46" s="13"/>
    </row>
    <row r="47" spans="1:6" ht="16" x14ac:dyDescent="0.2">
      <c r="A47" s="8"/>
      <c r="B47" s="8"/>
      <c r="C47" s="8"/>
      <c r="D47" s="8" t="str">
        <f t="shared" si="0"/>
        <v/>
      </c>
      <c r="E47" s="13"/>
      <c r="F47" s="13"/>
    </row>
    <row r="48" spans="1:6" ht="16" x14ac:dyDescent="0.2">
      <c r="A48" s="8"/>
      <c r="B48" s="8"/>
      <c r="C48" s="8"/>
      <c r="D48" s="8" t="str">
        <f t="shared" si="0"/>
        <v/>
      </c>
      <c r="E48" s="13"/>
      <c r="F48" s="13"/>
    </row>
    <row r="49" spans="1:6" ht="16" x14ac:dyDescent="0.2">
      <c r="A49" s="8"/>
      <c r="B49" s="8"/>
      <c r="C49" s="8"/>
      <c r="D49" s="8" t="str">
        <f t="shared" si="0"/>
        <v/>
      </c>
      <c r="E49" s="13"/>
      <c r="F49" s="13"/>
    </row>
    <row r="50" spans="1:6" ht="16" x14ac:dyDescent="0.2">
      <c r="A50" s="8"/>
      <c r="B50" s="8"/>
      <c r="C50" s="8"/>
      <c r="D50" s="8" t="str">
        <f t="shared" si="0"/>
        <v/>
      </c>
      <c r="E50" s="13"/>
      <c r="F50" s="13"/>
    </row>
    <row r="51" spans="1:6" ht="16" x14ac:dyDescent="0.2">
      <c r="A51" s="8"/>
      <c r="B51" s="8"/>
      <c r="C51" s="8"/>
      <c r="D51" s="8" t="str">
        <f t="shared" si="0"/>
        <v/>
      </c>
      <c r="E51" s="13"/>
      <c r="F51" s="13"/>
    </row>
    <row r="52" spans="1:6" ht="16" x14ac:dyDescent="0.2">
      <c r="A52" s="8"/>
      <c r="B52" s="8"/>
      <c r="C52" s="8"/>
      <c r="D52" s="8" t="str">
        <f t="shared" si="0"/>
        <v/>
      </c>
      <c r="E52" s="13"/>
      <c r="F52" s="13"/>
    </row>
    <row r="53" spans="1:6" ht="16" x14ac:dyDescent="0.2">
      <c r="A53" s="8"/>
      <c r="B53" s="8"/>
      <c r="C53" s="8"/>
      <c r="D53" s="8" t="str">
        <f t="shared" si="0"/>
        <v/>
      </c>
      <c r="E53" s="13"/>
      <c r="F53" s="13"/>
    </row>
    <row r="54" spans="1:6" ht="16" x14ac:dyDescent="0.2">
      <c r="A54" s="8"/>
      <c r="B54" s="8"/>
      <c r="C54" s="8"/>
      <c r="D54" s="8" t="str">
        <f t="shared" si="0"/>
        <v/>
      </c>
      <c r="E54" s="13"/>
      <c r="F54" s="13"/>
    </row>
    <row r="55" spans="1:6" ht="16" x14ac:dyDescent="0.2">
      <c r="A55" s="8"/>
      <c r="B55" s="8"/>
      <c r="C55" s="8"/>
      <c r="D55" s="8" t="str">
        <f t="shared" si="0"/>
        <v/>
      </c>
      <c r="E55" s="13"/>
      <c r="F55" s="13"/>
    </row>
    <row r="56" spans="1:6" ht="16" x14ac:dyDescent="0.2">
      <c r="A56" s="8"/>
      <c r="B56" s="8"/>
      <c r="C56" s="8"/>
      <c r="D56" s="8" t="str">
        <f t="shared" si="0"/>
        <v/>
      </c>
      <c r="E56" s="13"/>
      <c r="F56" s="13"/>
    </row>
    <row r="57" spans="1:6" ht="16" x14ac:dyDescent="0.2">
      <c r="A57" s="8"/>
      <c r="B57" s="8"/>
      <c r="C57" s="8"/>
      <c r="D57" s="8" t="str">
        <f t="shared" si="0"/>
        <v/>
      </c>
      <c r="E57" s="13"/>
      <c r="F57" s="13"/>
    </row>
    <row r="58" spans="1:6" ht="16" x14ac:dyDescent="0.2">
      <c r="A58" s="8"/>
      <c r="B58" s="8"/>
      <c r="C58" s="8"/>
      <c r="D58" s="8" t="str">
        <f t="shared" si="0"/>
        <v/>
      </c>
      <c r="E58" s="13"/>
      <c r="F58" s="13"/>
    </row>
    <row r="59" spans="1:6" ht="16" x14ac:dyDescent="0.2">
      <c r="A59" s="8"/>
      <c r="B59" s="8"/>
      <c r="C59" s="8"/>
      <c r="D59" s="8" t="str">
        <f t="shared" si="0"/>
        <v/>
      </c>
      <c r="E59" s="13"/>
      <c r="F59" s="13"/>
    </row>
    <row r="60" spans="1:6" ht="16" x14ac:dyDescent="0.2">
      <c r="A60" s="8"/>
      <c r="B60" s="8"/>
      <c r="C60" s="8"/>
      <c r="D60" s="8" t="str">
        <f t="shared" si="0"/>
        <v/>
      </c>
      <c r="E60" s="13"/>
      <c r="F60" s="13"/>
    </row>
    <row r="61" spans="1:6" ht="16" x14ac:dyDescent="0.2">
      <c r="A61" s="8"/>
      <c r="B61" s="8"/>
      <c r="C61" s="8"/>
      <c r="D61" s="8" t="str">
        <f t="shared" si="0"/>
        <v/>
      </c>
      <c r="E61" s="13"/>
      <c r="F61" s="13"/>
    </row>
    <row r="62" spans="1:6" ht="16" x14ac:dyDescent="0.2">
      <c r="A62" s="8"/>
      <c r="B62" s="8"/>
      <c r="C62" s="8"/>
      <c r="D62" s="8" t="str">
        <f t="shared" si="0"/>
        <v/>
      </c>
      <c r="E62" s="13"/>
      <c r="F62" s="13"/>
    </row>
    <row r="63" spans="1:6" ht="16" x14ac:dyDescent="0.2">
      <c r="A63" s="8"/>
      <c r="B63" s="8"/>
      <c r="C63" s="8"/>
      <c r="D63" s="8" t="str">
        <f t="shared" si="0"/>
        <v/>
      </c>
      <c r="E63" s="13"/>
      <c r="F63" s="13"/>
    </row>
    <row r="64" spans="1:6" ht="16" x14ac:dyDescent="0.2">
      <c r="A64" s="8"/>
      <c r="B64" s="8"/>
      <c r="C64" s="8"/>
      <c r="D64" s="8" t="str">
        <f t="shared" si="0"/>
        <v/>
      </c>
      <c r="E64" s="13"/>
      <c r="F64" s="13"/>
    </row>
    <row r="65" spans="1:6" ht="16" x14ac:dyDescent="0.2">
      <c r="A65" s="8"/>
      <c r="B65" s="8"/>
      <c r="C65" s="8"/>
      <c r="D65" s="8" t="str">
        <f t="shared" si="0"/>
        <v/>
      </c>
      <c r="E65" s="13"/>
      <c r="F65" s="13"/>
    </row>
    <row r="66" spans="1:6" ht="16" x14ac:dyDescent="0.2">
      <c r="A66" s="8"/>
      <c r="B66" s="8"/>
      <c r="C66" s="8"/>
      <c r="D66" s="8" t="str">
        <f t="shared" si="0"/>
        <v/>
      </c>
      <c r="E66" s="13"/>
      <c r="F66" s="13"/>
    </row>
    <row r="67" spans="1:6" ht="16" x14ac:dyDescent="0.2">
      <c r="A67" s="8"/>
      <c r="B67" s="8"/>
      <c r="C67" s="8"/>
      <c r="D67" s="8" t="str">
        <f t="shared" ref="D67:D130" si="1">IF(A67=0,"","MinMax")</f>
        <v/>
      </c>
      <c r="E67" s="13"/>
      <c r="F67" s="13"/>
    </row>
    <row r="68" spans="1:6" ht="16" x14ac:dyDescent="0.2">
      <c r="A68" s="8"/>
      <c r="B68" s="8"/>
      <c r="C68" s="8"/>
      <c r="D68" s="8" t="str">
        <f t="shared" si="1"/>
        <v/>
      </c>
      <c r="E68" s="13"/>
      <c r="F68" s="13"/>
    </row>
    <row r="69" spans="1:6" ht="16" x14ac:dyDescent="0.2">
      <c r="A69" s="8"/>
      <c r="B69" s="8"/>
      <c r="C69" s="8"/>
      <c r="D69" s="8" t="str">
        <f t="shared" si="1"/>
        <v/>
      </c>
      <c r="E69" s="13"/>
      <c r="F69" s="13"/>
    </row>
    <row r="70" spans="1:6" ht="16" x14ac:dyDescent="0.2">
      <c r="A70" s="8"/>
      <c r="B70" s="8"/>
      <c r="C70" s="8"/>
      <c r="D70" s="8" t="str">
        <f t="shared" si="1"/>
        <v/>
      </c>
      <c r="E70" s="13"/>
      <c r="F70" s="13"/>
    </row>
    <row r="71" spans="1:6" ht="16" x14ac:dyDescent="0.2">
      <c r="A71" s="8"/>
      <c r="B71" s="8"/>
      <c r="C71" s="8"/>
      <c r="D71" s="8" t="str">
        <f t="shared" si="1"/>
        <v/>
      </c>
      <c r="E71" s="13"/>
      <c r="F71" s="13"/>
    </row>
    <row r="72" spans="1:6" ht="16" x14ac:dyDescent="0.2">
      <c r="A72" s="8"/>
      <c r="B72" s="8"/>
      <c r="C72" s="8"/>
      <c r="D72" s="8" t="str">
        <f t="shared" si="1"/>
        <v/>
      </c>
      <c r="E72" s="13"/>
      <c r="F72" s="13"/>
    </row>
    <row r="73" spans="1:6" ht="16" x14ac:dyDescent="0.2">
      <c r="A73" s="8"/>
      <c r="B73" s="8"/>
      <c r="C73" s="8"/>
      <c r="D73" s="8" t="str">
        <f t="shared" si="1"/>
        <v/>
      </c>
      <c r="E73" s="13"/>
      <c r="F73" s="13"/>
    </row>
    <row r="74" spans="1:6" ht="16" x14ac:dyDescent="0.2">
      <c r="A74" s="8"/>
      <c r="B74" s="8"/>
      <c r="C74" s="8"/>
      <c r="D74" s="8" t="str">
        <f t="shared" si="1"/>
        <v/>
      </c>
      <c r="E74" s="13"/>
      <c r="F74" s="13"/>
    </row>
    <row r="75" spans="1:6" ht="16" x14ac:dyDescent="0.2">
      <c r="A75" s="8"/>
      <c r="B75" s="8"/>
      <c r="C75" s="8"/>
      <c r="D75" s="8" t="str">
        <f t="shared" si="1"/>
        <v/>
      </c>
      <c r="E75" s="13"/>
      <c r="F75" s="13"/>
    </row>
    <row r="76" spans="1:6" ht="16" x14ac:dyDescent="0.2">
      <c r="A76" s="8"/>
      <c r="B76" s="8"/>
      <c r="C76" s="8"/>
      <c r="D76" s="8" t="str">
        <f t="shared" si="1"/>
        <v/>
      </c>
      <c r="E76" s="13"/>
      <c r="F76" s="13"/>
    </row>
    <row r="77" spans="1:6" ht="16" x14ac:dyDescent="0.2">
      <c r="A77" s="8"/>
      <c r="B77" s="8"/>
      <c r="C77" s="8"/>
      <c r="D77" s="8" t="str">
        <f t="shared" si="1"/>
        <v/>
      </c>
      <c r="E77" s="13"/>
      <c r="F77" s="13"/>
    </row>
    <row r="78" spans="1:6" ht="16" x14ac:dyDescent="0.2">
      <c r="A78" s="8"/>
      <c r="B78" s="8"/>
      <c r="C78" s="8"/>
      <c r="D78" s="8" t="str">
        <f t="shared" si="1"/>
        <v/>
      </c>
      <c r="E78" s="13"/>
      <c r="F78" s="13"/>
    </row>
    <row r="79" spans="1:6" ht="16" x14ac:dyDescent="0.2">
      <c r="A79" s="8"/>
      <c r="B79" s="8"/>
      <c r="C79" s="8"/>
      <c r="D79" s="8" t="str">
        <f t="shared" si="1"/>
        <v/>
      </c>
      <c r="E79" s="13"/>
      <c r="F79" s="13"/>
    </row>
    <row r="80" spans="1:6" ht="16" x14ac:dyDescent="0.2">
      <c r="A80" s="8"/>
      <c r="B80" s="8"/>
      <c r="C80" s="8"/>
      <c r="D80" s="8" t="str">
        <f t="shared" si="1"/>
        <v/>
      </c>
      <c r="E80" s="13"/>
      <c r="F80" s="13"/>
    </row>
    <row r="81" spans="1:6" ht="16" x14ac:dyDescent="0.2">
      <c r="A81" s="8"/>
      <c r="B81" s="8"/>
      <c r="C81" s="8"/>
      <c r="D81" s="8" t="str">
        <f t="shared" si="1"/>
        <v/>
      </c>
      <c r="E81" s="13"/>
      <c r="F81" s="13"/>
    </row>
    <row r="82" spans="1:6" ht="16" x14ac:dyDescent="0.2">
      <c r="A82" s="8"/>
      <c r="B82" s="8"/>
      <c r="C82" s="8"/>
      <c r="D82" s="8" t="str">
        <f t="shared" si="1"/>
        <v/>
      </c>
      <c r="E82" s="13"/>
      <c r="F82" s="13"/>
    </row>
    <row r="83" spans="1:6" ht="16" x14ac:dyDescent="0.2">
      <c r="A83" s="8"/>
      <c r="B83" s="8"/>
      <c r="C83" s="8"/>
      <c r="D83" s="8" t="str">
        <f t="shared" si="1"/>
        <v/>
      </c>
      <c r="E83" s="13"/>
      <c r="F83" s="13"/>
    </row>
    <row r="84" spans="1:6" ht="16" x14ac:dyDescent="0.2">
      <c r="A84" s="8"/>
      <c r="B84" s="8"/>
      <c r="C84" s="8"/>
      <c r="D84" s="8" t="str">
        <f t="shared" si="1"/>
        <v/>
      </c>
      <c r="E84" s="13"/>
      <c r="F84" s="13"/>
    </row>
    <row r="85" spans="1:6" ht="16" x14ac:dyDescent="0.2">
      <c r="A85" s="8"/>
      <c r="B85" s="8"/>
      <c r="C85" s="8"/>
      <c r="D85" s="8" t="str">
        <f t="shared" si="1"/>
        <v/>
      </c>
      <c r="E85" s="13"/>
      <c r="F85" s="13"/>
    </row>
    <row r="86" spans="1:6" ht="16" x14ac:dyDescent="0.2">
      <c r="A86" s="8"/>
      <c r="B86" s="8"/>
      <c r="C86" s="8"/>
      <c r="D86" s="8" t="str">
        <f t="shared" si="1"/>
        <v/>
      </c>
      <c r="E86" s="13"/>
      <c r="F86" s="13"/>
    </row>
    <row r="87" spans="1:6" ht="16" x14ac:dyDescent="0.2">
      <c r="A87" s="8"/>
      <c r="B87" s="8"/>
      <c r="C87" s="8"/>
      <c r="D87" s="8" t="str">
        <f t="shared" si="1"/>
        <v/>
      </c>
      <c r="E87" s="13"/>
      <c r="F87" s="13"/>
    </row>
    <row r="88" spans="1:6" ht="16" x14ac:dyDescent="0.2">
      <c r="A88" s="8"/>
      <c r="B88" s="8"/>
      <c r="C88" s="8"/>
      <c r="D88" s="8" t="str">
        <f t="shared" si="1"/>
        <v/>
      </c>
      <c r="E88" s="13"/>
      <c r="F88" s="13"/>
    </row>
    <row r="89" spans="1:6" ht="16" x14ac:dyDescent="0.2">
      <c r="A89" s="8"/>
      <c r="B89" s="8"/>
      <c r="C89" s="8"/>
      <c r="D89" s="8" t="str">
        <f t="shared" si="1"/>
        <v/>
      </c>
      <c r="E89" s="13"/>
      <c r="F89" s="13"/>
    </row>
    <row r="90" spans="1:6" ht="16" x14ac:dyDescent="0.2">
      <c r="A90" s="8"/>
      <c r="B90" s="8"/>
      <c r="C90" s="8"/>
      <c r="D90" s="8" t="str">
        <f t="shared" si="1"/>
        <v/>
      </c>
      <c r="E90" s="13"/>
      <c r="F90" s="13"/>
    </row>
    <row r="91" spans="1:6" ht="16" x14ac:dyDescent="0.2">
      <c r="A91" s="8"/>
      <c r="B91" s="8"/>
      <c r="C91" s="8"/>
      <c r="D91" s="8" t="str">
        <f t="shared" si="1"/>
        <v/>
      </c>
      <c r="E91" s="13"/>
      <c r="F91" s="13"/>
    </row>
    <row r="92" spans="1:6" ht="16" x14ac:dyDescent="0.2">
      <c r="A92" s="8"/>
      <c r="B92" s="8"/>
      <c r="C92" s="8"/>
      <c r="D92" s="8" t="str">
        <f t="shared" si="1"/>
        <v/>
      </c>
      <c r="E92" s="13"/>
      <c r="F92" s="13"/>
    </row>
    <row r="93" spans="1:6" ht="16" x14ac:dyDescent="0.2">
      <c r="A93" s="8"/>
      <c r="B93" s="8"/>
      <c r="C93" s="8"/>
      <c r="D93" s="8" t="str">
        <f t="shared" si="1"/>
        <v/>
      </c>
      <c r="E93" s="13"/>
      <c r="F93" s="13"/>
    </row>
    <row r="94" spans="1:6" ht="16" x14ac:dyDescent="0.2">
      <c r="A94" s="8"/>
      <c r="B94" s="8"/>
      <c r="C94" s="8"/>
      <c r="D94" s="8" t="str">
        <f t="shared" si="1"/>
        <v/>
      </c>
      <c r="E94" s="13"/>
      <c r="F94" s="13"/>
    </row>
    <row r="95" spans="1:6" ht="16" x14ac:dyDescent="0.2">
      <c r="A95" s="8"/>
      <c r="B95" s="8"/>
      <c r="C95" s="8"/>
      <c r="D95" s="8" t="str">
        <f t="shared" si="1"/>
        <v/>
      </c>
      <c r="E95" s="13"/>
      <c r="F95" s="13"/>
    </row>
    <row r="96" spans="1:6" ht="16" x14ac:dyDescent="0.2">
      <c r="A96" s="8"/>
      <c r="B96" s="8"/>
      <c r="C96" s="8"/>
      <c r="D96" s="8" t="str">
        <f t="shared" si="1"/>
        <v/>
      </c>
      <c r="E96" s="13"/>
      <c r="F96" s="13"/>
    </row>
    <row r="97" spans="1:6" ht="16" x14ac:dyDescent="0.2">
      <c r="A97" s="8"/>
      <c r="B97" s="8"/>
      <c r="C97" s="8"/>
      <c r="D97" s="8" t="str">
        <f t="shared" si="1"/>
        <v/>
      </c>
      <c r="E97" s="13"/>
      <c r="F97" s="13"/>
    </row>
    <row r="98" spans="1:6" ht="16" x14ac:dyDescent="0.2">
      <c r="A98" s="8"/>
      <c r="B98" s="8"/>
      <c r="C98" s="8"/>
      <c r="D98" s="8" t="str">
        <f t="shared" si="1"/>
        <v/>
      </c>
      <c r="E98" s="13"/>
      <c r="F98" s="13"/>
    </row>
    <row r="99" spans="1:6" ht="16" x14ac:dyDescent="0.2">
      <c r="A99" s="8"/>
      <c r="B99" s="8"/>
      <c r="C99" s="8"/>
      <c r="D99" s="8" t="str">
        <f t="shared" si="1"/>
        <v/>
      </c>
      <c r="E99" s="13"/>
      <c r="F99" s="13"/>
    </row>
    <row r="100" spans="1:6" ht="16" x14ac:dyDescent="0.2">
      <c r="A100" s="8"/>
      <c r="B100" s="8"/>
      <c r="C100" s="8"/>
      <c r="D100" s="8" t="str">
        <f t="shared" si="1"/>
        <v/>
      </c>
      <c r="E100" s="13"/>
      <c r="F100" s="13"/>
    </row>
    <row r="101" spans="1:6" ht="16" x14ac:dyDescent="0.2">
      <c r="A101" s="8"/>
      <c r="B101" s="8"/>
      <c r="C101" s="8"/>
      <c r="D101" s="8" t="str">
        <f t="shared" si="1"/>
        <v/>
      </c>
      <c r="E101" s="13"/>
      <c r="F101" s="13"/>
    </row>
    <row r="102" spans="1:6" ht="16" x14ac:dyDescent="0.2">
      <c r="A102" s="8"/>
      <c r="B102" s="8"/>
      <c r="C102" s="8"/>
      <c r="D102" s="8" t="str">
        <f t="shared" si="1"/>
        <v/>
      </c>
      <c r="E102" s="13"/>
      <c r="F102" s="13"/>
    </row>
    <row r="103" spans="1:6" ht="16" x14ac:dyDescent="0.2">
      <c r="A103" s="8"/>
      <c r="B103" s="8"/>
      <c r="C103" s="8"/>
      <c r="D103" s="8" t="str">
        <f t="shared" si="1"/>
        <v/>
      </c>
      <c r="E103" s="13"/>
      <c r="F103" s="13"/>
    </row>
    <row r="104" spans="1:6" ht="16" x14ac:dyDescent="0.2">
      <c r="A104" s="8"/>
      <c r="B104" s="8"/>
      <c r="C104" s="8"/>
      <c r="D104" s="8" t="str">
        <f t="shared" si="1"/>
        <v/>
      </c>
      <c r="E104" s="13"/>
      <c r="F104" s="13"/>
    </row>
    <row r="105" spans="1:6" ht="16" x14ac:dyDescent="0.2">
      <c r="A105" s="8"/>
      <c r="B105" s="8"/>
      <c r="C105" s="8"/>
      <c r="D105" s="8" t="str">
        <f t="shared" si="1"/>
        <v/>
      </c>
      <c r="E105" s="13"/>
      <c r="F105" s="13"/>
    </row>
    <row r="106" spans="1:6" ht="16" x14ac:dyDescent="0.2">
      <c r="A106" s="8"/>
      <c r="B106" s="8"/>
      <c r="C106" s="8"/>
      <c r="D106" s="8" t="str">
        <f t="shared" si="1"/>
        <v/>
      </c>
      <c r="E106" s="13"/>
      <c r="F106" s="13"/>
    </row>
    <row r="107" spans="1:6" ht="16" x14ac:dyDescent="0.2">
      <c r="A107" s="8"/>
      <c r="B107" s="8"/>
      <c r="C107" s="8"/>
      <c r="D107" s="8" t="str">
        <f t="shared" si="1"/>
        <v/>
      </c>
      <c r="E107" s="13"/>
      <c r="F107" s="13"/>
    </row>
    <row r="108" spans="1:6" ht="16" x14ac:dyDescent="0.2">
      <c r="A108" s="8"/>
      <c r="B108" s="8"/>
      <c r="C108" s="8"/>
      <c r="D108" s="8" t="str">
        <f t="shared" si="1"/>
        <v/>
      </c>
      <c r="E108" s="13"/>
      <c r="F108" s="13"/>
    </row>
    <row r="109" spans="1:6" ht="16" x14ac:dyDescent="0.2">
      <c r="A109" s="8"/>
      <c r="B109" s="8"/>
      <c r="C109" s="8"/>
      <c r="D109" s="8" t="str">
        <f t="shared" si="1"/>
        <v/>
      </c>
      <c r="E109" s="13"/>
      <c r="F109" s="13"/>
    </row>
    <row r="110" spans="1:6" ht="16" x14ac:dyDescent="0.2">
      <c r="A110" s="8"/>
      <c r="B110" s="8"/>
      <c r="C110" s="8"/>
      <c r="D110" s="8" t="str">
        <f t="shared" si="1"/>
        <v/>
      </c>
      <c r="E110" s="13"/>
      <c r="F110" s="13"/>
    </row>
    <row r="111" spans="1:6" ht="16" x14ac:dyDescent="0.2">
      <c r="A111" s="8"/>
      <c r="B111" s="8"/>
      <c r="C111" s="8"/>
      <c r="D111" s="8" t="str">
        <f t="shared" si="1"/>
        <v/>
      </c>
      <c r="E111" s="13"/>
      <c r="F111" s="13"/>
    </row>
    <row r="112" spans="1:6" ht="16" x14ac:dyDescent="0.2">
      <c r="A112" s="8"/>
      <c r="B112" s="8"/>
      <c r="C112" s="8"/>
      <c r="D112" s="8" t="str">
        <f t="shared" si="1"/>
        <v/>
      </c>
      <c r="E112" s="13"/>
      <c r="F112" s="13"/>
    </row>
    <row r="113" spans="1:6" ht="16" x14ac:dyDescent="0.2">
      <c r="A113" s="8"/>
      <c r="B113" s="8"/>
      <c r="C113" s="8"/>
      <c r="D113" s="8" t="str">
        <f t="shared" si="1"/>
        <v/>
      </c>
      <c r="E113" s="13"/>
      <c r="F113" s="13"/>
    </row>
    <row r="114" spans="1:6" ht="16" x14ac:dyDescent="0.2">
      <c r="A114" s="8"/>
      <c r="B114" s="8"/>
      <c r="C114" s="8"/>
      <c r="D114" s="8" t="str">
        <f t="shared" si="1"/>
        <v/>
      </c>
      <c r="E114" s="13"/>
      <c r="F114" s="13"/>
    </row>
    <row r="115" spans="1:6" ht="16" x14ac:dyDescent="0.2">
      <c r="A115" s="8"/>
      <c r="B115" s="8"/>
      <c r="C115" s="8"/>
      <c r="D115" s="8" t="str">
        <f t="shared" si="1"/>
        <v/>
      </c>
      <c r="E115" s="13"/>
      <c r="F115" s="13"/>
    </row>
    <row r="116" spans="1:6" ht="16" x14ac:dyDescent="0.2">
      <c r="A116" s="8"/>
      <c r="B116" s="8"/>
      <c r="C116" s="8"/>
      <c r="D116" s="8" t="str">
        <f t="shared" si="1"/>
        <v/>
      </c>
      <c r="E116" s="13"/>
      <c r="F116" s="13"/>
    </row>
    <row r="117" spans="1:6" ht="16" x14ac:dyDescent="0.2">
      <c r="A117" s="8"/>
      <c r="B117" s="8"/>
      <c r="C117" s="8"/>
      <c r="D117" s="8" t="str">
        <f t="shared" si="1"/>
        <v/>
      </c>
      <c r="E117" s="13"/>
      <c r="F117" s="13"/>
    </row>
    <row r="118" spans="1:6" ht="16" x14ac:dyDescent="0.2">
      <c r="A118" s="8"/>
      <c r="B118" s="8"/>
      <c r="C118" s="8"/>
      <c r="D118" s="8" t="str">
        <f t="shared" si="1"/>
        <v/>
      </c>
      <c r="E118" s="13"/>
      <c r="F118" s="13"/>
    </row>
    <row r="119" spans="1:6" ht="16" x14ac:dyDescent="0.2">
      <c r="A119" s="8"/>
      <c r="B119" s="8"/>
      <c r="C119" s="8"/>
      <c r="D119" s="8" t="str">
        <f t="shared" si="1"/>
        <v/>
      </c>
      <c r="E119" s="13"/>
      <c r="F119" s="13"/>
    </row>
    <row r="120" spans="1:6" ht="16" x14ac:dyDescent="0.2">
      <c r="A120" s="8"/>
      <c r="B120" s="8"/>
      <c r="C120" s="8"/>
      <c r="D120" s="8" t="str">
        <f t="shared" si="1"/>
        <v/>
      </c>
      <c r="E120" s="13"/>
      <c r="F120" s="13"/>
    </row>
    <row r="121" spans="1:6" ht="16" x14ac:dyDescent="0.2">
      <c r="A121" s="8"/>
      <c r="B121" s="8"/>
      <c r="C121" s="8"/>
      <c r="D121" s="8" t="str">
        <f t="shared" si="1"/>
        <v/>
      </c>
      <c r="E121" s="13"/>
      <c r="F121" s="13"/>
    </row>
    <row r="122" spans="1:6" ht="16" x14ac:dyDescent="0.2">
      <c r="A122" s="8"/>
      <c r="B122" s="8"/>
      <c r="C122" s="8"/>
      <c r="D122" s="8" t="str">
        <f t="shared" si="1"/>
        <v/>
      </c>
      <c r="E122" s="13"/>
      <c r="F122" s="13"/>
    </row>
    <row r="123" spans="1:6" ht="16" x14ac:dyDescent="0.2">
      <c r="A123" s="8"/>
      <c r="B123" s="8"/>
      <c r="C123" s="8"/>
      <c r="D123" s="8" t="str">
        <f t="shared" si="1"/>
        <v/>
      </c>
      <c r="E123" s="13"/>
      <c r="F123" s="13"/>
    </row>
    <row r="124" spans="1:6" ht="16" x14ac:dyDescent="0.2">
      <c r="A124" s="8"/>
      <c r="B124" s="8"/>
      <c r="C124" s="8"/>
      <c r="D124" s="8" t="str">
        <f t="shared" si="1"/>
        <v/>
      </c>
      <c r="E124" s="13"/>
      <c r="F124" s="13"/>
    </row>
    <row r="125" spans="1:6" ht="16" x14ac:dyDescent="0.2">
      <c r="A125" s="8"/>
      <c r="B125" s="8"/>
      <c r="C125" s="8"/>
      <c r="D125" s="8" t="str">
        <f t="shared" si="1"/>
        <v/>
      </c>
      <c r="E125" s="13"/>
      <c r="F125" s="13"/>
    </row>
    <row r="126" spans="1:6" ht="16" x14ac:dyDescent="0.2">
      <c r="A126" s="8"/>
      <c r="B126" s="8"/>
      <c r="C126" s="8"/>
      <c r="D126" s="8" t="str">
        <f t="shared" si="1"/>
        <v/>
      </c>
      <c r="E126" s="13"/>
      <c r="F126" s="13"/>
    </row>
    <row r="127" spans="1:6" ht="16" x14ac:dyDescent="0.2">
      <c r="A127" s="8"/>
      <c r="B127" s="8"/>
      <c r="C127" s="8"/>
      <c r="D127" s="8" t="str">
        <f t="shared" si="1"/>
        <v/>
      </c>
      <c r="E127" s="13"/>
      <c r="F127" s="13"/>
    </row>
    <row r="128" spans="1:6" ht="16" x14ac:dyDescent="0.2">
      <c r="A128" s="8"/>
      <c r="B128" s="8"/>
      <c r="C128" s="8"/>
      <c r="D128" s="8" t="str">
        <f t="shared" si="1"/>
        <v/>
      </c>
      <c r="E128" s="13"/>
      <c r="F128" s="13"/>
    </row>
    <row r="129" spans="1:6" ht="16" x14ac:dyDescent="0.2">
      <c r="A129" s="8"/>
      <c r="B129" s="8"/>
      <c r="C129" s="8"/>
      <c r="D129" s="8" t="str">
        <f t="shared" si="1"/>
        <v/>
      </c>
      <c r="E129" s="13"/>
      <c r="F129" s="13"/>
    </row>
    <row r="130" spans="1:6" ht="16" x14ac:dyDescent="0.2">
      <c r="A130" s="8"/>
      <c r="B130" s="8"/>
      <c r="C130" s="8"/>
      <c r="D130" s="8" t="str">
        <f t="shared" si="1"/>
        <v/>
      </c>
      <c r="E130" s="13"/>
      <c r="F130" s="13"/>
    </row>
    <row r="131" spans="1:6" ht="16" x14ac:dyDescent="0.2">
      <c r="A131" s="8"/>
      <c r="B131" s="8"/>
      <c r="C131" s="8"/>
      <c r="D131" s="8" t="str">
        <f t="shared" ref="D131:D194" si="2">IF(A131=0,"","MinMax")</f>
        <v/>
      </c>
      <c r="E131" s="13"/>
      <c r="F131" s="13"/>
    </row>
    <row r="132" spans="1:6" ht="16" x14ac:dyDescent="0.2">
      <c r="A132" s="8"/>
      <c r="B132" s="8"/>
      <c r="C132" s="8"/>
      <c r="D132" s="8" t="str">
        <f t="shared" si="2"/>
        <v/>
      </c>
      <c r="E132" s="13"/>
      <c r="F132" s="13"/>
    </row>
    <row r="133" spans="1:6" ht="16" x14ac:dyDescent="0.2">
      <c r="A133" s="8"/>
      <c r="B133" s="8"/>
      <c r="C133" s="8"/>
      <c r="D133" s="8" t="str">
        <f t="shared" si="2"/>
        <v/>
      </c>
      <c r="E133" s="13"/>
      <c r="F133" s="13"/>
    </row>
    <row r="134" spans="1:6" ht="16" x14ac:dyDescent="0.2">
      <c r="A134" s="8"/>
      <c r="B134" s="8"/>
      <c r="C134" s="8"/>
      <c r="D134" s="8" t="str">
        <f t="shared" si="2"/>
        <v/>
      </c>
      <c r="E134" s="13"/>
      <c r="F134" s="13"/>
    </row>
    <row r="135" spans="1:6" ht="16" x14ac:dyDescent="0.2">
      <c r="A135" s="8"/>
      <c r="B135" s="8"/>
      <c r="C135" s="8"/>
      <c r="D135" s="8" t="str">
        <f t="shared" si="2"/>
        <v/>
      </c>
      <c r="E135" s="13"/>
      <c r="F135" s="13"/>
    </row>
    <row r="136" spans="1:6" ht="16" x14ac:dyDescent="0.2">
      <c r="A136" s="8"/>
      <c r="B136" s="8"/>
      <c r="C136" s="8"/>
      <c r="D136" s="8" t="str">
        <f t="shared" si="2"/>
        <v/>
      </c>
      <c r="E136" s="13"/>
      <c r="F136" s="13"/>
    </row>
    <row r="137" spans="1:6" ht="16" x14ac:dyDescent="0.2">
      <c r="A137" s="8"/>
      <c r="B137" s="8"/>
      <c r="C137" s="8"/>
      <c r="D137" s="8" t="str">
        <f t="shared" si="2"/>
        <v/>
      </c>
      <c r="E137" s="13"/>
      <c r="F137" s="13"/>
    </row>
    <row r="138" spans="1:6" ht="16" x14ac:dyDescent="0.2">
      <c r="A138" s="8"/>
      <c r="B138" s="8"/>
      <c r="C138" s="8"/>
      <c r="D138" s="8" t="str">
        <f t="shared" si="2"/>
        <v/>
      </c>
      <c r="E138" s="13"/>
      <c r="F138" s="13"/>
    </row>
    <row r="139" spans="1:6" ht="16" x14ac:dyDescent="0.2">
      <c r="A139" s="8"/>
      <c r="B139" s="8"/>
      <c r="C139" s="8"/>
      <c r="D139" s="8" t="str">
        <f t="shared" si="2"/>
        <v/>
      </c>
      <c r="E139" s="13"/>
      <c r="F139" s="13"/>
    </row>
    <row r="140" spans="1:6" ht="16" x14ac:dyDescent="0.2">
      <c r="A140" s="8"/>
      <c r="B140" s="8"/>
      <c r="C140" s="8"/>
      <c r="D140" s="8" t="str">
        <f t="shared" si="2"/>
        <v/>
      </c>
      <c r="E140" s="13"/>
      <c r="F140" s="13"/>
    </row>
    <row r="141" spans="1:6" ht="16" x14ac:dyDescent="0.2">
      <c r="A141" s="8"/>
      <c r="B141" s="8"/>
      <c r="C141" s="8"/>
      <c r="D141" s="8" t="str">
        <f t="shared" si="2"/>
        <v/>
      </c>
      <c r="E141" s="13"/>
      <c r="F141" s="13"/>
    </row>
    <row r="142" spans="1:6" ht="16" x14ac:dyDescent="0.2">
      <c r="A142" s="8"/>
      <c r="B142" s="8"/>
      <c r="C142" s="8"/>
      <c r="D142" s="8" t="str">
        <f t="shared" si="2"/>
        <v/>
      </c>
      <c r="E142" s="13"/>
      <c r="F142" s="13"/>
    </row>
    <row r="143" spans="1:6" ht="16" x14ac:dyDescent="0.2">
      <c r="A143" s="8"/>
      <c r="B143" s="8"/>
      <c r="C143" s="8"/>
      <c r="D143" s="8" t="str">
        <f t="shared" si="2"/>
        <v/>
      </c>
      <c r="E143" s="13"/>
      <c r="F143" s="13"/>
    </row>
    <row r="144" spans="1:6" ht="16" x14ac:dyDescent="0.2">
      <c r="A144" s="8"/>
      <c r="B144" s="8"/>
      <c r="C144" s="8"/>
      <c r="D144" s="8" t="str">
        <f t="shared" si="2"/>
        <v/>
      </c>
      <c r="E144" s="13"/>
      <c r="F144" s="13"/>
    </row>
    <row r="145" spans="1:6" ht="16" x14ac:dyDescent="0.2">
      <c r="A145" s="8"/>
      <c r="B145" s="8"/>
      <c r="C145" s="8"/>
      <c r="D145" s="8" t="str">
        <f t="shared" si="2"/>
        <v/>
      </c>
      <c r="E145" s="13"/>
      <c r="F145" s="13"/>
    </row>
    <row r="146" spans="1:6" ht="16" x14ac:dyDescent="0.2">
      <c r="A146" s="8"/>
      <c r="B146" s="8"/>
      <c r="C146" s="8"/>
      <c r="D146" s="8" t="str">
        <f t="shared" si="2"/>
        <v/>
      </c>
      <c r="E146" s="13"/>
      <c r="F146" s="13"/>
    </row>
    <row r="147" spans="1:6" ht="16" x14ac:dyDescent="0.2">
      <c r="A147" s="8"/>
      <c r="B147" s="8"/>
      <c r="C147" s="8"/>
      <c r="D147" s="8" t="str">
        <f t="shared" si="2"/>
        <v/>
      </c>
      <c r="E147" s="13"/>
      <c r="F147" s="13"/>
    </row>
    <row r="148" spans="1:6" ht="16" x14ac:dyDescent="0.2">
      <c r="A148" s="8"/>
      <c r="B148" s="8"/>
      <c r="C148" s="8"/>
      <c r="D148" s="8" t="str">
        <f t="shared" si="2"/>
        <v/>
      </c>
      <c r="E148" s="13"/>
      <c r="F148" s="13"/>
    </row>
    <row r="149" spans="1:6" ht="16" x14ac:dyDescent="0.2">
      <c r="A149" s="8"/>
      <c r="B149" s="8"/>
      <c r="C149" s="8"/>
      <c r="D149" s="8" t="str">
        <f t="shared" si="2"/>
        <v/>
      </c>
      <c r="E149" s="13"/>
      <c r="F149" s="13"/>
    </row>
    <row r="150" spans="1:6" ht="16" x14ac:dyDescent="0.2">
      <c r="A150" s="8"/>
      <c r="B150" s="8"/>
      <c r="C150" s="8"/>
      <c r="D150" s="8" t="str">
        <f t="shared" si="2"/>
        <v/>
      </c>
      <c r="E150" s="13"/>
      <c r="F150" s="13"/>
    </row>
    <row r="151" spans="1:6" ht="16" x14ac:dyDescent="0.2">
      <c r="A151" s="8"/>
      <c r="B151" s="8"/>
      <c r="C151" s="8"/>
      <c r="D151" s="8" t="str">
        <f t="shared" si="2"/>
        <v/>
      </c>
      <c r="E151" s="13"/>
      <c r="F151" s="13"/>
    </row>
    <row r="152" spans="1:6" ht="16" x14ac:dyDescent="0.2">
      <c r="A152" s="8"/>
      <c r="B152" s="8"/>
      <c r="C152" s="8"/>
      <c r="D152" s="8" t="str">
        <f t="shared" si="2"/>
        <v/>
      </c>
      <c r="E152" s="13"/>
      <c r="F152" s="13"/>
    </row>
    <row r="153" spans="1:6" ht="16" x14ac:dyDescent="0.2">
      <c r="A153" s="8"/>
      <c r="B153" s="8"/>
      <c r="C153" s="8"/>
      <c r="D153" s="8" t="str">
        <f t="shared" si="2"/>
        <v/>
      </c>
      <c r="E153" s="13"/>
      <c r="F153" s="13"/>
    </row>
    <row r="154" spans="1:6" ht="16" x14ac:dyDescent="0.2">
      <c r="A154" s="8"/>
      <c r="B154" s="8"/>
      <c r="C154" s="8"/>
      <c r="D154" s="8" t="str">
        <f t="shared" si="2"/>
        <v/>
      </c>
      <c r="E154" s="13"/>
      <c r="F154" s="13"/>
    </row>
    <row r="155" spans="1:6" ht="16" x14ac:dyDescent="0.2">
      <c r="A155" s="8"/>
      <c r="B155" s="8"/>
      <c r="C155" s="8"/>
      <c r="D155" s="8" t="str">
        <f t="shared" si="2"/>
        <v/>
      </c>
      <c r="E155" s="13"/>
      <c r="F155" s="13"/>
    </row>
    <row r="156" spans="1:6" ht="16" x14ac:dyDescent="0.2">
      <c r="A156" s="8"/>
      <c r="B156" s="8"/>
      <c r="C156" s="8"/>
      <c r="D156" s="8" t="str">
        <f t="shared" si="2"/>
        <v/>
      </c>
      <c r="E156" s="13"/>
      <c r="F156" s="13"/>
    </row>
    <row r="157" spans="1:6" ht="16" x14ac:dyDescent="0.2">
      <c r="A157" s="8"/>
      <c r="B157" s="8"/>
      <c r="C157" s="8"/>
      <c r="D157" s="8" t="str">
        <f t="shared" si="2"/>
        <v/>
      </c>
      <c r="E157" s="13"/>
      <c r="F157" s="13"/>
    </row>
    <row r="158" spans="1:6" ht="16" x14ac:dyDescent="0.2">
      <c r="A158" s="8"/>
      <c r="B158" s="8"/>
      <c r="C158" s="8"/>
      <c r="D158" s="8" t="str">
        <f t="shared" si="2"/>
        <v/>
      </c>
      <c r="E158" s="13"/>
      <c r="F158" s="13"/>
    </row>
    <row r="159" spans="1:6" ht="16" x14ac:dyDescent="0.2">
      <c r="A159" s="8"/>
      <c r="B159" s="8"/>
      <c r="C159" s="8"/>
      <c r="D159" s="8" t="str">
        <f t="shared" si="2"/>
        <v/>
      </c>
      <c r="E159" s="13"/>
      <c r="F159" s="13"/>
    </row>
    <row r="160" spans="1:6" ht="16" x14ac:dyDescent="0.2">
      <c r="A160" s="8"/>
      <c r="B160" s="8"/>
      <c r="C160" s="8"/>
      <c r="D160" s="8" t="str">
        <f t="shared" si="2"/>
        <v/>
      </c>
      <c r="E160" s="13"/>
      <c r="F160" s="13"/>
    </row>
    <row r="161" spans="1:6" ht="16" x14ac:dyDescent="0.2">
      <c r="A161" s="8"/>
      <c r="B161" s="8"/>
      <c r="C161" s="8"/>
      <c r="D161" s="8" t="str">
        <f t="shared" si="2"/>
        <v/>
      </c>
      <c r="E161" s="13"/>
      <c r="F161" s="13"/>
    </row>
    <row r="162" spans="1:6" ht="16" x14ac:dyDescent="0.2">
      <c r="A162" s="8"/>
      <c r="B162" s="8"/>
      <c r="C162" s="8"/>
      <c r="D162" s="8" t="str">
        <f t="shared" si="2"/>
        <v/>
      </c>
      <c r="E162" s="13"/>
      <c r="F162" s="13"/>
    </row>
    <row r="163" spans="1:6" ht="16" x14ac:dyDescent="0.2">
      <c r="A163" s="8"/>
      <c r="B163" s="8"/>
      <c r="C163" s="8"/>
      <c r="D163" s="8" t="str">
        <f t="shared" si="2"/>
        <v/>
      </c>
      <c r="E163" s="13"/>
      <c r="F163" s="13"/>
    </row>
    <row r="164" spans="1:6" ht="16" x14ac:dyDescent="0.2">
      <c r="A164" s="8"/>
      <c r="B164" s="8"/>
      <c r="C164" s="8"/>
      <c r="D164" s="8" t="str">
        <f t="shared" si="2"/>
        <v/>
      </c>
      <c r="E164" s="13"/>
      <c r="F164" s="13"/>
    </row>
    <row r="165" spans="1:6" ht="16" x14ac:dyDescent="0.2">
      <c r="A165" s="8"/>
      <c r="B165" s="8"/>
      <c r="C165" s="8"/>
      <c r="D165" s="8" t="str">
        <f t="shared" si="2"/>
        <v/>
      </c>
      <c r="E165" s="13"/>
      <c r="F165" s="13"/>
    </row>
    <row r="166" spans="1:6" ht="16" x14ac:dyDescent="0.2">
      <c r="A166" s="8"/>
      <c r="B166" s="8"/>
      <c r="C166" s="8"/>
      <c r="D166" s="8" t="str">
        <f t="shared" si="2"/>
        <v/>
      </c>
      <c r="E166" s="13"/>
      <c r="F166" s="13"/>
    </row>
    <row r="167" spans="1:6" ht="16" x14ac:dyDescent="0.2">
      <c r="A167" s="8"/>
      <c r="B167" s="8"/>
      <c r="C167" s="8"/>
      <c r="D167" s="8" t="str">
        <f t="shared" si="2"/>
        <v/>
      </c>
      <c r="E167" s="13"/>
      <c r="F167" s="13"/>
    </row>
    <row r="168" spans="1:6" ht="16" x14ac:dyDescent="0.2">
      <c r="A168" s="8"/>
      <c r="B168" s="8"/>
      <c r="C168" s="8"/>
      <c r="D168" s="8" t="str">
        <f t="shared" si="2"/>
        <v/>
      </c>
      <c r="E168" s="13"/>
      <c r="F168" s="13"/>
    </row>
    <row r="169" spans="1:6" ht="16" x14ac:dyDescent="0.2">
      <c r="A169" s="8"/>
      <c r="B169" s="8"/>
      <c r="C169" s="8"/>
      <c r="D169" s="8" t="str">
        <f t="shared" si="2"/>
        <v/>
      </c>
      <c r="E169" s="13"/>
      <c r="F169" s="13"/>
    </row>
    <row r="170" spans="1:6" ht="16" x14ac:dyDescent="0.2">
      <c r="A170" s="8"/>
      <c r="B170" s="8"/>
      <c r="C170" s="8"/>
      <c r="D170" s="8" t="str">
        <f t="shared" si="2"/>
        <v/>
      </c>
      <c r="E170" s="13"/>
      <c r="F170" s="13"/>
    </row>
    <row r="171" spans="1:6" ht="16" x14ac:dyDescent="0.2">
      <c r="A171" s="8"/>
      <c r="B171" s="8"/>
      <c r="C171" s="8"/>
      <c r="D171" s="8" t="str">
        <f t="shared" si="2"/>
        <v/>
      </c>
      <c r="E171" s="13"/>
      <c r="F171" s="13"/>
    </row>
    <row r="172" spans="1:6" ht="16" x14ac:dyDescent="0.2">
      <c r="A172" s="8"/>
      <c r="B172" s="8"/>
      <c r="C172" s="8"/>
      <c r="D172" s="8" t="str">
        <f t="shared" si="2"/>
        <v/>
      </c>
      <c r="E172" s="13"/>
      <c r="F172" s="13"/>
    </row>
    <row r="173" spans="1:6" ht="16" x14ac:dyDescent="0.2">
      <c r="A173" s="8"/>
      <c r="B173" s="8"/>
      <c r="C173" s="8"/>
      <c r="D173" s="8" t="str">
        <f t="shared" si="2"/>
        <v/>
      </c>
      <c r="E173" s="13"/>
      <c r="F173" s="13"/>
    </row>
    <row r="174" spans="1:6" ht="16" x14ac:dyDescent="0.2">
      <c r="A174" s="8"/>
      <c r="B174" s="8"/>
      <c r="C174" s="8"/>
      <c r="D174" s="8" t="str">
        <f t="shared" si="2"/>
        <v/>
      </c>
      <c r="E174" s="13"/>
      <c r="F174" s="13"/>
    </row>
    <row r="175" spans="1:6" ht="16" x14ac:dyDescent="0.2">
      <c r="A175" s="8"/>
      <c r="B175" s="8"/>
      <c r="C175" s="8"/>
      <c r="D175" s="8" t="str">
        <f t="shared" si="2"/>
        <v/>
      </c>
      <c r="E175" s="13"/>
      <c r="F175" s="13"/>
    </row>
    <row r="176" spans="1:6" ht="16" x14ac:dyDescent="0.2">
      <c r="A176" s="8"/>
      <c r="B176" s="8"/>
      <c r="C176" s="8"/>
      <c r="D176" s="8" t="str">
        <f t="shared" si="2"/>
        <v/>
      </c>
      <c r="E176" s="13"/>
      <c r="F176" s="13"/>
    </row>
    <row r="177" spans="1:6" ht="16" x14ac:dyDescent="0.2">
      <c r="A177" s="8"/>
      <c r="B177" s="8"/>
      <c r="C177" s="8"/>
      <c r="D177" s="8" t="str">
        <f t="shared" si="2"/>
        <v/>
      </c>
      <c r="E177" s="13"/>
      <c r="F177" s="13"/>
    </row>
    <row r="178" spans="1:6" ht="16" x14ac:dyDescent="0.2">
      <c r="A178" s="8"/>
      <c r="B178" s="8"/>
      <c r="C178" s="8"/>
      <c r="D178" s="8" t="str">
        <f t="shared" si="2"/>
        <v/>
      </c>
      <c r="E178" s="13"/>
      <c r="F178" s="13"/>
    </row>
    <row r="179" spans="1:6" ht="16" x14ac:dyDescent="0.2">
      <c r="A179" s="8"/>
      <c r="B179" s="8"/>
      <c r="C179" s="8"/>
      <c r="D179" s="8" t="str">
        <f t="shared" si="2"/>
        <v/>
      </c>
      <c r="E179" s="13"/>
      <c r="F179" s="13"/>
    </row>
    <row r="180" spans="1:6" ht="16" x14ac:dyDescent="0.2">
      <c r="A180" s="8"/>
      <c r="B180" s="8"/>
      <c r="C180" s="8"/>
      <c r="D180" s="8" t="str">
        <f t="shared" si="2"/>
        <v/>
      </c>
      <c r="E180" s="13"/>
      <c r="F180" s="13"/>
    </row>
    <row r="181" spans="1:6" ht="16" x14ac:dyDescent="0.2">
      <c r="A181" s="8"/>
      <c r="B181" s="8"/>
      <c r="C181" s="8"/>
      <c r="D181" s="8" t="str">
        <f t="shared" si="2"/>
        <v/>
      </c>
      <c r="E181" s="13"/>
      <c r="F181" s="13"/>
    </row>
    <row r="182" spans="1:6" ht="16" x14ac:dyDescent="0.2">
      <c r="A182" s="8"/>
      <c r="B182" s="8"/>
      <c r="C182" s="8"/>
      <c r="D182" s="8" t="str">
        <f t="shared" si="2"/>
        <v/>
      </c>
      <c r="E182" s="13"/>
      <c r="F182" s="13"/>
    </row>
    <row r="183" spans="1:6" ht="16" x14ac:dyDescent="0.2">
      <c r="A183" s="8"/>
      <c r="B183" s="8"/>
      <c r="C183" s="8"/>
      <c r="D183" s="8" t="str">
        <f t="shared" si="2"/>
        <v/>
      </c>
      <c r="E183" s="13"/>
      <c r="F183" s="13"/>
    </row>
    <row r="184" spans="1:6" ht="16" x14ac:dyDescent="0.2">
      <c r="A184" s="8"/>
      <c r="B184" s="8"/>
      <c r="C184" s="8"/>
      <c r="D184" s="8" t="str">
        <f t="shared" si="2"/>
        <v/>
      </c>
      <c r="E184" s="13"/>
      <c r="F184" s="13"/>
    </row>
    <row r="185" spans="1:6" ht="16" x14ac:dyDescent="0.2">
      <c r="A185" s="8"/>
      <c r="B185" s="8"/>
      <c r="C185" s="8"/>
      <c r="D185" s="8" t="str">
        <f t="shared" si="2"/>
        <v/>
      </c>
      <c r="E185" s="13"/>
      <c r="F185" s="13"/>
    </row>
    <row r="186" spans="1:6" ht="16" x14ac:dyDescent="0.2">
      <c r="A186" s="8"/>
      <c r="B186" s="8"/>
      <c r="C186" s="8"/>
      <c r="D186" s="8" t="str">
        <f t="shared" si="2"/>
        <v/>
      </c>
      <c r="E186" s="13"/>
      <c r="F186" s="13"/>
    </row>
    <row r="187" spans="1:6" ht="16" x14ac:dyDescent="0.2">
      <c r="A187" s="8"/>
      <c r="B187" s="8"/>
      <c r="C187" s="8"/>
      <c r="D187" s="8" t="str">
        <f t="shared" si="2"/>
        <v/>
      </c>
      <c r="E187" s="13"/>
      <c r="F187" s="13"/>
    </row>
    <row r="188" spans="1:6" ht="16" x14ac:dyDescent="0.2">
      <c r="A188" s="8"/>
      <c r="B188" s="8"/>
      <c r="C188" s="8"/>
      <c r="D188" s="8" t="str">
        <f t="shared" si="2"/>
        <v/>
      </c>
      <c r="E188" s="13"/>
      <c r="F188" s="13"/>
    </row>
    <row r="189" spans="1:6" ht="16" x14ac:dyDescent="0.2">
      <c r="A189" s="8"/>
      <c r="B189" s="8"/>
      <c r="C189" s="8"/>
      <c r="D189" s="8" t="str">
        <f t="shared" si="2"/>
        <v/>
      </c>
      <c r="E189" s="13"/>
      <c r="F189" s="13"/>
    </row>
    <row r="190" spans="1:6" ht="16" x14ac:dyDescent="0.2">
      <c r="A190" s="8"/>
      <c r="B190" s="8"/>
      <c r="C190" s="8"/>
      <c r="D190" s="8" t="str">
        <f t="shared" si="2"/>
        <v/>
      </c>
      <c r="E190" s="13"/>
      <c r="F190" s="13"/>
    </row>
    <row r="191" spans="1:6" ht="16" x14ac:dyDescent="0.2">
      <c r="A191" s="8"/>
      <c r="B191" s="8"/>
      <c r="C191" s="8"/>
      <c r="D191" s="8" t="str">
        <f t="shared" si="2"/>
        <v/>
      </c>
      <c r="E191" s="13"/>
      <c r="F191" s="13"/>
    </row>
    <row r="192" spans="1:6" ht="16" x14ac:dyDescent="0.2">
      <c r="A192" s="8"/>
      <c r="B192" s="8"/>
      <c r="C192" s="8"/>
      <c r="D192" s="8" t="str">
        <f t="shared" si="2"/>
        <v/>
      </c>
      <c r="E192" s="13"/>
      <c r="F192" s="13"/>
    </row>
    <row r="193" spans="1:6" ht="16" x14ac:dyDescent="0.2">
      <c r="A193" s="8"/>
      <c r="B193" s="8"/>
      <c r="C193" s="8"/>
      <c r="D193" s="8" t="str">
        <f t="shared" si="2"/>
        <v/>
      </c>
      <c r="E193" s="13"/>
      <c r="F193" s="13"/>
    </row>
    <row r="194" spans="1:6" ht="16" x14ac:dyDescent="0.2">
      <c r="A194" s="8"/>
      <c r="B194" s="8"/>
      <c r="C194" s="8"/>
      <c r="D194" s="8" t="str">
        <f t="shared" si="2"/>
        <v/>
      </c>
      <c r="E194" s="13"/>
      <c r="F194" s="13"/>
    </row>
    <row r="195" spans="1:6" ht="16" x14ac:dyDescent="0.2">
      <c r="A195" s="8"/>
      <c r="B195" s="8"/>
      <c r="C195" s="8"/>
      <c r="D195" s="8" t="str">
        <f t="shared" ref="D195:D258" si="3">IF(A195=0,"","MinMax")</f>
        <v/>
      </c>
      <c r="E195" s="13"/>
      <c r="F195" s="13"/>
    </row>
    <row r="196" spans="1:6" ht="16" x14ac:dyDescent="0.2">
      <c r="A196" s="8"/>
      <c r="B196" s="8"/>
      <c r="C196" s="8"/>
      <c r="D196" s="8" t="str">
        <f t="shared" si="3"/>
        <v/>
      </c>
      <c r="E196" s="13"/>
      <c r="F196" s="13"/>
    </row>
    <row r="197" spans="1:6" ht="16" x14ac:dyDescent="0.2">
      <c r="A197" s="8"/>
      <c r="B197" s="8"/>
      <c r="C197" s="8"/>
      <c r="D197" s="8" t="str">
        <f t="shared" si="3"/>
        <v/>
      </c>
      <c r="E197" s="13"/>
      <c r="F197" s="13"/>
    </row>
    <row r="198" spans="1:6" ht="16" x14ac:dyDescent="0.2">
      <c r="A198" s="8"/>
      <c r="B198" s="8"/>
      <c r="C198" s="8"/>
      <c r="D198" s="8" t="str">
        <f t="shared" si="3"/>
        <v/>
      </c>
      <c r="E198" s="13"/>
      <c r="F198" s="13"/>
    </row>
    <row r="199" spans="1:6" ht="16" x14ac:dyDescent="0.2">
      <c r="A199" s="8"/>
      <c r="B199" s="8"/>
      <c r="C199" s="8"/>
      <c r="D199" s="8" t="str">
        <f t="shared" si="3"/>
        <v/>
      </c>
      <c r="E199" s="13"/>
      <c r="F199" s="13"/>
    </row>
    <row r="200" spans="1:6" ht="16" x14ac:dyDescent="0.2">
      <c r="A200" s="8"/>
      <c r="B200" s="8"/>
      <c r="C200" s="8"/>
      <c r="D200" s="8" t="str">
        <f t="shared" si="3"/>
        <v/>
      </c>
      <c r="E200" s="13"/>
      <c r="F200" s="13"/>
    </row>
    <row r="201" spans="1:6" ht="16" x14ac:dyDescent="0.2">
      <c r="A201" s="8"/>
      <c r="B201" s="8"/>
      <c r="C201" s="8"/>
      <c r="D201" s="8" t="str">
        <f t="shared" si="3"/>
        <v/>
      </c>
      <c r="E201" s="13"/>
      <c r="F201" s="13"/>
    </row>
    <row r="202" spans="1:6" ht="16" x14ac:dyDescent="0.2">
      <c r="A202" s="8"/>
      <c r="B202" s="8"/>
      <c r="C202" s="8"/>
      <c r="D202" s="8" t="str">
        <f t="shared" si="3"/>
        <v/>
      </c>
      <c r="E202" s="13"/>
      <c r="F202" s="13"/>
    </row>
    <row r="203" spans="1:6" ht="16" x14ac:dyDescent="0.2">
      <c r="A203" s="8"/>
      <c r="B203" s="8"/>
      <c r="C203" s="8"/>
      <c r="D203" s="8" t="str">
        <f t="shared" si="3"/>
        <v/>
      </c>
      <c r="E203" s="13"/>
      <c r="F203" s="13"/>
    </row>
    <row r="204" spans="1:6" ht="16" x14ac:dyDescent="0.2">
      <c r="A204" s="8"/>
      <c r="B204" s="8"/>
      <c r="C204" s="8"/>
      <c r="D204" s="8" t="str">
        <f t="shared" si="3"/>
        <v/>
      </c>
      <c r="E204" s="13"/>
      <c r="F204" s="13"/>
    </row>
    <row r="205" spans="1:6" ht="16" x14ac:dyDescent="0.2">
      <c r="A205" s="8"/>
      <c r="B205" s="8"/>
      <c r="C205" s="8"/>
      <c r="D205" s="8" t="str">
        <f t="shared" si="3"/>
        <v/>
      </c>
      <c r="E205" s="13"/>
      <c r="F205" s="13"/>
    </row>
    <row r="206" spans="1:6" ht="16" x14ac:dyDescent="0.2">
      <c r="A206" s="8"/>
      <c r="B206" s="8"/>
      <c r="C206" s="8"/>
      <c r="D206" s="8" t="str">
        <f t="shared" si="3"/>
        <v/>
      </c>
      <c r="E206" s="13"/>
      <c r="F206" s="13"/>
    </row>
    <row r="207" spans="1:6" ht="16" x14ac:dyDescent="0.2">
      <c r="A207" s="8"/>
      <c r="B207" s="8"/>
      <c r="C207" s="8"/>
      <c r="D207" s="8" t="str">
        <f t="shared" si="3"/>
        <v/>
      </c>
      <c r="E207" s="13"/>
      <c r="F207" s="13"/>
    </row>
    <row r="208" spans="1:6" ht="16" x14ac:dyDescent="0.2">
      <c r="A208" s="8"/>
      <c r="B208" s="8"/>
      <c r="C208" s="8"/>
      <c r="D208" s="8" t="str">
        <f t="shared" si="3"/>
        <v/>
      </c>
      <c r="E208" s="13"/>
      <c r="F208" s="13"/>
    </row>
    <row r="209" spans="1:6" ht="16" x14ac:dyDescent="0.2">
      <c r="A209" s="8"/>
      <c r="B209" s="8"/>
      <c r="C209" s="8"/>
      <c r="D209" s="8" t="str">
        <f t="shared" si="3"/>
        <v/>
      </c>
      <c r="E209" s="13"/>
      <c r="F209" s="13"/>
    </row>
    <row r="210" spans="1:6" ht="16" x14ac:dyDescent="0.2">
      <c r="A210" s="8"/>
      <c r="B210" s="8"/>
      <c r="C210" s="8"/>
      <c r="D210" s="8" t="str">
        <f t="shared" si="3"/>
        <v/>
      </c>
      <c r="E210" s="13"/>
      <c r="F210" s="13"/>
    </row>
    <row r="211" spans="1:6" ht="16" x14ac:dyDescent="0.2">
      <c r="A211" s="8"/>
      <c r="B211" s="8"/>
      <c r="C211" s="8"/>
      <c r="D211" s="8" t="str">
        <f t="shared" si="3"/>
        <v/>
      </c>
      <c r="E211" s="13"/>
      <c r="F211" s="13"/>
    </row>
    <row r="212" spans="1:6" ht="16" x14ac:dyDescent="0.2">
      <c r="A212" s="8"/>
      <c r="B212" s="8"/>
      <c r="C212" s="8"/>
      <c r="D212" s="8" t="str">
        <f t="shared" si="3"/>
        <v/>
      </c>
      <c r="E212" s="13"/>
      <c r="F212" s="13"/>
    </row>
    <row r="213" spans="1:6" ht="16" x14ac:dyDescent="0.2">
      <c r="A213" s="8"/>
      <c r="B213" s="8"/>
      <c r="C213" s="8"/>
      <c r="D213" s="8" t="str">
        <f t="shared" si="3"/>
        <v/>
      </c>
      <c r="E213" s="13"/>
      <c r="F213" s="13"/>
    </row>
    <row r="214" spans="1:6" ht="16" x14ac:dyDescent="0.2">
      <c r="A214" s="8"/>
      <c r="B214" s="8"/>
      <c r="C214" s="8"/>
      <c r="D214" s="8" t="str">
        <f t="shared" si="3"/>
        <v/>
      </c>
      <c r="E214" s="13"/>
      <c r="F214" s="13"/>
    </row>
    <row r="215" spans="1:6" ht="16" x14ac:dyDescent="0.2">
      <c r="A215" s="8"/>
      <c r="B215" s="8"/>
      <c r="C215" s="8"/>
      <c r="D215" s="8" t="str">
        <f t="shared" si="3"/>
        <v/>
      </c>
      <c r="E215" s="13"/>
      <c r="F215" s="13"/>
    </row>
    <row r="216" spans="1:6" ht="16" x14ac:dyDescent="0.2">
      <c r="A216" s="8"/>
      <c r="B216" s="8"/>
      <c r="C216" s="8"/>
      <c r="D216" s="8" t="str">
        <f t="shared" si="3"/>
        <v/>
      </c>
      <c r="E216" s="13"/>
      <c r="F216" s="13"/>
    </row>
    <row r="217" spans="1:6" ht="16" x14ac:dyDescent="0.2">
      <c r="A217" s="8"/>
      <c r="B217" s="8"/>
      <c r="C217" s="8"/>
      <c r="D217" s="8" t="str">
        <f t="shared" si="3"/>
        <v/>
      </c>
      <c r="E217" s="13"/>
      <c r="F217" s="13"/>
    </row>
    <row r="218" spans="1:6" ht="16" x14ac:dyDescent="0.2">
      <c r="A218" s="8"/>
      <c r="B218" s="8"/>
      <c r="C218" s="8"/>
      <c r="D218" s="8" t="str">
        <f t="shared" si="3"/>
        <v/>
      </c>
      <c r="E218" s="13"/>
      <c r="F218" s="13"/>
    </row>
    <row r="219" spans="1:6" ht="16" x14ac:dyDescent="0.2">
      <c r="A219" s="8"/>
      <c r="B219" s="8"/>
      <c r="C219" s="8"/>
      <c r="D219" s="8" t="str">
        <f t="shared" si="3"/>
        <v/>
      </c>
      <c r="E219" s="13"/>
      <c r="F219" s="13"/>
    </row>
    <row r="220" spans="1:6" ht="16" x14ac:dyDescent="0.2">
      <c r="A220" s="8"/>
      <c r="B220" s="8"/>
      <c r="C220" s="8"/>
      <c r="D220" s="8" t="str">
        <f t="shared" si="3"/>
        <v/>
      </c>
      <c r="E220" s="13"/>
      <c r="F220" s="13"/>
    </row>
    <row r="221" spans="1:6" ht="16" x14ac:dyDescent="0.2">
      <c r="A221" s="8"/>
      <c r="B221" s="8"/>
      <c r="C221" s="8"/>
      <c r="D221" s="8" t="str">
        <f t="shared" si="3"/>
        <v/>
      </c>
      <c r="E221" s="13"/>
      <c r="F221" s="13"/>
    </row>
    <row r="222" spans="1:6" ht="16" x14ac:dyDescent="0.2">
      <c r="A222" s="8"/>
      <c r="B222" s="8"/>
      <c r="C222" s="8"/>
      <c r="D222" s="8" t="str">
        <f t="shared" si="3"/>
        <v/>
      </c>
      <c r="E222" s="13"/>
      <c r="F222" s="13"/>
    </row>
    <row r="223" spans="1:6" ht="16" x14ac:dyDescent="0.2">
      <c r="A223" s="8"/>
      <c r="B223" s="8"/>
      <c r="C223" s="8"/>
      <c r="D223" s="8" t="str">
        <f t="shared" si="3"/>
        <v/>
      </c>
      <c r="E223" s="13"/>
      <c r="F223" s="13"/>
    </row>
    <row r="224" spans="1:6" ht="16" x14ac:dyDescent="0.2">
      <c r="A224" s="8"/>
      <c r="B224" s="8"/>
      <c r="C224" s="8"/>
      <c r="D224" s="8" t="str">
        <f t="shared" si="3"/>
        <v/>
      </c>
      <c r="E224" s="13"/>
      <c r="F224" s="13"/>
    </row>
    <row r="225" spans="1:6" ht="16" x14ac:dyDescent="0.2">
      <c r="A225" s="8"/>
      <c r="B225" s="8"/>
      <c r="C225" s="8"/>
      <c r="D225" s="8" t="str">
        <f t="shared" si="3"/>
        <v/>
      </c>
      <c r="E225" s="13"/>
      <c r="F225" s="13"/>
    </row>
    <row r="226" spans="1:6" ht="16" x14ac:dyDescent="0.2">
      <c r="A226" s="8"/>
      <c r="B226" s="8"/>
      <c r="C226" s="8"/>
      <c r="D226" s="8" t="str">
        <f t="shared" si="3"/>
        <v/>
      </c>
      <c r="E226" s="13"/>
      <c r="F226" s="13"/>
    </row>
    <row r="227" spans="1:6" ht="16" x14ac:dyDescent="0.2">
      <c r="A227" s="8"/>
      <c r="B227" s="8"/>
      <c r="C227" s="8"/>
      <c r="D227" s="8" t="str">
        <f t="shared" si="3"/>
        <v/>
      </c>
      <c r="E227" s="13"/>
      <c r="F227" s="13"/>
    </row>
    <row r="228" spans="1:6" ht="16" x14ac:dyDescent="0.2">
      <c r="A228" s="8"/>
      <c r="B228" s="8"/>
      <c r="C228" s="8"/>
      <c r="D228" s="8" t="str">
        <f t="shared" si="3"/>
        <v/>
      </c>
      <c r="E228" s="13"/>
      <c r="F228" s="13"/>
    </row>
    <row r="229" spans="1:6" ht="16" x14ac:dyDescent="0.2">
      <c r="A229" s="8"/>
      <c r="B229" s="8"/>
      <c r="C229" s="8"/>
      <c r="D229" s="8" t="str">
        <f t="shared" si="3"/>
        <v/>
      </c>
      <c r="E229" s="13"/>
      <c r="F229" s="13"/>
    </row>
    <row r="230" spans="1:6" ht="16" x14ac:dyDescent="0.2">
      <c r="A230" s="8"/>
      <c r="B230" s="8"/>
      <c r="C230" s="8"/>
      <c r="D230" s="8" t="str">
        <f t="shared" si="3"/>
        <v/>
      </c>
      <c r="E230" s="13"/>
      <c r="F230" s="13"/>
    </row>
    <row r="231" spans="1:6" ht="16" x14ac:dyDescent="0.2">
      <c r="A231" s="8"/>
      <c r="B231" s="8"/>
      <c r="C231" s="8"/>
      <c r="D231" s="8" t="str">
        <f t="shared" si="3"/>
        <v/>
      </c>
      <c r="E231" s="13"/>
      <c r="F231" s="13"/>
    </row>
    <row r="232" spans="1:6" ht="16" x14ac:dyDescent="0.2">
      <c r="A232" s="8"/>
      <c r="B232" s="8"/>
      <c r="C232" s="8"/>
      <c r="D232" s="8" t="str">
        <f t="shared" si="3"/>
        <v/>
      </c>
      <c r="E232" s="13"/>
      <c r="F232" s="13"/>
    </row>
    <row r="233" spans="1:6" ht="16" x14ac:dyDescent="0.2">
      <c r="A233" s="8"/>
      <c r="B233" s="8"/>
      <c r="C233" s="8"/>
      <c r="D233" s="8" t="str">
        <f t="shared" si="3"/>
        <v/>
      </c>
      <c r="E233" s="13"/>
      <c r="F233" s="13"/>
    </row>
    <row r="234" spans="1:6" ht="16" x14ac:dyDescent="0.2">
      <c r="A234" s="8"/>
      <c r="B234" s="8"/>
      <c r="C234" s="8"/>
      <c r="D234" s="8" t="str">
        <f t="shared" si="3"/>
        <v/>
      </c>
      <c r="E234" s="13"/>
      <c r="F234" s="13"/>
    </row>
    <row r="235" spans="1:6" ht="16" x14ac:dyDescent="0.2">
      <c r="A235" s="8"/>
      <c r="B235" s="8"/>
      <c r="C235" s="8"/>
      <c r="D235" s="8" t="str">
        <f t="shared" si="3"/>
        <v/>
      </c>
      <c r="E235" s="13"/>
      <c r="F235" s="13"/>
    </row>
    <row r="236" spans="1:6" ht="16" x14ac:dyDescent="0.2">
      <c r="A236" s="8"/>
      <c r="B236" s="8"/>
      <c r="C236" s="8"/>
      <c r="D236" s="8" t="str">
        <f t="shared" si="3"/>
        <v/>
      </c>
      <c r="E236" s="13"/>
      <c r="F236" s="13"/>
    </row>
    <row r="237" spans="1:6" ht="16" x14ac:dyDescent="0.2">
      <c r="A237" s="8"/>
      <c r="B237" s="8"/>
      <c r="C237" s="8"/>
      <c r="D237" s="8" t="str">
        <f t="shared" si="3"/>
        <v/>
      </c>
      <c r="E237" s="13"/>
      <c r="F237" s="13"/>
    </row>
    <row r="238" spans="1:6" ht="16" x14ac:dyDescent="0.2">
      <c r="A238" s="8"/>
      <c r="B238" s="8"/>
      <c r="C238" s="8"/>
      <c r="D238" s="8" t="str">
        <f t="shared" si="3"/>
        <v/>
      </c>
      <c r="E238" s="13"/>
      <c r="F238" s="13"/>
    </row>
    <row r="239" spans="1:6" ht="16" x14ac:dyDescent="0.2">
      <c r="A239" s="8"/>
      <c r="B239" s="8"/>
      <c r="C239" s="8"/>
      <c r="D239" s="8" t="str">
        <f t="shared" si="3"/>
        <v/>
      </c>
      <c r="E239" s="13"/>
      <c r="F239" s="13"/>
    </row>
    <row r="240" spans="1:6" ht="16" x14ac:dyDescent="0.2">
      <c r="A240" s="8"/>
      <c r="B240" s="8"/>
      <c r="C240" s="8"/>
      <c r="D240" s="8" t="str">
        <f t="shared" si="3"/>
        <v/>
      </c>
      <c r="E240" s="13"/>
      <c r="F240" s="13"/>
    </row>
    <row r="241" spans="1:6" ht="16" x14ac:dyDescent="0.2">
      <c r="A241" s="8"/>
      <c r="B241" s="8"/>
      <c r="C241" s="8"/>
      <c r="D241" s="8" t="str">
        <f t="shared" si="3"/>
        <v/>
      </c>
      <c r="E241" s="13"/>
      <c r="F241" s="13"/>
    </row>
    <row r="242" spans="1:6" ht="16" x14ac:dyDescent="0.2">
      <c r="A242" s="8"/>
      <c r="B242" s="8"/>
      <c r="C242" s="8"/>
      <c r="D242" s="8" t="str">
        <f t="shared" si="3"/>
        <v/>
      </c>
      <c r="E242" s="13"/>
      <c r="F242" s="13"/>
    </row>
    <row r="243" spans="1:6" ht="16" x14ac:dyDescent="0.2">
      <c r="A243" s="8"/>
      <c r="B243" s="8"/>
      <c r="C243" s="8"/>
      <c r="D243" s="8" t="str">
        <f t="shared" si="3"/>
        <v/>
      </c>
      <c r="E243" s="13"/>
      <c r="F243" s="13"/>
    </row>
    <row r="244" spans="1:6" ht="16" x14ac:dyDescent="0.2">
      <c r="A244" s="8"/>
      <c r="B244" s="8"/>
      <c r="C244" s="8"/>
      <c r="D244" s="8" t="str">
        <f t="shared" si="3"/>
        <v/>
      </c>
      <c r="E244" s="13"/>
      <c r="F244" s="13"/>
    </row>
    <row r="245" spans="1:6" ht="16" x14ac:dyDescent="0.2">
      <c r="A245" s="8"/>
      <c r="B245" s="8"/>
      <c r="C245" s="8"/>
      <c r="D245" s="8" t="str">
        <f t="shared" si="3"/>
        <v/>
      </c>
      <c r="E245" s="13"/>
      <c r="F245" s="13"/>
    </row>
    <row r="246" spans="1:6" ht="16" x14ac:dyDescent="0.2">
      <c r="A246" s="8"/>
      <c r="B246" s="8"/>
      <c r="C246" s="8"/>
      <c r="D246" s="8" t="str">
        <f t="shared" si="3"/>
        <v/>
      </c>
      <c r="E246" s="13"/>
      <c r="F246" s="13"/>
    </row>
    <row r="247" spans="1:6" ht="16" x14ac:dyDescent="0.2">
      <c r="A247" s="8"/>
      <c r="B247" s="8"/>
      <c r="C247" s="8"/>
      <c r="D247" s="8" t="str">
        <f t="shared" si="3"/>
        <v/>
      </c>
      <c r="E247" s="13"/>
      <c r="F247" s="13"/>
    </row>
    <row r="248" spans="1:6" ht="16" x14ac:dyDescent="0.2">
      <c r="A248" s="8"/>
      <c r="B248" s="8"/>
      <c r="C248" s="8"/>
      <c r="D248" s="8" t="str">
        <f t="shared" si="3"/>
        <v/>
      </c>
      <c r="E248" s="13"/>
      <c r="F248" s="13"/>
    </row>
    <row r="249" spans="1:6" ht="16" x14ac:dyDescent="0.2">
      <c r="A249" s="8"/>
      <c r="B249" s="8"/>
      <c r="C249" s="8"/>
      <c r="D249" s="8" t="str">
        <f t="shared" si="3"/>
        <v/>
      </c>
      <c r="E249" s="13"/>
      <c r="F249" s="13"/>
    </row>
    <row r="250" spans="1:6" ht="16" x14ac:dyDescent="0.2">
      <c r="A250" s="8"/>
      <c r="B250" s="8"/>
      <c r="C250" s="8"/>
      <c r="D250" s="8" t="str">
        <f t="shared" si="3"/>
        <v/>
      </c>
      <c r="E250" s="13"/>
      <c r="F250" s="13"/>
    </row>
    <row r="251" spans="1:6" ht="16" x14ac:dyDescent="0.2">
      <c r="A251" s="8"/>
      <c r="B251" s="8"/>
      <c r="C251" s="8"/>
      <c r="D251" s="8" t="str">
        <f t="shared" si="3"/>
        <v/>
      </c>
      <c r="E251" s="13"/>
      <c r="F251" s="13"/>
    </row>
    <row r="252" spans="1:6" ht="16" x14ac:dyDescent="0.2">
      <c r="A252" s="8"/>
      <c r="B252" s="8"/>
      <c r="C252" s="8"/>
      <c r="D252" s="8" t="str">
        <f t="shared" si="3"/>
        <v/>
      </c>
      <c r="E252" s="13"/>
      <c r="F252" s="13"/>
    </row>
    <row r="253" spans="1:6" ht="16" x14ac:dyDescent="0.2">
      <c r="A253" s="8"/>
      <c r="B253" s="8"/>
      <c r="C253" s="8"/>
      <c r="D253" s="8" t="str">
        <f t="shared" si="3"/>
        <v/>
      </c>
      <c r="E253" s="13"/>
      <c r="F253" s="13"/>
    </row>
    <row r="254" spans="1:6" ht="16" x14ac:dyDescent="0.2">
      <c r="A254" s="8"/>
      <c r="B254" s="8"/>
      <c r="C254" s="8"/>
      <c r="D254" s="8" t="str">
        <f t="shared" si="3"/>
        <v/>
      </c>
      <c r="E254" s="13"/>
      <c r="F254" s="13"/>
    </row>
    <row r="255" spans="1:6" ht="16" x14ac:dyDescent="0.2">
      <c r="A255" s="8"/>
      <c r="B255" s="8"/>
      <c r="C255" s="8"/>
      <c r="D255" s="8" t="str">
        <f t="shared" si="3"/>
        <v/>
      </c>
      <c r="E255" s="13"/>
      <c r="F255" s="13"/>
    </row>
    <row r="256" spans="1:6" ht="16" x14ac:dyDescent="0.2">
      <c r="A256" s="8"/>
      <c r="B256" s="8"/>
      <c r="C256" s="8"/>
      <c r="D256" s="8" t="str">
        <f t="shared" si="3"/>
        <v/>
      </c>
      <c r="E256" s="13"/>
      <c r="F256" s="13"/>
    </row>
    <row r="257" spans="1:6" ht="16" x14ac:dyDescent="0.2">
      <c r="A257" s="8"/>
      <c r="B257" s="8"/>
      <c r="C257" s="8"/>
      <c r="D257" s="8" t="str">
        <f t="shared" si="3"/>
        <v/>
      </c>
      <c r="E257" s="13"/>
      <c r="F257" s="13"/>
    </row>
    <row r="258" spans="1:6" ht="16" x14ac:dyDescent="0.2">
      <c r="A258" s="8"/>
      <c r="B258" s="8"/>
      <c r="C258" s="8"/>
      <c r="D258" s="8" t="str">
        <f t="shared" si="3"/>
        <v/>
      </c>
      <c r="E258" s="13"/>
      <c r="F258" s="13"/>
    </row>
    <row r="259" spans="1:6" ht="16" x14ac:dyDescent="0.2">
      <c r="A259" s="8"/>
      <c r="B259" s="8"/>
      <c r="C259" s="8"/>
      <c r="D259" s="8" t="str">
        <f t="shared" ref="D259:D322" si="4">IF(A259=0,"","MinMax")</f>
        <v/>
      </c>
      <c r="E259" s="13"/>
      <c r="F259" s="13"/>
    </row>
    <row r="260" spans="1:6" ht="16" x14ac:dyDescent="0.2">
      <c r="A260" s="8"/>
      <c r="B260" s="8"/>
      <c r="C260" s="8"/>
      <c r="D260" s="8" t="str">
        <f t="shared" si="4"/>
        <v/>
      </c>
      <c r="E260" s="13"/>
      <c r="F260" s="13"/>
    </row>
    <row r="261" spans="1:6" ht="16" x14ac:dyDescent="0.2">
      <c r="A261" s="8"/>
      <c r="B261" s="8"/>
      <c r="C261" s="8"/>
      <c r="D261" s="8" t="str">
        <f t="shared" si="4"/>
        <v/>
      </c>
      <c r="E261" s="13"/>
      <c r="F261" s="13"/>
    </row>
    <row r="262" spans="1:6" ht="16" x14ac:dyDescent="0.2">
      <c r="A262" s="8"/>
      <c r="B262" s="8"/>
      <c r="C262" s="8"/>
      <c r="D262" s="8" t="str">
        <f t="shared" si="4"/>
        <v/>
      </c>
      <c r="E262" s="13"/>
      <c r="F262" s="13"/>
    </row>
    <row r="263" spans="1:6" ht="16" x14ac:dyDescent="0.2">
      <c r="A263" s="8"/>
      <c r="B263" s="8"/>
      <c r="C263" s="8"/>
      <c r="D263" s="8" t="str">
        <f t="shared" si="4"/>
        <v/>
      </c>
      <c r="E263" s="13"/>
      <c r="F263" s="13"/>
    </row>
    <row r="264" spans="1:6" ht="16" x14ac:dyDescent="0.2">
      <c r="A264" s="8"/>
      <c r="B264" s="8"/>
      <c r="C264" s="8"/>
      <c r="D264" s="8" t="str">
        <f t="shared" si="4"/>
        <v/>
      </c>
      <c r="E264" s="13"/>
      <c r="F264" s="13"/>
    </row>
    <row r="265" spans="1:6" ht="16" x14ac:dyDescent="0.2">
      <c r="A265" s="8"/>
      <c r="B265" s="8"/>
      <c r="C265" s="8"/>
      <c r="D265" s="8" t="str">
        <f t="shared" si="4"/>
        <v/>
      </c>
      <c r="E265" s="13"/>
      <c r="F265" s="13"/>
    </row>
    <row r="266" spans="1:6" ht="16" x14ac:dyDescent="0.2">
      <c r="A266" s="8"/>
      <c r="B266" s="8"/>
      <c r="C266" s="8"/>
      <c r="D266" s="8" t="str">
        <f t="shared" si="4"/>
        <v/>
      </c>
      <c r="E266" s="13"/>
      <c r="F266" s="13"/>
    </row>
    <row r="267" spans="1:6" ht="16" x14ac:dyDescent="0.2">
      <c r="A267" s="8"/>
      <c r="B267" s="8"/>
      <c r="C267" s="8"/>
      <c r="D267" s="8" t="str">
        <f t="shared" si="4"/>
        <v/>
      </c>
      <c r="E267" s="13"/>
      <c r="F267" s="13"/>
    </row>
    <row r="268" spans="1:6" ht="16" x14ac:dyDescent="0.2">
      <c r="A268" s="8"/>
      <c r="B268" s="8"/>
      <c r="C268" s="8"/>
      <c r="D268" s="8" t="str">
        <f t="shared" si="4"/>
        <v/>
      </c>
      <c r="E268" s="13"/>
      <c r="F268" s="13"/>
    </row>
    <row r="269" spans="1:6" ht="16" x14ac:dyDescent="0.2">
      <c r="A269" s="8"/>
      <c r="B269" s="8"/>
      <c r="C269" s="8"/>
      <c r="D269" s="8" t="str">
        <f t="shared" si="4"/>
        <v/>
      </c>
      <c r="E269" s="13"/>
      <c r="F269" s="13"/>
    </row>
    <row r="270" spans="1:6" ht="16" x14ac:dyDescent="0.2">
      <c r="A270" s="8"/>
      <c r="B270" s="8"/>
      <c r="C270" s="8"/>
      <c r="D270" s="8" t="str">
        <f t="shared" si="4"/>
        <v/>
      </c>
      <c r="E270" s="13"/>
      <c r="F270" s="13"/>
    </row>
    <row r="271" spans="1:6" ht="16" x14ac:dyDescent="0.2">
      <c r="A271" s="8"/>
      <c r="B271" s="8"/>
      <c r="C271" s="8"/>
      <c r="D271" s="8" t="str">
        <f t="shared" si="4"/>
        <v/>
      </c>
      <c r="E271" s="13"/>
      <c r="F271" s="13"/>
    </row>
    <row r="272" spans="1:6" ht="16" x14ac:dyDescent="0.2">
      <c r="A272" s="8"/>
      <c r="B272" s="8"/>
      <c r="C272" s="8"/>
      <c r="D272" s="8" t="str">
        <f t="shared" si="4"/>
        <v/>
      </c>
      <c r="E272" s="13"/>
      <c r="F272" s="13"/>
    </row>
    <row r="273" spans="1:6" ht="16" x14ac:dyDescent="0.2">
      <c r="A273" s="8"/>
      <c r="B273" s="8"/>
      <c r="C273" s="8"/>
      <c r="D273" s="8" t="str">
        <f t="shared" si="4"/>
        <v/>
      </c>
      <c r="E273" s="13"/>
      <c r="F273" s="13"/>
    </row>
    <row r="274" spans="1:6" ht="16" x14ac:dyDescent="0.2">
      <c r="A274" s="8"/>
      <c r="B274" s="8"/>
      <c r="C274" s="8"/>
      <c r="D274" s="8" t="str">
        <f t="shared" si="4"/>
        <v/>
      </c>
      <c r="E274" s="13"/>
      <c r="F274" s="13"/>
    </row>
    <row r="275" spans="1:6" ht="16" x14ac:dyDescent="0.2">
      <c r="A275" s="8"/>
      <c r="B275" s="8"/>
      <c r="C275" s="8"/>
      <c r="D275" s="8" t="str">
        <f t="shared" si="4"/>
        <v/>
      </c>
      <c r="E275" s="13"/>
      <c r="F275" s="13"/>
    </row>
    <row r="276" spans="1:6" ht="16" x14ac:dyDescent="0.2">
      <c r="A276" s="8"/>
      <c r="B276" s="8"/>
      <c r="C276" s="8"/>
      <c r="D276" s="8" t="str">
        <f t="shared" si="4"/>
        <v/>
      </c>
      <c r="E276" s="13"/>
      <c r="F276" s="13"/>
    </row>
    <row r="277" spans="1:6" ht="16" x14ac:dyDescent="0.2">
      <c r="A277" s="8"/>
      <c r="B277" s="8"/>
      <c r="C277" s="8"/>
      <c r="D277" s="8" t="str">
        <f t="shared" si="4"/>
        <v/>
      </c>
      <c r="E277" s="13"/>
      <c r="F277" s="13"/>
    </row>
    <row r="278" spans="1:6" ht="16" x14ac:dyDescent="0.2">
      <c r="A278" s="8"/>
      <c r="B278" s="8"/>
      <c r="C278" s="8"/>
      <c r="D278" s="8" t="str">
        <f t="shared" si="4"/>
        <v/>
      </c>
      <c r="E278" s="13"/>
      <c r="F278" s="13"/>
    </row>
    <row r="279" spans="1:6" ht="16" x14ac:dyDescent="0.2">
      <c r="A279" s="8"/>
      <c r="B279" s="8"/>
      <c r="C279" s="8"/>
      <c r="D279" s="8" t="str">
        <f t="shared" si="4"/>
        <v/>
      </c>
      <c r="E279" s="13"/>
      <c r="F279" s="13"/>
    </row>
    <row r="280" spans="1:6" ht="16" x14ac:dyDescent="0.2">
      <c r="A280" s="8"/>
      <c r="B280" s="8"/>
      <c r="C280" s="8"/>
      <c r="D280" s="8" t="str">
        <f t="shared" si="4"/>
        <v/>
      </c>
      <c r="E280" s="13"/>
      <c r="F280" s="13"/>
    </row>
    <row r="281" spans="1:6" ht="16" x14ac:dyDescent="0.2">
      <c r="A281" s="8"/>
      <c r="B281" s="8"/>
      <c r="C281" s="8"/>
      <c r="D281" s="8" t="str">
        <f t="shared" si="4"/>
        <v/>
      </c>
      <c r="E281" s="13"/>
      <c r="F281" s="13"/>
    </row>
    <row r="282" spans="1:6" ht="16" x14ac:dyDescent="0.2">
      <c r="A282" s="8"/>
      <c r="B282" s="8"/>
      <c r="C282" s="8"/>
      <c r="D282" s="8" t="str">
        <f t="shared" si="4"/>
        <v/>
      </c>
      <c r="E282" s="13"/>
      <c r="F282" s="13"/>
    </row>
    <row r="283" spans="1:6" ht="16" x14ac:dyDescent="0.2">
      <c r="A283" s="8"/>
      <c r="B283" s="8"/>
      <c r="C283" s="8"/>
      <c r="D283" s="8" t="str">
        <f t="shared" si="4"/>
        <v/>
      </c>
      <c r="E283" s="13"/>
      <c r="F283" s="13"/>
    </row>
    <row r="284" spans="1:6" ht="16" x14ac:dyDescent="0.2">
      <c r="A284" s="8"/>
      <c r="B284" s="8"/>
      <c r="C284" s="8"/>
      <c r="D284" s="8" t="str">
        <f t="shared" si="4"/>
        <v/>
      </c>
      <c r="E284" s="13"/>
      <c r="F284" s="13"/>
    </row>
    <row r="285" spans="1:6" ht="16" x14ac:dyDescent="0.2">
      <c r="A285" s="8"/>
      <c r="B285" s="8"/>
      <c r="C285" s="8"/>
      <c r="D285" s="8" t="str">
        <f t="shared" si="4"/>
        <v/>
      </c>
      <c r="E285" s="13"/>
      <c r="F285" s="13"/>
    </row>
    <row r="286" spans="1:6" ht="16" x14ac:dyDescent="0.2">
      <c r="A286" s="8"/>
      <c r="B286" s="8"/>
      <c r="C286" s="8"/>
      <c r="D286" s="8" t="str">
        <f t="shared" si="4"/>
        <v/>
      </c>
      <c r="E286" s="13"/>
      <c r="F286" s="13"/>
    </row>
    <row r="287" spans="1:6" ht="16" x14ac:dyDescent="0.2">
      <c r="A287" s="8"/>
      <c r="B287" s="8"/>
      <c r="C287" s="8"/>
      <c r="D287" s="8" t="str">
        <f t="shared" si="4"/>
        <v/>
      </c>
      <c r="E287" s="13"/>
      <c r="F287" s="13"/>
    </row>
    <row r="288" spans="1:6" ht="16" x14ac:dyDescent="0.2">
      <c r="A288" s="8"/>
      <c r="B288" s="8"/>
      <c r="C288" s="8"/>
      <c r="D288" s="8" t="str">
        <f t="shared" si="4"/>
        <v/>
      </c>
      <c r="E288" s="13"/>
      <c r="F288" s="13"/>
    </row>
    <row r="289" spans="1:6" ht="16" x14ac:dyDescent="0.2">
      <c r="A289" s="8"/>
      <c r="B289" s="8"/>
      <c r="C289" s="8"/>
      <c r="D289" s="8" t="str">
        <f t="shared" si="4"/>
        <v/>
      </c>
      <c r="E289" s="13"/>
      <c r="F289" s="13"/>
    </row>
    <row r="290" spans="1:6" ht="16" x14ac:dyDescent="0.2">
      <c r="A290" s="8"/>
      <c r="B290" s="8"/>
      <c r="C290" s="8"/>
      <c r="D290" s="8" t="str">
        <f t="shared" si="4"/>
        <v/>
      </c>
      <c r="E290" s="13"/>
      <c r="F290" s="13"/>
    </row>
    <row r="291" spans="1:6" ht="16" x14ac:dyDescent="0.2">
      <c r="A291" s="8"/>
      <c r="B291" s="8"/>
      <c r="C291" s="8"/>
      <c r="D291" s="8" t="str">
        <f t="shared" si="4"/>
        <v/>
      </c>
      <c r="E291" s="13"/>
      <c r="F291" s="13"/>
    </row>
    <row r="292" spans="1:6" ht="16" x14ac:dyDescent="0.2">
      <c r="A292" s="8"/>
      <c r="B292" s="8"/>
      <c r="C292" s="8"/>
      <c r="D292" s="8" t="str">
        <f t="shared" si="4"/>
        <v/>
      </c>
      <c r="E292" s="13"/>
      <c r="F292" s="13"/>
    </row>
    <row r="293" spans="1:6" ht="16" x14ac:dyDescent="0.2">
      <c r="A293" s="8"/>
      <c r="B293" s="8"/>
      <c r="C293" s="8"/>
      <c r="D293" s="8" t="str">
        <f t="shared" si="4"/>
        <v/>
      </c>
      <c r="E293" s="13"/>
      <c r="F293" s="13"/>
    </row>
    <row r="294" spans="1:6" ht="16" x14ac:dyDescent="0.2">
      <c r="A294" s="8"/>
      <c r="B294" s="8"/>
      <c r="C294" s="8"/>
      <c r="D294" s="8" t="str">
        <f t="shared" si="4"/>
        <v/>
      </c>
      <c r="E294" s="13"/>
      <c r="F294" s="13"/>
    </row>
    <row r="295" spans="1:6" ht="16" x14ac:dyDescent="0.2">
      <c r="A295" s="8"/>
      <c r="B295" s="8"/>
      <c r="C295" s="8"/>
      <c r="D295" s="8" t="str">
        <f t="shared" si="4"/>
        <v/>
      </c>
      <c r="E295" s="13"/>
      <c r="F295" s="13"/>
    </row>
    <row r="296" spans="1:6" ht="16" x14ac:dyDescent="0.2">
      <c r="A296" s="8"/>
      <c r="B296" s="8"/>
      <c r="C296" s="8"/>
      <c r="D296" s="8" t="str">
        <f t="shared" si="4"/>
        <v/>
      </c>
      <c r="E296" s="13"/>
      <c r="F296" s="13"/>
    </row>
    <row r="297" spans="1:6" ht="16" x14ac:dyDescent="0.2">
      <c r="A297" s="8"/>
      <c r="B297" s="8"/>
      <c r="C297" s="8"/>
      <c r="D297" s="8" t="str">
        <f t="shared" si="4"/>
        <v/>
      </c>
      <c r="E297" s="13"/>
      <c r="F297" s="13"/>
    </row>
    <row r="298" spans="1:6" ht="16" x14ac:dyDescent="0.2">
      <c r="A298" s="8"/>
      <c r="B298" s="8"/>
      <c r="C298" s="8"/>
      <c r="D298" s="8" t="str">
        <f t="shared" si="4"/>
        <v/>
      </c>
      <c r="E298" s="13"/>
      <c r="F298" s="13"/>
    </row>
    <row r="299" spans="1:6" ht="16" x14ac:dyDescent="0.2">
      <c r="A299" s="8"/>
      <c r="B299" s="8"/>
      <c r="C299" s="8"/>
      <c r="D299" s="8" t="str">
        <f t="shared" si="4"/>
        <v/>
      </c>
      <c r="E299" s="13"/>
      <c r="F299" s="13"/>
    </row>
    <row r="300" spans="1:6" ht="16" x14ac:dyDescent="0.2">
      <c r="A300" s="8"/>
      <c r="B300" s="8"/>
      <c r="C300" s="8"/>
      <c r="D300" s="8" t="str">
        <f t="shared" si="4"/>
        <v/>
      </c>
      <c r="E300" s="13"/>
      <c r="F300" s="13"/>
    </row>
    <row r="301" spans="1:6" ht="16" x14ac:dyDescent="0.2">
      <c r="A301" s="8"/>
      <c r="B301" s="8"/>
      <c r="C301" s="8"/>
      <c r="D301" s="8" t="str">
        <f t="shared" si="4"/>
        <v/>
      </c>
      <c r="E301" s="13"/>
      <c r="F301" s="13"/>
    </row>
    <row r="302" spans="1:6" ht="16" x14ac:dyDescent="0.2">
      <c r="A302" s="8"/>
      <c r="B302" s="8"/>
      <c r="C302" s="8"/>
      <c r="D302" s="8" t="str">
        <f t="shared" si="4"/>
        <v/>
      </c>
      <c r="E302" s="13"/>
      <c r="F302" s="13"/>
    </row>
    <row r="303" spans="1:6" ht="16" x14ac:dyDescent="0.2">
      <c r="A303" s="8"/>
      <c r="B303" s="8"/>
      <c r="C303" s="8"/>
      <c r="D303" s="8" t="str">
        <f t="shared" si="4"/>
        <v/>
      </c>
      <c r="E303" s="13"/>
      <c r="F303" s="13"/>
    </row>
    <row r="304" spans="1:6" ht="16" x14ac:dyDescent="0.2">
      <c r="A304" s="8"/>
      <c r="B304" s="8"/>
      <c r="C304" s="8"/>
      <c r="D304" s="8" t="str">
        <f t="shared" si="4"/>
        <v/>
      </c>
      <c r="E304" s="13"/>
      <c r="F304" s="13"/>
    </row>
    <row r="305" spans="1:6" ht="16" x14ac:dyDescent="0.2">
      <c r="A305" s="8"/>
      <c r="B305" s="8"/>
      <c r="C305" s="8"/>
      <c r="D305" s="8" t="str">
        <f t="shared" si="4"/>
        <v/>
      </c>
      <c r="E305" s="13"/>
      <c r="F305" s="13"/>
    </row>
    <row r="306" spans="1:6" ht="16" x14ac:dyDescent="0.2">
      <c r="A306" s="8"/>
      <c r="B306" s="8"/>
      <c r="C306" s="8"/>
      <c r="D306" s="8" t="str">
        <f t="shared" si="4"/>
        <v/>
      </c>
      <c r="E306" s="13"/>
      <c r="F306" s="13"/>
    </row>
    <row r="307" spans="1:6" ht="16" x14ac:dyDescent="0.2">
      <c r="A307" s="8"/>
      <c r="B307" s="8"/>
      <c r="C307" s="8"/>
      <c r="D307" s="8" t="str">
        <f t="shared" si="4"/>
        <v/>
      </c>
      <c r="E307" s="13"/>
      <c r="F307" s="13"/>
    </row>
    <row r="308" spans="1:6" ht="16" x14ac:dyDescent="0.2">
      <c r="A308" s="8"/>
      <c r="B308" s="8"/>
      <c r="C308" s="8"/>
      <c r="D308" s="8" t="str">
        <f t="shared" si="4"/>
        <v/>
      </c>
      <c r="E308" s="13"/>
      <c r="F308" s="13"/>
    </row>
    <row r="309" spans="1:6" ht="16" x14ac:dyDescent="0.2">
      <c r="A309" s="8"/>
      <c r="B309" s="8"/>
      <c r="C309" s="8"/>
      <c r="D309" s="8" t="str">
        <f t="shared" si="4"/>
        <v/>
      </c>
      <c r="E309" s="13"/>
      <c r="F309" s="13"/>
    </row>
    <row r="310" spans="1:6" ht="16" x14ac:dyDescent="0.2">
      <c r="A310" s="8"/>
      <c r="B310" s="8"/>
      <c r="C310" s="8"/>
      <c r="D310" s="8" t="str">
        <f t="shared" si="4"/>
        <v/>
      </c>
      <c r="E310" s="13"/>
      <c r="F310" s="13"/>
    </row>
    <row r="311" spans="1:6" ht="16" x14ac:dyDescent="0.2">
      <c r="A311" s="8"/>
      <c r="B311" s="8"/>
      <c r="C311" s="8"/>
      <c r="D311" s="8" t="str">
        <f t="shared" si="4"/>
        <v/>
      </c>
      <c r="E311" s="13"/>
      <c r="F311" s="13"/>
    </row>
    <row r="312" spans="1:6" ht="16" x14ac:dyDescent="0.2">
      <c r="A312" s="8"/>
      <c r="B312" s="8"/>
      <c r="C312" s="8"/>
      <c r="D312" s="8" t="str">
        <f t="shared" si="4"/>
        <v/>
      </c>
      <c r="E312" s="13"/>
      <c r="F312" s="13"/>
    </row>
    <row r="313" spans="1:6" ht="16" x14ac:dyDescent="0.2">
      <c r="A313" s="8"/>
      <c r="B313" s="8"/>
      <c r="C313" s="8"/>
      <c r="D313" s="8" t="str">
        <f t="shared" si="4"/>
        <v/>
      </c>
      <c r="E313" s="13"/>
      <c r="F313" s="13"/>
    </row>
    <row r="314" spans="1:6" ht="16" x14ac:dyDescent="0.2">
      <c r="A314" s="8"/>
      <c r="B314" s="8"/>
      <c r="C314" s="8"/>
      <c r="D314" s="8" t="str">
        <f t="shared" si="4"/>
        <v/>
      </c>
      <c r="E314" s="13"/>
      <c r="F314" s="13"/>
    </row>
    <row r="315" spans="1:6" ht="16" x14ac:dyDescent="0.2">
      <c r="A315" s="8"/>
      <c r="B315" s="8"/>
      <c r="C315" s="8"/>
      <c r="D315" s="8" t="str">
        <f t="shared" si="4"/>
        <v/>
      </c>
      <c r="E315" s="13"/>
      <c r="F315" s="13"/>
    </row>
    <row r="316" spans="1:6" ht="16" x14ac:dyDescent="0.2">
      <c r="A316" s="8"/>
      <c r="B316" s="8"/>
      <c r="C316" s="8"/>
      <c r="D316" s="8" t="str">
        <f t="shared" si="4"/>
        <v/>
      </c>
      <c r="E316" s="13"/>
      <c r="F316" s="13"/>
    </row>
    <row r="317" spans="1:6" ht="16" x14ac:dyDescent="0.2">
      <c r="A317" s="8"/>
      <c r="B317" s="8"/>
      <c r="C317" s="8"/>
      <c r="D317" s="8" t="str">
        <f t="shared" si="4"/>
        <v/>
      </c>
      <c r="E317" s="13"/>
      <c r="F317" s="13"/>
    </row>
    <row r="318" spans="1:6" ht="16" x14ac:dyDescent="0.2">
      <c r="A318" s="8"/>
      <c r="B318" s="8"/>
      <c r="C318" s="8"/>
      <c r="D318" s="8" t="str">
        <f t="shared" si="4"/>
        <v/>
      </c>
      <c r="E318" s="13"/>
      <c r="F318" s="13"/>
    </row>
    <row r="319" spans="1:6" ht="16" x14ac:dyDescent="0.2">
      <c r="A319" s="8"/>
      <c r="B319" s="8"/>
      <c r="C319" s="8"/>
      <c r="D319" s="8" t="str">
        <f t="shared" si="4"/>
        <v/>
      </c>
      <c r="E319" s="13"/>
      <c r="F319" s="13"/>
    </row>
    <row r="320" spans="1:6" ht="16" x14ac:dyDescent="0.2">
      <c r="A320" s="8"/>
      <c r="B320" s="8"/>
      <c r="C320" s="8"/>
      <c r="D320" s="8" t="str">
        <f t="shared" si="4"/>
        <v/>
      </c>
      <c r="E320" s="13"/>
      <c r="F320" s="13"/>
    </row>
    <row r="321" spans="1:6" ht="16" x14ac:dyDescent="0.2">
      <c r="A321" s="8"/>
      <c r="B321" s="8"/>
      <c r="C321" s="8"/>
      <c r="D321" s="8" t="str">
        <f t="shared" si="4"/>
        <v/>
      </c>
      <c r="E321" s="13"/>
      <c r="F321" s="13"/>
    </row>
    <row r="322" spans="1:6" ht="16" x14ac:dyDescent="0.2">
      <c r="A322" s="8"/>
      <c r="B322" s="8"/>
      <c r="C322" s="8"/>
      <c r="D322" s="8" t="str">
        <f t="shared" si="4"/>
        <v/>
      </c>
      <c r="E322" s="13"/>
      <c r="F322" s="13"/>
    </row>
    <row r="323" spans="1:6" ht="16" x14ac:dyDescent="0.2">
      <c r="A323" s="8"/>
      <c r="B323" s="8"/>
      <c r="C323" s="8"/>
      <c r="D323" s="8" t="str">
        <f t="shared" ref="D323:D386" si="5">IF(A323=0,"","MinMax")</f>
        <v/>
      </c>
      <c r="E323" s="13"/>
      <c r="F323" s="13"/>
    </row>
    <row r="324" spans="1:6" ht="16" x14ac:dyDescent="0.2">
      <c r="A324" s="8"/>
      <c r="B324" s="8"/>
      <c r="C324" s="8"/>
      <c r="D324" s="8" t="str">
        <f t="shared" si="5"/>
        <v/>
      </c>
      <c r="E324" s="13"/>
      <c r="F324" s="13"/>
    </row>
    <row r="325" spans="1:6" ht="16" x14ac:dyDescent="0.2">
      <c r="A325" s="8"/>
      <c r="B325" s="8"/>
      <c r="C325" s="8"/>
      <c r="D325" s="8" t="str">
        <f t="shared" si="5"/>
        <v/>
      </c>
      <c r="E325" s="13"/>
      <c r="F325" s="13"/>
    </row>
    <row r="326" spans="1:6" ht="16" x14ac:dyDescent="0.2">
      <c r="A326" s="8"/>
      <c r="B326" s="8"/>
      <c r="C326" s="8"/>
      <c r="D326" s="8" t="str">
        <f t="shared" si="5"/>
        <v/>
      </c>
      <c r="E326" s="13"/>
      <c r="F326" s="13"/>
    </row>
    <row r="327" spans="1:6" ht="16" x14ac:dyDescent="0.2">
      <c r="A327" s="8"/>
      <c r="B327" s="8"/>
      <c r="C327" s="8"/>
      <c r="D327" s="8" t="str">
        <f t="shared" si="5"/>
        <v/>
      </c>
      <c r="E327" s="13"/>
      <c r="F327" s="13"/>
    </row>
    <row r="328" spans="1:6" ht="16" x14ac:dyDescent="0.2">
      <c r="A328" s="8"/>
      <c r="B328" s="8"/>
      <c r="C328" s="8"/>
      <c r="D328" s="8" t="str">
        <f t="shared" si="5"/>
        <v/>
      </c>
      <c r="E328" s="13"/>
      <c r="F328" s="13"/>
    </row>
    <row r="329" spans="1:6" ht="16" x14ac:dyDescent="0.2">
      <c r="A329" s="8"/>
      <c r="B329" s="8"/>
      <c r="C329" s="8"/>
      <c r="D329" s="8" t="str">
        <f t="shared" si="5"/>
        <v/>
      </c>
      <c r="E329" s="13"/>
      <c r="F329" s="13"/>
    </row>
    <row r="330" spans="1:6" ht="16" x14ac:dyDescent="0.2">
      <c r="A330" s="8"/>
      <c r="B330" s="8"/>
      <c r="C330" s="8"/>
      <c r="D330" s="8" t="str">
        <f t="shared" si="5"/>
        <v/>
      </c>
      <c r="E330" s="13"/>
      <c r="F330" s="13"/>
    </row>
    <row r="331" spans="1:6" ht="16" x14ac:dyDescent="0.2">
      <c r="A331" s="8"/>
      <c r="B331" s="8"/>
      <c r="C331" s="8"/>
      <c r="D331" s="8" t="str">
        <f t="shared" si="5"/>
        <v/>
      </c>
      <c r="E331" s="13"/>
      <c r="F331" s="13"/>
    </row>
    <row r="332" spans="1:6" ht="16" x14ac:dyDescent="0.2">
      <c r="A332" s="8"/>
      <c r="B332" s="8"/>
      <c r="C332" s="8"/>
      <c r="D332" s="8" t="str">
        <f t="shared" si="5"/>
        <v/>
      </c>
      <c r="E332" s="13"/>
      <c r="F332" s="13"/>
    </row>
    <row r="333" spans="1:6" ht="16" x14ac:dyDescent="0.2">
      <c r="A333" s="8"/>
      <c r="B333" s="8"/>
      <c r="C333" s="8"/>
      <c r="D333" s="8" t="str">
        <f t="shared" si="5"/>
        <v/>
      </c>
      <c r="E333" s="13"/>
      <c r="F333" s="13"/>
    </row>
    <row r="334" spans="1:6" ht="16" x14ac:dyDescent="0.2">
      <c r="A334" s="8"/>
      <c r="B334" s="8"/>
      <c r="C334" s="8"/>
      <c r="D334" s="8" t="str">
        <f t="shared" si="5"/>
        <v/>
      </c>
      <c r="E334" s="13"/>
      <c r="F334" s="13"/>
    </row>
    <row r="335" spans="1:6" ht="16" x14ac:dyDescent="0.2">
      <c r="A335" s="8"/>
      <c r="B335" s="8"/>
      <c r="C335" s="8"/>
      <c r="D335" s="8" t="str">
        <f t="shared" si="5"/>
        <v/>
      </c>
      <c r="E335" s="13"/>
      <c r="F335" s="13"/>
    </row>
    <row r="336" spans="1:6" ht="16" x14ac:dyDescent="0.2">
      <c r="A336" s="8"/>
      <c r="B336" s="8"/>
      <c r="C336" s="8"/>
      <c r="D336" s="8" t="str">
        <f t="shared" si="5"/>
        <v/>
      </c>
      <c r="E336" s="13"/>
      <c r="F336" s="13"/>
    </row>
    <row r="337" spans="1:6" ht="16" x14ac:dyDescent="0.2">
      <c r="A337" s="8"/>
      <c r="B337" s="8"/>
      <c r="C337" s="8"/>
      <c r="D337" s="8" t="str">
        <f t="shared" si="5"/>
        <v/>
      </c>
      <c r="E337" s="13"/>
      <c r="F337" s="13"/>
    </row>
    <row r="338" spans="1:6" ht="16" x14ac:dyDescent="0.2">
      <c r="A338" s="8"/>
      <c r="B338" s="8"/>
      <c r="C338" s="8"/>
      <c r="D338" s="8" t="str">
        <f t="shared" si="5"/>
        <v/>
      </c>
      <c r="E338" s="13"/>
      <c r="F338" s="13"/>
    </row>
    <row r="339" spans="1:6" ht="16" x14ac:dyDescent="0.2">
      <c r="A339" s="8"/>
      <c r="B339" s="8"/>
      <c r="C339" s="8"/>
      <c r="D339" s="8" t="str">
        <f t="shared" si="5"/>
        <v/>
      </c>
      <c r="E339" s="13"/>
      <c r="F339" s="13"/>
    </row>
    <row r="340" spans="1:6" ht="16" x14ac:dyDescent="0.2">
      <c r="A340" s="8"/>
      <c r="B340" s="8"/>
      <c r="C340" s="8"/>
      <c r="D340" s="8" t="str">
        <f t="shared" si="5"/>
        <v/>
      </c>
      <c r="E340" s="13"/>
      <c r="F340" s="13"/>
    </row>
    <row r="341" spans="1:6" ht="16" x14ac:dyDescent="0.2">
      <c r="A341" s="8"/>
      <c r="B341" s="8"/>
      <c r="C341" s="8"/>
      <c r="D341" s="8" t="str">
        <f t="shared" si="5"/>
        <v/>
      </c>
      <c r="E341" s="13"/>
      <c r="F341" s="13"/>
    </row>
    <row r="342" spans="1:6" ht="16" x14ac:dyDescent="0.2">
      <c r="A342" s="8"/>
      <c r="B342" s="8"/>
      <c r="C342" s="8"/>
      <c r="D342" s="8" t="str">
        <f t="shared" si="5"/>
        <v/>
      </c>
      <c r="E342" s="13"/>
      <c r="F342" s="13"/>
    </row>
    <row r="343" spans="1:6" ht="16" x14ac:dyDescent="0.2">
      <c r="A343" s="8"/>
      <c r="B343" s="8"/>
      <c r="C343" s="8"/>
      <c r="D343" s="8" t="str">
        <f t="shared" si="5"/>
        <v/>
      </c>
      <c r="E343" s="13"/>
      <c r="F343" s="13"/>
    </row>
    <row r="344" spans="1:6" ht="16" x14ac:dyDescent="0.2">
      <c r="A344" s="8"/>
      <c r="B344" s="8"/>
      <c r="C344" s="8"/>
      <c r="D344" s="8" t="str">
        <f t="shared" si="5"/>
        <v/>
      </c>
      <c r="E344" s="13"/>
      <c r="F344" s="13"/>
    </row>
    <row r="345" spans="1:6" ht="16" x14ac:dyDescent="0.2">
      <c r="A345" s="8"/>
      <c r="B345" s="8"/>
      <c r="C345" s="8"/>
      <c r="D345" s="8" t="str">
        <f t="shared" si="5"/>
        <v/>
      </c>
      <c r="E345" s="13"/>
      <c r="F345" s="13"/>
    </row>
    <row r="346" spans="1:6" ht="16" x14ac:dyDescent="0.2">
      <c r="A346" s="8"/>
      <c r="B346" s="8"/>
      <c r="C346" s="8"/>
      <c r="D346" s="8" t="str">
        <f t="shared" si="5"/>
        <v/>
      </c>
      <c r="E346" s="13"/>
      <c r="F346" s="13"/>
    </row>
    <row r="347" spans="1:6" ht="16" x14ac:dyDescent="0.2">
      <c r="A347" s="8"/>
      <c r="B347" s="8"/>
      <c r="C347" s="8"/>
      <c r="D347" s="8" t="str">
        <f t="shared" si="5"/>
        <v/>
      </c>
      <c r="E347" s="13"/>
      <c r="F347" s="13"/>
    </row>
    <row r="348" spans="1:6" ht="16" x14ac:dyDescent="0.2">
      <c r="A348" s="8"/>
      <c r="B348" s="8"/>
      <c r="C348" s="8"/>
      <c r="D348" s="8" t="str">
        <f t="shared" si="5"/>
        <v/>
      </c>
      <c r="E348" s="13"/>
      <c r="F348" s="13"/>
    </row>
    <row r="349" spans="1:6" ht="16" x14ac:dyDescent="0.2">
      <c r="A349" s="8"/>
      <c r="B349" s="8"/>
      <c r="C349" s="8"/>
      <c r="D349" s="8" t="str">
        <f t="shared" si="5"/>
        <v/>
      </c>
      <c r="E349" s="13"/>
      <c r="F349" s="13"/>
    </row>
    <row r="350" spans="1:6" ht="16" x14ac:dyDescent="0.2">
      <c r="A350" s="8"/>
      <c r="B350" s="8"/>
      <c r="C350" s="8"/>
      <c r="D350" s="8" t="str">
        <f t="shared" si="5"/>
        <v/>
      </c>
      <c r="E350" s="13"/>
      <c r="F350" s="13"/>
    </row>
    <row r="351" spans="1:6" ht="16" x14ac:dyDescent="0.2">
      <c r="A351" s="8"/>
      <c r="B351" s="8"/>
      <c r="C351" s="8"/>
      <c r="D351" s="8" t="str">
        <f t="shared" si="5"/>
        <v/>
      </c>
      <c r="E351" s="13"/>
      <c r="F351" s="13"/>
    </row>
    <row r="352" spans="1:6" ht="16" x14ac:dyDescent="0.2">
      <c r="A352" s="8"/>
      <c r="B352" s="8"/>
      <c r="C352" s="8"/>
      <c r="D352" s="8" t="str">
        <f t="shared" si="5"/>
        <v/>
      </c>
      <c r="E352" s="13"/>
      <c r="F352" s="13"/>
    </row>
    <row r="353" spans="1:6" ht="16" x14ac:dyDescent="0.2">
      <c r="A353" s="8"/>
      <c r="B353" s="8"/>
      <c r="C353" s="8"/>
      <c r="D353" s="8" t="str">
        <f t="shared" si="5"/>
        <v/>
      </c>
      <c r="E353" s="13"/>
      <c r="F353" s="13"/>
    </row>
    <row r="354" spans="1:6" ht="16" x14ac:dyDescent="0.2">
      <c r="A354" s="8"/>
      <c r="B354" s="8"/>
      <c r="C354" s="8"/>
      <c r="D354" s="8" t="str">
        <f t="shared" si="5"/>
        <v/>
      </c>
      <c r="E354" s="13"/>
      <c r="F354" s="13"/>
    </row>
    <row r="355" spans="1:6" ht="16" x14ac:dyDescent="0.2">
      <c r="A355" s="8"/>
      <c r="B355" s="8"/>
      <c r="C355" s="8"/>
      <c r="D355" s="8" t="str">
        <f t="shared" si="5"/>
        <v/>
      </c>
      <c r="E355" s="13"/>
      <c r="F355" s="13"/>
    </row>
    <row r="356" spans="1:6" ht="16" x14ac:dyDescent="0.2">
      <c r="A356" s="8"/>
      <c r="B356" s="8"/>
      <c r="C356" s="8"/>
      <c r="D356" s="8" t="str">
        <f t="shared" si="5"/>
        <v/>
      </c>
      <c r="E356" s="13"/>
      <c r="F356" s="13"/>
    </row>
    <row r="357" spans="1:6" ht="16" x14ac:dyDescent="0.2">
      <c r="A357" s="8"/>
      <c r="B357" s="8"/>
      <c r="C357" s="8"/>
      <c r="D357" s="8" t="str">
        <f t="shared" si="5"/>
        <v/>
      </c>
      <c r="E357" s="13"/>
      <c r="F357" s="13"/>
    </row>
    <row r="358" spans="1:6" ht="16" x14ac:dyDescent="0.2">
      <c r="A358" s="8"/>
      <c r="B358" s="8"/>
      <c r="C358" s="8"/>
      <c r="D358" s="8" t="str">
        <f t="shared" si="5"/>
        <v/>
      </c>
      <c r="E358" s="13"/>
      <c r="F358" s="13"/>
    </row>
    <row r="359" spans="1:6" ht="16" x14ac:dyDescent="0.2">
      <c r="A359" s="8"/>
      <c r="B359" s="8"/>
      <c r="C359" s="8"/>
      <c r="D359" s="8" t="str">
        <f t="shared" si="5"/>
        <v/>
      </c>
      <c r="E359" s="13"/>
      <c r="F359" s="13"/>
    </row>
    <row r="360" spans="1:6" ht="16" x14ac:dyDescent="0.2">
      <c r="A360" s="8"/>
      <c r="B360" s="8"/>
      <c r="C360" s="8"/>
      <c r="D360" s="8" t="str">
        <f t="shared" si="5"/>
        <v/>
      </c>
      <c r="E360" s="13"/>
      <c r="F360" s="13"/>
    </row>
    <row r="361" spans="1:6" ht="16" x14ac:dyDescent="0.2">
      <c r="A361" s="8"/>
      <c r="B361" s="8"/>
      <c r="C361" s="8"/>
      <c r="D361" s="8" t="str">
        <f t="shared" si="5"/>
        <v/>
      </c>
      <c r="E361" s="13"/>
      <c r="F361" s="13"/>
    </row>
    <row r="362" spans="1:6" ht="16" x14ac:dyDescent="0.2">
      <c r="A362" s="8"/>
      <c r="B362" s="8"/>
      <c r="C362" s="8"/>
      <c r="D362" s="8" t="str">
        <f t="shared" si="5"/>
        <v/>
      </c>
      <c r="E362" s="13"/>
      <c r="F362" s="13"/>
    </row>
    <row r="363" spans="1:6" ht="16" x14ac:dyDescent="0.2">
      <c r="A363" s="8"/>
      <c r="B363" s="8"/>
      <c r="C363" s="8"/>
      <c r="D363" s="8" t="str">
        <f t="shared" si="5"/>
        <v/>
      </c>
      <c r="E363" s="13"/>
      <c r="F363" s="13"/>
    </row>
    <row r="364" spans="1:6" ht="16" x14ac:dyDescent="0.2">
      <c r="A364" s="8"/>
      <c r="B364" s="8"/>
      <c r="C364" s="8"/>
      <c r="D364" s="8" t="str">
        <f t="shared" si="5"/>
        <v/>
      </c>
      <c r="E364" s="13"/>
      <c r="F364" s="13"/>
    </row>
    <row r="365" spans="1:6" ht="16" x14ac:dyDescent="0.2">
      <c r="A365" s="8"/>
      <c r="B365" s="8"/>
      <c r="C365" s="8"/>
      <c r="D365" s="8" t="str">
        <f t="shared" si="5"/>
        <v/>
      </c>
      <c r="E365" s="13"/>
      <c r="F365" s="13"/>
    </row>
    <row r="366" spans="1:6" ht="16" x14ac:dyDescent="0.2">
      <c r="A366" s="8"/>
      <c r="B366" s="8"/>
      <c r="C366" s="8"/>
      <c r="D366" s="8" t="str">
        <f t="shared" si="5"/>
        <v/>
      </c>
      <c r="E366" s="13"/>
      <c r="F366" s="13"/>
    </row>
    <row r="367" spans="1:6" ht="16" x14ac:dyDescent="0.2">
      <c r="A367" s="8"/>
      <c r="B367" s="8"/>
      <c r="C367" s="8"/>
      <c r="D367" s="8" t="str">
        <f t="shared" si="5"/>
        <v/>
      </c>
      <c r="E367" s="13"/>
      <c r="F367" s="13"/>
    </row>
    <row r="368" spans="1:6" ht="16" x14ac:dyDescent="0.2">
      <c r="A368" s="8"/>
      <c r="B368" s="8"/>
      <c r="C368" s="8"/>
      <c r="D368" s="8" t="str">
        <f t="shared" si="5"/>
        <v/>
      </c>
      <c r="E368" s="13"/>
      <c r="F368" s="13"/>
    </row>
    <row r="369" spans="1:6" ht="16" x14ac:dyDescent="0.2">
      <c r="A369" s="8"/>
      <c r="B369" s="8"/>
      <c r="C369" s="8"/>
      <c r="D369" s="8" t="str">
        <f t="shared" si="5"/>
        <v/>
      </c>
      <c r="E369" s="13"/>
      <c r="F369" s="13"/>
    </row>
    <row r="370" spans="1:6" ht="16" x14ac:dyDescent="0.2">
      <c r="A370" s="8"/>
      <c r="B370" s="8"/>
      <c r="C370" s="8"/>
      <c r="D370" s="8" t="str">
        <f t="shared" si="5"/>
        <v/>
      </c>
      <c r="E370" s="13"/>
      <c r="F370" s="13"/>
    </row>
    <row r="371" spans="1:6" ht="16" x14ac:dyDescent="0.2">
      <c r="A371" s="8"/>
      <c r="B371" s="8"/>
      <c r="C371" s="8"/>
      <c r="D371" s="8" t="str">
        <f t="shared" si="5"/>
        <v/>
      </c>
      <c r="E371" s="13"/>
      <c r="F371" s="13"/>
    </row>
    <row r="372" spans="1:6" ht="16" x14ac:dyDescent="0.2">
      <c r="A372" s="8"/>
      <c r="B372" s="8"/>
      <c r="C372" s="8"/>
      <c r="D372" s="8" t="str">
        <f t="shared" si="5"/>
        <v/>
      </c>
      <c r="E372" s="13"/>
      <c r="F372" s="13"/>
    </row>
    <row r="373" spans="1:6" ht="16" x14ac:dyDescent="0.2">
      <c r="A373" s="8"/>
      <c r="B373" s="8"/>
      <c r="C373" s="8"/>
      <c r="D373" s="8" t="str">
        <f t="shared" si="5"/>
        <v/>
      </c>
      <c r="E373" s="13"/>
      <c r="F373" s="13"/>
    </row>
    <row r="374" spans="1:6" ht="16" x14ac:dyDescent="0.2">
      <c r="A374" s="8"/>
      <c r="B374" s="8"/>
      <c r="C374" s="8"/>
      <c r="D374" s="8" t="str">
        <f t="shared" si="5"/>
        <v/>
      </c>
      <c r="E374" s="13"/>
      <c r="F374" s="13"/>
    </row>
    <row r="375" spans="1:6" ht="16" x14ac:dyDescent="0.2">
      <c r="A375" s="8"/>
      <c r="B375" s="8"/>
      <c r="C375" s="8"/>
      <c r="D375" s="8" t="str">
        <f t="shared" si="5"/>
        <v/>
      </c>
      <c r="E375" s="13"/>
      <c r="F375" s="13"/>
    </row>
    <row r="376" spans="1:6" ht="16" x14ac:dyDescent="0.2">
      <c r="A376" s="8"/>
      <c r="B376" s="8"/>
      <c r="C376" s="8"/>
      <c r="D376" s="8" t="str">
        <f t="shared" si="5"/>
        <v/>
      </c>
      <c r="E376" s="13"/>
      <c r="F376" s="13"/>
    </row>
    <row r="377" spans="1:6" ht="16" x14ac:dyDescent="0.2">
      <c r="A377" s="8"/>
      <c r="B377" s="8"/>
      <c r="C377" s="8"/>
      <c r="D377" s="8" t="str">
        <f t="shared" si="5"/>
        <v/>
      </c>
      <c r="E377" s="13"/>
      <c r="F377" s="13"/>
    </row>
    <row r="378" spans="1:6" ht="16" x14ac:dyDescent="0.2">
      <c r="A378" s="8"/>
      <c r="B378" s="8"/>
      <c r="C378" s="8"/>
      <c r="D378" s="8" t="str">
        <f t="shared" si="5"/>
        <v/>
      </c>
      <c r="E378" s="13"/>
      <c r="F378" s="13"/>
    </row>
    <row r="379" spans="1:6" ht="16" x14ac:dyDescent="0.2">
      <c r="A379" s="8"/>
      <c r="B379" s="8"/>
      <c r="C379" s="8"/>
      <c r="D379" s="8" t="str">
        <f t="shared" si="5"/>
        <v/>
      </c>
      <c r="E379" s="13"/>
      <c r="F379" s="13"/>
    </row>
    <row r="380" spans="1:6" ht="16" x14ac:dyDescent="0.2">
      <c r="A380" s="8"/>
      <c r="B380" s="8"/>
      <c r="C380" s="8"/>
      <c r="D380" s="8" t="str">
        <f t="shared" si="5"/>
        <v/>
      </c>
      <c r="E380" s="13"/>
      <c r="F380" s="13"/>
    </row>
    <row r="381" spans="1:6" ht="16" x14ac:dyDescent="0.2">
      <c r="A381" s="8"/>
      <c r="B381" s="8"/>
      <c r="C381" s="8"/>
      <c r="D381" s="8" t="str">
        <f t="shared" si="5"/>
        <v/>
      </c>
      <c r="E381" s="13"/>
      <c r="F381" s="13"/>
    </row>
    <row r="382" spans="1:6" ht="16" x14ac:dyDescent="0.2">
      <c r="A382" s="8"/>
      <c r="B382" s="8"/>
      <c r="C382" s="8"/>
      <c r="D382" s="8" t="str">
        <f t="shared" si="5"/>
        <v/>
      </c>
      <c r="E382" s="13"/>
      <c r="F382" s="13"/>
    </row>
    <row r="383" spans="1:6" ht="16" x14ac:dyDescent="0.2">
      <c r="A383" s="8"/>
      <c r="B383" s="8"/>
      <c r="C383" s="8"/>
      <c r="D383" s="8" t="str">
        <f t="shared" si="5"/>
        <v/>
      </c>
      <c r="E383" s="13"/>
      <c r="F383" s="13"/>
    </row>
    <row r="384" spans="1:6" ht="16" x14ac:dyDescent="0.2">
      <c r="A384" s="8"/>
      <c r="B384" s="8"/>
      <c r="C384" s="8"/>
      <c r="D384" s="8" t="str">
        <f t="shared" si="5"/>
        <v/>
      </c>
      <c r="E384" s="13"/>
      <c r="F384" s="13"/>
    </row>
    <row r="385" spans="1:6" ht="16" x14ac:dyDescent="0.2">
      <c r="A385" s="8"/>
      <c r="B385" s="8"/>
      <c r="C385" s="8"/>
      <c r="D385" s="8" t="str">
        <f t="shared" si="5"/>
        <v/>
      </c>
      <c r="E385" s="13"/>
      <c r="F385" s="13"/>
    </row>
    <row r="386" spans="1:6" ht="16" x14ac:dyDescent="0.2">
      <c r="A386" s="8"/>
      <c r="B386" s="8"/>
      <c r="C386" s="8"/>
      <c r="D386" s="8" t="str">
        <f t="shared" si="5"/>
        <v/>
      </c>
      <c r="E386" s="13"/>
      <c r="F386" s="13"/>
    </row>
    <row r="387" spans="1:6" ht="16" x14ac:dyDescent="0.2">
      <c r="A387" s="8"/>
      <c r="B387" s="8"/>
      <c r="C387" s="8"/>
      <c r="D387" s="8" t="str">
        <f t="shared" ref="D387:D450" si="6">IF(A387=0,"","MinMax")</f>
        <v/>
      </c>
      <c r="E387" s="13"/>
      <c r="F387" s="13"/>
    </row>
    <row r="388" spans="1:6" ht="16" x14ac:dyDescent="0.2">
      <c r="A388" s="8"/>
      <c r="B388" s="8"/>
      <c r="C388" s="8"/>
      <c r="D388" s="8" t="str">
        <f t="shared" si="6"/>
        <v/>
      </c>
      <c r="E388" s="13"/>
      <c r="F388" s="13"/>
    </row>
    <row r="389" spans="1:6" ht="16" x14ac:dyDescent="0.2">
      <c r="A389" s="8"/>
      <c r="B389" s="8"/>
      <c r="C389" s="8"/>
      <c r="D389" s="8" t="str">
        <f t="shared" si="6"/>
        <v/>
      </c>
      <c r="E389" s="13"/>
      <c r="F389" s="13"/>
    </row>
    <row r="390" spans="1:6" ht="16" x14ac:dyDescent="0.2">
      <c r="A390" s="8"/>
      <c r="B390" s="8"/>
      <c r="C390" s="8"/>
      <c r="D390" s="8" t="str">
        <f t="shared" si="6"/>
        <v/>
      </c>
      <c r="E390" s="13"/>
      <c r="F390" s="13"/>
    </row>
    <row r="391" spans="1:6" ht="16" x14ac:dyDescent="0.2">
      <c r="A391" s="8"/>
      <c r="B391" s="8"/>
      <c r="C391" s="8"/>
      <c r="D391" s="8" t="str">
        <f t="shared" si="6"/>
        <v/>
      </c>
      <c r="E391" s="13"/>
      <c r="F391" s="13"/>
    </row>
    <row r="392" spans="1:6" ht="16" x14ac:dyDescent="0.2">
      <c r="A392" s="8"/>
      <c r="B392" s="8"/>
      <c r="C392" s="8"/>
      <c r="D392" s="8" t="str">
        <f t="shared" si="6"/>
        <v/>
      </c>
      <c r="E392" s="13"/>
      <c r="F392" s="13"/>
    </row>
    <row r="393" spans="1:6" ht="16" x14ac:dyDescent="0.2">
      <c r="A393" s="8"/>
      <c r="B393" s="8"/>
      <c r="C393" s="8"/>
      <c r="D393" s="8" t="str">
        <f t="shared" si="6"/>
        <v/>
      </c>
      <c r="E393" s="13"/>
      <c r="F393" s="13"/>
    </row>
    <row r="394" spans="1:6" ht="16" x14ac:dyDescent="0.2">
      <c r="A394" s="8"/>
      <c r="B394" s="8"/>
      <c r="C394" s="8"/>
      <c r="D394" s="8" t="str">
        <f t="shared" si="6"/>
        <v/>
      </c>
      <c r="E394" s="13"/>
      <c r="F394" s="13"/>
    </row>
    <row r="395" spans="1:6" ht="16" x14ac:dyDescent="0.2">
      <c r="A395" s="8"/>
      <c r="B395" s="8"/>
      <c r="C395" s="8"/>
      <c r="D395" s="8" t="str">
        <f t="shared" si="6"/>
        <v/>
      </c>
      <c r="E395" s="13"/>
      <c r="F395" s="13"/>
    </row>
    <row r="396" spans="1:6" ht="16" x14ac:dyDescent="0.2">
      <c r="A396" s="8"/>
      <c r="B396" s="8"/>
      <c r="C396" s="8"/>
      <c r="D396" s="8" t="str">
        <f t="shared" si="6"/>
        <v/>
      </c>
      <c r="E396" s="13"/>
      <c r="F396" s="13"/>
    </row>
    <row r="397" spans="1:6" ht="16" x14ac:dyDescent="0.2">
      <c r="A397" s="8"/>
      <c r="B397" s="8"/>
      <c r="C397" s="8"/>
      <c r="D397" s="8" t="str">
        <f t="shared" si="6"/>
        <v/>
      </c>
      <c r="E397" s="13"/>
      <c r="F397" s="13"/>
    </row>
    <row r="398" spans="1:6" ht="16" x14ac:dyDescent="0.2">
      <c r="A398" s="8"/>
      <c r="B398" s="8"/>
      <c r="C398" s="8"/>
      <c r="D398" s="8" t="str">
        <f t="shared" si="6"/>
        <v/>
      </c>
      <c r="E398" s="13"/>
      <c r="F398" s="13"/>
    </row>
    <row r="399" spans="1:6" ht="16" x14ac:dyDescent="0.2">
      <c r="A399" s="8"/>
      <c r="B399" s="8"/>
      <c r="C399" s="8"/>
      <c r="D399" s="8" t="str">
        <f t="shared" si="6"/>
        <v/>
      </c>
      <c r="E399" s="13"/>
      <c r="F399" s="13"/>
    </row>
    <row r="400" spans="1:6" ht="16" x14ac:dyDescent="0.2">
      <c r="A400" s="8"/>
      <c r="B400" s="8"/>
      <c r="C400" s="8"/>
      <c r="D400" s="8" t="str">
        <f t="shared" si="6"/>
        <v/>
      </c>
      <c r="E400" s="13"/>
      <c r="F400" s="13"/>
    </row>
    <row r="401" spans="1:6" ht="16" x14ac:dyDescent="0.2">
      <c r="A401" s="8"/>
      <c r="B401" s="8"/>
      <c r="C401" s="8"/>
      <c r="D401" s="8" t="str">
        <f t="shared" si="6"/>
        <v/>
      </c>
      <c r="E401" s="13"/>
      <c r="F401" s="13"/>
    </row>
    <row r="402" spans="1:6" ht="16" x14ac:dyDescent="0.2">
      <c r="A402" s="8"/>
      <c r="B402" s="8"/>
      <c r="C402" s="8"/>
      <c r="D402" s="8" t="str">
        <f t="shared" si="6"/>
        <v/>
      </c>
      <c r="E402" s="13"/>
      <c r="F402" s="13"/>
    </row>
    <row r="403" spans="1:6" ht="16" x14ac:dyDescent="0.2">
      <c r="A403" s="8"/>
      <c r="B403" s="8"/>
      <c r="C403" s="8"/>
      <c r="D403" s="8" t="str">
        <f t="shared" si="6"/>
        <v/>
      </c>
      <c r="E403" s="13"/>
      <c r="F403" s="13"/>
    </row>
    <row r="404" spans="1:6" ht="16" x14ac:dyDescent="0.2">
      <c r="A404" s="8"/>
      <c r="B404" s="8"/>
      <c r="C404" s="8"/>
      <c r="D404" s="8" t="str">
        <f t="shared" si="6"/>
        <v/>
      </c>
      <c r="E404" s="13"/>
      <c r="F404" s="13"/>
    </row>
    <row r="405" spans="1:6" ht="16" x14ac:dyDescent="0.2">
      <c r="A405" s="8"/>
      <c r="B405" s="8"/>
      <c r="C405" s="8"/>
      <c r="D405" s="8" t="str">
        <f t="shared" si="6"/>
        <v/>
      </c>
      <c r="E405" s="13"/>
      <c r="F405" s="13"/>
    </row>
    <row r="406" spans="1:6" ht="16" x14ac:dyDescent="0.2">
      <c r="A406" s="8"/>
      <c r="B406" s="8"/>
      <c r="C406" s="8"/>
      <c r="D406" s="8" t="str">
        <f t="shared" si="6"/>
        <v/>
      </c>
      <c r="E406" s="13"/>
      <c r="F406" s="13"/>
    </row>
    <row r="407" spans="1:6" ht="16" x14ac:dyDescent="0.2">
      <c r="A407" s="8"/>
      <c r="B407" s="8"/>
      <c r="C407" s="8"/>
      <c r="D407" s="8" t="str">
        <f t="shared" si="6"/>
        <v/>
      </c>
      <c r="E407" s="13"/>
      <c r="F407" s="13"/>
    </row>
    <row r="408" spans="1:6" ht="16" x14ac:dyDescent="0.2">
      <c r="A408" s="8"/>
      <c r="B408" s="8"/>
      <c r="C408" s="8"/>
      <c r="D408" s="8" t="str">
        <f t="shared" si="6"/>
        <v/>
      </c>
      <c r="E408" s="13"/>
      <c r="F408" s="13"/>
    </row>
    <row r="409" spans="1:6" ht="16" x14ac:dyDescent="0.2">
      <c r="A409" s="8"/>
      <c r="B409" s="8"/>
      <c r="C409" s="8"/>
      <c r="D409" s="8" t="str">
        <f t="shared" si="6"/>
        <v/>
      </c>
      <c r="E409" s="13"/>
      <c r="F409" s="13"/>
    </row>
    <row r="410" spans="1:6" ht="16" x14ac:dyDescent="0.2">
      <c r="A410" s="8"/>
      <c r="B410" s="8"/>
      <c r="C410" s="8"/>
      <c r="D410" s="8" t="str">
        <f t="shared" si="6"/>
        <v/>
      </c>
      <c r="E410" s="13"/>
      <c r="F410" s="13"/>
    </row>
    <row r="411" spans="1:6" ht="16" x14ac:dyDescent="0.2">
      <c r="A411" s="8"/>
      <c r="B411" s="8"/>
      <c r="C411" s="8"/>
      <c r="D411" s="8" t="str">
        <f t="shared" si="6"/>
        <v/>
      </c>
      <c r="E411" s="13"/>
      <c r="F411" s="13"/>
    </row>
    <row r="412" spans="1:6" ht="16" x14ac:dyDescent="0.2">
      <c r="A412" s="8"/>
      <c r="B412" s="8"/>
      <c r="C412" s="8"/>
      <c r="D412" s="8" t="str">
        <f t="shared" si="6"/>
        <v/>
      </c>
      <c r="E412" s="13"/>
      <c r="F412" s="13"/>
    </row>
    <row r="413" spans="1:6" ht="16" x14ac:dyDescent="0.2">
      <c r="A413" s="8"/>
      <c r="B413" s="8"/>
      <c r="C413" s="8"/>
      <c r="D413" s="8" t="str">
        <f t="shared" si="6"/>
        <v/>
      </c>
      <c r="E413" s="13"/>
      <c r="F413" s="13"/>
    </row>
    <row r="414" spans="1:6" ht="16" x14ac:dyDescent="0.2">
      <c r="A414" s="8"/>
      <c r="B414" s="8"/>
      <c r="C414" s="8"/>
      <c r="D414" s="8" t="str">
        <f t="shared" si="6"/>
        <v/>
      </c>
      <c r="E414" s="13"/>
      <c r="F414" s="13"/>
    </row>
    <row r="415" spans="1:6" ht="16" x14ac:dyDescent="0.2">
      <c r="A415" s="8"/>
      <c r="B415" s="8"/>
      <c r="C415" s="8"/>
      <c r="D415" s="8" t="str">
        <f t="shared" si="6"/>
        <v/>
      </c>
      <c r="E415" s="13"/>
      <c r="F415" s="13"/>
    </row>
    <row r="416" spans="1:6" ht="16" x14ac:dyDescent="0.2">
      <c r="A416" s="8"/>
      <c r="B416" s="8"/>
      <c r="C416" s="8"/>
      <c r="D416" s="8" t="str">
        <f t="shared" si="6"/>
        <v/>
      </c>
      <c r="E416" s="13"/>
      <c r="F416" s="13"/>
    </row>
    <row r="417" spans="1:6" ht="16" x14ac:dyDescent="0.2">
      <c r="A417" s="8"/>
      <c r="B417" s="8"/>
      <c r="C417" s="8"/>
      <c r="D417" s="8" t="str">
        <f t="shared" si="6"/>
        <v/>
      </c>
      <c r="E417" s="13"/>
      <c r="F417" s="13"/>
    </row>
    <row r="418" spans="1:6" ht="16" x14ac:dyDescent="0.2">
      <c r="A418" s="8"/>
      <c r="B418" s="8"/>
      <c r="C418" s="8"/>
      <c r="D418" s="8" t="str">
        <f t="shared" si="6"/>
        <v/>
      </c>
      <c r="E418" s="13"/>
      <c r="F418" s="13"/>
    </row>
    <row r="419" spans="1:6" ht="16" x14ac:dyDescent="0.2">
      <c r="A419" s="8"/>
      <c r="B419" s="8"/>
      <c r="C419" s="8"/>
      <c r="D419" s="8" t="str">
        <f t="shared" si="6"/>
        <v/>
      </c>
      <c r="E419" s="13"/>
      <c r="F419" s="13"/>
    </row>
    <row r="420" spans="1:6" ht="16" x14ac:dyDescent="0.2">
      <c r="A420" s="8"/>
      <c r="B420" s="8"/>
      <c r="C420" s="8"/>
      <c r="D420" s="8" t="str">
        <f t="shared" si="6"/>
        <v/>
      </c>
      <c r="E420" s="13"/>
      <c r="F420" s="13"/>
    </row>
    <row r="421" spans="1:6" ht="16" x14ac:dyDescent="0.2">
      <c r="A421" s="8"/>
      <c r="B421" s="8"/>
      <c r="C421" s="8"/>
      <c r="D421" s="8" t="str">
        <f t="shared" si="6"/>
        <v/>
      </c>
      <c r="E421" s="13"/>
      <c r="F421" s="13"/>
    </row>
    <row r="422" spans="1:6" ht="16" x14ac:dyDescent="0.2">
      <c r="A422" s="8"/>
      <c r="B422" s="8"/>
      <c r="C422" s="8"/>
      <c r="D422" s="8" t="str">
        <f t="shared" si="6"/>
        <v/>
      </c>
      <c r="E422" s="13"/>
      <c r="F422" s="13"/>
    </row>
    <row r="423" spans="1:6" ht="16" x14ac:dyDescent="0.2">
      <c r="A423" s="8"/>
      <c r="B423" s="8"/>
      <c r="C423" s="8"/>
      <c r="D423" s="8" t="str">
        <f t="shared" si="6"/>
        <v/>
      </c>
      <c r="E423" s="13"/>
      <c r="F423" s="13"/>
    </row>
    <row r="424" spans="1:6" ht="16" x14ac:dyDescent="0.2">
      <c r="A424" s="8"/>
      <c r="B424" s="8"/>
      <c r="C424" s="8"/>
      <c r="D424" s="8" t="str">
        <f t="shared" si="6"/>
        <v/>
      </c>
      <c r="E424" s="13"/>
      <c r="F424" s="13"/>
    </row>
    <row r="425" spans="1:6" ht="16" x14ac:dyDescent="0.2">
      <c r="A425" s="8"/>
      <c r="B425" s="8"/>
      <c r="C425" s="8"/>
      <c r="D425" s="8" t="str">
        <f t="shared" si="6"/>
        <v/>
      </c>
      <c r="E425" s="13"/>
      <c r="F425" s="13"/>
    </row>
    <row r="426" spans="1:6" ht="16" x14ac:dyDescent="0.2">
      <c r="A426" s="8"/>
      <c r="B426" s="8"/>
      <c r="C426" s="8"/>
      <c r="D426" s="8" t="str">
        <f t="shared" si="6"/>
        <v/>
      </c>
      <c r="E426" s="13"/>
      <c r="F426" s="13"/>
    </row>
    <row r="427" spans="1:6" ht="16" x14ac:dyDescent="0.2">
      <c r="A427" s="8"/>
      <c r="B427" s="8"/>
      <c r="C427" s="8"/>
      <c r="D427" s="8" t="str">
        <f t="shared" si="6"/>
        <v/>
      </c>
      <c r="E427" s="13"/>
      <c r="F427" s="13"/>
    </row>
    <row r="428" spans="1:6" ht="16" x14ac:dyDescent="0.2">
      <c r="A428" s="8"/>
      <c r="B428" s="8"/>
      <c r="C428" s="8"/>
      <c r="D428" s="8" t="str">
        <f t="shared" si="6"/>
        <v/>
      </c>
      <c r="E428" s="13"/>
      <c r="F428" s="13"/>
    </row>
    <row r="429" spans="1:6" ht="16" x14ac:dyDescent="0.2">
      <c r="A429" s="8"/>
      <c r="B429" s="8"/>
      <c r="C429" s="8"/>
      <c r="D429" s="8" t="str">
        <f t="shared" si="6"/>
        <v/>
      </c>
      <c r="E429" s="13"/>
      <c r="F429" s="13"/>
    </row>
    <row r="430" spans="1:6" ht="16" x14ac:dyDescent="0.2">
      <c r="A430" s="8"/>
      <c r="B430" s="8"/>
      <c r="C430" s="8"/>
      <c r="D430" s="8" t="str">
        <f t="shared" si="6"/>
        <v/>
      </c>
      <c r="E430" s="13"/>
      <c r="F430" s="13"/>
    </row>
    <row r="431" spans="1:6" ht="16" x14ac:dyDescent="0.2">
      <c r="A431" s="8"/>
      <c r="B431" s="8"/>
      <c r="C431" s="8"/>
      <c r="D431" s="8" t="str">
        <f t="shared" si="6"/>
        <v/>
      </c>
      <c r="E431" s="13"/>
      <c r="F431" s="13"/>
    </row>
    <row r="432" spans="1:6" ht="16" x14ac:dyDescent="0.2">
      <c r="A432" s="8"/>
      <c r="B432" s="8"/>
      <c r="C432" s="8"/>
      <c r="D432" s="8" t="str">
        <f t="shared" si="6"/>
        <v/>
      </c>
      <c r="E432" s="13"/>
      <c r="F432" s="13"/>
    </row>
    <row r="433" spans="1:6" ht="16" x14ac:dyDescent="0.2">
      <c r="A433" s="8"/>
      <c r="B433" s="8"/>
      <c r="C433" s="8"/>
      <c r="D433" s="8" t="str">
        <f t="shared" si="6"/>
        <v/>
      </c>
      <c r="E433" s="13"/>
      <c r="F433" s="13"/>
    </row>
    <row r="434" spans="1:6" ht="16" x14ac:dyDescent="0.2">
      <c r="A434" s="8"/>
      <c r="B434" s="8"/>
      <c r="C434" s="8"/>
      <c r="D434" s="8" t="str">
        <f t="shared" si="6"/>
        <v/>
      </c>
      <c r="E434" s="13"/>
      <c r="F434" s="13"/>
    </row>
    <row r="435" spans="1:6" ht="16" x14ac:dyDescent="0.2">
      <c r="A435" s="8"/>
      <c r="B435" s="8"/>
      <c r="C435" s="8"/>
      <c r="D435" s="8" t="str">
        <f t="shared" si="6"/>
        <v/>
      </c>
      <c r="E435" s="13"/>
      <c r="F435" s="13"/>
    </row>
    <row r="436" spans="1:6" ht="16" x14ac:dyDescent="0.2">
      <c r="A436" s="8"/>
      <c r="B436" s="8"/>
      <c r="C436" s="8"/>
      <c r="D436" s="8" t="str">
        <f t="shared" si="6"/>
        <v/>
      </c>
      <c r="E436" s="13"/>
      <c r="F436" s="13"/>
    </row>
    <row r="437" spans="1:6" ht="16" x14ac:dyDescent="0.2">
      <c r="A437" s="8"/>
      <c r="B437" s="8"/>
      <c r="C437" s="8"/>
      <c r="D437" s="8" t="str">
        <f t="shared" si="6"/>
        <v/>
      </c>
      <c r="E437" s="13"/>
      <c r="F437" s="13"/>
    </row>
    <row r="438" spans="1:6" ht="16" x14ac:dyDescent="0.2">
      <c r="A438" s="8"/>
      <c r="B438" s="8"/>
      <c r="C438" s="8"/>
      <c r="D438" s="8" t="str">
        <f t="shared" si="6"/>
        <v/>
      </c>
      <c r="E438" s="13"/>
      <c r="F438" s="13"/>
    </row>
    <row r="439" spans="1:6" ht="16" x14ac:dyDescent="0.2">
      <c r="A439" s="8"/>
      <c r="B439" s="8"/>
      <c r="C439" s="8"/>
      <c r="D439" s="8" t="str">
        <f t="shared" si="6"/>
        <v/>
      </c>
      <c r="E439" s="13"/>
      <c r="F439" s="13"/>
    </row>
    <row r="440" spans="1:6" ht="16" x14ac:dyDescent="0.2">
      <c r="A440" s="8"/>
      <c r="B440" s="8"/>
      <c r="C440" s="8"/>
      <c r="D440" s="8" t="str">
        <f t="shared" si="6"/>
        <v/>
      </c>
      <c r="E440" s="13"/>
      <c r="F440" s="13"/>
    </row>
    <row r="441" spans="1:6" ht="16" x14ac:dyDescent="0.2">
      <c r="A441" s="8"/>
      <c r="B441" s="8"/>
      <c r="C441" s="8"/>
      <c r="D441" s="8" t="str">
        <f t="shared" si="6"/>
        <v/>
      </c>
      <c r="E441" s="13"/>
      <c r="F441" s="13"/>
    </row>
    <row r="442" spans="1:6" ht="16" x14ac:dyDescent="0.2">
      <c r="A442" s="8"/>
      <c r="B442" s="8"/>
      <c r="C442" s="8"/>
      <c r="D442" s="8" t="str">
        <f t="shared" si="6"/>
        <v/>
      </c>
      <c r="E442" s="13"/>
      <c r="F442" s="13"/>
    </row>
    <row r="443" spans="1:6" ht="16" x14ac:dyDescent="0.2">
      <c r="A443" s="8"/>
      <c r="B443" s="8"/>
      <c r="C443" s="8"/>
      <c r="D443" s="8" t="str">
        <f t="shared" si="6"/>
        <v/>
      </c>
      <c r="E443" s="13"/>
      <c r="F443" s="13"/>
    </row>
    <row r="444" spans="1:6" ht="16" x14ac:dyDescent="0.2">
      <c r="A444" s="8"/>
      <c r="B444" s="8"/>
      <c r="C444" s="8"/>
      <c r="D444" s="8" t="str">
        <f t="shared" si="6"/>
        <v/>
      </c>
      <c r="E444" s="13"/>
      <c r="F444" s="13"/>
    </row>
    <row r="445" spans="1:6" ht="16" x14ac:dyDescent="0.2">
      <c r="A445" s="8"/>
      <c r="B445" s="8"/>
      <c r="C445" s="8"/>
      <c r="D445" s="8" t="str">
        <f t="shared" si="6"/>
        <v/>
      </c>
      <c r="E445" s="13"/>
      <c r="F445" s="13"/>
    </row>
    <row r="446" spans="1:6" ht="16" x14ac:dyDescent="0.2">
      <c r="A446" s="8"/>
      <c r="B446" s="8"/>
      <c r="C446" s="8"/>
      <c r="D446" s="8" t="str">
        <f t="shared" si="6"/>
        <v/>
      </c>
      <c r="E446" s="13"/>
      <c r="F446" s="13"/>
    </row>
    <row r="447" spans="1:6" ht="16" x14ac:dyDescent="0.2">
      <c r="A447" s="8"/>
      <c r="B447" s="8"/>
      <c r="C447" s="8"/>
      <c r="D447" s="8" t="str">
        <f t="shared" si="6"/>
        <v/>
      </c>
      <c r="E447" s="13"/>
      <c r="F447" s="13"/>
    </row>
    <row r="448" spans="1:6" ht="16" x14ac:dyDescent="0.2">
      <c r="A448" s="8"/>
      <c r="B448" s="8"/>
      <c r="C448" s="8"/>
      <c r="D448" s="8" t="str">
        <f t="shared" si="6"/>
        <v/>
      </c>
      <c r="E448" s="13"/>
      <c r="F448" s="13"/>
    </row>
    <row r="449" spans="1:6" ht="16" x14ac:dyDescent="0.2">
      <c r="A449" s="8"/>
      <c r="B449" s="8"/>
      <c r="C449" s="8"/>
      <c r="D449" s="8" t="str">
        <f t="shared" si="6"/>
        <v/>
      </c>
      <c r="E449" s="13"/>
      <c r="F449" s="13"/>
    </row>
    <row r="450" spans="1:6" ht="16" x14ac:dyDescent="0.2">
      <c r="A450" s="8"/>
      <c r="B450" s="8"/>
      <c r="C450" s="8"/>
      <c r="D450" s="8" t="str">
        <f t="shared" si="6"/>
        <v/>
      </c>
      <c r="E450" s="13"/>
      <c r="F450" s="13"/>
    </row>
    <row r="451" spans="1:6" ht="16" x14ac:dyDescent="0.2">
      <c r="A451" s="8"/>
      <c r="B451" s="8"/>
      <c r="C451" s="8"/>
      <c r="D451" s="8" t="str">
        <f t="shared" ref="D451:D514" si="7">IF(A451=0,"","MinMax")</f>
        <v/>
      </c>
      <c r="E451" s="13"/>
      <c r="F451" s="13"/>
    </row>
    <row r="452" spans="1:6" ht="16" x14ac:dyDescent="0.2">
      <c r="A452" s="8"/>
      <c r="B452" s="8"/>
      <c r="C452" s="8"/>
      <c r="D452" s="8" t="str">
        <f t="shared" si="7"/>
        <v/>
      </c>
      <c r="E452" s="13"/>
      <c r="F452" s="13"/>
    </row>
    <row r="453" spans="1:6" ht="16" x14ac:dyDescent="0.2">
      <c r="A453" s="8"/>
      <c r="B453" s="8"/>
      <c r="C453" s="8"/>
      <c r="D453" s="8" t="str">
        <f t="shared" si="7"/>
        <v/>
      </c>
      <c r="E453" s="13"/>
      <c r="F453" s="13"/>
    </row>
    <row r="454" spans="1:6" ht="16" x14ac:dyDescent="0.2">
      <c r="A454" s="8"/>
      <c r="B454" s="8"/>
      <c r="C454" s="8"/>
      <c r="D454" s="8" t="str">
        <f t="shared" si="7"/>
        <v/>
      </c>
      <c r="E454" s="13"/>
      <c r="F454" s="13"/>
    </row>
    <row r="455" spans="1:6" ht="16" x14ac:dyDescent="0.2">
      <c r="A455" s="8"/>
      <c r="B455" s="8"/>
      <c r="C455" s="8"/>
      <c r="D455" s="8" t="str">
        <f t="shared" si="7"/>
        <v/>
      </c>
      <c r="E455" s="13"/>
      <c r="F455" s="13"/>
    </row>
    <row r="456" spans="1:6" ht="16" x14ac:dyDescent="0.2">
      <c r="A456" s="8"/>
      <c r="B456" s="8"/>
      <c r="C456" s="8"/>
      <c r="D456" s="8" t="str">
        <f t="shared" si="7"/>
        <v/>
      </c>
      <c r="E456" s="13"/>
      <c r="F456" s="13"/>
    </row>
    <row r="457" spans="1:6" ht="16" x14ac:dyDescent="0.2">
      <c r="A457" s="8"/>
      <c r="B457" s="8"/>
      <c r="C457" s="8"/>
      <c r="D457" s="8" t="str">
        <f t="shared" si="7"/>
        <v/>
      </c>
      <c r="E457" s="13"/>
      <c r="F457" s="13"/>
    </row>
    <row r="458" spans="1:6" ht="16" x14ac:dyDescent="0.2">
      <c r="A458" s="8"/>
      <c r="B458" s="8"/>
      <c r="C458" s="8"/>
      <c r="D458" s="8" t="str">
        <f t="shared" si="7"/>
        <v/>
      </c>
      <c r="E458" s="13"/>
      <c r="F458" s="13"/>
    </row>
    <row r="459" spans="1:6" ht="16" x14ac:dyDescent="0.2">
      <c r="A459" s="8"/>
      <c r="B459" s="8"/>
      <c r="C459" s="8"/>
      <c r="D459" s="8" t="str">
        <f t="shared" si="7"/>
        <v/>
      </c>
      <c r="E459" s="13"/>
      <c r="F459" s="13"/>
    </row>
    <row r="460" spans="1:6" ht="16" x14ac:dyDescent="0.2">
      <c r="A460" s="8"/>
      <c r="B460" s="8"/>
      <c r="C460" s="8"/>
      <c r="D460" s="8" t="str">
        <f t="shared" si="7"/>
        <v/>
      </c>
      <c r="E460" s="13"/>
      <c r="F460" s="13"/>
    </row>
    <row r="461" spans="1:6" ht="16" x14ac:dyDescent="0.2">
      <c r="A461" s="8"/>
      <c r="B461" s="8"/>
      <c r="C461" s="8"/>
      <c r="D461" s="8" t="str">
        <f t="shared" si="7"/>
        <v/>
      </c>
      <c r="E461" s="13"/>
      <c r="F461" s="13"/>
    </row>
    <row r="462" spans="1:6" ht="16" x14ac:dyDescent="0.2">
      <c r="A462" s="8"/>
      <c r="B462" s="8"/>
      <c r="C462" s="8"/>
      <c r="D462" s="8" t="str">
        <f t="shared" si="7"/>
        <v/>
      </c>
      <c r="E462" s="13"/>
      <c r="F462" s="13"/>
    </row>
    <row r="463" spans="1:6" ht="16" x14ac:dyDescent="0.2">
      <c r="A463" s="8"/>
      <c r="B463" s="8"/>
      <c r="C463" s="8"/>
      <c r="D463" s="8" t="str">
        <f t="shared" si="7"/>
        <v/>
      </c>
      <c r="E463" s="13"/>
      <c r="F463" s="13"/>
    </row>
    <row r="464" spans="1:6" ht="16" x14ac:dyDescent="0.2">
      <c r="A464" s="8"/>
      <c r="B464" s="8"/>
      <c r="C464" s="8"/>
      <c r="D464" s="8" t="str">
        <f t="shared" si="7"/>
        <v/>
      </c>
      <c r="E464" s="13"/>
      <c r="F464" s="13"/>
    </row>
    <row r="465" spans="1:6" ht="16" x14ac:dyDescent="0.2">
      <c r="A465" s="8"/>
      <c r="B465" s="8"/>
      <c r="C465" s="8"/>
      <c r="D465" s="8" t="str">
        <f t="shared" si="7"/>
        <v/>
      </c>
      <c r="E465" s="13"/>
      <c r="F465" s="13"/>
    </row>
    <row r="466" spans="1:6" ht="16" x14ac:dyDescent="0.2">
      <c r="A466" s="8"/>
      <c r="B466" s="8"/>
      <c r="C466" s="8"/>
      <c r="D466" s="8" t="str">
        <f t="shared" si="7"/>
        <v/>
      </c>
      <c r="E466" s="13"/>
      <c r="F466" s="13"/>
    </row>
    <row r="467" spans="1:6" ht="16" x14ac:dyDescent="0.2">
      <c r="A467" s="8"/>
      <c r="B467" s="8"/>
      <c r="C467" s="8"/>
      <c r="D467" s="8" t="str">
        <f t="shared" si="7"/>
        <v/>
      </c>
      <c r="E467" s="13"/>
      <c r="F467" s="13"/>
    </row>
    <row r="468" spans="1:6" ht="16" x14ac:dyDescent="0.2">
      <c r="A468" s="8"/>
      <c r="B468" s="8"/>
      <c r="C468" s="8"/>
      <c r="D468" s="8" t="str">
        <f t="shared" si="7"/>
        <v/>
      </c>
      <c r="E468" s="13"/>
      <c r="F468" s="13"/>
    </row>
    <row r="469" spans="1:6" ht="16" x14ac:dyDescent="0.2">
      <c r="A469" s="8"/>
      <c r="B469" s="8"/>
      <c r="C469" s="8"/>
      <c r="D469" s="8" t="str">
        <f t="shared" si="7"/>
        <v/>
      </c>
      <c r="E469" s="13"/>
      <c r="F469" s="13"/>
    </row>
    <row r="470" spans="1:6" ht="16" x14ac:dyDescent="0.2">
      <c r="A470" s="8"/>
      <c r="B470" s="8"/>
      <c r="C470" s="8"/>
      <c r="D470" s="8" t="str">
        <f t="shared" si="7"/>
        <v/>
      </c>
      <c r="E470" s="13"/>
      <c r="F470" s="13"/>
    </row>
    <row r="471" spans="1:6" ht="16" x14ac:dyDescent="0.2">
      <c r="A471" s="8"/>
      <c r="B471" s="8"/>
      <c r="C471" s="8"/>
      <c r="D471" s="8" t="str">
        <f t="shared" si="7"/>
        <v/>
      </c>
      <c r="E471" s="13"/>
      <c r="F471" s="13"/>
    </row>
    <row r="472" spans="1:6" ht="16" x14ac:dyDescent="0.2">
      <c r="A472" s="8"/>
      <c r="B472" s="8"/>
      <c r="C472" s="8"/>
      <c r="D472" s="8" t="str">
        <f t="shared" si="7"/>
        <v/>
      </c>
      <c r="E472" s="13"/>
      <c r="F472" s="13"/>
    </row>
    <row r="473" spans="1:6" ht="16" x14ac:dyDescent="0.2">
      <c r="A473" s="8"/>
      <c r="B473" s="8"/>
      <c r="C473" s="8"/>
      <c r="D473" s="8" t="str">
        <f t="shared" si="7"/>
        <v/>
      </c>
      <c r="E473" s="13"/>
      <c r="F473" s="13"/>
    </row>
    <row r="474" spans="1:6" ht="16" x14ac:dyDescent="0.2">
      <c r="A474" s="8"/>
      <c r="B474" s="8"/>
      <c r="C474" s="8"/>
      <c r="D474" s="8" t="str">
        <f t="shared" si="7"/>
        <v/>
      </c>
      <c r="E474" s="13"/>
      <c r="F474" s="13"/>
    </row>
    <row r="475" spans="1:6" ht="16" x14ac:dyDescent="0.2">
      <c r="A475" s="8"/>
      <c r="B475" s="8"/>
      <c r="C475" s="8"/>
      <c r="D475" s="8" t="str">
        <f t="shared" si="7"/>
        <v/>
      </c>
      <c r="E475" s="13"/>
      <c r="F475" s="13"/>
    </row>
    <row r="476" spans="1:6" ht="16" x14ac:dyDescent="0.2">
      <c r="A476" s="8"/>
      <c r="B476" s="8"/>
      <c r="C476" s="8"/>
      <c r="D476" s="8" t="str">
        <f t="shared" si="7"/>
        <v/>
      </c>
      <c r="E476" s="13"/>
      <c r="F476" s="13"/>
    </row>
    <row r="477" spans="1:6" ht="16" x14ac:dyDescent="0.2">
      <c r="A477" s="8"/>
      <c r="B477" s="8"/>
      <c r="C477" s="8"/>
      <c r="D477" s="8" t="str">
        <f t="shared" si="7"/>
        <v/>
      </c>
      <c r="E477" s="13"/>
      <c r="F477" s="13"/>
    </row>
    <row r="478" spans="1:6" ht="16" x14ac:dyDescent="0.2">
      <c r="A478" s="8"/>
      <c r="B478" s="8"/>
      <c r="C478" s="8"/>
      <c r="D478" s="8" t="str">
        <f t="shared" si="7"/>
        <v/>
      </c>
      <c r="E478" s="13"/>
      <c r="F478" s="13"/>
    </row>
    <row r="479" spans="1:6" ht="16" x14ac:dyDescent="0.2">
      <c r="A479" s="8"/>
      <c r="B479" s="8"/>
      <c r="C479" s="8"/>
      <c r="D479" s="8" t="str">
        <f t="shared" si="7"/>
        <v/>
      </c>
      <c r="E479" s="13"/>
      <c r="F479" s="13"/>
    </row>
    <row r="480" spans="1:6" ht="16" x14ac:dyDescent="0.2">
      <c r="A480" s="8"/>
      <c r="B480" s="8"/>
      <c r="C480" s="8"/>
      <c r="D480" s="8" t="str">
        <f t="shared" si="7"/>
        <v/>
      </c>
      <c r="E480" s="13"/>
      <c r="F480" s="13"/>
    </row>
    <row r="481" spans="1:6" ht="16" x14ac:dyDescent="0.2">
      <c r="A481" s="8"/>
      <c r="B481" s="8"/>
      <c r="C481" s="8"/>
      <c r="D481" s="8" t="str">
        <f t="shared" si="7"/>
        <v/>
      </c>
      <c r="E481" s="13"/>
      <c r="F481" s="13"/>
    </row>
    <row r="482" spans="1:6" ht="16" x14ac:dyDescent="0.2">
      <c r="A482" s="8"/>
      <c r="B482" s="8"/>
      <c r="C482" s="8"/>
      <c r="D482" s="8" t="str">
        <f t="shared" si="7"/>
        <v/>
      </c>
      <c r="E482" s="13"/>
      <c r="F482" s="13"/>
    </row>
    <row r="483" spans="1:6" ht="16" x14ac:dyDescent="0.2">
      <c r="A483" s="8"/>
      <c r="B483" s="8"/>
      <c r="C483" s="8"/>
      <c r="D483" s="8" t="str">
        <f t="shared" si="7"/>
        <v/>
      </c>
      <c r="E483" s="13"/>
      <c r="F483" s="13"/>
    </row>
    <row r="484" spans="1:6" ht="16" x14ac:dyDescent="0.2">
      <c r="A484" s="8"/>
      <c r="B484" s="8"/>
      <c r="C484" s="8"/>
      <c r="D484" s="8" t="str">
        <f t="shared" si="7"/>
        <v/>
      </c>
      <c r="E484" s="13"/>
      <c r="F484" s="13"/>
    </row>
    <row r="485" spans="1:6" ht="16" x14ac:dyDescent="0.2">
      <c r="A485" s="8"/>
      <c r="B485" s="8"/>
      <c r="C485" s="8"/>
      <c r="D485" s="8" t="str">
        <f t="shared" si="7"/>
        <v/>
      </c>
      <c r="E485" s="13"/>
      <c r="F485" s="13"/>
    </row>
    <row r="486" spans="1:6" ht="16" x14ac:dyDescent="0.2">
      <c r="A486" s="8"/>
      <c r="B486" s="8"/>
      <c r="C486" s="8"/>
      <c r="D486" s="8" t="str">
        <f t="shared" si="7"/>
        <v/>
      </c>
      <c r="E486" s="13"/>
      <c r="F486" s="13"/>
    </row>
    <row r="487" spans="1:6" ht="16" x14ac:dyDescent="0.2">
      <c r="A487" s="8"/>
      <c r="B487" s="8"/>
      <c r="C487" s="8"/>
      <c r="D487" s="8" t="str">
        <f t="shared" si="7"/>
        <v/>
      </c>
      <c r="E487" s="13"/>
      <c r="F487" s="13"/>
    </row>
    <row r="488" spans="1:6" ht="16" x14ac:dyDescent="0.2">
      <c r="A488" s="8"/>
      <c r="B488" s="8"/>
      <c r="C488" s="8"/>
      <c r="D488" s="8" t="str">
        <f t="shared" si="7"/>
        <v/>
      </c>
      <c r="E488" s="13"/>
      <c r="F488" s="13"/>
    </row>
    <row r="489" spans="1:6" ht="16" x14ac:dyDescent="0.2">
      <c r="A489" s="8"/>
      <c r="B489" s="8"/>
      <c r="C489" s="8"/>
      <c r="D489" s="8" t="str">
        <f t="shared" si="7"/>
        <v/>
      </c>
      <c r="E489" s="13"/>
      <c r="F489" s="13"/>
    </row>
    <row r="490" spans="1:6" ht="16" x14ac:dyDescent="0.2">
      <c r="A490" s="8"/>
      <c r="B490" s="8"/>
      <c r="C490" s="8"/>
      <c r="D490" s="8" t="str">
        <f t="shared" si="7"/>
        <v/>
      </c>
      <c r="E490" s="13"/>
      <c r="F490" s="13"/>
    </row>
    <row r="491" spans="1:6" ht="16" x14ac:dyDescent="0.2">
      <c r="A491" s="8"/>
      <c r="B491" s="8"/>
      <c r="C491" s="8"/>
      <c r="D491" s="8" t="str">
        <f t="shared" si="7"/>
        <v/>
      </c>
      <c r="E491" s="13"/>
      <c r="F491" s="13"/>
    </row>
    <row r="492" spans="1:6" ht="16" x14ac:dyDescent="0.2">
      <c r="A492" s="8"/>
      <c r="B492" s="8"/>
      <c r="C492" s="8"/>
      <c r="D492" s="8" t="str">
        <f t="shared" si="7"/>
        <v/>
      </c>
      <c r="E492" s="13"/>
      <c r="F492" s="13"/>
    </row>
    <row r="493" spans="1:6" ht="16" x14ac:dyDescent="0.2">
      <c r="A493" s="8"/>
      <c r="B493" s="8"/>
      <c r="C493" s="8"/>
      <c r="D493" s="8" t="str">
        <f t="shared" si="7"/>
        <v/>
      </c>
      <c r="E493" s="13"/>
      <c r="F493" s="13"/>
    </row>
    <row r="494" spans="1:6" ht="16" x14ac:dyDescent="0.2">
      <c r="A494" s="8"/>
      <c r="B494" s="8"/>
      <c r="C494" s="8"/>
      <c r="D494" s="8" t="str">
        <f t="shared" si="7"/>
        <v/>
      </c>
      <c r="E494" s="13"/>
      <c r="F494" s="13"/>
    </row>
    <row r="495" spans="1:6" ht="16" x14ac:dyDescent="0.2">
      <c r="A495" s="8"/>
      <c r="B495" s="8"/>
      <c r="C495" s="8"/>
      <c r="D495" s="8" t="str">
        <f t="shared" si="7"/>
        <v/>
      </c>
      <c r="E495" s="13"/>
      <c r="F495" s="13"/>
    </row>
    <row r="496" spans="1:6" ht="16" x14ac:dyDescent="0.2">
      <c r="A496" s="8"/>
      <c r="B496" s="8"/>
      <c r="C496" s="8"/>
      <c r="D496" s="8" t="str">
        <f t="shared" si="7"/>
        <v/>
      </c>
      <c r="E496" s="13"/>
      <c r="F496" s="13"/>
    </row>
    <row r="497" spans="1:6" ht="16" x14ac:dyDescent="0.2">
      <c r="A497" s="8"/>
      <c r="B497" s="8"/>
      <c r="C497" s="8"/>
      <c r="D497" s="8" t="str">
        <f t="shared" si="7"/>
        <v/>
      </c>
      <c r="E497" s="13"/>
      <c r="F497" s="13"/>
    </row>
    <row r="498" spans="1:6" ht="16" x14ac:dyDescent="0.2">
      <c r="A498" s="8"/>
      <c r="B498" s="8"/>
      <c r="C498" s="8"/>
      <c r="D498" s="8" t="str">
        <f t="shared" si="7"/>
        <v/>
      </c>
      <c r="E498" s="13"/>
      <c r="F498" s="13"/>
    </row>
    <row r="499" spans="1:6" ht="16" x14ac:dyDescent="0.2">
      <c r="A499" s="8"/>
      <c r="B499" s="8"/>
      <c r="C499" s="8"/>
      <c r="D499" s="8" t="str">
        <f t="shared" si="7"/>
        <v/>
      </c>
      <c r="E499" s="13"/>
      <c r="F499" s="13"/>
    </row>
    <row r="500" spans="1:6" ht="16" x14ac:dyDescent="0.2">
      <c r="A500" s="8"/>
      <c r="B500" s="8"/>
      <c r="C500" s="8"/>
      <c r="D500" s="8" t="str">
        <f t="shared" si="7"/>
        <v/>
      </c>
      <c r="E500" s="13"/>
      <c r="F500" s="13"/>
    </row>
    <row r="501" spans="1:6" ht="16" x14ac:dyDescent="0.2">
      <c r="A501" s="8"/>
      <c r="B501" s="8"/>
      <c r="C501" s="8"/>
      <c r="D501" s="8" t="str">
        <f t="shared" si="7"/>
        <v/>
      </c>
      <c r="E501" s="13"/>
      <c r="F501" s="13"/>
    </row>
    <row r="502" spans="1:6" ht="16" x14ac:dyDescent="0.2">
      <c r="A502" s="8"/>
      <c r="B502" s="8"/>
      <c r="C502" s="8"/>
      <c r="D502" s="8" t="str">
        <f t="shared" si="7"/>
        <v/>
      </c>
      <c r="E502" s="13"/>
      <c r="F502" s="13"/>
    </row>
    <row r="503" spans="1:6" ht="16" x14ac:dyDescent="0.2">
      <c r="A503" s="8"/>
      <c r="B503" s="8"/>
      <c r="C503" s="8"/>
      <c r="D503" s="8" t="str">
        <f t="shared" si="7"/>
        <v/>
      </c>
      <c r="E503" s="13"/>
      <c r="F503" s="13"/>
    </row>
    <row r="504" spans="1:6" ht="16" x14ac:dyDescent="0.2">
      <c r="A504" s="8"/>
      <c r="B504" s="8"/>
      <c r="C504" s="8"/>
      <c r="D504" s="8" t="str">
        <f t="shared" si="7"/>
        <v/>
      </c>
      <c r="E504" s="13"/>
      <c r="F504" s="13"/>
    </row>
    <row r="505" spans="1:6" ht="16" x14ac:dyDescent="0.2">
      <c r="A505" s="8"/>
      <c r="B505" s="8"/>
      <c r="C505" s="8"/>
      <c r="D505" s="8" t="str">
        <f t="shared" si="7"/>
        <v/>
      </c>
      <c r="E505" s="13"/>
      <c r="F505" s="13"/>
    </row>
    <row r="506" spans="1:6" ht="16" x14ac:dyDescent="0.2">
      <c r="A506" s="8"/>
      <c r="B506" s="8"/>
      <c r="C506" s="8"/>
      <c r="D506" s="8" t="str">
        <f t="shared" si="7"/>
        <v/>
      </c>
      <c r="E506" s="13"/>
      <c r="F506" s="13"/>
    </row>
    <row r="507" spans="1:6" ht="16" x14ac:dyDescent="0.2">
      <c r="A507" s="8"/>
      <c r="B507" s="8"/>
      <c r="C507" s="8"/>
      <c r="D507" s="8" t="str">
        <f t="shared" si="7"/>
        <v/>
      </c>
      <c r="E507" s="13"/>
      <c r="F507" s="13"/>
    </row>
    <row r="508" spans="1:6" ht="16" x14ac:dyDescent="0.2">
      <c r="A508" s="8"/>
      <c r="B508" s="8"/>
      <c r="C508" s="8"/>
      <c r="D508" s="8" t="str">
        <f t="shared" si="7"/>
        <v/>
      </c>
      <c r="E508" s="13"/>
      <c r="F508" s="13"/>
    </row>
    <row r="509" spans="1:6" ht="16" x14ac:dyDescent="0.2">
      <c r="A509" s="8"/>
      <c r="B509" s="8"/>
      <c r="C509" s="8"/>
      <c r="D509" s="8" t="str">
        <f t="shared" si="7"/>
        <v/>
      </c>
      <c r="E509" s="13"/>
      <c r="F509" s="13"/>
    </row>
    <row r="510" spans="1:6" ht="16" x14ac:dyDescent="0.2">
      <c r="A510" s="8"/>
      <c r="B510" s="8"/>
      <c r="C510" s="8"/>
      <c r="D510" s="8" t="str">
        <f t="shared" si="7"/>
        <v/>
      </c>
      <c r="E510" s="13"/>
      <c r="F510" s="13"/>
    </row>
    <row r="511" spans="1:6" ht="16" x14ac:dyDescent="0.2">
      <c r="A511" s="8"/>
      <c r="B511" s="8"/>
      <c r="C511" s="8"/>
      <c r="D511" s="8" t="str">
        <f t="shared" si="7"/>
        <v/>
      </c>
      <c r="E511" s="13"/>
      <c r="F511" s="13"/>
    </row>
    <row r="512" spans="1:6" ht="16" x14ac:dyDescent="0.2">
      <c r="A512" s="8"/>
      <c r="B512" s="8"/>
      <c r="C512" s="8"/>
      <c r="D512" s="8" t="str">
        <f t="shared" si="7"/>
        <v/>
      </c>
      <c r="E512" s="13"/>
      <c r="F512" s="13"/>
    </row>
    <row r="513" spans="1:6" ht="16" x14ac:dyDescent="0.2">
      <c r="A513" s="8"/>
      <c r="B513" s="8"/>
      <c r="C513" s="8"/>
      <c r="D513" s="8" t="str">
        <f t="shared" si="7"/>
        <v/>
      </c>
      <c r="E513" s="13"/>
      <c r="F513" s="13"/>
    </row>
    <row r="514" spans="1:6" ht="16" x14ac:dyDescent="0.2">
      <c r="A514" s="8"/>
      <c r="B514" s="8"/>
      <c r="C514" s="8"/>
      <c r="D514" s="8" t="str">
        <f t="shared" si="7"/>
        <v/>
      </c>
      <c r="E514" s="13"/>
      <c r="F514" s="13"/>
    </row>
    <row r="515" spans="1:6" ht="16" x14ac:dyDescent="0.2">
      <c r="A515" s="8"/>
      <c r="B515" s="8"/>
      <c r="C515" s="8"/>
      <c r="D515" s="8" t="str">
        <f t="shared" ref="D515:D578" si="8">IF(A515=0,"","MinMax")</f>
        <v/>
      </c>
      <c r="E515" s="13"/>
      <c r="F515" s="13"/>
    </row>
    <row r="516" spans="1:6" ht="16" x14ac:dyDescent="0.2">
      <c r="A516" s="8"/>
      <c r="B516" s="8"/>
      <c r="C516" s="8"/>
      <c r="D516" s="8" t="str">
        <f t="shared" si="8"/>
        <v/>
      </c>
      <c r="E516" s="13"/>
      <c r="F516" s="13"/>
    </row>
    <row r="517" spans="1:6" ht="16" x14ac:dyDescent="0.2">
      <c r="A517" s="8"/>
      <c r="B517" s="8"/>
      <c r="C517" s="8"/>
      <c r="D517" s="8" t="str">
        <f t="shared" si="8"/>
        <v/>
      </c>
      <c r="E517" s="13"/>
      <c r="F517" s="13"/>
    </row>
    <row r="518" spans="1:6" ht="16" x14ac:dyDescent="0.2">
      <c r="A518" s="8"/>
      <c r="B518" s="8"/>
      <c r="C518" s="8"/>
      <c r="D518" s="8" t="str">
        <f t="shared" si="8"/>
        <v/>
      </c>
      <c r="E518" s="13"/>
      <c r="F518" s="13"/>
    </row>
    <row r="519" spans="1:6" ht="16" x14ac:dyDescent="0.2">
      <c r="A519" s="8"/>
      <c r="B519" s="8"/>
      <c r="C519" s="8"/>
      <c r="D519" s="8" t="str">
        <f t="shared" si="8"/>
        <v/>
      </c>
      <c r="E519" s="13"/>
      <c r="F519" s="13"/>
    </row>
    <row r="520" spans="1:6" ht="16" x14ac:dyDescent="0.2">
      <c r="A520" s="8"/>
      <c r="B520" s="8"/>
      <c r="C520" s="8"/>
      <c r="D520" s="8" t="str">
        <f t="shared" si="8"/>
        <v/>
      </c>
      <c r="E520" s="13"/>
      <c r="F520" s="13"/>
    </row>
    <row r="521" spans="1:6" ht="16" x14ac:dyDescent="0.2">
      <c r="A521" s="8"/>
      <c r="B521" s="8"/>
      <c r="C521" s="8"/>
      <c r="D521" s="8" t="str">
        <f t="shared" si="8"/>
        <v/>
      </c>
      <c r="E521" s="13"/>
      <c r="F521" s="13"/>
    </row>
    <row r="522" spans="1:6" ht="16" x14ac:dyDescent="0.2">
      <c r="A522" s="8"/>
      <c r="B522" s="8"/>
      <c r="C522" s="8"/>
      <c r="D522" s="8" t="str">
        <f t="shared" si="8"/>
        <v/>
      </c>
      <c r="E522" s="13"/>
      <c r="F522" s="13"/>
    </row>
    <row r="523" spans="1:6" ht="16" x14ac:dyDescent="0.2">
      <c r="A523" s="8"/>
      <c r="B523" s="8"/>
      <c r="C523" s="8"/>
      <c r="D523" s="8" t="str">
        <f t="shared" si="8"/>
        <v/>
      </c>
      <c r="E523" s="13"/>
      <c r="F523" s="13"/>
    </row>
    <row r="524" spans="1:6" ht="16" x14ac:dyDescent="0.2">
      <c r="A524" s="8"/>
      <c r="B524" s="8"/>
      <c r="C524" s="8"/>
      <c r="D524" s="8" t="str">
        <f t="shared" si="8"/>
        <v/>
      </c>
      <c r="E524" s="13"/>
      <c r="F524" s="13"/>
    </row>
    <row r="525" spans="1:6" ht="16" x14ac:dyDescent="0.2">
      <c r="A525" s="8"/>
      <c r="B525" s="8"/>
      <c r="C525" s="8"/>
      <c r="D525" s="8" t="str">
        <f t="shared" si="8"/>
        <v/>
      </c>
      <c r="E525" s="13"/>
      <c r="F525" s="13"/>
    </row>
    <row r="526" spans="1:6" ht="16" x14ac:dyDescent="0.2">
      <c r="A526" s="8"/>
      <c r="B526" s="8"/>
      <c r="C526" s="8"/>
      <c r="D526" s="8" t="str">
        <f t="shared" si="8"/>
        <v/>
      </c>
      <c r="E526" s="13"/>
      <c r="F526" s="13"/>
    </row>
    <row r="527" spans="1:6" ht="16" x14ac:dyDescent="0.2">
      <c r="A527" s="8"/>
      <c r="B527" s="8"/>
      <c r="C527" s="8"/>
      <c r="D527" s="8" t="str">
        <f t="shared" si="8"/>
        <v/>
      </c>
      <c r="E527" s="13"/>
      <c r="F527" s="13"/>
    </row>
    <row r="528" spans="1:6" ht="16" x14ac:dyDescent="0.2">
      <c r="A528" s="8"/>
      <c r="B528" s="8"/>
      <c r="C528" s="8"/>
      <c r="D528" s="8" t="str">
        <f t="shared" si="8"/>
        <v/>
      </c>
      <c r="E528" s="13"/>
      <c r="F528" s="13"/>
    </row>
    <row r="529" spans="1:6" ht="16" x14ac:dyDescent="0.2">
      <c r="A529" s="8"/>
      <c r="B529" s="8"/>
      <c r="C529" s="8"/>
      <c r="D529" s="8" t="str">
        <f t="shared" si="8"/>
        <v/>
      </c>
      <c r="E529" s="13"/>
      <c r="F529" s="13"/>
    </row>
    <row r="530" spans="1:6" ht="16" x14ac:dyDescent="0.2">
      <c r="A530" s="8"/>
      <c r="B530" s="8"/>
      <c r="C530" s="8"/>
      <c r="D530" s="8" t="str">
        <f t="shared" si="8"/>
        <v/>
      </c>
      <c r="E530" s="13"/>
      <c r="F530" s="13"/>
    </row>
    <row r="531" spans="1:6" ht="16" x14ac:dyDescent="0.2">
      <c r="A531" s="8"/>
      <c r="B531" s="8"/>
      <c r="C531" s="8"/>
      <c r="D531" s="8" t="str">
        <f t="shared" si="8"/>
        <v/>
      </c>
      <c r="E531" s="13"/>
      <c r="F531" s="13"/>
    </row>
    <row r="532" spans="1:6" ht="16" x14ac:dyDescent="0.2">
      <c r="A532" s="8"/>
      <c r="B532" s="8"/>
      <c r="C532" s="8"/>
      <c r="D532" s="8" t="str">
        <f t="shared" si="8"/>
        <v/>
      </c>
      <c r="E532" s="13"/>
      <c r="F532" s="13"/>
    </row>
    <row r="533" spans="1:6" ht="16" x14ac:dyDescent="0.2">
      <c r="A533" s="8"/>
      <c r="B533" s="8"/>
      <c r="C533" s="8"/>
      <c r="D533" s="8" t="str">
        <f t="shared" si="8"/>
        <v/>
      </c>
      <c r="E533" s="13"/>
      <c r="F533" s="13"/>
    </row>
    <row r="534" spans="1:6" ht="16" x14ac:dyDescent="0.2">
      <c r="A534" s="8"/>
      <c r="B534" s="8"/>
      <c r="C534" s="8"/>
      <c r="D534" s="8" t="str">
        <f t="shared" si="8"/>
        <v/>
      </c>
      <c r="E534" s="13"/>
      <c r="F534" s="13"/>
    </row>
    <row r="535" spans="1:6" ht="16" x14ac:dyDescent="0.2">
      <c r="A535" s="8"/>
      <c r="B535" s="8"/>
      <c r="C535" s="8"/>
      <c r="D535" s="8" t="str">
        <f t="shared" si="8"/>
        <v/>
      </c>
      <c r="E535" s="13"/>
      <c r="F535" s="13"/>
    </row>
    <row r="536" spans="1:6" ht="16" x14ac:dyDescent="0.2">
      <c r="A536" s="8"/>
      <c r="B536" s="8"/>
      <c r="C536" s="8"/>
      <c r="D536" s="8" t="str">
        <f t="shared" si="8"/>
        <v/>
      </c>
      <c r="E536" s="13"/>
      <c r="F536" s="13"/>
    </row>
    <row r="537" spans="1:6" ht="16" x14ac:dyDescent="0.2">
      <c r="A537" s="8"/>
      <c r="B537" s="8"/>
      <c r="C537" s="8"/>
      <c r="D537" s="8" t="str">
        <f t="shared" si="8"/>
        <v/>
      </c>
      <c r="E537" s="13"/>
      <c r="F537" s="13"/>
    </row>
    <row r="538" spans="1:6" ht="16" x14ac:dyDescent="0.2">
      <c r="A538" s="8"/>
      <c r="B538" s="8"/>
      <c r="C538" s="8"/>
      <c r="D538" s="8" t="str">
        <f t="shared" si="8"/>
        <v/>
      </c>
      <c r="E538" s="13"/>
      <c r="F538" s="13"/>
    </row>
    <row r="539" spans="1:6" ht="16" x14ac:dyDescent="0.2">
      <c r="A539" s="8"/>
      <c r="B539" s="8"/>
      <c r="C539" s="8"/>
      <c r="D539" s="8" t="str">
        <f t="shared" si="8"/>
        <v/>
      </c>
      <c r="E539" s="13"/>
      <c r="F539" s="13"/>
    </row>
    <row r="540" spans="1:6" ht="16" x14ac:dyDescent="0.2">
      <c r="A540" s="8"/>
      <c r="B540" s="8"/>
      <c r="C540" s="8"/>
      <c r="D540" s="8" t="str">
        <f t="shared" si="8"/>
        <v/>
      </c>
      <c r="E540" s="13"/>
      <c r="F540" s="13"/>
    </row>
    <row r="541" spans="1:6" ht="16" x14ac:dyDescent="0.2">
      <c r="A541" s="8"/>
      <c r="B541" s="8"/>
      <c r="C541" s="8"/>
      <c r="D541" s="8" t="str">
        <f t="shared" si="8"/>
        <v/>
      </c>
      <c r="E541" s="13"/>
      <c r="F541" s="13"/>
    </row>
    <row r="542" spans="1:6" ht="16" x14ac:dyDescent="0.2">
      <c r="A542" s="8"/>
      <c r="B542" s="8"/>
      <c r="C542" s="8"/>
      <c r="D542" s="8" t="str">
        <f t="shared" si="8"/>
        <v/>
      </c>
      <c r="E542" s="13"/>
      <c r="F542" s="13"/>
    </row>
    <row r="543" spans="1:6" ht="16" x14ac:dyDescent="0.2">
      <c r="A543" s="8"/>
      <c r="B543" s="8"/>
      <c r="C543" s="8"/>
      <c r="D543" s="8" t="str">
        <f t="shared" si="8"/>
        <v/>
      </c>
      <c r="E543" s="13"/>
      <c r="F543" s="13"/>
    </row>
    <row r="544" spans="1:6" ht="16" x14ac:dyDescent="0.2">
      <c r="A544" s="8"/>
      <c r="B544" s="8"/>
      <c r="C544" s="8"/>
      <c r="D544" s="8" t="str">
        <f t="shared" si="8"/>
        <v/>
      </c>
      <c r="E544" s="13"/>
      <c r="F544" s="13"/>
    </row>
    <row r="545" spans="1:6" ht="16" x14ac:dyDescent="0.2">
      <c r="A545" s="8"/>
      <c r="B545" s="8"/>
      <c r="C545" s="8"/>
      <c r="D545" s="8" t="str">
        <f t="shared" si="8"/>
        <v/>
      </c>
      <c r="E545" s="13"/>
      <c r="F545" s="13"/>
    </row>
    <row r="546" spans="1:6" ht="16" x14ac:dyDescent="0.2">
      <c r="A546" s="8"/>
      <c r="B546" s="8"/>
      <c r="C546" s="8"/>
      <c r="D546" s="8" t="str">
        <f t="shared" si="8"/>
        <v/>
      </c>
      <c r="E546" s="13"/>
      <c r="F546" s="13"/>
    </row>
    <row r="547" spans="1:6" ht="16" x14ac:dyDescent="0.2">
      <c r="A547" s="8"/>
      <c r="B547" s="8"/>
      <c r="C547" s="8"/>
      <c r="D547" s="8" t="str">
        <f t="shared" si="8"/>
        <v/>
      </c>
      <c r="E547" s="13"/>
      <c r="F547" s="13"/>
    </row>
    <row r="548" spans="1:6" ht="16" x14ac:dyDescent="0.2">
      <c r="A548" s="8"/>
      <c r="B548" s="8"/>
      <c r="C548" s="8"/>
      <c r="D548" s="8" t="str">
        <f t="shared" si="8"/>
        <v/>
      </c>
      <c r="E548" s="13"/>
      <c r="F548" s="13"/>
    </row>
    <row r="549" spans="1:6" ht="16" x14ac:dyDescent="0.2">
      <c r="A549" s="8"/>
      <c r="B549" s="8"/>
      <c r="C549" s="8"/>
      <c r="D549" s="8" t="str">
        <f t="shared" si="8"/>
        <v/>
      </c>
      <c r="E549" s="13"/>
      <c r="F549" s="13"/>
    </row>
    <row r="550" spans="1:6" ht="16" x14ac:dyDescent="0.2">
      <c r="A550" s="8"/>
      <c r="B550" s="8"/>
      <c r="C550" s="8"/>
      <c r="D550" s="8" t="str">
        <f t="shared" si="8"/>
        <v/>
      </c>
      <c r="E550" s="13"/>
      <c r="F550" s="13"/>
    </row>
    <row r="551" spans="1:6" ht="16" x14ac:dyDescent="0.2">
      <c r="A551" s="8"/>
      <c r="B551" s="8"/>
      <c r="C551" s="8"/>
      <c r="D551" s="8" t="str">
        <f t="shared" si="8"/>
        <v/>
      </c>
      <c r="E551" s="13"/>
      <c r="F551" s="13"/>
    </row>
    <row r="552" spans="1:6" ht="16" x14ac:dyDescent="0.2">
      <c r="A552" s="8"/>
      <c r="B552" s="8"/>
      <c r="C552" s="8"/>
      <c r="D552" s="8" t="str">
        <f t="shared" si="8"/>
        <v/>
      </c>
      <c r="E552" s="13"/>
      <c r="F552" s="13"/>
    </row>
    <row r="553" spans="1:6" ht="16" x14ac:dyDescent="0.2">
      <c r="A553" s="8"/>
      <c r="B553" s="8"/>
      <c r="C553" s="8"/>
      <c r="D553" s="8" t="str">
        <f t="shared" si="8"/>
        <v/>
      </c>
      <c r="E553" s="13"/>
      <c r="F553" s="13"/>
    </row>
    <row r="554" spans="1:6" ht="16" x14ac:dyDescent="0.2">
      <c r="A554" s="8"/>
      <c r="B554" s="8"/>
      <c r="C554" s="8"/>
      <c r="D554" s="8" t="str">
        <f t="shared" si="8"/>
        <v/>
      </c>
      <c r="E554" s="13"/>
      <c r="F554" s="13"/>
    </row>
    <row r="555" spans="1:6" ht="16" x14ac:dyDescent="0.2">
      <c r="A555" s="8"/>
      <c r="B555" s="8"/>
      <c r="C555" s="8"/>
      <c r="D555" s="8" t="str">
        <f t="shared" si="8"/>
        <v/>
      </c>
      <c r="E555" s="13"/>
      <c r="F555" s="13"/>
    </row>
    <row r="556" spans="1:6" ht="16" x14ac:dyDescent="0.2">
      <c r="A556" s="8"/>
      <c r="B556" s="8"/>
      <c r="C556" s="8"/>
      <c r="D556" s="8" t="str">
        <f t="shared" si="8"/>
        <v/>
      </c>
      <c r="E556" s="13"/>
      <c r="F556" s="13"/>
    </row>
    <row r="557" spans="1:6" ht="16" x14ac:dyDescent="0.2">
      <c r="A557" s="8"/>
      <c r="B557" s="8"/>
      <c r="C557" s="8"/>
      <c r="D557" s="8" t="str">
        <f t="shared" si="8"/>
        <v/>
      </c>
      <c r="E557" s="13"/>
      <c r="F557" s="13"/>
    </row>
    <row r="558" spans="1:6" ht="16" x14ac:dyDescent="0.2">
      <c r="A558" s="8"/>
      <c r="B558" s="8"/>
      <c r="C558" s="8"/>
      <c r="D558" s="8" t="str">
        <f t="shared" si="8"/>
        <v/>
      </c>
      <c r="E558" s="13"/>
      <c r="F558" s="13"/>
    </row>
    <row r="559" spans="1:6" ht="16" x14ac:dyDescent="0.2">
      <c r="A559" s="8"/>
      <c r="B559" s="8"/>
      <c r="C559" s="8"/>
      <c r="D559" s="8" t="str">
        <f t="shared" si="8"/>
        <v/>
      </c>
      <c r="E559" s="13"/>
      <c r="F559" s="13"/>
    </row>
    <row r="560" spans="1:6" ht="16" x14ac:dyDescent="0.2">
      <c r="A560" s="8"/>
      <c r="B560" s="8"/>
      <c r="C560" s="8"/>
      <c r="D560" s="8" t="str">
        <f t="shared" si="8"/>
        <v/>
      </c>
      <c r="E560" s="13"/>
      <c r="F560" s="13"/>
    </row>
    <row r="561" spans="1:6" ht="16" x14ac:dyDescent="0.2">
      <c r="A561" s="8"/>
      <c r="B561" s="8"/>
      <c r="C561" s="8"/>
      <c r="D561" s="8" t="str">
        <f t="shared" si="8"/>
        <v/>
      </c>
      <c r="E561" s="13"/>
      <c r="F561" s="13"/>
    </row>
    <row r="562" spans="1:6" ht="16" x14ac:dyDescent="0.2">
      <c r="A562" s="8"/>
      <c r="B562" s="8"/>
      <c r="C562" s="8"/>
      <c r="D562" s="8" t="str">
        <f t="shared" si="8"/>
        <v/>
      </c>
      <c r="E562" s="13"/>
      <c r="F562" s="13"/>
    </row>
    <row r="563" spans="1:6" ht="16" x14ac:dyDescent="0.2">
      <c r="A563" s="8"/>
      <c r="B563" s="8"/>
      <c r="C563" s="8"/>
      <c r="D563" s="8" t="str">
        <f t="shared" si="8"/>
        <v/>
      </c>
      <c r="E563" s="13"/>
      <c r="F563" s="13"/>
    </row>
    <row r="564" spans="1:6" ht="16" x14ac:dyDescent="0.2">
      <c r="A564" s="8"/>
      <c r="B564" s="8"/>
      <c r="C564" s="8"/>
      <c r="D564" s="8" t="str">
        <f t="shared" si="8"/>
        <v/>
      </c>
      <c r="E564" s="13"/>
      <c r="F564" s="13"/>
    </row>
    <row r="565" spans="1:6" ht="16" x14ac:dyDescent="0.2">
      <c r="A565" s="8"/>
      <c r="B565" s="8"/>
      <c r="C565" s="8"/>
      <c r="D565" s="8" t="str">
        <f t="shared" si="8"/>
        <v/>
      </c>
      <c r="E565" s="13"/>
      <c r="F565" s="13"/>
    </row>
    <row r="566" spans="1:6" ht="16" x14ac:dyDescent="0.2">
      <c r="A566" s="8"/>
      <c r="B566" s="8"/>
      <c r="C566" s="8"/>
      <c r="D566" s="8" t="str">
        <f t="shared" si="8"/>
        <v/>
      </c>
      <c r="E566" s="13"/>
      <c r="F566" s="13"/>
    </row>
    <row r="567" spans="1:6" ht="16" x14ac:dyDescent="0.2">
      <c r="A567" s="8"/>
      <c r="B567" s="8"/>
      <c r="C567" s="8"/>
      <c r="D567" s="8" t="str">
        <f t="shared" si="8"/>
        <v/>
      </c>
      <c r="E567" s="13"/>
      <c r="F567" s="13"/>
    </row>
    <row r="568" spans="1:6" ht="16" x14ac:dyDescent="0.2">
      <c r="A568" s="8"/>
      <c r="B568" s="8"/>
      <c r="C568" s="8"/>
      <c r="D568" s="8" t="str">
        <f t="shared" si="8"/>
        <v/>
      </c>
      <c r="E568" s="13"/>
      <c r="F568" s="13"/>
    </row>
    <row r="569" spans="1:6" ht="16" x14ac:dyDescent="0.2">
      <c r="A569" s="8"/>
      <c r="B569" s="8"/>
      <c r="C569" s="8"/>
      <c r="D569" s="8" t="str">
        <f t="shared" si="8"/>
        <v/>
      </c>
      <c r="E569" s="13"/>
      <c r="F569" s="13"/>
    </row>
    <row r="570" spans="1:6" ht="16" x14ac:dyDescent="0.2">
      <c r="A570" s="8"/>
      <c r="B570" s="8"/>
      <c r="C570" s="8"/>
      <c r="D570" s="8" t="str">
        <f t="shared" si="8"/>
        <v/>
      </c>
      <c r="E570" s="13"/>
      <c r="F570" s="13"/>
    </row>
    <row r="571" spans="1:6" ht="16" x14ac:dyDescent="0.2">
      <c r="A571" s="8"/>
      <c r="B571" s="8"/>
      <c r="C571" s="8"/>
      <c r="D571" s="8" t="str">
        <f t="shared" si="8"/>
        <v/>
      </c>
      <c r="E571" s="13"/>
      <c r="F571" s="13"/>
    </row>
    <row r="572" spans="1:6" ht="16" x14ac:dyDescent="0.2">
      <c r="A572" s="8"/>
      <c r="B572" s="8"/>
      <c r="C572" s="8"/>
      <c r="D572" s="8" t="str">
        <f t="shared" si="8"/>
        <v/>
      </c>
      <c r="E572" s="13"/>
      <c r="F572" s="13"/>
    </row>
    <row r="573" spans="1:6" ht="16" x14ac:dyDescent="0.2">
      <c r="A573" s="8"/>
      <c r="B573" s="8"/>
      <c r="C573" s="8"/>
      <c r="D573" s="8" t="str">
        <f t="shared" si="8"/>
        <v/>
      </c>
      <c r="E573" s="13"/>
      <c r="F573" s="13"/>
    </row>
    <row r="574" spans="1:6" ht="16" x14ac:dyDescent="0.2">
      <c r="A574" s="8"/>
      <c r="B574" s="8"/>
      <c r="C574" s="8"/>
      <c r="D574" s="8" t="str">
        <f t="shared" si="8"/>
        <v/>
      </c>
      <c r="E574" s="13"/>
      <c r="F574" s="13"/>
    </row>
    <row r="575" spans="1:6" ht="16" x14ac:dyDescent="0.2">
      <c r="A575" s="8"/>
      <c r="B575" s="8"/>
      <c r="C575" s="8"/>
      <c r="D575" s="8" t="str">
        <f t="shared" si="8"/>
        <v/>
      </c>
      <c r="E575" s="13"/>
      <c r="F575" s="13"/>
    </row>
    <row r="576" spans="1:6" ht="16" x14ac:dyDescent="0.2">
      <c r="A576" s="8"/>
      <c r="B576" s="8"/>
      <c r="C576" s="8"/>
      <c r="D576" s="8" t="str">
        <f t="shared" si="8"/>
        <v/>
      </c>
      <c r="E576" s="13"/>
      <c r="F576" s="13"/>
    </row>
    <row r="577" spans="1:6" ht="16" x14ac:dyDescent="0.2">
      <c r="A577" s="8"/>
      <c r="B577" s="8"/>
      <c r="C577" s="8"/>
      <c r="D577" s="8" t="str">
        <f t="shared" si="8"/>
        <v/>
      </c>
      <c r="E577" s="13"/>
      <c r="F577" s="13"/>
    </row>
    <row r="578" spans="1:6" ht="16" x14ac:dyDescent="0.2">
      <c r="A578" s="8"/>
      <c r="B578" s="8"/>
      <c r="C578" s="8"/>
      <c r="D578" s="8" t="str">
        <f t="shared" si="8"/>
        <v/>
      </c>
      <c r="E578" s="13"/>
      <c r="F578" s="13"/>
    </row>
    <row r="579" spans="1:6" ht="16" x14ac:dyDescent="0.2">
      <c r="A579" s="8"/>
      <c r="B579" s="8"/>
      <c r="C579" s="8"/>
      <c r="D579" s="8" t="str">
        <f t="shared" ref="D579:D642" si="9">IF(A579=0,"","MinMax")</f>
        <v/>
      </c>
      <c r="E579" s="13"/>
      <c r="F579" s="13"/>
    </row>
    <row r="580" spans="1:6" ht="16" x14ac:dyDescent="0.2">
      <c r="A580" s="8"/>
      <c r="B580" s="8"/>
      <c r="C580" s="8"/>
      <c r="D580" s="8" t="str">
        <f t="shared" si="9"/>
        <v/>
      </c>
      <c r="E580" s="13"/>
      <c r="F580" s="13"/>
    </row>
    <row r="581" spans="1:6" ht="16" x14ac:dyDescent="0.2">
      <c r="A581" s="8"/>
      <c r="B581" s="8"/>
      <c r="C581" s="8"/>
      <c r="D581" s="8" t="str">
        <f t="shared" si="9"/>
        <v/>
      </c>
      <c r="E581" s="13"/>
      <c r="F581" s="13"/>
    </row>
    <row r="582" spans="1:6" ht="16" x14ac:dyDescent="0.2">
      <c r="A582" s="8"/>
      <c r="B582" s="8"/>
      <c r="C582" s="8"/>
      <c r="D582" s="8" t="str">
        <f t="shared" si="9"/>
        <v/>
      </c>
      <c r="E582" s="13"/>
      <c r="F582" s="13"/>
    </row>
    <row r="583" spans="1:6" ht="16" x14ac:dyDescent="0.2">
      <c r="A583" s="8"/>
      <c r="B583" s="8"/>
      <c r="C583" s="8"/>
      <c r="D583" s="8" t="str">
        <f t="shared" si="9"/>
        <v/>
      </c>
      <c r="E583" s="13"/>
      <c r="F583" s="13"/>
    </row>
    <row r="584" spans="1:6" ht="16" x14ac:dyDescent="0.2">
      <c r="A584" s="8"/>
      <c r="B584" s="8"/>
      <c r="C584" s="8"/>
      <c r="D584" s="8" t="str">
        <f t="shared" si="9"/>
        <v/>
      </c>
      <c r="E584" s="13"/>
      <c r="F584" s="13"/>
    </row>
    <row r="585" spans="1:6" ht="16" x14ac:dyDescent="0.2">
      <c r="A585" s="8"/>
      <c r="B585" s="8"/>
      <c r="C585" s="8"/>
      <c r="D585" s="8" t="str">
        <f t="shared" si="9"/>
        <v/>
      </c>
      <c r="E585" s="13"/>
      <c r="F585" s="13"/>
    </row>
    <row r="586" spans="1:6" ht="16" x14ac:dyDescent="0.2">
      <c r="A586" s="8"/>
      <c r="B586" s="8"/>
      <c r="C586" s="8"/>
      <c r="D586" s="8" t="str">
        <f t="shared" si="9"/>
        <v/>
      </c>
      <c r="E586" s="13"/>
      <c r="F586" s="13"/>
    </row>
    <row r="587" spans="1:6" ht="16" x14ac:dyDescent="0.2">
      <c r="A587" s="8"/>
      <c r="B587" s="8"/>
      <c r="C587" s="8"/>
      <c r="D587" s="8" t="str">
        <f t="shared" si="9"/>
        <v/>
      </c>
      <c r="E587" s="13"/>
      <c r="F587" s="13"/>
    </row>
    <row r="588" spans="1:6" ht="16" x14ac:dyDescent="0.2">
      <c r="A588" s="8"/>
      <c r="B588" s="8"/>
      <c r="C588" s="8"/>
      <c r="D588" s="8" t="str">
        <f t="shared" si="9"/>
        <v/>
      </c>
      <c r="E588" s="13"/>
      <c r="F588" s="13"/>
    </row>
    <row r="589" spans="1:6" ht="16" x14ac:dyDescent="0.2">
      <c r="A589" s="8"/>
      <c r="B589" s="8"/>
      <c r="C589" s="8"/>
      <c r="D589" s="8" t="str">
        <f t="shared" si="9"/>
        <v/>
      </c>
      <c r="E589" s="13"/>
      <c r="F589" s="13"/>
    </row>
    <row r="590" spans="1:6" ht="16" x14ac:dyDescent="0.2">
      <c r="A590" s="8"/>
      <c r="B590" s="8"/>
      <c r="C590" s="8"/>
      <c r="D590" s="8" t="str">
        <f t="shared" si="9"/>
        <v/>
      </c>
      <c r="E590" s="13"/>
      <c r="F590" s="13"/>
    </row>
    <row r="591" spans="1:6" ht="16" x14ac:dyDescent="0.2">
      <c r="A591" s="8"/>
      <c r="B591" s="8"/>
      <c r="C591" s="8"/>
      <c r="D591" s="8" t="str">
        <f t="shared" si="9"/>
        <v/>
      </c>
      <c r="E591" s="13"/>
      <c r="F591" s="13"/>
    </row>
    <row r="592" spans="1:6" ht="16" x14ac:dyDescent="0.2">
      <c r="A592" s="8"/>
      <c r="B592" s="8"/>
      <c r="C592" s="8"/>
      <c r="D592" s="8" t="str">
        <f t="shared" si="9"/>
        <v/>
      </c>
      <c r="E592" s="13"/>
      <c r="F592" s="13"/>
    </row>
    <row r="593" spans="1:6" ht="16" x14ac:dyDescent="0.2">
      <c r="A593" s="8"/>
      <c r="B593" s="8"/>
      <c r="C593" s="8"/>
      <c r="D593" s="8" t="str">
        <f t="shared" si="9"/>
        <v/>
      </c>
      <c r="E593" s="13"/>
      <c r="F593" s="13"/>
    </row>
    <row r="594" spans="1:6" ht="16" x14ac:dyDescent="0.2">
      <c r="A594" s="8"/>
      <c r="B594" s="8"/>
      <c r="C594" s="8"/>
      <c r="D594" s="8" t="str">
        <f t="shared" si="9"/>
        <v/>
      </c>
      <c r="E594" s="13"/>
      <c r="F594" s="13"/>
    </row>
    <row r="595" spans="1:6" ht="16" x14ac:dyDescent="0.2">
      <c r="A595" s="8"/>
      <c r="B595" s="8"/>
      <c r="C595" s="8"/>
      <c r="D595" s="8" t="str">
        <f t="shared" si="9"/>
        <v/>
      </c>
      <c r="E595" s="13"/>
      <c r="F595" s="13"/>
    </row>
    <row r="596" spans="1:6" ht="16" x14ac:dyDescent="0.2">
      <c r="A596" s="8"/>
      <c r="B596" s="8"/>
      <c r="C596" s="8"/>
      <c r="D596" s="8" t="str">
        <f t="shared" si="9"/>
        <v/>
      </c>
      <c r="E596" s="13"/>
      <c r="F596" s="13"/>
    </row>
    <row r="597" spans="1:6" ht="16" x14ac:dyDescent="0.2">
      <c r="A597" s="8"/>
      <c r="B597" s="8"/>
      <c r="C597" s="8"/>
      <c r="D597" s="8" t="str">
        <f t="shared" si="9"/>
        <v/>
      </c>
      <c r="E597" s="13"/>
      <c r="F597" s="13"/>
    </row>
    <row r="598" spans="1:6" ht="16" x14ac:dyDescent="0.2">
      <c r="A598" s="8"/>
      <c r="B598" s="8"/>
      <c r="C598" s="8"/>
      <c r="D598" s="8" t="str">
        <f t="shared" si="9"/>
        <v/>
      </c>
      <c r="E598" s="13"/>
      <c r="F598" s="13"/>
    </row>
    <row r="599" spans="1:6" ht="16" x14ac:dyDescent="0.2">
      <c r="A599" s="8"/>
      <c r="B599" s="8"/>
      <c r="C599" s="8"/>
      <c r="D599" s="8" t="str">
        <f t="shared" si="9"/>
        <v/>
      </c>
      <c r="E599" s="13"/>
      <c r="F599" s="13"/>
    </row>
    <row r="600" spans="1:6" ht="16" x14ac:dyDescent="0.2">
      <c r="A600" s="8"/>
      <c r="B600" s="8"/>
      <c r="C600" s="8"/>
      <c r="D600" s="8" t="str">
        <f t="shared" si="9"/>
        <v/>
      </c>
      <c r="E600" s="13"/>
      <c r="F600" s="13"/>
    </row>
    <row r="601" spans="1:6" ht="16" x14ac:dyDescent="0.2">
      <c r="A601" s="8"/>
      <c r="B601" s="8"/>
      <c r="C601" s="8"/>
      <c r="D601" s="8" t="str">
        <f t="shared" si="9"/>
        <v/>
      </c>
      <c r="E601" s="13"/>
      <c r="F601" s="13"/>
    </row>
    <row r="602" spans="1:6" ht="16" x14ac:dyDescent="0.2">
      <c r="A602" s="8"/>
      <c r="B602" s="8"/>
      <c r="C602" s="8"/>
      <c r="D602" s="8" t="str">
        <f t="shared" si="9"/>
        <v/>
      </c>
      <c r="E602" s="13"/>
      <c r="F602" s="13"/>
    </row>
    <row r="603" spans="1:6" ht="16" x14ac:dyDescent="0.2">
      <c r="A603" s="8"/>
      <c r="B603" s="8"/>
      <c r="C603" s="8"/>
      <c r="D603" s="8" t="str">
        <f t="shared" si="9"/>
        <v/>
      </c>
      <c r="E603" s="13"/>
      <c r="F603" s="13"/>
    </row>
    <row r="604" spans="1:6" ht="16" x14ac:dyDescent="0.2">
      <c r="A604" s="8"/>
      <c r="B604" s="8"/>
      <c r="C604" s="8"/>
      <c r="D604" s="8" t="str">
        <f t="shared" si="9"/>
        <v/>
      </c>
      <c r="E604" s="13"/>
      <c r="F604" s="13"/>
    </row>
    <row r="605" spans="1:6" ht="16" x14ac:dyDescent="0.2">
      <c r="A605" s="8"/>
      <c r="B605" s="8"/>
      <c r="C605" s="8"/>
      <c r="D605" s="8" t="str">
        <f t="shared" si="9"/>
        <v/>
      </c>
      <c r="E605" s="13"/>
      <c r="F605" s="13"/>
    </row>
    <row r="606" spans="1:6" ht="16" x14ac:dyDescent="0.2">
      <c r="A606" s="8"/>
      <c r="B606" s="8"/>
      <c r="C606" s="8"/>
      <c r="D606" s="8" t="str">
        <f t="shared" si="9"/>
        <v/>
      </c>
      <c r="E606" s="13"/>
      <c r="F606" s="13"/>
    </row>
    <row r="607" spans="1:6" ht="16" x14ac:dyDescent="0.2">
      <c r="A607" s="8"/>
      <c r="B607" s="8"/>
      <c r="C607" s="8"/>
      <c r="D607" s="8" t="str">
        <f t="shared" si="9"/>
        <v/>
      </c>
      <c r="E607" s="13"/>
      <c r="F607" s="13"/>
    </row>
    <row r="608" spans="1:6" ht="16" x14ac:dyDescent="0.2">
      <c r="A608" s="8"/>
      <c r="B608" s="8"/>
      <c r="C608" s="8"/>
      <c r="D608" s="8" t="str">
        <f t="shared" si="9"/>
        <v/>
      </c>
      <c r="E608" s="13"/>
      <c r="F608" s="13"/>
    </row>
    <row r="609" spans="1:6" ht="16" x14ac:dyDescent="0.2">
      <c r="A609" s="8"/>
      <c r="B609" s="8"/>
      <c r="C609" s="8"/>
      <c r="D609" s="8" t="str">
        <f t="shared" si="9"/>
        <v/>
      </c>
      <c r="E609" s="13"/>
      <c r="F609" s="13"/>
    </row>
    <row r="610" spans="1:6" ht="16" x14ac:dyDescent="0.2">
      <c r="A610" s="8"/>
      <c r="B610" s="8"/>
      <c r="C610" s="8"/>
      <c r="D610" s="8" t="str">
        <f t="shared" si="9"/>
        <v/>
      </c>
      <c r="E610" s="13"/>
      <c r="F610" s="13"/>
    </row>
    <row r="611" spans="1:6" ht="16" x14ac:dyDescent="0.2">
      <c r="A611" s="8"/>
      <c r="B611" s="8"/>
      <c r="C611" s="8"/>
      <c r="D611" s="8" t="str">
        <f t="shared" si="9"/>
        <v/>
      </c>
      <c r="E611" s="13"/>
      <c r="F611" s="13"/>
    </row>
    <row r="612" spans="1:6" ht="16" x14ac:dyDescent="0.2">
      <c r="A612" s="8"/>
      <c r="B612" s="8"/>
      <c r="C612" s="8"/>
      <c r="D612" s="8" t="str">
        <f t="shared" si="9"/>
        <v/>
      </c>
      <c r="E612" s="13"/>
      <c r="F612" s="13"/>
    </row>
    <row r="613" spans="1:6" ht="16" x14ac:dyDescent="0.2">
      <c r="A613" s="8"/>
      <c r="B613" s="8"/>
      <c r="C613" s="8"/>
      <c r="D613" s="8" t="str">
        <f t="shared" si="9"/>
        <v/>
      </c>
      <c r="E613" s="13"/>
      <c r="F613" s="13"/>
    </row>
    <row r="614" spans="1:6" ht="16" x14ac:dyDescent="0.2">
      <c r="A614" s="8"/>
      <c r="B614" s="8"/>
      <c r="C614" s="8"/>
      <c r="D614" s="8" t="str">
        <f t="shared" si="9"/>
        <v/>
      </c>
      <c r="E614" s="13"/>
      <c r="F614" s="13"/>
    </row>
    <row r="615" spans="1:6" ht="16" x14ac:dyDescent="0.2">
      <c r="A615" s="8"/>
      <c r="B615" s="8"/>
      <c r="C615" s="8"/>
      <c r="D615" s="8" t="str">
        <f t="shared" si="9"/>
        <v/>
      </c>
      <c r="E615" s="13"/>
      <c r="F615" s="13"/>
    </row>
    <row r="616" spans="1:6" ht="16" x14ac:dyDescent="0.2">
      <c r="A616" s="8"/>
      <c r="B616" s="8"/>
      <c r="C616" s="8"/>
      <c r="D616" s="8" t="str">
        <f t="shared" si="9"/>
        <v/>
      </c>
      <c r="E616" s="13"/>
      <c r="F616" s="13"/>
    </row>
    <row r="617" spans="1:6" ht="16" x14ac:dyDescent="0.2">
      <c r="A617" s="8"/>
      <c r="B617" s="8"/>
      <c r="C617" s="8"/>
      <c r="D617" s="8" t="str">
        <f t="shared" si="9"/>
        <v/>
      </c>
      <c r="E617" s="13"/>
      <c r="F617" s="13"/>
    </row>
    <row r="618" spans="1:6" ht="16" x14ac:dyDescent="0.2">
      <c r="A618" s="8"/>
      <c r="B618" s="8"/>
      <c r="C618" s="8"/>
      <c r="D618" s="8" t="str">
        <f t="shared" si="9"/>
        <v/>
      </c>
      <c r="E618" s="13"/>
      <c r="F618" s="13"/>
    </row>
    <row r="619" spans="1:6" ht="16" x14ac:dyDescent="0.2">
      <c r="A619" s="8"/>
      <c r="B619" s="8"/>
      <c r="C619" s="8"/>
      <c r="D619" s="8" t="str">
        <f t="shared" si="9"/>
        <v/>
      </c>
      <c r="E619" s="13"/>
      <c r="F619" s="13"/>
    </row>
    <row r="620" spans="1:6" ht="16" x14ac:dyDescent="0.2">
      <c r="A620" s="8"/>
      <c r="B620" s="8"/>
      <c r="C620" s="8"/>
      <c r="D620" s="8" t="str">
        <f t="shared" si="9"/>
        <v/>
      </c>
      <c r="E620" s="13"/>
      <c r="F620" s="13"/>
    </row>
    <row r="621" spans="1:6" ht="16" x14ac:dyDescent="0.2">
      <c r="A621" s="8"/>
      <c r="B621" s="8"/>
      <c r="C621" s="8"/>
      <c r="D621" s="8" t="str">
        <f t="shared" si="9"/>
        <v/>
      </c>
      <c r="E621" s="13"/>
      <c r="F621" s="13"/>
    </row>
    <row r="622" spans="1:6" ht="16" x14ac:dyDescent="0.2">
      <c r="A622" s="8"/>
      <c r="B622" s="8"/>
      <c r="C622" s="8"/>
      <c r="D622" s="8" t="str">
        <f t="shared" si="9"/>
        <v/>
      </c>
      <c r="E622" s="13"/>
      <c r="F622" s="13"/>
    </row>
    <row r="623" spans="1:6" ht="16" x14ac:dyDescent="0.2">
      <c r="A623" s="8"/>
      <c r="B623" s="8"/>
      <c r="C623" s="8"/>
      <c r="D623" s="8" t="str">
        <f t="shared" si="9"/>
        <v/>
      </c>
      <c r="E623" s="13"/>
      <c r="F623" s="13"/>
    </row>
    <row r="624" spans="1:6" ht="16" x14ac:dyDescent="0.2">
      <c r="A624" s="8"/>
      <c r="B624" s="8"/>
      <c r="C624" s="8"/>
      <c r="D624" s="8" t="str">
        <f t="shared" si="9"/>
        <v/>
      </c>
      <c r="E624" s="13"/>
      <c r="F624" s="13"/>
    </row>
    <row r="625" spans="1:6" ht="16" x14ac:dyDescent="0.2">
      <c r="A625" s="8"/>
      <c r="B625" s="8"/>
      <c r="C625" s="8"/>
      <c r="D625" s="8" t="str">
        <f t="shared" si="9"/>
        <v/>
      </c>
      <c r="E625" s="13"/>
      <c r="F625" s="13"/>
    </row>
    <row r="626" spans="1:6" ht="16" x14ac:dyDescent="0.2">
      <c r="A626" s="8"/>
      <c r="B626" s="8"/>
      <c r="C626" s="8"/>
      <c r="D626" s="8" t="str">
        <f t="shared" si="9"/>
        <v/>
      </c>
      <c r="E626" s="13"/>
      <c r="F626" s="13"/>
    </row>
    <row r="627" spans="1:6" ht="16" x14ac:dyDescent="0.2">
      <c r="A627" s="8"/>
      <c r="B627" s="8"/>
      <c r="C627" s="8"/>
      <c r="D627" s="8" t="str">
        <f t="shared" si="9"/>
        <v/>
      </c>
      <c r="E627" s="13"/>
      <c r="F627" s="13"/>
    </row>
    <row r="628" spans="1:6" ht="16" x14ac:dyDescent="0.2">
      <c r="A628" s="8"/>
      <c r="B628" s="8"/>
      <c r="C628" s="8"/>
      <c r="D628" s="8" t="str">
        <f t="shared" si="9"/>
        <v/>
      </c>
      <c r="E628" s="13"/>
      <c r="F628" s="13"/>
    </row>
    <row r="629" spans="1:6" ht="16" x14ac:dyDescent="0.2">
      <c r="A629" s="8"/>
      <c r="B629" s="8"/>
      <c r="C629" s="8"/>
      <c r="D629" s="8" t="str">
        <f t="shared" si="9"/>
        <v/>
      </c>
      <c r="E629" s="13"/>
      <c r="F629" s="13"/>
    </row>
    <row r="630" spans="1:6" ht="16" x14ac:dyDescent="0.2">
      <c r="A630" s="8"/>
      <c r="B630" s="8"/>
      <c r="C630" s="8"/>
      <c r="D630" s="8" t="str">
        <f t="shared" si="9"/>
        <v/>
      </c>
      <c r="E630" s="13"/>
      <c r="F630" s="13"/>
    </row>
    <row r="631" spans="1:6" ht="16" x14ac:dyDescent="0.2">
      <c r="A631" s="8"/>
      <c r="B631" s="8"/>
      <c r="C631" s="8"/>
      <c r="D631" s="8" t="str">
        <f t="shared" si="9"/>
        <v/>
      </c>
      <c r="E631" s="13"/>
      <c r="F631" s="13"/>
    </row>
    <row r="632" spans="1:6" ht="16" x14ac:dyDescent="0.2">
      <c r="A632" s="8"/>
      <c r="B632" s="8"/>
      <c r="C632" s="8"/>
      <c r="D632" s="8" t="str">
        <f t="shared" si="9"/>
        <v/>
      </c>
      <c r="E632" s="13"/>
      <c r="F632" s="13"/>
    </row>
    <row r="633" spans="1:6" ht="16" x14ac:dyDescent="0.2">
      <c r="A633" s="8"/>
      <c r="B633" s="8"/>
      <c r="C633" s="8"/>
      <c r="D633" s="8" t="str">
        <f t="shared" si="9"/>
        <v/>
      </c>
      <c r="E633" s="13"/>
      <c r="F633" s="13"/>
    </row>
    <row r="634" spans="1:6" ht="16" x14ac:dyDescent="0.2">
      <c r="A634" s="8"/>
      <c r="B634" s="8"/>
      <c r="C634" s="8"/>
      <c r="D634" s="8" t="str">
        <f t="shared" si="9"/>
        <v/>
      </c>
      <c r="E634" s="13"/>
      <c r="F634" s="13"/>
    </row>
    <row r="635" spans="1:6" ht="16" x14ac:dyDescent="0.2">
      <c r="A635" s="8"/>
      <c r="B635" s="8"/>
      <c r="C635" s="8"/>
      <c r="D635" s="8" t="str">
        <f t="shared" si="9"/>
        <v/>
      </c>
      <c r="E635" s="13"/>
      <c r="F635" s="13"/>
    </row>
    <row r="636" spans="1:6" ht="16" x14ac:dyDescent="0.2">
      <c r="A636" s="8"/>
      <c r="B636" s="8"/>
      <c r="C636" s="8"/>
      <c r="D636" s="8" t="str">
        <f t="shared" si="9"/>
        <v/>
      </c>
      <c r="E636" s="13"/>
      <c r="F636" s="13"/>
    </row>
    <row r="637" spans="1:6" ht="16" x14ac:dyDescent="0.2">
      <c r="A637" s="8"/>
      <c r="B637" s="8"/>
      <c r="C637" s="8"/>
      <c r="D637" s="8" t="str">
        <f t="shared" si="9"/>
        <v/>
      </c>
      <c r="E637" s="13"/>
      <c r="F637" s="13"/>
    </row>
    <row r="638" spans="1:6" ht="16" x14ac:dyDescent="0.2">
      <c r="A638" s="8"/>
      <c r="B638" s="8"/>
      <c r="C638" s="8"/>
      <c r="D638" s="8" t="str">
        <f t="shared" si="9"/>
        <v/>
      </c>
      <c r="E638" s="13"/>
      <c r="F638" s="13"/>
    </row>
    <row r="639" spans="1:6" ht="16" x14ac:dyDescent="0.2">
      <c r="A639" s="8"/>
      <c r="B639" s="8"/>
      <c r="C639" s="8"/>
      <c r="D639" s="8" t="str">
        <f t="shared" si="9"/>
        <v/>
      </c>
      <c r="E639" s="13"/>
      <c r="F639" s="13"/>
    </row>
    <row r="640" spans="1:6" ht="16" x14ac:dyDescent="0.2">
      <c r="A640" s="8"/>
      <c r="B640" s="8"/>
      <c r="C640" s="8"/>
      <c r="D640" s="8" t="str">
        <f t="shared" si="9"/>
        <v/>
      </c>
      <c r="E640" s="13"/>
      <c r="F640" s="13"/>
    </row>
    <row r="641" spans="1:6" ht="16" x14ac:dyDescent="0.2">
      <c r="A641" s="8"/>
      <c r="B641" s="8"/>
      <c r="C641" s="8"/>
      <c r="D641" s="8" t="str">
        <f t="shared" si="9"/>
        <v/>
      </c>
      <c r="E641" s="13"/>
      <c r="F641" s="13"/>
    </row>
    <row r="642" spans="1:6" ht="16" x14ac:dyDescent="0.2">
      <c r="A642" s="8"/>
      <c r="B642" s="8"/>
      <c r="C642" s="8"/>
      <c r="D642" s="8" t="str">
        <f t="shared" si="9"/>
        <v/>
      </c>
      <c r="E642" s="13"/>
      <c r="F642" s="13"/>
    </row>
    <row r="643" spans="1:6" ht="16" x14ac:dyDescent="0.2">
      <c r="A643" s="8"/>
      <c r="B643" s="8"/>
      <c r="C643" s="8"/>
      <c r="D643" s="8" t="str">
        <f t="shared" ref="D643:D706" si="10">IF(A643=0,"","MinMax")</f>
        <v/>
      </c>
      <c r="E643" s="13"/>
      <c r="F643" s="13"/>
    </row>
    <row r="644" spans="1:6" ht="16" x14ac:dyDescent="0.2">
      <c r="A644" s="8"/>
      <c r="B644" s="8"/>
      <c r="C644" s="8"/>
      <c r="D644" s="8" t="str">
        <f t="shared" si="10"/>
        <v/>
      </c>
      <c r="E644" s="13"/>
      <c r="F644" s="13"/>
    </row>
    <row r="645" spans="1:6" ht="16" x14ac:dyDescent="0.2">
      <c r="A645" s="8"/>
      <c r="B645" s="8"/>
      <c r="C645" s="8"/>
      <c r="D645" s="8" t="str">
        <f t="shared" si="10"/>
        <v/>
      </c>
      <c r="E645" s="13"/>
      <c r="F645" s="13"/>
    </row>
    <row r="646" spans="1:6" ht="16" x14ac:dyDescent="0.2">
      <c r="A646" s="8"/>
      <c r="B646" s="8"/>
      <c r="C646" s="8"/>
      <c r="D646" s="8" t="str">
        <f t="shared" si="10"/>
        <v/>
      </c>
      <c r="E646" s="13"/>
      <c r="F646" s="13"/>
    </row>
    <row r="647" spans="1:6" ht="16" x14ac:dyDescent="0.2">
      <c r="A647" s="8"/>
      <c r="B647" s="8"/>
      <c r="C647" s="8"/>
      <c r="D647" s="8" t="str">
        <f t="shared" si="10"/>
        <v/>
      </c>
      <c r="E647" s="13"/>
      <c r="F647" s="13"/>
    </row>
    <row r="648" spans="1:6" ht="16" x14ac:dyDescent="0.2">
      <c r="A648" s="8"/>
      <c r="B648" s="8"/>
      <c r="C648" s="8"/>
      <c r="D648" s="8" t="str">
        <f t="shared" si="10"/>
        <v/>
      </c>
      <c r="E648" s="13"/>
      <c r="F648" s="13"/>
    </row>
    <row r="649" spans="1:6" ht="16" x14ac:dyDescent="0.2">
      <c r="A649" s="8"/>
      <c r="B649" s="8"/>
      <c r="C649" s="8"/>
      <c r="D649" s="8" t="str">
        <f t="shared" si="10"/>
        <v/>
      </c>
      <c r="E649" s="13"/>
      <c r="F649" s="13"/>
    </row>
    <row r="650" spans="1:6" ht="16" x14ac:dyDescent="0.2">
      <c r="A650" s="8"/>
      <c r="B650" s="8"/>
      <c r="C650" s="8"/>
      <c r="D650" s="8" t="str">
        <f t="shared" si="10"/>
        <v/>
      </c>
      <c r="E650" s="13"/>
      <c r="F650" s="13"/>
    </row>
    <row r="651" spans="1:6" ht="16" x14ac:dyDescent="0.2">
      <c r="A651" s="8"/>
      <c r="B651" s="8"/>
      <c r="C651" s="8"/>
      <c r="D651" s="8" t="str">
        <f t="shared" si="10"/>
        <v/>
      </c>
      <c r="E651" s="13"/>
      <c r="F651" s="13"/>
    </row>
    <row r="652" spans="1:6" ht="16" x14ac:dyDescent="0.2">
      <c r="A652" s="8"/>
      <c r="B652" s="8"/>
      <c r="C652" s="8"/>
      <c r="D652" s="8" t="str">
        <f t="shared" si="10"/>
        <v/>
      </c>
      <c r="E652" s="13"/>
      <c r="F652" s="13"/>
    </row>
    <row r="653" spans="1:6" ht="16" x14ac:dyDescent="0.2">
      <c r="A653" s="8"/>
      <c r="B653" s="8"/>
      <c r="C653" s="8"/>
      <c r="D653" s="8" t="str">
        <f t="shared" si="10"/>
        <v/>
      </c>
      <c r="E653" s="13"/>
      <c r="F653" s="13"/>
    </row>
    <row r="654" spans="1:6" ht="16" x14ac:dyDescent="0.2">
      <c r="A654" s="8"/>
      <c r="B654" s="8"/>
      <c r="C654" s="8"/>
      <c r="D654" s="8" t="str">
        <f t="shared" si="10"/>
        <v/>
      </c>
      <c r="E654" s="13"/>
      <c r="F654" s="13"/>
    </row>
    <row r="655" spans="1:6" ht="16" x14ac:dyDescent="0.2">
      <c r="A655" s="8"/>
      <c r="B655" s="8"/>
      <c r="C655" s="8"/>
      <c r="D655" s="8" t="str">
        <f t="shared" si="10"/>
        <v/>
      </c>
      <c r="E655" s="13"/>
      <c r="F655" s="13"/>
    </row>
    <row r="656" spans="1:6" ht="16" x14ac:dyDescent="0.2">
      <c r="A656" s="8"/>
      <c r="B656" s="8"/>
      <c r="C656" s="8"/>
      <c r="D656" s="8" t="str">
        <f t="shared" si="10"/>
        <v/>
      </c>
      <c r="E656" s="13"/>
      <c r="F656" s="13"/>
    </row>
    <row r="657" spans="1:6" ht="16" x14ac:dyDescent="0.2">
      <c r="A657" s="8"/>
      <c r="B657" s="8"/>
      <c r="C657" s="8"/>
      <c r="D657" s="8" t="str">
        <f t="shared" si="10"/>
        <v/>
      </c>
      <c r="E657" s="13"/>
      <c r="F657" s="13"/>
    </row>
    <row r="658" spans="1:6" ht="16" x14ac:dyDescent="0.2">
      <c r="A658" s="8"/>
      <c r="B658" s="8"/>
      <c r="C658" s="8"/>
      <c r="D658" s="8" t="str">
        <f t="shared" si="10"/>
        <v/>
      </c>
      <c r="E658" s="13"/>
      <c r="F658" s="13"/>
    </row>
    <row r="659" spans="1:6" ht="16" x14ac:dyDescent="0.2">
      <c r="A659" s="8"/>
      <c r="B659" s="8"/>
      <c r="C659" s="8"/>
      <c r="D659" s="8" t="str">
        <f t="shared" si="10"/>
        <v/>
      </c>
      <c r="E659" s="13"/>
      <c r="F659" s="13"/>
    </row>
    <row r="660" spans="1:6" ht="16" x14ac:dyDescent="0.2">
      <c r="A660" s="8"/>
      <c r="B660" s="8"/>
      <c r="C660" s="8"/>
      <c r="D660" s="8" t="str">
        <f t="shared" si="10"/>
        <v/>
      </c>
      <c r="E660" s="13"/>
      <c r="F660" s="13"/>
    </row>
    <row r="661" spans="1:6" ht="16" x14ac:dyDescent="0.2">
      <c r="A661" s="8"/>
      <c r="B661" s="8"/>
      <c r="C661" s="8"/>
      <c r="D661" s="8" t="str">
        <f t="shared" si="10"/>
        <v/>
      </c>
      <c r="E661" s="13"/>
      <c r="F661" s="13"/>
    </row>
    <row r="662" spans="1:6" ht="16" x14ac:dyDescent="0.2">
      <c r="A662" s="8"/>
      <c r="B662" s="8"/>
      <c r="C662" s="8"/>
      <c r="D662" s="8" t="str">
        <f t="shared" si="10"/>
        <v/>
      </c>
      <c r="E662" s="13"/>
      <c r="F662" s="13"/>
    </row>
    <row r="663" spans="1:6" ht="16" x14ac:dyDescent="0.2">
      <c r="A663" s="8"/>
      <c r="B663" s="8"/>
      <c r="C663" s="8"/>
      <c r="D663" s="8" t="str">
        <f t="shared" si="10"/>
        <v/>
      </c>
      <c r="E663" s="13"/>
      <c r="F663" s="13"/>
    </row>
    <row r="664" spans="1:6" ht="16" x14ac:dyDescent="0.2">
      <c r="A664" s="8"/>
      <c r="B664" s="8"/>
      <c r="C664" s="8"/>
      <c r="D664" s="8" t="str">
        <f t="shared" si="10"/>
        <v/>
      </c>
      <c r="E664" s="13"/>
      <c r="F664" s="13"/>
    </row>
    <row r="665" spans="1:6" ht="16" x14ac:dyDescent="0.2">
      <c r="A665" s="8"/>
      <c r="B665" s="8"/>
      <c r="C665" s="8"/>
      <c r="D665" s="8" t="str">
        <f t="shared" si="10"/>
        <v/>
      </c>
      <c r="E665" s="13"/>
      <c r="F665" s="13"/>
    </row>
    <row r="666" spans="1:6" ht="16" x14ac:dyDescent="0.2">
      <c r="A666" s="8"/>
      <c r="B666" s="8"/>
      <c r="C666" s="8"/>
      <c r="D666" s="8" t="str">
        <f t="shared" si="10"/>
        <v/>
      </c>
      <c r="E666" s="13"/>
      <c r="F666" s="13"/>
    </row>
    <row r="667" spans="1:6" ht="16" x14ac:dyDescent="0.2">
      <c r="A667" s="8"/>
      <c r="B667" s="8"/>
      <c r="C667" s="8"/>
      <c r="D667" s="8" t="str">
        <f t="shared" si="10"/>
        <v/>
      </c>
      <c r="E667" s="13"/>
      <c r="F667" s="13"/>
    </row>
    <row r="668" spans="1:6" ht="16" x14ac:dyDescent="0.2">
      <c r="A668" s="8"/>
      <c r="B668" s="8"/>
      <c r="C668" s="8"/>
      <c r="D668" s="8" t="str">
        <f t="shared" si="10"/>
        <v/>
      </c>
      <c r="E668" s="13"/>
      <c r="F668" s="13"/>
    </row>
    <row r="669" spans="1:6" ht="16" x14ac:dyDescent="0.2">
      <c r="A669" s="8"/>
      <c r="B669" s="8"/>
      <c r="C669" s="8"/>
      <c r="D669" s="8" t="str">
        <f t="shared" si="10"/>
        <v/>
      </c>
      <c r="E669" s="13"/>
      <c r="F669" s="13"/>
    </row>
    <row r="670" spans="1:6" ht="16" x14ac:dyDescent="0.2">
      <c r="A670" s="8"/>
      <c r="B670" s="8"/>
      <c r="C670" s="8"/>
      <c r="D670" s="8" t="str">
        <f t="shared" si="10"/>
        <v/>
      </c>
      <c r="E670" s="13"/>
      <c r="F670" s="13"/>
    </row>
    <row r="671" spans="1:6" ht="16" x14ac:dyDescent="0.2">
      <c r="A671" s="8"/>
      <c r="B671" s="8"/>
      <c r="C671" s="8"/>
      <c r="D671" s="8" t="str">
        <f t="shared" si="10"/>
        <v/>
      </c>
      <c r="E671" s="13"/>
      <c r="F671" s="13"/>
    </row>
    <row r="672" spans="1:6" ht="16" x14ac:dyDescent="0.2">
      <c r="A672" s="8"/>
      <c r="B672" s="8"/>
      <c r="C672" s="8"/>
      <c r="D672" s="8" t="str">
        <f t="shared" si="10"/>
        <v/>
      </c>
      <c r="E672" s="13"/>
      <c r="F672" s="13"/>
    </row>
    <row r="673" spans="1:6" ht="16" x14ac:dyDescent="0.2">
      <c r="A673" s="8"/>
      <c r="B673" s="8"/>
      <c r="C673" s="8"/>
      <c r="D673" s="8" t="str">
        <f t="shared" si="10"/>
        <v/>
      </c>
      <c r="E673" s="13"/>
      <c r="F673" s="13"/>
    </row>
    <row r="674" spans="1:6" ht="16" x14ac:dyDescent="0.2">
      <c r="A674" s="8"/>
      <c r="B674" s="8"/>
      <c r="C674" s="8"/>
      <c r="D674" s="8" t="str">
        <f t="shared" si="10"/>
        <v/>
      </c>
      <c r="E674" s="13"/>
      <c r="F674" s="13"/>
    </row>
    <row r="675" spans="1:6" ht="16" x14ac:dyDescent="0.2">
      <c r="A675" s="8"/>
      <c r="B675" s="8"/>
      <c r="C675" s="8"/>
      <c r="D675" s="8" t="str">
        <f t="shared" si="10"/>
        <v/>
      </c>
      <c r="E675" s="13"/>
      <c r="F675" s="13"/>
    </row>
    <row r="676" spans="1:6" ht="16" x14ac:dyDescent="0.2">
      <c r="A676" s="8"/>
      <c r="B676" s="8"/>
      <c r="C676" s="8"/>
      <c r="D676" s="8" t="str">
        <f t="shared" si="10"/>
        <v/>
      </c>
      <c r="E676" s="13"/>
      <c r="F676" s="13"/>
    </row>
    <row r="677" spans="1:6" ht="16" x14ac:dyDescent="0.2">
      <c r="A677" s="8"/>
      <c r="B677" s="8"/>
      <c r="C677" s="8"/>
      <c r="D677" s="8" t="str">
        <f t="shared" si="10"/>
        <v/>
      </c>
      <c r="E677" s="13"/>
      <c r="F677" s="13"/>
    </row>
    <row r="678" spans="1:6" ht="16" x14ac:dyDescent="0.2">
      <c r="A678" s="8"/>
      <c r="B678" s="8"/>
      <c r="C678" s="8"/>
      <c r="D678" s="8" t="str">
        <f t="shared" si="10"/>
        <v/>
      </c>
      <c r="E678" s="13"/>
      <c r="F678" s="13"/>
    </row>
    <row r="679" spans="1:6" ht="16" x14ac:dyDescent="0.2">
      <c r="A679" s="8"/>
      <c r="B679" s="8"/>
      <c r="C679" s="8"/>
      <c r="D679" s="8" t="str">
        <f t="shared" si="10"/>
        <v/>
      </c>
      <c r="E679" s="13"/>
      <c r="F679" s="13"/>
    </row>
    <row r="680" spans="1:6" ht="16" x14ac:dyDescent="0.2">
      <c r="A680" s="8"/>
      <c r="B680" s="8"/>
      <c r="C680" s="8"/>
      <c r="D680" s="8" t="str">
        <f t="shared" si="10"/>
        <v/>
      </c>
      <c r="E680" s="13"/>
      <c r="F680" s="13"/>
    </row>
    <row r="681" spans="1:6" ht="16" x14ac:dyDescent="0.2">
      <c r="A681" s="8"/>
      <c r="B681" s="8"/>
      <c r="C681" s="8"/>
      <c r="D681" s="8" t="str">
        <f t="shared" si="10"/>
        <v/>
      </c>
      <c r="E681" s="13"/>
      <c r="F681" s="13"/>
    </row>
    <row r="682" spans="1:6" ht="16" x14ac:dyDescent="0.2">
      <c r="A682" s="8"/>
      <c r="B682" s="8"/>
      <c r="C682" s="8"/>
      <c r="D682" s="8" t="str">
        <f t="shared" si="10"/>
        <v/>
      </c>
      <c r="E682" s="13"/>
      <c r="F682" s="13"/>
    </row>
    <row r="683" spans="1:6" ht="16" x14ac:dyDescent="0.2">
      <c r="A683" s="8"/>
      <c r="B683" s="8"/>
      <c r="C683" s="8"/>
      <c r="D683" s="8" t="str">
        <f t="shared" si="10"/>
        <v/>
      </c>
      <c r="E683" s="13"/>
      <c r="F683" s="13"/>
    </row>
    <row r="684" spans="1:6" ht="16" x14ac:dyDescent="0.2">
      <c r="A684" s="8"/>
      <c r="B684" s="8"/>
      <c r="C684" s="8"/>
      <c r="D684" s="8" t="str">
        <f t="shared" si="10"/>
        <v/>
      </c>
      <c r="E684" s="13"/>
      <c r="F684" s="13"/>
    </row>
    <row r="685" spans="1:6" ht="16" x14ac:dyDescent="0.2">
      <c r="A685" s="8"/>
      <c r="B685" s="8"/>
      <c r="C685" s="8"/>
      <c r="D685" s="8" t="str">
        <f t="shared" si="10"/>
        <v/>
      </c>
      <c r="E685" s="13"/>
      <c r="F685" s="13"/>
    </row>
    <row r="686" spans="1:6" ht="16" x14ac:dyDescent="0.2">
      <c r="A686" s="8"/>
      <c r="B686" s="8"/>
      <c r="C686" s="8"/>
      <c r="D686" s="8" t="str">
        <f t="shared" si="10"/>
        <v/>
      </c>
      <c r="E686" s="13"/>
      <c r="F686" s="13"/>
    </row>
    <row r="687" spans="1:6" ht="16" x14ac:dyDescent="0.2">
      <c r="A687" s="8"/>
      <c r="B687" s="8"/>
      <c r="C687" s="8"/>
      <c r="D687" s="8" t="str">
        <f t="shared" si="10"/>
        <v/>
      </c>
      <c r="E687" s="13"/>
      <c r="F687" s="13"/>
    </row>
    <row r="688" spans="1:6" ht="16" x14ac:dyDescent="0.2">
      <c r="A688" s="8"/>
      <c r="B688" s="8"/>
      <c r="C688" s="8"/>
      <c r="D688" s="8" t="str">
        <f t="shared" si="10"/>
        <v/>
      </c>
      <c r="E688" s="13"/>
      <c r="F688" s="13"/>
    </row>
    <row r="689" spans="1:6" ht="16" x14ac:dyDescent="0.2">
      <c r="A689" s="8"/>
      <c r="B689" s="8"/>
      <c r="C689" s="8"/>
      <c r="D689" s="8" t="str">
        <f t="shared" si="10"/>
        <v/>
      </c>
      <c r="E689" s="13"/>
      <c r="F689" s="13"/>
    </row>
    <row r="690" spans="1:6" ht="16" x14ac:dyDescent="0.2">
      <c r="A690" s="8"/>
      <c r="B690" s="8"/>
      <c r="C690" s="8"/>
      <c r="D690" s="8" t="str">
        <f t="shared" si="10"/>
        <v/>
      </c>
      <c r="E690" s="13"/>
      <c r="F690" s="13"/>
    </row>
    <row r="691" spans="1:6" ht="16" x14ac:dyDescent="0.2">
      <c r="A691" s="8"/>
      <c r="B691" s="8"/>
      <c r="C691" s="8"/>
      <c r="D691" s="8" t="str">
        <f t="shared" si="10"/>
        <v/>
      </c>
      <c r="E691" s="13"/>
      <c r="F691" s="13"/>
    </row>
    <row r="692" spans="1:6" ht="16" x14ac:dyDescent="0.2">
      <c r="A692" s="8"/>
      <c r="B692" s="8"/>
      <c r="C692" s="8"/>
      <c r="D692" s="8" t="str">
        <f t="shared" si="10"/>
        <v/>
      </c>
      <c r="E692" s="13"/>
      <c r="F692" s="13"/>
    </row>
    <row r="693" spans="1:6" ht="16" x14ac:dyDescent="0.2">
      <c r="A693" s="8"/>
      <c r="B693" s="8"/>
      <c r="C693" s="8"/>
      <c r="D693" s="8" t="str">
        <f t="shared" si="10"/>
        <v/>
      </c>
      <c r="E693" s="13"/>
      <c r="F693" s="13"/>
    </row>
    <row r="694" spans="1:6" ht="16" x14ac:dyDescent="0.2">
      <c r="A694" s="8"/>
      <c r="B694" s="8"/>
      <c r="C694" s="8"/>
      <c r="D694" s="8" t="str">
        <f t="shared" si="10"/>
        <v/>
      </c>
      <c r="E694" s="13"/>
      <c r="F694" s="13"/>
    </row>
    <row r="695" spans="1:6" ht="16" x14ac:dyDescent="0.2">
      <c r="A695" s="8"/>
      <c r="B695" s="8"/>
      <c r="C695" s="8"/>
      <c r="D695" s="8" t="str">
        <f t="shared" si="10"/>
        <v/>
      </c>
      <c r="E695" s="13"/>
      <c r="F695" s="13"/>
    </row>
    <row r="696" spans="1:6" ht="16" x14ac:dyDescent="0.2">
      <c r="A696" s="8"/>
      <c r="B696" s="8"/>
      <c r="C696" s="8"/>
      <c r="D696" s="8" t="str">
        <f t="shared" si="10"/>
        <v/>
      </c>
      <c r="E696" s="13"/>
      <c r="F696" s="13"/>
    </row>
    <row r="697" spans="1:6" ht="16" x14ac:dyDescent="0.2">
      <c r="A697" s="8"/>
      <c r="B697" s="8"/>
      <c r="C697" s="8"/>
      <c r="D697" s="8" t="str">
        <f t="shared" si="10"/>
        <v/>
      </c>
      <c r="E697" s="13"/>
      <c r="F697" s="13"/>
    </row>
    <row r="698" spans="1:6" ht="16" x14ac:dyDescent="0.2">
      <c r="A698" s="8"/>
      <c r="B698" s="8"/>
      <c r="C698" s="8"/>
      <c r="D698" s="8" t="str">
        <f t="shared" si="10"/>
        <v/>
      </c>
      <c r="E698" s="13"/>
      <c r="F698" s="13"/>
    </row>
    <row r="699" spans="1:6" ht="16" x14ac:dyDescent="0.2">
      <c r="A699" s="8"/>
      <c r="B699" s="8"/>
      <c r="C699" s="8"/>
      <c r="D699" s="8" t="str">
        <f t="shared" si="10"/>
        <v/>
      </c>
      <c r="E699" s="13"/>
      <c r="F699" s="13"/>
    </row>
    <row r="700" spans="1:6" ht="16" x14ac:dyDescent="0.2">
      <c r="A700" s="8"/>
      <c r="B700" s="8"/>
      <c r="C700" s="8"/>
      <c r="D700" s="8" t="str">
        <f t="shared" si="10"/>
        <v/>
      </c>
      <c r="E700" s="13"/>
      <c r="F700" s="13"/>
    </row>
    <row r="701" spans="1:6" ht="16" x14ac:dyDescent="0.2">
      <c r="A701" s="8"/>
      <c r="B701" s="8"/>
      <c r="C701" s="8"/>
      <c r="D701" s="8" t="str">
        <f t="shared" si="10"/>
        <v/>
      </c>
      <c r="E701" s="13"/>
      <c r="F701" s="13"/>
    </row>
    <row r="702" spans="1:6" ht="16" x14ac:dyDescent="0.2">
      <c r="A702" s="8"/>
      <c r="B702" s="8"/>
      <c r="C702" s="8"/>
      <c r="D702" s="8" t="str">
        <f t="shared" si="10"/>
        <v/>
      </c>
      <c r="E702" s="13"/>
      <c r="F702" s="13"/>
    </row>
    <row r="703" spans="1:6" ht="16" x14ac:dyDescent="0.2">
      <c r="A703" s="8"/>
      <c r="B703" s="8"/>
      <c r="C703" s="8"/>
      <c r="D703" s="8" t="str">
        <f t="shared" si="10"/>
        <v/>
      </c>
      <c r="E703" s="13"/>
      <c r="F703" s="13"/>
    </row>
    <row r="704" spans="1:6" ht="16" x14ac:dyDescent="0.2">
      <c r="A704" s="8"/>
      <c r="B704" s="8"/>
      <c r="C704" s="8"/>
      <c r="D704" s="8" t="str">
        <f t="shared" si="10"/>
        <v/>
      </c>
      <c r="E704" s="13"/>
      <c r="F704" s="13"/>
    </row>
    <row r="705" spans="1:6" ht="16" x14ac:dyDescent="0.2">
      <c r="A705" s="8"/>
      <c r="B705" s="8"/>
      <c r="C705" s="8"/>
      <c r="D705" s="8" t="str">
        <f t="shared" si="10"/>
        <v/>
      </c>
      <c r="E705" s="13"/>
      <c r="F705" s="13"/>
    </row>
    <row r="706" spans="1:6" ht="16" x14ac:dyDescent="0.2">
      <c r="A706" s="8"/>
      <c r="B706" s="8"/>
      <c r="C706" s="8"/>
      <c r="D706" s="8" t="str">
        <f t="shared" si="10"/>
        <v/>
      </c>
      <c r="E706" s="13"/>
      <c r="F706" s="13"/>
    </row>
    <row r="707" spans="1:6" ht="16" x14ac:dyDescent="0.2">
      <c r="A707" s="8"/>
      <c r="B707" s="8"/>
      <c r="C707" s="8"/>
      <c r="D707" s="8" t="str">
        <f t="shared" ref="D707:D770" si="11">IF(A707=0,"","MinMax")</f>
        <v/>
      </c>
      <c r="E707" s="13"/>
      <c r="F707" s="13"/>
    </row>
    <row r="708" spans="1:6" ht="16" x14ac:dyDescent="0.2">
      <c r="A708" s="8"/>
      <c r="B708" s="8"/>
      <c r="C708" s="8"/>
      <c r="D708" s="8" t="str">
        <f t="shared" si="11"/>
        <v/>
      </c>
      <c r="E708" s="13"/>
      <c r="F708" s="13"/>
    </row>
    <row r="709" spans="1:6" ht="16" x14ac:dyDescent="0.2">
      <c r="A709" s="8"/>
      <c r="B709" s="8"/>
      <c r="C709" s="8"/>
      <c r="D709" s="8" t="str">
        <f t="shared" si="11"/>
        <v/>
      </c>
      <c r="E709" s="13"/>
      <c r="F709" s="13"/>
    </row>
    <row r="710" spans="1:6" ht="16" x14ac:dyDescent="0.2">
      <c r="A710" s="8"/>
      <c r="B710" s="8"/>
      <c r="C710" s="8"/>
      <c r="D710" s="8" t="str">
        <f t="shared" si="11"/>
        <v/>
      </c>
      <c r="E710" s="13"/>
      <c r="F710" s="13"/>
    </row>
    <row r="711" spans="1:6" ht="16" x14ac:dyDescent="0.2">
      <c r="A711" s="8"/>
      <c r="B711" s="8"/>
      <c r="C711" s="8"/>
      <c r="D711" s="8" t="str">
        <f t="shared" si="11"/>
        <v/>
      </c>
      <c r="E711" s="13"/>
      <c r="F711" s="13"/>
    </row>
    <row r="712" spans="1:6" ht="16" x14ac:dyDescent="0.2">
      <c r="A712" s="8"/>
      <c r="B712" s="8"/>
      <c r="C712" s="8"/>
      <c r="D712" s="8" t="str">
        <f t="shared" si="11"/>
        <v/>
      </c>
      <c r="E712" s="13"/>
      <c r="F712" s="13"/>
    </row>
    <row r="713" spans="1:6" ht="16" x14ac:dyDescent="0.2">
      <c r="A713" s="8"/>
      <c r="B713" s="8"/>
      <c r="C713" s="8"/>
      <c r="D713" s="8" t="str">
        <f t="shared" si="11"/>
        <v/>
      </c>
      <c r="E713" s="13"/>
      <c r="F713" s="13"/>
    </row>
    <row r="714" spans="1:6" ht="16" x14ac:dyDescent="0.2">
      <c r="A714" s="8"/>
      <c r="B714" s="8"/>
      <c r="C714" s="8"/>
      <c r="D714" s="8" t="str">
        <f t="shared" si="11"/>
        <v/>
      </c>
      <c r="E714" s="13"/>
      <c r="F714" s="13"/>
    </row>
    <row r="715" spans="1:6" ht="16" x14ac:dyDescent="0.2">
      <c r="A715" s="8"/>
      <c r="B715" s="8"/>
      <c r="C715" s="8"/>
      <c r="D715" s="8" t="str">
        <f t="shared" si="11"/>
        <v/>
      </c>
      <c r="E715" s="13"/>
      <c r="F715" s="13"/>
    </row>
    <row r="716" spans="1:6" ht="16" x14ac:dyDescent="0.2">
      <c r="A716" s="8"/>
      <c r="B716" s="8"/>
      <c r="C716" s="8"/>
      <c r="D716" s="8" t="str">
        <f t="shared" si="11"/>
        <v/>
      </c>
      <c r="E716" s="13"/>
      <c r="F716" s="13"/>
    </row>
    <row r="717" spans="1:6" ht="16" x14ac:dyDescent="0.2">
      <c r="A717" s="8"/>
      <c r="B717" s="8"/>
      <c r="C717" s="8"/>
      <c r="D717" s="8" t="str">
        <f t="shared" si="11"/>
        <v/>
      </c>
      <c r="E717" s="13"/>
      <c r="F717" s="13"/>
    </row>
    <row r="718" spans="1:6" ht="16" x14ac:dyDescent="0.2">
      <c r="A718" s="8"/>
      <c r="B718" s="8"/>
      <c r="C718" s="8"/>
      <c r="D718" s="8" t="str">
        <f t="shared" si="11"/>
        <v/>
      </c>
      <c r="E718" s="13"/>
      <c r="F718" s="13"/>
    </row>
    <row r="719" spans="1:6" ht="16" x14ac:dyDescent="0.2">
      <c r="A719" s="8"/>
      <c r="B719" s="8"/>
      <c r="C719" s="8"/>
      <c r="D719" s="8" t="str">
        <f t="shared" si="11"/>
        <v/>
      </c>
      <c r="E719" s="13"/>
      <c r="F719" s="13"/>
    </row>
    <row r="720" spans="1:6" ht="16" x14ac:dyDescent="0.2">
      <c r="A720" s="8"/>
      <c r="B720" s="8"/>
      <c r="C720" s="8"/>
      <c r="D720" s="8" t="str">
        <f t="shared" si="11"/>
        <v/>
      </c>
      <c r="E720" s="13"/>
      <c r="F720" s="13"/>
    </row>
    <row r="721" spans="1:6" ht="16" x14ac:dyDescent="0.2">
      <c r="A721" s="8"/>
      <c r="B721" s="8"/>
      <c r="C721" s="8"/>
      <c r="D721" s="8" t="str">
        <f t="shared" si="11"/>
        <v/>
      </c>
      <c r="E721" s="13"/>
      <c r="F721" s="13"/>
    </row>
    <row r="722" spans="1:6" ht="16" x14ac:dyDescent="0.2">
      <c r="A722" s="8"/>
      <c r="B722" s="8"/>
      <c r="C722" s="8"/>
      <c r="D722" s="8" t="str">
        <f t="shared" si="11"/>
        <v/>
      </c>
      <c r="E722" s="13"/>
      <c r="F722" s="13"/>
    </row>
    <row r="723" spans="1:6" ht="16" x14ac:dyDescent="0.2">
      <c r="A723" s="8"/>
      <c r="B723" s="8"/>
      <c r="C723" s="8"/>
      <c r="D723" s="8" t="str">
        <f t="shared" si="11"/>
        <v/>
      </c>
      <c r="E723" s="13"/>
      <c r="F723" s="13"/>
    </row>
    <row r="724" spans="1:6" ht="16" x14ac:dyDescent="0.2">
      <c r="A724" s="8"/>
      <c r="B724" s="8"/>
      <c r="C724" s="8"/>
      <c r="D724" s="8" t="str">
        <f t="shared" si="11"/>
        <v/>
      </c>
      <c r="E724" s="13"/>
      <c r="F724" s="13"/>
    </row>
    <row r="725" spans="1:6" ht="16" x14ac:dyDescent="0.2">
      <c r="A725" s="8"/>
      <c r="B725" s="8"/>
      <c r="C725" s="8"/>
      <c r="D725" s="8" t="str">
        <f t="shared" si="11"/>
        <v/>
      </c>
      <c r="E725" s="13"/>
      <c r="F725" s="13"/>
    </row>
    <row r="726" spans="1:6" ht="16" x14ac:dyDescent="0.2">
      <c r="A726" s="8"/>
      <c r="B726" s="8"/>
      <c r="C726" s="8"/>
      <c r="D726" s="8" t="str">
        <f t="shared" si="11"/>
        <v/>
      </c>
      <c r="E726" s="13"/>
      <c r="F726" s="13"/>
    </row>
    <row r="727" spans="1:6" ht="16" x14ac:dyDescent="0.2">
      <c r="A727" s="8"/>
      <c r="B727" s="8"/>
      <c r="C727" s="8"/>
      <c r="D727" s="8" t="str">
        <f t="shared" si="11"/>
        <v/>
      </c>
      <c r="E727" s="13"/>
      <c r="F727" s="13"/>
    </row>
    <row r="728" spans="1:6" ht="16" x14ac:dyDescent="0.2">
      <c r="A728" s="8"/>
      <c r="B728" s="8"/>
      <c r="C728" s="8"/>
      <c r="D728" s="8" t="str">
        <f t="shared" si="11"/>
        <v/>
      </c>
      <c r="E728" s="13"/>
      <c r="F728" s="13"/>
    </row>
    <row r="729" spans="1:6" ht="16" x14ac:dyDescent="0.2">
      <c r="A729" s="8"/>
      <c r="B729" s="8"/>
      <c r="C729" s="8"/>
      <c r="D729" s="8" t="str">
        <f t="shared" si="11"/>
        <v/>
      </c>
      <c r="E729" s="13"/>
      <c r="F729" s="13"/>
    </row>
    <row r="730" spans="1:6" ht="16" x14ac:dyDescent="0.2">
      <c r="A730" s="8"/>
      <c r="B730" s="8"/>
      <c r="C730" s="8"/>
      <c r="D730" s="8" t="str">
        <f t="shared" si="11"/>
        <v/>
      </c>
      <c r="E730" s="13"/>
      <c r="F730" s="13"/>
    </row>
    <row r="731" spans="1:6" ht="16" x14ac:dyDescent="0.2">
      <c r="A731" s="8"/>
      <c r="B731" s="8"/>
      <c r="C731" s="8"/>
      <c r="D731" s="8" t="str">
        <f t="shared" si="11"/>
        <v/>
      </c>
      <c r="E731" s="13"/>
      <c r="F731" s="13"/>
    </row>
    <row r="732" spans="1:6" ht="16" x14ac:dyDescent="0.2">
      <c r="A732" s="8"/>
      <c r="B732" s="8"/>
      <c r="C732" s="8"/>
      <c r="D732" s="8" t="str">
        <f t="shared" si="11"/>
        <v/>
      </c>
      <c r="E732" s="13"/>
      <c r="F732" s="13"/>
    </row>
    <row r="733" spans="1:6" ht="16" x14ac:dyDescent="0.2">
      <c r="A733" s="8"/>
      <c r="B733" s="8"/>
      <c r="C733" s="8"/>
      <c r="D733" s="8" t="str">
        <f t="shared" si="11"/>
        <v/>
      </c>
      <c r="E733" s="13"/>
      <c r="F733" s="13"/>
    </row>
    <row r="734" spans="1:6" ht="16" x14ac:dyDescent="0.2">
      <c r="A734" s="8"/>
      <c r="B734" s="8"/>
      <c r="C734" s="8"/>
      <c r="D734" s="8" t="str">
        <f t="shared" si="11"/>
        <v/>
      </c>
      <c r="E734" s="13"/>
      <c r="F734" s="13"/>
    </row>
    <row r="735" spans="1:6" ht="16" x14ac:dyDescent="0.2">
      <c r="A735" s="8"/>
      <c r="B735" s="8"/>
      <c r="C735" s="8"/>
      <c r="D735" s="8" t="str">
        <f t="shared" si="11"/>
        <v/>
      </c>
      <c r="E735" s="13"/>
      <c r="F735" s="13"/>
    </row>
    <row r="736" spans="1:6" ht="16" x14ac:dyDescent="0.2">
      <c r="A736" s="8"/>
      <c r="B736" s="8"/>
      <c r="C736" s="8"/>
      <c r="D736" s="8" t="str">
        <f t="shared" si="11"/>
        <v/>
      </c>
      <c r="E736" s="13"/>
      <c r="F736" s="13"/>
    </row>
    <row r="737" spans="1:6" ht="16" x14ac:dyDescent="0.2">
      <c r="A737" s="8"/>
      <c r="B737" s="8"/>
      <c r="C737" s="8"/>
      <c r="D737" s="8" t="str">
        <f t="shared" si="11"/>
        <v/>
      </c>
      <c r="E737" s="13"/>
      <c r="F737" s="13"/>
    </row>
    <row r="738" spans="1:6" ht="16" x14ac:dyDescent="0.2">
      <c r="A738" s="8"/>
      <c r="B738" s="8"/>
      <c r="C738" s="8"/>
      <c r="D738" s="8" t="str">
        <f t="shared" si="11"/>
        <v/>
      </c>
      <c r="E738" s="13"/>
      <c r="F738" s="13"/>
    </row>
    <row r="739" spans="1:6" ht="16" x14ac:dyDescent="0.2">
      <c r="A739" s="8"/>
      <c r="B739" s="8"/>
      <c r="C739" s="8"/>
      <c r="D739" s="8" t="str">
        <f t="shared" si="11"/>
        <v/>
      </c>
      <c r="E739" s="13"/>
      <c r="F739" s="13"/>
    </row>
    <row r="740" spans="1:6" ht="16" x14ac:dyDescent="0.2">
      <c r="A740" s="8"/>
      <c r="B740" s="8"/>
      <c r="C740" s="8"/>
      <c r="D740" s="8" t="str">
        <f t="shared" si="11"/>
        <v/>
      </c>
      <c r="E740" s="13"/>
      <c r="F740" s="13"/>
    </row>
    <row r="741" spans="1:6" ht="16" x14ac:dyDescent="0.2">
      <c r="A741" s="8"/>
      <c r="B741" s="8"/>
      <c r="C741" s="8"/>
      <c r="D741" s="8" t="str">
        <f t="shared" si="11"/>
        <v/>
      </c>
      <c r="E741" s="13"/>
      <c r="F741" s="13"/>
    </row>
    <row r="742" spans="1:6" ht="16" x14ac:dyDescent="0.2">
      <c r="A742" s="8"/>
      <c r="B742" s="8"/>
      <c r="C742" s="8"/>
      <c r="D742" s="8" t="str">
        <f t="shared" si="11"/>
        <v/>
      </c>
      <c r="E742" s="13"/>
      <c r="F742" s="13"/>
    </row>
    <row r="743" spans="1:6" ht="16" x14ac:dyDescent="0.2">
      <c r="A743" s="8"/>
      <c r="B743" s="8"/>
      <c r="C743" s="8"/>
      <c r="D743" s="8" t="str">
        <f t="shared" si="11"/>
        <v/>
      </c>
      <c r="E743" s="13"/>
      <c r="F743" s="13"/>
    </row>
    <row r="744" spans="1:6" ht="16" x14ac:dyDescent="0.2">
      <c r="A744" s="8"/>
      <c r="B744" s="8"/>
      <c r="C744" s="8"/>
      <c r="D744" s="8" t="str">
        <f t="shared" si="11"/>
        <v/>
      </c>
      <c r="E744" s="13"/>
      <c r="F744" s="13"/>
    </row>
    <row r="745" spans="1:6" ht="16" x14ac:dyDescent="0.2">
      <c r="A745" s="8"/>
      <c r="B745" s="8"/>
      <c r="C745" s="8"/>
      <c r="D745" s="8" t="str">
        <f t="shared" si="11"/>
        <v/>
      </c>
      <c r="E745" s="13"/>
      <c r="F745" s="13"/>
    </row>
    <row r="746" spans="1:6" ht="16" x14ac:dyDescent="0.2">
      <c r="A746" s="8"/>
      <c r="B746" s="8"/>
      <c r="C746" s="8"/>
      <c r="D746" s="8" t="str">
        <f t="shared" si="11"/>
        <v/>
      </c>
      <c r="E746" s="13"/>
      <c r="F746" s="13"/>
    </row>
    <row r="747" spans="1:6" ht="16" x14ac:dyDescent="0.2">
      <c r="A747" s="8"/>
      <c r="B747" s="8"/>
      <c r="C747" s="8"/>
      <c r="D747" s="8" t="str">
        <f t="shared" si="11"/>
        <v/>
      </c>
      <c r="E747" s="13"/>
      <c r="F747" s="13"/>
    </row>
    <row r="748" spans="1:6" ht="16" x14ac:dyDescent="0.2">
      <c r="A748" s="8"/>
      <c r="B748" s="8"/>
      <c r="C748" s="8"/>
      <c r="D748" s="8" t="str">
        <f t="shared" si="11"/>
        <v/>
      </c>
      <c r="E748" s="13"/>
      <c r="F748" s="13"/>
    </row>
    <row r="749" spans="1:6" ht="16" x14ac:dyDescent="0.2">
      <c r="A749" s="8"/>
      <c r="B749" s="8"/>
      <c r="C749" s="8"/>
      <c r="D749" s="8" t="str">
        <f t="shared" si="11"/>
        <v/>
      </c>
      <c r="E749" s="13"/>
      <c r="F749" s="13"/>
    </row>
    <row r="750" spans="1:6" ht="16" x14ac:dyDescent="0.2">
      <c r="A750" s="8"/>
      <c r="B750" s="8"/>
      <c r="C750" s="8"/>
      <c r="D750" s="8" t="str">
        <f t="shared" si="11"/>
        <v/>
      </c>
      <c r="E750" s="13"/>
      <c r="F750" s="13"/>
    </row>
    <row r="751" spans="1:6" ht="16" x14ac:dyDescent="0.2">
      <c r="A751" s="8"/>
      <c r="B751" s="8"/>
      <c r="C751" s="8"/>
      <c r="D751" s="8" t="str">
        <f t="shared" si="11"/>
        <v/>
      </c>
      <c r="E751" s="13"/>
      <c r="F751" s="13"/>
    </row>
    <row r="752" spans="1:6" ht="16" x14ac:dyDescent="0.2">
      <c r="A752" s="8"/>
      <c r="B752" s="8"/>
      <c r="C752" s="8"/>
      <c r="D752" s="8" t="str">
        <f t="shared" si="11"/>
        <v/>
      </c>
      <c r="E752" s="13"/>
      <c r="F752" s="13"/>
    </row>
    <row r="753" spans="1:6" ht="16" x14ac:dyDescent="0.2">
      <c r="A753" s="8"/>
      <c r="B753" s="8"/>
      <c r="C753" s="8"/>
      <c r="D753" s="8" t="str">
        <f t="shared" si="11"/>
        <v/>
      </c>
      <c r="E753" s="13"/>
      <c r="F753" s="13"/>
    </row>
    <row r="754" spans="1:6" ht="16" x14ac:dyDescent="0.2">
      <c r="A754" s="8"/>
      <c r="B754" s="8"/>
      <c r="C754" s="8"/>
      <c r="D754" s="8" t="str">
        <f t="shared" si="11"/>
        <v/>
      </c>
      <c r="E754" s="13"/>
      <c r="F754" s="13"/>
    </row>
    <row r="755" spans="1:6" ht="16" x14ac:dyDescent="0.2">
      <c r="A755" s="8"/>
      <c r="B755" s="8"/>
      <c r="C755" s="8"/>
      <c r="D755" s="8" t="str">
        <f t="shared" si="11"/>
        <v/>
      </c>
      <c r="E755" s="13"/>
      <c r="F755" s="13"/>
    </row>
    <row r="756" spans="1:6" ht="16" x14ac:dyDescent="0.2">
      <c r="A756" s="8"/>
      <c r="B756" s="8"/>
      <c r="C756" s="8"/>
      <c r="D756" s="8" t="str">
        <f t="shared" si="11"/>
        <v/>
      </c>
      <c r="E756" s="13"/>
      <c r="F756" s="13"/>
    </row>
    <row r="757" spans="1:6" ht="16" x14ac:dyDescent="0.2">
      <c r="A757" s="8"/>
      <c r="B757" s="8"/>
      <c r="C757" s="8"/>
      <c r="D757" s="8" t="str">
        <f t="shared" si="11"/>
        <v/>
      </c>
      <c r="E757" s="13"/>
      <c r="F757" s="13"/>
    </row>
    <row r="758" spans="1:6" ht="16" x14ac:dyDescent="0.2">
      <c r="A758" s="8"/>
      <c r="B758" s="8"/>
      <c r="C758" s="8"/>
      <c r="D758" s="8" t="str">
        <f t="shared" si="11"/>
        <v/>
      </c>
      <c r="E758" s="13"/>
      <c r="F758" s="13"/>
    </row>
    <row r="759" spans="1:6" ht="16" x14ac:dyDescent="0.2">
      <c r="A759" s="8"/>
      <c r="B759" s="8"/>
      <c r="C759" s="8"/>
      <c r="D759" s="8" t="str">
        <f t="shared" si="11"/>
        <v/>
      </c>
      <c r="E759" s="13"/>
      <c r="F759" s="13"/>
    </row>
    <row r="760" spans="1:6" ht="16" x14ac:dyDescent="0.2">
      <c r="A760" s="8"/>
      <c r="B760" s="8"/>
      <c r="C760" s="8"/>
      <c r="D760" s="8" t="str">
        <f t="shared" si="11"/>
        <v/>
      </c>
      <c r="E760" s="13"/>
      <c r="F760" s="13"/>
    </row>
    <row r="761" spans="1:6" ht="16" x14ac:dyDescent="0.2">
      <c r="A761" s="8"/>
      <c r="B761" s="8"/>
      <c r="C761" s="8"/>
      <c r="D761" s="8" t="str">
        <f t="shared" si="11"/>
        <v/>
      </c>
      <c r="E761" s="13"/>
      <c r="F761" s="13"/>
    </row>
    <row r="762" spans="1:6" ht="16" x14ac:dyDescent="0.2">
      <c r="A762" s="8"/>
      <c r="B762" s="8"/>
      <c r="C762" s="8"/>
      <c r="D762" s="8" t="str">
        <f t="shared" si="11"/>
        <v/>
      </c>
      <c r="E762" s="13"/>
      <c r="F762" s="13"/>
    </row>
    <row r="763" spans="1:6" ht="16" x14ac:dyDescent="0.2">
      <c r="A763" s="8"/>
      <c r="B763" s="8"/>
      <c r="C763" s="8"/>
      <c r="D763" s="8" t="str">
        <f t="shared" si="11"/>
        <v/>
      </c>
      <c r="E763" s="13"/>
      <c r="F763" s="13"/>
    </row>
    <row r="764" spans="1:6" ht="16" x14ac:dyDescent="0.2">
      <c r="A764" s="8"/>
      <c r="B764" s="8"/>
      <c r="C764" s="8"/>
      <c r="D764" s="8" t="str">
        <f t="shared" si="11"/>
        <v/>
      </c>
      <c r="E764" s="13"/>
      <c r="F764" s="13"/>
    </row>
    <row r="765" spans="1:6" ht="16" x14ac:dyDescent="0.2">
      <c r="A765" s="8"/>
      <c r="B765" s="8"/>
      <c r="C765" s="8"/>
      <c r="D765" s="8" t="str">
        <f t="shared" si="11"/>
        <v/>
      </c>
      <c r="E765" s="13"/>
      <c r="F765" s="13"/>
    </row>
    <row r="766" spans="1:6" ht="16" x14ac:dyDescent="0.2">
      <c r="A766" s="8"/>
      <c r="B766" s="8"/>
      <c r="C766" s="8"/>
      <c r="D766" s="8" t="str">
        <f t="shared" si="11"/>
        <v/>
      </c>
      <c r="E766" s="13"/>
      <c r="F766" s="13"/>
    </row>
    <row r="767" spans="1:6" ht="16" x14ac:dyDescent="0.2">
      <c r="A767" s="8"/>
      <c r="B767" s="8"/>
      <c r="C767" s="8"/>
      <c r="D767" s="8" t="str">
        <f t="shared" si="11"/>
        <v/>
      </c>
      <c r="E767" s="13"/>
      <c r="F767" s="13"/>
    </row>
    <row r="768" spans="1:6" ht="16" x14ac:dyDescent="0.2">
      <c r="A768" s="8"/>
      <c r="B768" s="8"/>
      <c r="C768" s="8"/>
      <c r="D768" s="8" t="str">
        <f t="shared" si="11"/>
        <v/>
      </c>
      <c r="E768" s="13"/>
      <c r="F768" s="13"/>
    </row>
    <row r="769" spans="1:6" ht="16" x14ac:dyDescent="0.2">
      <c r="A769" s="8"/>
      <c r="B769" s="8"/>
      <c r="C769" s="8"/>
      <c r="D769" s="8" t="str">
        <f t="shared" si="11"/>
        <v/>
      </c>
      <c r="E769" s="13"/>
      <c r="F769" s="13"/>
    </row>
    <row r="770" spans="1:6" ht="16" x14ac:dyDescent="0.2">
      <c r="A770" s="8"/>
      <c r="B770" s="8"/>
      <c r="C770" s="8"/>
      <c r="D770" s="8" t="str">
        <f t="shared" si="11"/>
        <v/>
      </c>
      <c r="E770" s="13"/>
      <c r="F770" s="13"/>
    </row>
    <row r="771" spans="1:6" ht="16" x14ac:dyDescent="0.2">
      <c r="A771" s="8"/>
      <c r="B771" s="8"/>
      <c r="C771" s="8"/>
      <c r="D771" s="8" t="str">
        <f t="shared" ref="D771:D834" si="12">IF(A771=0,"","MinMax")</f>
        <v/>
      </c>
      <c r="E771" s="13"/>
      <c r="F771" s="13"/>
    </row>
    <row r="772" spans="1:6" ht="16" x14ac:dyDescent="0.2">
      <c r="A772" s="8"/>
      <c r="B772" s="8"/>
      <c r="C772" s="8"/>
      <c r="D772" s="8" t="str">
        <f t="shared" si="12"/>
        <v/>
      </c>
      <c r="E772" s="13"/>
      <c r="F772" s="13"/>
    </row>
    <row r="773" spans="1:6" ht="16" x14ac:dyDescent="0.2">
      <c r="A773" s="8"/>
      <c r="B773" s="8"/>
      <c r="C773" s="8"/>
      <c r="D773" s="8" t="str">
        <f t="shared" si="12"/>
        <v/>
      </c>
      <c r="E773" s="13"/>
      <c r="F773" s="13"/>
    </row>
    <row r="774" spans="1:6" ht="16" x14ac:dyDescent="0.2">
      <c r="A774" s="8"/>
      <c r="B774" s="8"/>
      <c r="C774" s="8"/>
      <c r="D774" s="8" t="str">
        <f t="shared" si="12"/>
        <v/>
      </c>
      <c r="E774" s="13"/>
      <c r="F774" s="13"/>
    </row>
    <row r="775" spans="1:6" ht="16" x14ac:dyDescent="0.2">
      <c r="A775" s="8"/>
      <c r="B775" s="8"/>
      <c r="C775" s="8"/>
      <c r="D775" s="8" t="str">
        <f t="shared" si="12"/>
        <v/>
      </c>
      <c r="E775" s="13"/>
      <c r="F775" s="13"/>
    </row>
    <row r="776" spans="1:6" ht="16" x14ac:dyDescent="0.2">
      <c r="A776" s="8"/>
      <c r="B776" s="8"/>
      <c r="C776" s="8"/>
      <c r="D776" s="8" t="str">
        <f t="shared" si="12"/>
        <v/>
      </c>
      <c r="E776" s="13"/>
      <c r="F776" s="13"/>
    </row>
    <row r="777" spans="1:6" ht="16" x14ac:dyDescent="0.2">
      <c r="A777" s="8"/>
      <c r="B777" s="8"/>
      <c r="C777" s="8"/>
      <c r="D777" s="8" t="str">
        <f t="shared" si="12"/>
        <v/>
      </c>
      <c r="E777" s="13"/>
      <c r="F777" s="13"/>
    </row>
    <row r="778" spans="1:6" ht="16" x14ac:dyDescent="0.2">
      <c r="A778" s="8"/>
      <c r="B778" s="8"/>
      <c r="C778" s="8"/>
      <c r="D778" s="8" t="str">
        <f t="shared" si="12"/>
        <v/>
      </c>
      <c r="E778" s="13"/>
      <c r="F778" s="13"/>
    </row>
    <row r="779" spans="1:6" ht="16" x14ac:dyDescent="0.2">
      <c r="A779" s="8"/>
      <c r="B779" s="8"/>
      <c r="C779" s="8"/>
      <c r="D779" s="8" t="str">
        <f t="shared" si="12"/>
        <v/>
      </c>
      <c r="E779" s="13"/>
      <c r="F779" s="13"/>
    </row>
    <row r="780" spans="1:6" ht="16" x14ac:dyDescent="0.2">
      <c r="A780" s="8"/>
      <c r="B780" s="8"/>
      <c r="C780" s="8"/>
      <c r="D780" s="8" t="str">
        <f t="shared" si="12"/>
        <v/>
      </c>
      <c r="E780" s="13"/>
      <c r="F780" s="13"/>
    </row>
    <row r="781" spans="1:6" ht="16" x14ac:dyDescent="0.2">
      <c r="A781" s="8"/>
      <c r="B781" s="8"/>
      <c r="C781" s="8"/>
      <c r="D781" s="8" t="str">
        <f t="shared" si="12"/>
        <v/>
      </c>
      <c r="E781" s="13"/>
      <c r="F781" s="13"/>
    </row>
    <row r="782" spans="1:6" ht="16" x14ac:dyDescent="0.2">
      <c r="A782" s="8"/>
      <c r="B782" s="8"/>
      <c r="C782" s="8"/>
      <c r="D782" s="8" t="str">
        <f t="shared" si="12"/>
        <v/>
      </c>
      <c r="E782" s="13"/>
      <c r="F782" s="13"/>
    </row>
    <row r="783" spans="1:6" ht="16" x14ac:dyDescent="0.2">
      <c r="A783" s="8"/>
      <c r="B783" s="8"/>
      <c r="C783" s="8"/>
      <c r="D783" s="8" t="str">
        <f t="shared" si="12"/>
        <v/>
      </c>
      <c r="E783" s="13"/>
      <c r="F783" s="13"/>
    </row>
    <row r="784" spans="1:6" ht="16" x14ac:dyDescent="0.2">
      <c r="A784" s="8"/>
      <c r="B784" s="8"/>
      <c r="C784" s="8"/>
      <c r="D784" s="8" t="str">
        <f t="shared" si="12"/>
        <v/>
      </c>
      <c r="E784" s="13"/>
      <c r="F784" s="13"/>
    </row>
    <row r="785" spans="1:6" ht="16" x14ac:dyDescent="0.2">
      <c r="A785" s="8"/>
      <c r="B785" s="8"/>
      <c r="C785" s="8"/>
      <c r="D785" s="8" t="str">
        <f t="shared" si="12"/>
        <v/>
      </c>
      <c r="E785" s="13"/>
      <c r="F785" s="13"/>
    </row>
    <row r="786" spans="1:6" ht="16" x14ac:dyDescent="0.2">
      <c r="A786" s="8"/>
      <c r="B786" s="8"/>
      <c r="C786" s="8"/>
      <c r="D786" s="8" t="str">
        <f t="shared" si="12"/>
        <v/>
      </c>
      <c r="E786" s="13"/>
      <c r="F786" s="13"/>
    </row>
    <row r="787" spans="1:6" ht="16" x14ac:dyDescent="0.2">
      <c r="A787" s="8"/>
      <c r="B787" s="8"/>
      <c r="C787" s="8"/>
      <c r="D787" s="8" t="str">
        <f t="shared" si="12"/>
        <v/>
      </c>
      <c r="E787" s="13"/>
      <c r="F787" s="13"/>
    </row>
    <row r="788" spans="1:6" ht="16" x14ac:dyDescent="0.2">
      <c r="A788" s="8"/>
      <c r="B788" s="8"/>
      <c r="C788" s="8"/>
      <c r="D788" s="8" t="str">
        <f t="shared" si="12"/>
        <v/>
      </c>
      <c r="E788" s="13"/>
      <c r="F788" s="13"/>
    </row>
    <row r="789" spans="1:6" ht="16" x14ac:dyDescent="0.2">
      <c r="A789" s="8"/>
      <c r="B789" s="8"/>
      <c r="C789" s="8"/>
      <c r="D789" s="8" t="str">
        <f t="shared" si="12"/>
        <v/>
      </c>
      <c r="E789" s="13"/>
      <c r="F789" s="13"/>
    </row>
    <row r="790" spans="1:6" ht="16" x14ac:dyDescent="0.2">
      <c r="A790" s="8"/>
      <c r="B790" s="8"/>
      <c r="C790" s="8"/>
      <c r="D790" s="8" t="str">
        <f t="shared" si="12"/>
        <v/>
      </c>
      <c r="E790" s="13"/>
      <c r="F790" s="13"/>
    </row>
    <row r="791" spans="1:6" ht="16" x14ac:dyDescent="0.2">
      <c r="A791" s="8"/>
      <c r="B791" s="8"/>
      <c r="C791" s="8"/>
      <c r="D791" s="8" t="str">
        <f t="shared" si="12"/>
        <v/>
      </c>
      <c r="E791" s="13"/>
      <c r="F791" s="13"/>
    </row>
    <row r="792" spans="1:6" ht="16" x14ac:dyDescent="0.2">
      <c r="A792" s="8"/>
      <c r="B792" s="8"/>
      <c r="C792" s="8"/>
      <c r="D792" s="8" t="str">
        <f t="shared" si="12"/>
        <v/>
      </c>
      <c r="E792" s="13"/>
      <c r="F792" s="13"/>
    </row>
    <row r="793" spans="1:6" ht="16" x14ac:dyDescent="0.2">
      <c r="A793" s="8"/>
      <c r="B793" s="8"/>
      <c r="C793" s="8"/>
      <c r="D793" s="8" t="str">
        <f t="shared" si="12"/>
        <v/>
      </c>
      <c r="E793" s="13"/>
      <c r="F793" s="13"/>
    </row>
    <row r="794" spans="1:6" ht="16" x14ac:dyDescent="0.2">
      <c r="A794" s="8"/>
      <c r="B794" s="8"/>
      <c r="C794" s="8"/>
      <c r="D794" s="8" t="str">
        <f t="shared" si="12"/>
        <v/>
      </c>
      <c r="E794" s="13"/>
      <c r="F794" s="13"/>
    </row>
    <row r="795" spans="1:6" ht="16" x14ac:dyDescent="0.2">
      <c r="A795" s="8"/>
      <c r="B795" s="8"/>
      <c r="C795" s="8"/>
      <c r="D795" s="8" t="str">
        <f t="shared" si="12"/>
        <v/>
      </c>
      <c r="E795" s="13"/>
      <c r="F795" s="13"/>
    </row>
    <row r="796" spans="1:6" ht="16" x14ac:dyDescent="0.2">
      <c r="A796" s="8"/>
      <c r="B796" s="8"/>
      <c r="C796" s="8"/>
      <c r="D796" s="8" t="str">
        <f t="shared" si="12"/>
        <v/>
      </c>
      <c r="E796" s="13"/>
      <c r="F796" s="13"/>
    </row>
    <row r="797" spans="1:6" ht="16" x14ac:dyDescent="0.2">
      <c r="A797" s="8"/>
      <c r="B797" s="8"/>
      <c r="C797" s="8"/>
      <c r="D797" s="8" t="str">
        <f t="shared" si="12"/>
        <v/>
      </c>
      <c r="E797" s="13"/>
      <c r="F797" s="13"/>
    </row>
    <row r="798" spans="1:6" ht="16" x14ac:dyDescent="0.2">
      <c r="A798" s="8"/>
      <c r="B798" s="8"/>
      <c r="C798" s="8"/>
      <c r="D798" s="8" t="str">
        <f t="shared" si="12"/>
        <v/>
      </c>
      <c r="E798" s="13"/>
      <c r="F798" s="13"/>
    </row>
    <row r="799" spans="1:6" ht="16" x14ac:dyDescent="0.2">
      <c r="A799" s="8"/>
      <c r="B799" s="8"/>
      <c r="C799" s="8"/>
      <c r="D799" s="8" t="str">
        <f t="shared" si="12"/>
        <v/>
      </c>
      <c r="E799" s="13"/>
      <c r="F799" s="13"/>
    </row>
    <row r="800" spans="1:6" ht="16" x14ac:dyDescent="0.2">
      <c r="A800" s="8"/>
      <c r="B800" s="8"/>
      <c r="C800" s="8"/>
      <c r="D800" s="8" t="str">
        <f t="shared" si="12"/>
        <v/>
      </c>
      <c r="E800" s="13"/>
      <c r="F800" s="13"/>
    </row>
    <row r="801" spans="1:6" ht="16" x14ac:dyDescent="0.2">
      <c r="A801" s="8"/>
      <c r="B801" s="8"/>
      <c r="C801" s="8"/>
      <c r="D801" s="8" t="str">
        <f t="shared" si="12"/>
        <v/>
      </c>
      <c r="E801" s="13"/>
      <c r="F801" s="13"/>
    </row>
    <row r="802" spans="1:6" ht="16" x14ac:dyDescent="0.2">
      <c r="A802" s="8"/>
      <c r="B802" s="8"/>
      <c r="C802" s="8"/>
      <c r="D802" s="8" t="str">
        <f t="shared" si="12"/>
        <v/>
      </c>
      <c r="E802" s="13"/>
      <c r="F802" s="13"/>
    </row>
    <row r="803" spans="1:6" ht="16" x14ac:dyDescent="0.2">
      <c r="A803" s="8"/>
      <c r="B803" s="8"/>
      <c r="C803" s="8"/>
      <c r="D803" s="8" t="str">
        <f t="shared" si="12"/>
        <v/>
      </c>
      <c r="E803" s="13"/>
      <c r="F803" s="13"/>
    </row>
    <row r="804" spans="1:6" ht="16" x14ac:dyDescent="0.2">
      <c r="A804" s="8"/>
      <c r="B804" s="8"/>
      <c r="C804" s="8"/>
      <c r="D804" s="8" t="str">
        <f t="shared" si="12"/>
        <v/>
      </c>
      <c r="E804" s="13"/>
      <c r="F804" s="13"/>
    </row>
    <row r="805" spans="1:6" ht="16" x14ac:dyDescent="0.2">
      <c r="A805" s="8"/>
      <c r="B805" s="8"/>
      <c r="C805" s="8"/>
      <c r="D805" s="8" t="str">
        <f t="shared" si="12"/>
        <v/>
      </c>
      <c r="E805" s="13"/>
      <c r="F805" s="13"/>
    </row>
    <row r="806" spans="1:6" ht="16" x14ac:dyDescent="0.2">
      <c r="A806" s="8"/>
      <c r="B806" s="8"/>
      <c r="C806" s="8"/>
      <c r="D806" s="8" t="str">
        <f t="shared" si="12"/>
        <v/>
      </c>
      <c r="E806" s="13"/>
      <c r="F806" s="13"/>
    </row>
    <row r="807" spans="1:6" ht="16" x14ac:dyDescent="0.2">
      <c r="A807" s="8"/>
      <c r="B807" s="8"/>
      <c r="C807" s="8"/>
      <c r="D807" s="8" t="str">
        <f t="shared" si="12"/>
        <v/>
      </c>
      <c r="E807" s="13"/>
      <c r="F807" s="13"/>
    </row>
    <row r="808" spans="1:6" ht="16" x14ac:dyDescent="0.2">
      <c r="A808" s="8"/>
      <c r="B808" s="8"/>
      <c r="C808" s="8"/>
      <c r="D808" s="8" t="str">
        <f t="shared" si="12"/>
        <v/>
      </c>
      <c r="E808" s="13"/>
      <c r="F808" s="13"/>
    </row>
    <row r="809" spans="1:6" ht="16" x14ac:dyDescent="0.2">
      <c r="A809" s="8"/>
      <c r="B809" s="8"/>
      <c r="C809" s="8"/>
      <c r="D809" s="8" t="str">
        <f t="shared" si="12"/>
        <v/>
      </c>
      <c r="E809" s="13"/>
      <c r="F809" s="13"/>
    </row>
    <row r="810" spans="1:6" ht="16" x14ac:dyDescent="0.2">
      <c r="A810" s="8"/>
      <c r="B810" s="8"/>
      <c r="C810" s="8"/>
      <c r="D810" s="8" t="str">
        <f t="shared" si="12"/>
        <v/>
      </c>
      <c r="E810" s="13"/>
      <c r="F810" s="13"/>
    </row>
    <row r="811" spans="1:6" ht="16" x14ac:dyDescent="0.2">
      <c r="A811" s="8"/>
      <c r="B811" s="8"/>
      <c r="C811" s="8"/>
      <c r="D811" s="8" t="str">
        <f t="shared" si="12"/>
        <v/>
      </c>
      <c r="E811" s="13"/>
      <c r="F811" s="13"/>
    </row>
    <row r="812" spans="1:6" ht="16" x14ac:dyDescent="0.2">
      <c r="A812" s="8"/>
      <c r="B812" s="8"/>
      <c r="C812" s="8"/>
      <c r="D812" s="8" t="str">
        <f t="shared" si="12"/>
        <v/>
      </c>
      <c r="E812" s="13"/>
      <c r="F812" s="13"/>
    </row>
    <row r="813" spans="1:6" ht="16" x14ac:dyDescent="0.2">
      <c r="A813" s="8"/>
      <c r="B813" s="8"/>
      <c r="C813" s="8"/>
      <c r="D813" s="8" t="str">
        <f t="shared" si="12"/>
        <v/>
      </c>
      <c r="E813" s="13"/>
      <c r="F813" s="13"/>
    </row>
    <row r="814" spans="1:6" ht="16" x14ac:dyDescent="0.2">
      <c r="A814" s="8"/>
      <c r="B814" s="8"/>
      <c r="C814" s="8"/>
      <c r="D814" s="8" t="str">
        <f t="shared" si="12"/>
        <v/>
      </c>
      <c r="E814" s="13"/>
      <c r="F814" s="13"/>
    </row>
    <row r="815" spans="1:6" ht="16" x14ac:dyDescent="0.2">
      <c r="A815" s="8"/>
      <c r="B815" s="8"/>
      <c r="C815" s="8"/>
      <c r="D815" s="8" t="str">
        <f t="shared" si="12"/>
        <v/>
      </c>
      <c r="E815" s="13"/>
      <c r="F815" s="13"/>
    </row>
    <row r="816" spans="1:6" ht="16" x14ac:dyDescent="0.2">
      <c r="A816" s="8"/>
      <c r="B816" s="8"/>
      <c r="C816" s="8"/>
      <c r="D816" s="8" t="str">
        <f t="shared" si="12"/>
        <v/>
      </c>
      <c r="E816" s="13"/>
      <c r="F816" s="13"/>
    </row>
    <row r="817" spans="1:6" ht="16" x14ac:dyDescent="0.2">
      <c r="A817" s="8"/>
      <c r="B817" s="8"/>
      <c r="C817" s="8"/>
      <c r="D817" s="8" t="str">
        <f t="shared" si="12"/>
        <v/>
      </c>
      <c r="E817" s="13"/>
      <c r="F817" s="13"/>
    </row>
    <row r="818" spans="1:6" ht="16" x14ac:dyDescent="0.2">
      <c r="A818" s="8"/>
      <c r="B818" s="8"/>
      <c r="C818" s="8"/>
      <c r="D818" s="8" t="str">
        <f t="shared" si="12"/>
        <v/>
      </c>
      <c r="E818" s="13"/>
      <c r="F818" s="13"/>
    </row>
    <row r="819" spans="1:6" ht="16" x14ac:dyDescent="0.2">
      <c r="A819" s="8"/>
      <c r="B819" s="8"/>
      <c r="C819" s="8"/>
      <c r="D819" s="8" t="str">
        <f t="shared" si="12"/>
        <v/>
      </c>
      <c r="E819" s="13"/>
      <c r="F819" s="13"/>
    </row>
    <row r="820" spans="1:6" ht="16" x14ac:dyDescent="0.2">
      <c r="A820" s="8"/>
      <c r="B820" s="8"/>
      <c r="C820" s="8"/>
      <c r="D820" s="8" t="str">
        <f t="shared" si="12"/>
        <v/>
      </c>
      <c r="E820" s="13"/>
      <c r="F820" s="13"/>
    </row>
    <row r="821" spans="1:6" ht="16" x14ac:dyDescent="0.2">
      <c r="A821" s="8"/>
      <c r="B821" s="8"/>
      <c r="C821" s="8"/>
      <c r="D821" s="8" t="str">
        <f t="shared" si="12"/>
        <v/>
      </c>
      <c r="E821" s="13"/>
      <c r="F821" s="13"/>
    </row>
    <row r="822" spans="1:6" ht="16" x14ac:dyDescent="0.2">
      <c r="A822" s="8"/>
      <c r="B822" s="8"/>
      <c r="C822" s="8"/>
      <c r="D822" s="8" t="str">
        <f t="shared" si="12"/>
        <v/>
      </c>
      <c r="E822" s="13"/>
      <c r="F822" s="13"/>
    </row>
    <row r="823" spans="1:6" ht="16" x14ac:dyDescent="0.2">
      <c r="A823" s="8"/>
      <c r="B823" s="8"/>
      <c r="C823" s="8"/>
      <c r="D823" s="8" t="str">
        <f t="shared" si="12"/>
        <v/>
      </c>
      <c r="E823" s="13"/>
      <c r="F823" s="13"/>
    </row>
    <row r="824" spans="1:6" ht="16" x14ac:dyDescent="0.2">
      <c r="A824" s="8"/>
      <c r="B824" s="8"/>
      <c r="C824" s="8"/>
      <c r="D824" s="8" t="str">
        <f t="shared" si="12"/>
        <v/>
      </c>
      <c r="E824" s="13"/>
      <c r="F824" s="13"/>
    </row>
    <row r="825" spans="1:6" ht="16" x14ac:dyDescent="0.2">
      <c r="A825" s="8"/>
      <c r="B825" s="8"/>
      <c r="C825" s="8"/>
      <c r="D825" s="8" t="str">
        <f t="shared" si="12"/>
        <v/>
      </c>
      <c r="E825" s="13"/>
      <c r="F825" s="13"/>
    </row>
    <row r="826" spans="1:6" ht="16" x14ac:dyDescent="0.2">
      <c r="A826" s="8"/>
      <c r="B826" s="8"/>
      <c r="C826" s="8"/>
      <c r="D826" s="8" t="str">
        <f t="shared" si="12"/>
        <v/>
      </c>
      <c r="E826" s="13"/>
      <c r="F826" s="13"/>
    </row>
    <row r="827" spans="1:6" ht="16" x14ac:dyDescent="0.2">
      <c r="A827" s="8"/>
      <c r="B827" s="8"/>
      <c r="C827" s="8"/>
      <c r="D827" s="8" t="str">
        <f t="shared" si="12"/>
        <v/>
      </c>
      <c r="E827" s="13"/>
      <c r="F827" s="13"/>
    </row>
    <row r="828" spans="1:6" ht="16" x14ac:dyDescent="0.2">
      <c r="A828" s="8"/>
      <c r="B828" s="8"/>
      <c r="C828" s="8"/>
      <c r="D828" s="8" t="str">
        <f t="shared" si="12"/>
        <v/>
      </c>
      <c r="E828" s="13"/>
      <c r="F828" s="13"/>
    </row>
    <row r="829" spans="1:6" ht="16" x14ac:dyDescent="0.2">
      <c r="A829" s="8"/>
      <c r="B829" s="8"/>
      <c r="C829" s="8"/>
      <c r="D829" s="8" t="str">
        <f t="shared" si="12"/>
        <v/>
      </c>
      <c r="E829" s="13"/>
      <c r="F829" s="13"/>
    </row>
    <row r="830" spans="1:6" ht="16" x14ac:dyDescent="0.2">
      <c r="A830" s="8"/>
      <c r="B830" s="8"/>
      <c r="C830" s="8"/>
      <c r="D830" s="8" t="str">
        <f t="shared" si="12"/>
        <v/>
      </c>
      <c r="E830" s="13"/>
      <c r="F830" s="13"/>
    </row>
    <row r="831" spans="1:6" ht="16" x14ac:dyDescent="0.2">
      <c r="A831" s="8"/>
      <c r="B831" s="8"/>
      <c r="C831" s="8"/>
      <c r="D831" s="8" t="str">
        <f t="shared" si="12"/>
        <v/>
      </c>
      <c r="E831" s="13"/>
      <c r="F831" s="13"/>
    </row>
    <row r="832" spans="1:6" ht="16" x14ac:dyDescent="0.2">
      <c r="A832" s="8"/>
      <c r="B832" s="8"/>
      <c r="C832" s="8"/>
      <c r="D832" s="8" t="str">
        <f t="shared" si="12"/>
        <v/>
      </c>
      <c r="E832" s="13"/>
      <c r="F832" s="13"/>
    </row>
    <row r="833" spans="1:6" ht="16" x14ac:dyDescent="0.2">
      <c r="A833" s="8"/>
      <c r="B833" s="8"/>
      <c r="C833" s="8"/>
      <c r="D833" s="8" t="str">
        <f t="shared" si="12"/>
        <v/>
      </c>
      <c r="E833" s="13"/>
      <c r="F833" s="13"/>
    </row>
    <row r="834" spans="1:6" ht="16" x14ac:dyDescent="0.2">
      <c r="A834" s="8"/>
      <c r="B834" s="8"/>
      <c r="C834" s="8"/>
      <c r="D834" s="8" t="str">
        <f t="shared" si="12"/>
        <v/>
      </c>
      <c r="E834" s="13"/>
      <c r="F834" s="13"/>
    </row>
    <row r="835" spans="1:6" ht="16" x14ac:dyDescent="0.2">
      <c r="A835" s="8"/>
      <c r="B835" s="8"/>
      <c r="C835" s="8"/>
      <c r="D835" s="8" t="str">
        <f t="shared" ref="D835:D898" si="13">IF(A835=0,"","MinMax")</f>
        <v/>
      </c>
      <c r="E835" s="13"/>
      <c r="F835" s="13"/>
    </row>
    <row r="836" spans="1:6" ht="16" x14ac:dyDescent="0.2">
      <c r="A836" s="8"/>
      <c r="B836" s="8"/>
      <c r="C836" s="8"/>
      <c r="D836" s="8" t="str">
        <f t="shared" si="13"/>
        <v/>
      </c>
      <c r="E836" s="13"/>
      <c r="F836" s="13"/>
    </row>
    <row r="837" spans="1:6" ht="16" x14ac:dyDescent="0.2">
      <c r="A837" s="8"/>
      <c r="B837" s="8"/>
      <c r="C837" s="8"/>
      <c r="D837" s="8" t="str">
        <f t="shared" si="13"/>
        <v/>
      </c>
      <c r="E837" s="13"/>
      <c r="F837" s="13"/>
    </row>
    <row r="838" spans="1:6" ht="16" x14ac:dyDescent="0.2">
      <c r="A838" s="8"/>
      <c r="B838" s="8"/>
      <c r="C838" s="8"/>
      <c r="D838" s="8" t="str">
        <f t="shared" si="13"/>
        <v/>
      </c>
      <c r="E838" s="13"/>
      <c r="F838" s="13"/>
    </row>
    <row r="839" spans="1:6" ht="16" x14ac:dyDescent="0.2">
      <c r="A839" s="8"/>
      <c r="B839" s="8"/>
      <c r="C839" s="8"/>
      <c r="D839" s="8" t="str">
        <f t="shared" si="13"/>
        <v/>
      </c>
      <c r="E839" s="13"/>
      <c r="F839" s="13"/>
    </row>
    <row r="840" spans="1:6" ht="16" x14ac:dyDescent="0.2">
      <c r="A840" s="8"/>
      <c r="B840" s="8"/>
      <c r="C840" s="8"/>
      <c r="D840" s="8" t="str">
        <f t="shared" si="13"/>
        <v/>
      </c>
      <c r="E840" s="13"/>
      <c r="F840" s="13"/>
    </row>
    <row r="841" spans="1:6" ht="16" x14ac:dyDescent="0.2">
      <c r="A841" s="8"/>
      <c r="B841" s="8"/>
      <c r="C841" s="8"/>
      <c r="D841" s="8" t="str">
        <f t="shared" si="13"/>
        <v/>
      </c>
      <c r="E841" s="13"/>
      <c r="F841" s="13"/>
    </row>
    <row r="842" spans="1:6" ht="16" x14ac:dyDescent="0.2">
      <c r="A842" s="8"/>
      <c r="B842" s="8"/>
      <c r="C842" s="8"/>
      <c r="D842" s="8" t="str">
        <f t="shared" si="13"/>
        <v/>
      </c>
      <c r="E842" s="13"/>
      <c r="F842" s="13"/>
    </row>
    <row r="843" spans="1:6" ht="16" x14ac:dyDescent="0.2">
      <c r="A843" s="8"/>
      <c r="B843" s="8"/>
      <c r="C843" s="8"/>
      <c r="D843" s="8" t="str">
        <f t="shared" si="13"/>
        <v/>
      </c>
      <c r="E843" s="13"/>
      <c r="F843" s="13"/>
    </row>
    <row r="844" spans="1:6" ht="16" x14ac:dyDescent="0.2">
      <c r="A844" s="8"/>
      <c r="B844" s="8"/>
      <c r="C844" s="8"/>
      <c r="D844" s="8" t="str">
        <f t="shared" si="13"/>
        <v/>
      </c>
      <c r="E844" s="13"/>
      <c r="F844" s="13"/>
    </row>
    <row r="845" spans="1:6" ht="16" x14ac:dyDescent="0.2">
      <c r="A845" s="8"/>
      <c r="B845" s="8"/>
      <c r="C845" s="8"/>
      <c r="D845" s="8" t="str">
        <f t="shared" si="13"/>
        <v/>
      </c>
      <c r="E845" s="13"/>
      <c r="F845" s="13"/>
    </row>
    <row r="846" spans="1:6" ht="16" x14ac:dyDescent="0.2">
      <c r="A846" s="8"/>
      <c r="B846" s="8"/>
      <c r="C846" s="8"/>
      <c r="D846" s="8" t="str">
        <f t="shared" si="13"/>
        <v/>
      </c>
      <c r="E846" s="13"/>
      <c r="F846" s="13"/>
    </row>
    <row r="847" spans="1:6" ht="16" x14ac:dyDescent="0.2">
      <c r="A847" s="8"/>
      <c r="B847" s="8"/>
      <c r="C847" s="8"/>
      <c r="D847" s="8" t="str">
        <f t="shared" si="13"/>
        <v/>
      </c>
      <c r="E847" s="13"/>
      <c r="F847" s="13"/>
    </row>
    <row r="848" spans="1:6" ht="16" x14ac:dyDescent="0.2">
      <c r="A848" s="8"/>
      <c r="B848" s="8"/>
      <c r="C848" s="8"/>
      <c r="D848" s="8" t="str">
        <f t="shared" si="13"/>
        <v/>
      </c>
      <c r="E848" s="13"/>
      <c r="F848" s="13"/>
    </row>
    <row r="849" spans="1:6" ht="16" x14ac:dyDescent="0.2">
      <c r="A849" s="8"/>
      <c r="B849" s="8"/>
      <c r="C849" s="8"/>
      <c r="D849" s="8" t="str">
        <f t="shared" si="13"/>
        <v/>
      </c>
      <c r="E849" s="13"/>
      <c r="F849" s="13"/>
    </row>
    <row r="850" spans="1:6" ht="16" x14ac:dyDescent="0.2">
      <c r="A850" s="8"/>
      <c r="B850" s="8"/>
      <c r="C850" s="8"/>
      <c r="D850" s="8" t="str">
        <f t="shared" si="13"/>
        <v/>
      </c>
      <c r="E850" s="13"/>
      <c r="F850" s="13"/>
    </row>
    <row r="851" spans="1:6" ht="16" x14ac:dyDescent="0.2">
      <c r="A851" s="8"/>
      <c r="B851" s="8"/>
      <c r="C851" s="8"/>
      <c r="D851" s="8" t="str">
        <f t="shared" si="13"/>
        <v/>
      </c>
      <c r="E851" s="13"/>
      <c r="F851" s="13"/>
    </row>
    <row r="852" spans="1:6" ht="16" x14ac:dyDescent="0.2">
      <c r="A852" s="8"/>
      <c r="B852" s="8"/>
      <c r="C852" s="8"/>
      <c r="D852" s="8" t="str">
        <f t="shared" si="13"/>
        <v/>
      </c>
      <c r="E852" s="13"/>
      <c r="F852" s="13"/>
    </row>
    <row r="853" spans="1:6" ht="16" x14ac:dyDescent="0.2">
      <c r="A853" s="8"/>
      <c r="B853" s="8"/>
      <c r="C853" s="8"/>
      <c r="D853" s="8" t="str">
        <f t="shared" si="13"/>
        <v/>
      </c>
      <c r="E853" s="13"/>
      <c r="F853" s="13"/>
    </row>
    <row r="854" spans="1:6" ht="16" x14ac:dyDescent="0.2">
      <c r="A854" s="8"/>
      <c r="B854" s="8"/>
      <c r="C854" s="8"/>
      <c r="D854" s="8" t="str">
        <f t="shared" si="13"/>
        <v/>
      </c>
      <c r="E854" s="13"/>
      <c r="F854" s="13"/>
    </row>
    <row r="855" spans="1:6" ht="16" x14ac:dyDescent="0.2">
      <c r="A855" s="8"/>
      <c r="B855" s="8"/>
      <c r="C855" s="8"/>
      <c r="D855" s="8" t="str">
        <f t="shared" si="13"/>
        <v/>
      </c>
      <c r="E855" s="13"/>
      <c r="F855" s="13"/>
    </row>
    <row r="856" spans="1:6" ht="16" x14ac:dyDescent="0.2">
      <c r="A856" s="8"/>
      <c r="B856" s="8"/>
      <c r="C856" s="8"/>
      <c r="D856" s="8" t="str">
        <f t="shared" si="13"/>
        <v/>
      </c>
      <c r="E856" s="13"/>
      <c r="F856" s="13"/>
    </row>
    <row r="857" spans="1:6" ht="16" x14ac:dyDescent="0.2">
      <c r="A857" s="8"/>
      <c r="B857" s="8"/>
      <c r="C857" s="8"/>
      <c r="D857" s="8" t="str">
        <f t="shared" si="13"/>
        <v/>
      </c>
      <c r="E857" s="13"/>
      <c r="F857" s="13"/>
    </row>
    <row r="858" spans="1:6" ht="16" x14ac:dyDescent="0.2">
      <c r="A858" s="8"/>
      <c r="B858" s="8"/>
      <c r="C858" s="8"/>
      <c r="D858" s="8" t="str">
        <f t="shared" si="13"/>
        <v/>
      </c>
      <c r="E858" s="13"/>
      <c r="F858" s="13"/>
    </row>
    <row r="859" spans="1:6" ht="16" x14ac:dyDescent="0.2">
      <c r="A859" s="8"/>
      <c r="B859" s="8"/>
      <c r="C859" s="8"/>
      <c r="D859" s="8" t="str">
        <f t="shared" si="13"/>
        <v/>
      </c>
      <c r="E859" s="13"/>
      <c r="F859" s="13"/>
    </row>
    <row r="860" spans="1:6" ht="16" x14ac:dyDescent="0.2">
      <c r="A860" s="8"/>
      <c r="B860" s="8"/>
      <c r="C860" s="8"/>
      <c r="D860" s="8" t="str">
        <f t="shared" si="13"/>
        <v/>
      </c>
      <c r="E860" s="13"/>
      <c r="F860" s="13"/>
    </row>
    <row r="861" spans="1:6" ht="16" x14ac:dyDescent="0.2">
      <c r="A861" s="8"/>
      <c r="B861" s="8"/>
      <c r="C861" s="8"/>
      <c r="D861" s="8" t="str">
        <f t="shared" si="13"/>
        <v/>
      </c>
      <c r="E861" s="13"/>
      <c r="F861" s="13"/>
    </row>
    <row r="862" spans="1:6" ht="16" x14ac:dyDescent="0.2">
      <c r="A862" s="8"/>
      <c r="B862" s="8"/>
      <c r="C862" s="8"/>
      <c r="D862" s="8" t="str">
        <f t="shared" si="13"/>
        <v/>
      </c>
      <c r="E862" s="13"/>
      <c r="F862" s="13"/>
    </row>
    <row r="863" spans="1:6" ht="16" x14ac:dyDescent="0.2">
      <c r="A863" s="8"/>
      <c r="B863" s="8"/>
      <c r="C863" s="8"/>
      <c r="D863" s="8" t="str">
        <f t="shared" si="13"/>
        <v/>
      </c>
      <c r="E863" s="13"/>
      <c r="F863" s="13"/>
    </row>
    <row r="864" spans="1:6" ht="16" x14ac:dyDescent="0.2">
      <c r="A864" s="8"/>
      <c r="B864" s="8"/>
      <c r="C864" s="8"/>
      <c r="D864" s="8" t="str">
        <f t="shared" si="13"/>
        <v/>
      </c>
      <c r="E864" s="13"/>
      <c r="F864" s="13"/>
    </row>
    <row r="865" spans="1:6" ht="16" x14ac:dyDescent="0.2">
      <c r="A865" s="8"/>
      <c r="B865" s="8"/>
      <c r="C865" s="8"/>
      <c r="D865" s="8" t="str">
        <f t="shared" si="13"/>
        <v/>
      </c>
      <c r="E865" s="13"/>
      <c r="F865" s="13"/>
    </row>
    <row r="866" spans="1:6" ht="16" x14ac:dyDescent="0.2">
      <c r="A866" s="8"/>
      <c r="B866" s="8"/>
      <c r="C866" s="8"/>
      <c r="D866" s="8" t="str">
        <f t="shared" si="13"/>
        <v/>
      </c>
      <c r="E866" s="13"/>
      <c r="F866" s="13"/>
    </row>
    <row r="867" spans="1:6" ht="16" x14ac:dyDescent="0.2">
      <c r="A867" s="8"/>
      <c r="B867" s="8"/>
      <c r="C867" s="8"/>
      <c r="D867" s="8" t="str">
        <f t="shared" si="13"/>
        <v/>
      </c>
      <c r="E867" s="13"/>
      <c r="F867" s="13"/>
    </row>
    <row r="868" spans="1:6" ht="16" x14ac:dyDescent="0.2">
      <c r="A868" s="8"/>
      <c r="B868" s="8"/>
      <c r="C868" s="8"/>
      <c r="D868" s="8" t="str">
        <f t="shared" si="13"/>
        <v/>
      </c>
      <c r="E868" s="13"/>
      <c r="F868" s="13"/>
    </row>
    <row r="869" spans="1:6" ht="16" x14ac:dyDescent="0.2">
      <c r="A869" s="8"/>
      <c r="B869" s="8"/>
      <c r="C869" s="8"/>
      <c r="D869" s="8" t="str">
        <f t="shared" si="13"/>
        <v/>
      </c>
      <c r="E869" s="13"/>
      <c r="F869" s="13"/>
    </row>
    <row r="870" spans="1:6" ht="16" x14ac:dyDescent="0.2">
      <c r="A870" s="8"/>
      <c r="B870" s="8"/>
      <c r="C870" s="8"/>
      <c r="D870" s="8" t="str">
        <f t="shared" si="13"/>
        <v/>
      </c>
      <c r="E870" s="13"/>
      <c r="F870" s="13"/>
    </row>
    <row r="871" spans="1:6" ht="16" x14ac:dyDescent="0.2">
      <c r="A871" s="8"/>
      <c r="B871" s="8"/>
      <c r="C871" s="8"/>
      <c r="D871" s="8" t="str">
        <f t="shared" si="13"/>
        <v/>
      </c>
      <c r="E871" s="13"/>
      <c r="F871" s="13"/>
    </row>
    <row r="872" spans="1:6" ht="16" x14ac:dyDescent="0.2">
      <c r="A872" s="8"/>
      <c r="B872" s="8"/>
      <c r="C872" s="8"/>
      <c r="D872" s="8" t="str">
        <f t="shared" si="13"/>
        <v/>
      </c>
      <c r="E872" s="13"/>
      <c r="F872" s="13"/>
    </row>
    <row r="873" spans="1:6" ht="16" x14ac:dyDescent="0.2">
      <c r="A873" s="8"/>
      <c r="B873" s="8"/>
      <c r="C873" s="8"/>
      <c r="D873" s="8" t="str">
        <f t="shared" si="13"/>
        <v/>
      </c>
      <c r="E873" s="13"/>
      <c r="F873" s="13"/>
    </row>
    <row r="874" spans="1:6" ht="16" x14ac:dyDescent="0.2">
      <c r="A874" s="8"/>
      <c r="B874" s="8"/>
      <c r="C874" s="8"/>
      <c r="D874" s="8" t="str">
        <f t="shared" si="13"/>
        <v/>
      </c>
      <c r="E874" s="13"/>
      <c r="F874" s="13"/>
    </row>
    <row r="875" spans="1:6" ht="16" x14ac:dyDescent="0.2">
      <c r="A875" s="8"/>
      <c r="B875" s="8"/>
      <c r="C875" s="8"/>
      <c r="D875" s="8" t="str">
        <f t="shared" si="13"/>
        <v/>
      </c>
      <c r="E875" s="13"/>
      <c r="F875" s="13"/>
    </row>
    <row r="876" spans="1:6" ht="16" x14ac:dyDescent="0.2">
      <c r="A876" s="8"/>
      <c r="B876" s="8"/>
      <c r="C876" s="8"/>
      <c r="D876" s="8" t="str">
        <f t="shared" si="13"/>
        <v/>
      </c>
      <c r="E876" s="13"/>
      <c r="F876" s="13"/>
    </row>
    <row r="877" spans="1:6" ht="16" x14ac:dyDescent="0.2">
      <c r="A877" s="8"/>
      <c r="B877" s="8"/>
      <c r="C877" s="8"/>
      <c r="D877" s="8" t="str">
        <f t="shared" si="13"/>
        <v/>
      </c>
      <c r="E877" s="13"/>
      <c r="F877" s="13"/>
    </row>
    <row r="878" spans="1:6" ht="16" x14ac:dyDescent="0.2">
      <c r="A878" s="8"/>
      <c r="B878" s="8"/>
      <c r="C878" s="8"/>
      <c r="D878" s="8" t="str">
        <f t="shared" si="13"/>
        <v/>
      </c>
      <c r="E878" s="13"/>
      <c r="F878" s="13"/>
    </row>
    <row r="879" spans="1:6" ht="16" x14ac:dyDescent="0.2">
      <c r="A879" s="8"/>
      <c r="B879" s="8"/>
      <c r="C879" s="8"/>
      <c r="D879" s="8" t="str">
        <f t="shared" si="13"/>
        <v/>
      </c>
      <c r="E879" s="13"/>
      <c r="F879" s="13"/>
    </row>
    <row r="880" spans="1:6" ht="16" x14ac:dyDescent="0.2">
      <c r="A880" s="8"/>
      <c r="B880" s="8"/>
      <c r="C880" s="8"/>
      <c r="D880" s="8" t="str">
        <f t="shared" si="13"/>
        <v/>
      </c>
      <c r="E880" s="13"/>
      <c r="F880" s="13"/>
    </row>
    <row r="881" spans="1:6" ht="16" x14ac:dyDescent="0.2">
      <c r="A881" s="8"/>
      <c r="B881" s="8"/>
      <c r="C881" s="8"/>
      <c r="D881" s="8" t="str">
        <f t="shared" si="13"/>
        <v/>
      </c>
      <c r="E881" s="13"/>
      <c r="F881" s="13"/>
    </row>
    <row r="882" spans="1:6" ht="16" x14ac:dyDescent="0.2">
      <c r="A882" s="8"/>
      <c r="B882" s="8"/>
      <c r="C882" s="8"/>
      <c r="D882" s="8" t="str">
        <f t="shared" si="13"/>
        <v/>
      </c>
      <c r="E882" s="13"/>
      <c r="F882" s="13"/>
    </row>
    <row r="883" spans="1:6" ht="16" x14ac:dyDescent="0.2">
      <c r="A883" s="8"/>
      <c r="B883" s="8"/>
      <c r="C883" s="8"/>
      <c r="D883" s="8" t="str">
        <f t="shared" si="13"/>
        <v/>
      </c>
      <c r="E883" s="13"/>
      <c r="F883" s="13"/>
    </row>
    <row r="884" spans="1:6" ht="16" x14ac:dyDescent="0.2">
      <c r="A884" s="8"/>
      <c r="B884" s="8"/>
      <c r="C884" s="8"/>
      <c r="D884" s="8" t="str">
        <f t="shared" si="13"/>
        <v/>
      </c>
      <c r="E884" s="13"/>
      <c r="F884" s="13"/>
    </row>
    <row r="885" spans="1:6" ht="16" x14ac:dyDescent="0.2">
      <c r="A885" s="8"/>
      <c r="B885" s="8"/>
      <c r="C885" s="8"/>
      <c r="D885" s="8" t="str">
        <f t="shared" si="13"/>
        <v/>
      </c>
      <c r="E885" s="13"/>
      <c r="F885" s="13"/>
    </row>
    <row r="886" spans="1:6" ht="16" x14ac:dyDescent="0.2">
      <c r="A886" s="8"/>
      <c r="B886" s="8"/>
      <c r="C886" s="8"/>
      <c r="D886" s="8" t="str">
        <f t="shared" si="13"/>
        <v/>
      </c>
      <c r="E886" s="13"/>
      <c r="F886" s="13"/>
    </row>
    <row r="887" spans="1:6" ht="16" x14ac:dyDescent="0.2">
      <c r="A887" s="8"/>
      <c r="B887" s="8"/>
      <c r="C887" s="8"/>
      <c r="D887" s="8" t="str">
        <f t="shared" si="13"/>
        <v/>
      </c>
      <c r="E887" s="13"/>
      <c r="F887" s="13"/>
    </row>
    <row r="888" spans="1:6" ht="16" x14ac:dyDescent="0.2">
      <c r="A888" s="8"/>
      <c r="B888" s="8"/>
      <c r="C888" s="8"/>
      <c r="D888" s="8" t="str">
        <f t="shared" si="13"/>
        <v/>
      </c>
      <c r="E888" s="13"/>
      <c r="F888" s="13"/>
    </row>
    <row r="889" spans="1:6" ht="16" x14ac:dyDescent="0.2">
      <c r="A889" s="8"/>
      <c r="B889" s="8"/>
      <c r="C889" s="8"/>
      <c r="D889" s="8" t="str">
        <f t="shared" si="13"/>
        <v/>
      </c>
      <c r="E889" s="13"/>
      <c r="F889" s="13"/>
    </row>
    <row r="890" spans="1:6" ht="16" x14ac:dyDescent="0.2">
      <c r="A890" s="8"/>
      <c r="B890" s="8"/>
      <c r="C890" s="8"/>
      <c r="D890" s="8" t="str">
        <f t="shared" si="13"/>
        <v/>
      </c>
      <c r="E890" s="13"/>
      <c r="F890" s="13"/>
    </row>
    <row r="891" spans="1:6" ht="16" x14ac:dyDescent="0.2">
      <c r="A891" s="8"/>
      <c r="B891" s="8"/>
      <c r="C891" s="8"/>
      <c r="D891" s="8" t="str">
        <f t="shared" si="13"/>
        <v/>
      </c>
      <c r="E891" s="13"/>
      <c r="F891" s="13"/>
    </row>
    <row r="892" spans="1:6" ht="16" x14ac:dyDescent="0.2">
      <c r="A892" s="8"/>
      <c r="B892" s="8"/>
      <c r="C892" s="8"/>
      <c r="D892" s="8" t="str">
        <f t="shared" si="13"/>
        <v/>
      </c>
      <c r="E892" s="13"/>
      <c r="F892" s="13"/>
    </row>
    <row r="893" spans="1:6" ht="16" x14ac:dyDescent="0.2">
      <c r="A893" s="8"/>
      <c r="B893" s="8"/>
      <c r="C893" s="8"/>
      <c r="D893" s="8" t="str">
        <f t="shared" si="13"/>
        <v/>
      </c>
      <c r="E893" s="13"/>
      <c r="F893" s="13"/>
    </row>
    <row r="894" spans="1:6" ht="16" x14ac:dyDescent="0.2">
      <c r="A894" s="8"/>
      <c r="B894" s="8"/>
      <c r="C894" s="8"/>
      <c r="D894" s="8" t="str">
        <f t="shared" si="13"/>
        <v/>
      </c>
      <c r="E894" s="13"/>
      <c r="F894" s="13"/>
    </row>
    <row r="895" spans="1:6" ht="16" x14ac:dyDescent="0.2">
      <c r="A895" s="8"/>
      <c r="B895" s="8"/>
      <c r="C895" s="8"/>
      <c r="D895" s="8" t="str">
        <f t="shared" si="13"/>
        <v/>
      </c>
      <c r="E895" s="13"/>
      <c r="F895" s="13"/>
    </row>
    <row r="896" spans="1:6" ht="16" x14ac:dyDescent="0.2">
      <c r="A896" s="8"/>
      <c r="B896" s="8"/>
      <c r="C896" s="8"/>
      <c r="D896" s="8" t="str">
        <f t="shared" si="13"/>
        <v/>
      </c>
      <c r="E896" s="13"/>
      <c r="F896" s="13"/>
    </row>
    <row r="897" spans="1:6" ht="16" x14ac:dyDescent="0.2">
      <c r="A897" s="8"/>
      <c r="B897" s="8"/>
      <c r="C897" s="8"/>
      <c r="D897" s="8" t="str">
        <f t="shared" si="13"/>
        <v/>
      </c>
      <c r="E897" s="13"/>
      <c r="F897" s="13"/>
    </row>
    <row r="898" spans="1:6" ht="16" x14ac:dyDescent="0.2">
      <c r="A898" s="8"/>
      <c r="B898" s="8"/>
      <c r="C898" s="8"/>
      <c r="D898" s="8" t="str">
        <f t="shared" si="13"/>
        <v/>
      </c>
      <c r="E898" s="13"/>
      <c r="F898" s="13"/>
    </row>
    <row r="899" spans="1:6" ht="16" x14ac:dyDescent="0.2">
      <c r="A899" s="8"/>
      <c r="B899" s="8"/>
      <c r="C899" s="8"/>
      <c r="D899" s="8" t="str">
        <f t="shared" ref="D899:D962" si="14">IF(A899=0,"","MinMax")</f>
        <v/>
      </c>
      <c r="E899" s="13"/>
      <c r="F899" s="13"/>
    </row>
    <row r="900" spans="1:6" ht="16" x14ac:dyDescent="0.2">
      <c r="A900" s="8"/>
      <c r="B900" s="8"/>
      <c r="C900" s="8"/>
      <c r="D900" s="8" t="str">
        <f t="shared" si="14"/>
        <v/>
      </c>
      <c r="E900" s="13"/>
      <c r="F900" s="13"/>
    </row>
    <row r="901" spans="1:6" ht="16" x14ac:dyDescent="0.2">
      <c r="A901" s="8"/>
      <c r="B901" s="8"/>
      <c r="C901" s="8"/>
      <c r="D901" s="8" t="str">
        <f t="shared" si="14"/>
        <v/>
      </c>
      <c r="E901" s="13"/>
      <c r="F901" s="13"/>
    </row>
    <row r="902" spans="1:6" ht="16" x14ac:dyDescent="0.2">
      <c r="A902" s="8"/>
      <c r="B902" s="8"/>
      <c r="C902" s="8"/>
      <c r="D902" s="8" t="str">
        <f t="shared" si="14"/>
        <v/>
      </c>
      <c r="E902" s="13"/>
      <c r="F902" s="13"/>
    </row>
    <row r="903" spans="1:6" ht="16" x14ac:dyDescent="0.2">
      <c r="A903" s="8"/>
      <c r="B903" s="8"/>
      <c r="C903" s="8"/>
      <c r="D903" s="8" t="str">
        <f t="shared" si="14"/>
        <v/>
      </c>
      <c r="E903" s="13"/>
      <c r="F903" s="13"/>
    </row>
    <row r="904" spans="1:6" ht="16" x14ac:dyDescent="0.2">
      <c r="A904" s="8"/>
      <c r="B904" s="8"/>
      <c r="C904" s="8"/>
      <c r="D904" s="8" t="str">
        <f t="shared" si="14"/>
        <v/>
      </c>
      <c r="E904" s="13"/>
      <c r="F904" s="13"/>
    </row>
    <row r="905" spans="1:6" ht="16" x14ac:dyDescent="0.2">
      <c r="A905" s="8"/>
      <c r="B905" s="8"/>
      <c r="C905" s="8"/>
      <c r="D905" s="8" t="str">
        <f t="shared" si="14"/>
        <v/>
      </c>
      <c r="E905" s="13"/>
      <c r="F905" s="13"/>
    </row>
    <row r="906" spans="1:6" ht="16" x14ac:dyDescent="0.2">
      <c r="A906" s="8"/>
      <c r="B906" s="8"/>
      <c r="C906" s="8"/>
      <c r="D906" s="8" t="str">
        <f t="shared" si="14"/>
        <v/>
      </c>
      <c r="E906" s="13"/>
      <c r="F906" s="13"/>
    </row>
    <row r="907" spans="1:6" ht="16" x14ac:dyDescent="0.2">
      <c r="A907" s="8"/>
      <c r="B907" s="8"/>
      <c r="C907" s="8"/>
      <c r="D907" s="8" t="str">
        <f t="shared" si="14"/>
        <v/>
      </c>
      <c r="E907" s="13"/>
      <c r="F907" s="13"/>
    </row>
    <row r="908" spans="1:6" ht="16" x14ac:dyDescent="0.2">
      <c r="A908" s="8"/>
      <c r="B908" s="8"/>
      <c r="C908" s="8"/>
      <c r="D908" s="8" t="str">
        <f t="shared" si="14"/>
        <v/>
      </c>
      <c r="E908" s="13"/>
      <c r="F908" s="13"/>
    </row>
    <row r="909" spans="1:6" ht="16" x14ac:dyDescent="0.2">
      <c r="A909" s="8"/>
      <c r="B909" s="8"/>
      <c r="C909" s="8"/>
      <c r="D909" s="8" t="str">
        <f t="shared" si="14"/>
        <v/>
      </c>
      <c r="E909" s="13"/>
      <c r="F909" s="13"/>
    </row>
    <row r="910" spans="1:6" ht="16" x14ac:dyDescent="0.2">
      <c r="A910" s="8"/>
      <c r="B910" s="8"/>
      <c r="C910" s="8"/>
      <c r="D910" s="8" t="str">
        <f t="shared" si="14"/>
        <v/>
      </c>
      <c r="E910" s="13"/>
      <c r="F910" s="13"/>
    </row>
    <row r="911" spans="1:6" ht="16" x14ac:dyDescent="0.2">
      <c r="A911" s="8"/>
      <c r="B911" s="8"/>
      <c r="C911" s="8"/>
      <c r="D911" s="8" t="str">
        <f t="shared" si="14"/>
        <v/>
      </c>
      <c r="E911" s="13"/>
      <c r="F911" s="13"/>
    </row>
    <row r="912" spans="1:6" ht="16" x14ac:dyDescent="0.2">
      <c r="A912" s="8"/>
      <c r="B912" s="8"/>
      <c r="C912" s="8"/>
      <c r="D912" s="8" t="str">
        <f t="shared" si="14"/>
        <v/>
      </c>
      <c r="E912" s="13"/>
      <c r="F912" s="13"/>
    </row>
    <row r="913" spans="1:6" ht="16" x14ac:dyDescent="0.2">
      <c r="A913" s="8"/>
      <c r="B913" s="8"/>
      <c r="C913" s="8"/>
      <c r="D913" s="8" t="str">
        <f t="shared" si="14"/>
        <v/>
      </c>
      <c r="E913" s="13"/>
      <c r="F913" s="13"/>
    </row>
    <row r="914" spans="1:6" ht="16" x14ac:dyDescent="0.2">
      <c r="A914" s="8"/>
      <c r="B914" s="8"/>
      <c r="C914" s="8"/>
      <c r="D914" s="8" t="str">
        <f t="shared" si="14"/>
        <v/>
      </c>
      <c r="E914" s="13"/>
      <c r="F914" s="13"/>
    </row>
    <row r="915" spans="1:6" ht="16" x14ac:dyDescent="0.2">
      <c r="A915" s="8"/>
      <c r="B915" s="8"/>
      <c r="C915" s="8"/>
      <c r="D915" s="8" t="str">
        <f t="shared" si="14"/>
        <v/>
      </c>
      <c r="E915" s="13"/>
      <c r="F915" s="13"/>
    </row>
    <row r="916" spans="1:6" ht="16" x14ac:dyDescent="0.2">
      <c r="A916" s="8"/>
      <c r="B916" s="8"/>
      <c r="C916" s="8"/>
      <c r="D916" s="8" t="str">
        <f t="shared" si="14"/>
        <v/>
      </c>
      <c r="E916" s="13"/>
      <c r="F916" s="13"/>
    </row>
    <row r="917" spans="1:6" ht="16" x14ac:dyDescent="0.2">
      <c r="A917" s="8"/>
      <c r="B917" s="8"/>
      <c r="C917" s="8"/>
      <c r="D917" s="8" t="str">
        <f t="shared" si="14"/>
        <v/>
      </c>
      <c r="E917" s="13"/>
      <c r="F917" s="13"/>
    </row>
    <row r="918" spans="1:6" ht="16" x14ac:dyDescent="0.2">
      <c r="A918" s="8"/>
      <c r="B918" s="8"/>
      <c r="C918" s="8"/>
      <c r="D918" s="8" t="str">
        <f t="shared" si="14"/>
        <v/>
      </c>
      <c r="E918" s="13"/>
      <c r="F918" s="13"/>
    </row>
    <row r="919" spans="1:6" ht="16" x14ac:dyDescent="0.2">
      <c r="A919" s="8"/>
      <c r="B919" s="8"/>
      <c r="C919" s="8"/>
      <c r="D919" s="8" t="str">
        <f t="shared" si="14"/>
        <v/>
      </c>
      <c r="E919" s="13"/>
      <c r="F919" s="13"/>
    </row>
    <row r="920" spans="1:6" ht="16" x14ac:dyDescent="0.2">
      <c r="A920" s="8"/>
      <c r="B920" s="8"/>
      <c r="C920" s="8"/>
      <c r="D920" s="8" t="str">
        <f t="shared" si="14"/>
        <v/>
      </c>
      <c r="E920" s="13"/>
      <c r="F920" s="13"/>
    </row>
    <row r="921" spans="1:6" ht="16" x14ac:dyDescent="0.2">
      <c r="A921" s="8"/>
      <c r="B921" s="8"/>
      <c r="C921" s="8"/>
      <c r="D921" s="8" t="str">
        <f t="shared" si="14"/>
        <v/>
      </c>
      <c r="E921" s="13"/>
      <c r="F921" s="13"/>
    </row>
    <row r="922" spans="1:6" ht="16" x14ac:dyDescent="0.2">
      <c r="A922" s="8"/>
      <c r="B922" s="8"/>
      <c r="C922" s="8"/>
      <c r="D922" s="8" t="str">
        <f t="shared" si="14"/>
        <v/>
      </c>
      <c r="E922" s="13"/>
      <c r="F922" s="13"/>
    </row>
    <row r="923" spans="1:6" ht="16" x14ac:dyDescent="0.2">
      <c r="A923" s="8"/>
      <c r="B923" s="8"/>
      <c r="C923" s="8"/>
      <c r="D923" s="8" t="str">
        <f t="shared" si="14"/>
        <v/>
      </c>
      <c r="E923" s="13"/>
      <c r="F923" s="13"/>
    </row>
    <row r="924" spans="1:6" ht="16" x14ac:dyDescent="0.2">
      <c r="A924" s="8"/>
      <c r="B924" s="8"/>
      <c r="C924" s="8"/>
      <c r="D924" s="8" t="str">
        <f t="shared" si="14"/>
        <v/>
      </c>
      <c r="E924" s="13"/>
      <c r="F924" s="13"/>
    </row>
    <row r="925" spans="1:6" ht="16" x14ac:dyDescent="0.2">
      <c r="A925" s="8"/>
      <c r="B925" s="8"/>
      <c r="C925" s="8"/>
      <c r="D925" s="8" t="str">
        <f t="shared" si="14"/>
        <v/>
      </c>
      <c r="E925" s="13"/>
      <c r="F925" s="13"/>
    </row>
    <row r="926" spans="1:6" ht="16" x14ac:dyDescent="0.2">
      <c r="A926" s="8"/>
      <c r="B926" s="8"/>
      <c r="C926" s="8"/>
      <c r="D926" s="8" t="str">
        <f t="shared" si="14"/>
        <v/>
      </c>
      <c r="E926" s="13"/>
      <c r="F926" s="13"/>
    </row>
    <row r="927" spans="1:6" ht="16" x14ac:dyDescent="0.2">
      <c r="A927" s="8"/>
      <c r="B927" s="8"/>
      <c r="C927" s="8"/>
      <c r="D927" s="8" t="str">
        <f t="shared" si="14"/>
        <v/>
      </c>
      <c r="E927" s="13"/>
      <c r="F927" s="13"/>
    </row>
    <row r="928" spans="1:6" ht="16" x14ac:dyDescent="0.2">
      <c r="A928" s="8"/>
      <c r="B928" s="8"/>
      <c r="C928" s="8"/>
      <c r="D928" s="8" t="str">
        <f t="shared" si="14"/>
        <v/>
      </c>
      <c r="E928" s="13"/>
      <c r="F928" s="13"/>
    </row>
    <row r="929" spans="1:6" ht="16" x14ac:dyDescent="0.2">
      <c r="A929" s="8"/>
      <c r="B929" s="8"/>
      <c r="C929" s="8"/>
      <c r="D929" s="8" t="str">
        <f t="shared" si="14"/>
        <v/>
      </c>
      <c r="E929" s="13"/>
      <c r="F929" s="13"/>
    </row>
    <row r="930" spans="1:6" ht="16" x14ac:dyDescent="0.2">
      <c r="A930" s="8"/>
      <c r="B930" s="8"/>
      <c r="C930" s="8"/>
      <c r="D930" s="8" t="str">
        <f t="shared" si="14"/>
        <v/>
      </c>
      <c r="E930" s="13"/>
      <c r="F930" s="13"/>
    </row>
    <row r="931" spans="1:6" ht="16" x14ac:dyDescent="0.2">
      <c r="A931" s="8"/>
      <c r="B931" s="8"/>
      <c r="C931" s="8"/>
      <c r="D931" s="8" t="str">
        <f t="shared" si="14"/>
        <v/>
      </c>
      <c r="E931" s="13"/>
      <c r="F931" s="13"/>
    </row>
    <row r="932" spans="1:6" ht="16" x14ac:dyDescent="0.2">
      <c r="A932" s="8"/>
      <c r="B932" s="8"/>
      <c r="C932" s="8"/>
      <c r="D932" s="8" t="str">
        <f t="shared" si="14"/>
        <v/>
      </c>
      <c r="E932" s="13"/>
      <c r="F932" s="13"/>
    </row>
    <row r="933" spans="1:6" ht="16" x14ac:dyDescent="0.2">
      <c r="A933" s="8"/>
      <c r="B933" s="8"/>
      <c r="C933" s="8"/>
      <c r="D933" s="8" t="str">
        <f t="shared" si="14"/>
        <v/>
      </c>
      <c r="E933" s="13"/>
      <c r="F933" s="13"/>
    </row>
    <row r="934" spans="1:6" ht="16" x14ac:dyDescent="0.2">
      <c r="A934" s="8"/>
      <c r="B934" s="8"/>
      <c r="C934" s="8"/>
      <c r="D934" s="8" t="str">
        <f t="shared" si="14"/>
        <v/>
      </c>
      <c r="E934" s="13"/>
      <c r="F934" s="13"/>
    </row>
    <row r="935" spans="1:6" ht="16" x14ac:dyDescent="0.2">
      <c r="A935" s="8"/>
      <c r="B935" s="8"/>
      <c r="C935" s="8"/>
      <c r="D935" s="8" t="str">
        <f t="shared" si="14"/>
        <v/>
      </c>
      <c r="E935" s="13"/>
      <c r="F935" s="13"/>
    </row>
    <row r="936" spans="1:6" ht="16" x14ac:dyDescent="0.2">
      <c r="A936" s="8"/>
      <c r="B936" s="8"/>
      <c r="C936" s="8"/>
      <c r="D936" s="8" t="str">
        <f t="shared" si="14"/>
        <v/>
      </c>
      <c r="E936" s="13"/>
      <c r="F936" s="13"/>
    </row>
    <row r="937" spans="1:6" ht="16" x14ac:dyDescent="0.2">
      <c r="A937" s="8"/>
      <c r="B937" s="8"/>
      <c r="C937" s="8"/>
      <c r="D937" s="8" t="str">
        <f t="shared" si="14"/>
        <v/>
      </c>
      <c r="E937" s="13"/>
      <c r="F937" s="13"/>
    </row>
    <row r="938" spans="1:6" ht="16" x14ac:dyDescent="0.2">
      <c r="A938" s="8"/>
      <c r="B938" s="8"/>
      <c r="C938" s="8"/>
      <c r="D938" s="8" t="str">
        <f t="shared" si="14"/>
        <v/>
      </c>
      <c r="E938" s="13"/>
      <c r="F938" s="13"/>
    </row>
    <row r="939" spans="1:6" ht="16" x14ac:dyDescent="0.2">
      <c r="A939" s="8"/>
      <c r="B939" s="8"/>
      <c r="C939" s="8"/>
      <c r="D939" s="8" t="str">
        <f t="shared" si="14"/>
        <v/>
      </c>
      <c r="E939" s="13"/>
      <c r="F939" s="13"/>
    </row>
    <row r="940" spans="1:6" ht="16" x14ac:dyDescent="0.2">
      <c r="A940" s="8"/>
      <c r="B940" s="8"/>
      <c r="C940" s="8"/>
      <c r="D940" s="8" t="str">
        <f t="shared" si="14"/>
        <v/>
      </c>
      <c r="E940" s="13"/>
      <c r="F940" s="13"/>
    </row>
    <row r="941" spans="1:6" ht="16" x14ac:dyDescent="0.2">
      <c r="A941" s="8"/>
      <c r="B941" s="8"/>
      <c r="C941" s="8"/>
      <c r="D941" s="8" t="str">
        <f t="shared" si="14"/>
        <v/>
      </c>
      <c r="E941" s="13"/>
      <c r="F941" s="13"/>
    </row>
    <row r="942" spans="1:6" ht="16" x14ac:dyDescent="0.2">
      <c r="A942" s="8"/>
      <c r="B942" s="8"/>
      <c r="C942" s="8"/>
      <c r="D942" s="8" t="str">
        <f t="shared" si="14"/>
        <v/>
      </c>
      <c r="E942" s="13"/>
      <c r="F942" s="13"/>
    </row>
    <row r="943" spans="1:6" ht="16" x14ac:dyDescent="0.2">
      <c r="A943" s="8"/>
      <c r="B943" s="8"/>
      <c r="C943" s="8"/>
      <c r="D943" s="8" t="str">
        <f t="shared" si="14"/>
        <v/>
      </c>
      <c r="E943" s="13"/>
      <c r="F943" s="13"/>
    </row>
    <row r="944" spans="1:6" ht="16" x14ac:dyDescent="0.2">
      <c r="A944" s="8"/>
      <c r="B944" s="8"/>
      <c r="C944" s="8"/>
      <c r="D944" s="8" t="str">
        <f t="shared" si="14"/>
        <v/>
      </c>
      <c r="E944" s="13"/>
      <c r="F944" s="13"/>
    </row>
    <row r="945" spans="1:6" ht="16" x14ac:dyDescent="0.2">
      <c r="A945" s="8"/>
      <c r="B945" s="8"/>
      <c r="C945" s="8"/>
      <c r="D945" s="8" t="str">
        <f t="shared" si="14"/>
        <v/>
      </c>
      <c r="E945" s="13"/>
      <c r="F945" s="13"/>
    </row>
    <row r="946" spans="1:6" ht="16" x14ac:dyDescent="0.2">
      <c r="A946" s="8"/>
      <c r="B946" s="8"/>
      <c r="C946" s="8"/>
      <c r="D946" s="8" t="str">
        <f t="shared" si="14"/>
        <v/>
      </c>
      <c r="E946" s="13"/>
      <c r="F946" s="13"/>
    </row>
    <row r="947" spans="1:6" ht="16" x14ac:dyDescent="0.2">
      <c r="A947" s="8"/>
      <c r="B947" s="8"/>
      <c r="C947" s="8"/>
      <c r="D947" s="8" t="str">
        <f t="shared" si="14"/>
        <v/>
      </c>
      <c r="E947" s="13"/>
      <c r="F947" s="13"/>
    </row>
    <row r="948" spans="1:6" ht="16" x14ac:dyDescent="0.2">
      <c r="A948" s="8"/>
      <c r="B948" s="8"/>
      <c r="C948" s="8"/>
      <c r="D948" s="8" t="str">
        <f t="shared" si="14"/>
        <v/>
      </c>
      <c r="E948" s="13"/>
      <c r="F948" s="13"/>
    </row>
    <row r="949" spans="1:6" ht="16" x14ac:dyDescent="0.2">
      <c r="A949" s="8"/>
      <c r="B949" s="8"/>
      <c r="C949" s="8"/>
      <c r="D949" s="8" t="str">
        <f t="shared" si="14"/>
        <v/>
      </c>
      <c r="E949" s="13"/>
      <c r="F949" s="13"/>
    </row>
    <row r="950" spans="1:6" ht="16" x14ac:dyDescent="0.2">
      <c r="A950" s="8"/>
      <c r="B950" s="8"/>
      <c r="C950" s="8"/>
      <c r="D950" s="8" t="str">
        <f t="shared" si="14"/>
        <v/>
      </c>
      <c r="E950" s="13"/>
      <c r="F950" s="13"/>
    </row>
    <row r="951" spans="1:6" ht="16" x14ac:dyDescent="0.2">
      <c r="A951" s="8"/>
      <c r="B951" s="8"/>
      <c r="C951" s="8"/>
      <c r="D951" s="8" t="str">
        <f t="shared" si="14"/>
        <v/>
      </c>
      <c r="E951" s="13"/>
      <c r="F951" s="13"/>
    </row>
    <row r="952" spans="1:6" ht="16" x14ac:dyDescent="0.2">
      <c r="A952" s="8"/>
      <c r="B952" s="8"/>
      <c r="C952" s="8"/>
      <c r="D952" s="8" t="str">
        <f t="shared" si="14"/>
        <v/>
      </c>
      <c r="E952" s="13"/>
      <c r="F952" s="13"/>
    </row>
    <row r="953" spans="1:6" ht="16" x14ac:dyDescent="0.2">
      <c r="A953" s="8"/>
      <c r="B953" s="8"/>
      <c r="C953" s="8"/>
      <c r="D953" s="8" t="str">
        <f t="shared" si="14"/>
        <v/>
      </c>
      <c r="E953" s="13"/>
      <c r="F953" s="13"/>
    </row>
    <row r="954" spans="1:6" ht="16" x14ac:dyDescent="0.2">
      <c r="A954" s="8"/>
      <c r="B954" s="8"/>
      <c r="C954" s="8"/>
      <c r="D954" s="8" t="str">
        <f t="shared" si="14"/>
        <v/>
      </c>
      <c r="E954" s="13"/>
      <c r="F954" s="13"/>
    </row>
    <row r="955" spans="1:6" ht="16" x14ac:dyDescent="0.2">
      <c r="A955" s="8"/>
      <c r="B955" s="8"/>
      <c r="C955" s="8"/>
      <c r="D955" s="8" t="str">
        <f t="shared" si="14"/>
        <v/>
      </c>
      <c r="E955" s="13"/>
      <c r="F955" s="13"/>
    </row>
    <row r="956" spans="1:6" ht="16" x14ac:dyDescent="0.2">
      <c r="A956" s="8"/>
      <c r="B956" s="8"/>
      <c r="C956" s="8"/>
      <c r="D956" s="8" t="str">
        <f t="shared" si="14"/>
        <v/>
      </c>
      <c r="E956" s="13"/>
      <c r="F956" s="13"/>
    </row>
    <row r="957" spans="1:6" ht="16" x14ac:dyDescent="0.2">
      <c r="A957" s="8"/>
      <c r="B957" s="8"/>
      <c r="C957" s="8"/>
      <c r="D957" s="8" t="str">
        <f t="shared" si="14"/>
        <v/>
      </c>
      <c r="E957" s="13"/>
      <c r="F957" s="13"/>
    </row>
    <row r="958" spans="1:6" ht="16" x14ac:dyDescent="0.2">
      <c r="A958" s="8"/>
      <c r="B958" s="8"/>
      <c r="C958" s="8"/>
      <c r="D958" s="8" t="str">
        <f t="shared" si="14"/>
        <v/>
      </c>
      <c r="E958" s="13"/>
      <c r="F958" s="13"/>
    </row>
    <row r="959" spans="1:6" ht="16" x14ac:dyDescent="0.2">
      <c r="A959" s="8"/>
      <c r="B959" s="8"/>
      <c r="C959" s="8"/>
      <c r="D959" s="8" t="str">
        <f t="shared" si="14"/>
        <v/>
      </c>
      <c r="E959" s="13"/>
      <c r="F959" s="13"/>
    </row>
    <row r="960" spans="1:6" ht="16" x14ac:dyDescent="0.2">
      <c r="A960" s="8"/>
      <c r="B960" s="8"/>
      <c r="C960" s="8"/>
      <c r="D960" s="8" t="str">
        <f t="shared" si="14"/>
        <v/>
      </c>
      <c r="E960" s="13"/>
      <c r="F960" s="13"/>
    </row>
    <row r="961" spans="1:6" ht="16" x14ac:dyDescent="0.2">
      <c r="A961" s="8"/>
      <c r="B961" s="8"/>
      <c r="C961" s="8"/>
      <c r="D961" s="8" t="str">
        <f t="shared" si="14"/>
        <v/>
      </c>
      <c r="E961" s="13"/>
      <c r="F961" s="13"/>
    </row>
    <row r="962" spans="1:6" ht="16" x14ac:dyDescent="0.2">
      <c r="A962" s="8"/>
      <c r="B962" s="8"/>
      <c r="C962" s="8"/>
      <c r="D962" s="8" t="str">
        <f t="shared" si="14"/>
        <v/>
      </c>
      <c r="E962" s="13"/>
      <c r="F962" s="13"/>
    </row>
    <row r="963" spans="1:6" ht="16" x14ac:dyDescent="0.2">
      <c r="A963" s="8"/>
      <c r="B963" s="8"/>
      <c r="C963" s="8"/>
      <c r="D963" s="8" t="str">
        <f t="shared" ref="D963:D1001" si="15">IF(A963=0,"","MinMax")</f>
        <v/>
      </c>
      <c r="E963" s="13"/>
      <c r="F963" s="13"/>
    </row>
    <row r="964" spans="1:6" ht="16" x14ac:dyDescent="0.2">
      <c r="A964" s="8"/>
      <c r="B964" s="8"/>
      <c r="C964" s="8"/>
      <c r="D964" s="8" t="str">
        <f t="shared" si="15"/>
        <v/>
      </c>
      <c r="E964" s="13"/>
      <c r="F964" s="13"/>
    </row>
    <row r="965" spans="1:6" ht="16" x14ac:dyDescent="0.2">
      <c r="A965" s="8"/>
      <c r="B965" s="8"/>
      <c r="C965" s="8"/>
      <c r="D965" s="8" t="str">
        <f t="shared" si="15"/>
        <v/>
      </c>
      <c r="E965" s="13"/>
      <c r="F965" s="13"/>
    </row>
    <row r="966" spans="1:6" ht="16" x14ac:dyDescent="0.2">
      <c r="A966" s="8"/>
      <c r="B966" s="8"/>
      <c r="C966" s="8"/>
      <c r="D966" s="8" t="str">
        <f t="shared" si="15"/>
        <v/>
      </c>
      <c r="E966" s="13"/>
      <c r="F966" s="13"/>
    </row>
    <row r="967" spans="1:6" ht="16" x14ac:dyDescent="0.2">
      <c r="A967" s="8"/>
      <c r="B967" s="8"/>
      <c r="C967" s="8"/>
      <c r="D967" s="8" t="str">
        <f t="shared" si="15"/>
        <v/>
      </c>
      <c r="E967" s="13"/>
      <c r="F967" s="13"/>
    </row>
    <row r="968" spans="1:6" ht="16" x14ac:dyDescent="0.2">
      <c r="A968" s="8"/>
      <c r="B968" s="8"/>
      <c r="C968" s="8"/>
      <c r="D968" s="8" t="str">
        <f t="shared" si="15"/>
        <v/>
      </c>
      <c r="E968" s="13"/>
      <c r="F968" s="13"/>
    </row>
    <row r="969" spans="1:6" ht="16" x14ac:dyDescent="0.2">
      <c r="A969" s="8"/>
      <c r="B969" s="8"/>
      <c r="C969" s="8"/>
      <c r="D969" s="8" t="str">
        <f t="shared" si="15"/>
        <v/>
      </c>
      <c r="E969" s="13"/>
      <c r="F969" s="13"/>
    </row>
    <row r="970" spans="1:6" ht="16" x14ac:dyDescent="0.2">
      <c r="A970" s="8"/>
      <c r="B970" s="8"/>
      <c r="C970" s="8"/>
      <c r="D970" s="8" t="str">
        <f t="shared" si="15"/>
        <v/>
      </c>
      <c r="E970" s="13"/>
      <c r="F970" s="13"/>
    </row>
    <row r="971" spans="1:6" ht="16" x14ac:dyDescent="0.2">
      <c r="A971" s="8"/>
      <c r="B971" s="8"/>
      <c r="C971" s="8"/>
      <c r="D971" s="8" t="str">
        <f t="shared" si="15"/>
        <v/>
      </c>
      <c r="E971" s="13"/>
      <c r="F971" s="13"/>
    </row>
    <row r="972" spans="1:6" ht="16" x14ac:dyDescent="0.2">
      <c r="A972" s="8"/>
      <c r="B972" s="8"/>
      <c r="C972" s="8"/>
      <c r="D972" s="8" t="str">
        <f t="shared" si="15"/>
        <v/>
      </c>
      <c r="E972" s="13"/>
      <c r="F972" s="13"/>
    </row>
    <row r="973" spans="1:6" ht="16" x14ac:dyDescent="0.2">
      <c r="A973" s="8"/>
      <c r="B973" s="8"/>
      <c r="C973" s="8"/>
      <c r="D973" s="8" t="str">
        <f t="shared" si="15"/>
        <v/>
      </c>
      <c r="E973" s="13"/>
      <c r="F973" s="13"/>
    </row>
    <row r="974" spans="1:6" ht="16" x14ac:dyDescent="0.2">
      <c r="A974" s="8"/>
      <c r="B974" s="8"/>
      <c r="C974" s="8"/>
      <c r="D974" s="8" t="str">
        <f t="shared" si="15"/>
        <v/>
      </c>
      <c r="E974" s="13"/>
      <c r="F974" s="13"/>
    </row>
    <row r="975" spans="1:6" ht="16" x14ac:dyDescent="0.2">
      <c r="A975" s="8"/>
      <c r="B975" s="8"/>
      <c r="C975" s="8"/>
      <c r="D975" s="8" t="str">
        <f t="shared" si="15"/>
        <v/>
      </c>
      <c r="E975" s="13"/>
      <c r="F975" s="13"/>
    </row>
    <row r="976" spans="1:6" ht="16" x14ac:dyDescent="0.2">
      <c r="A976" s="8"/>
      <c r="B976" s="8"/>
      <c r="C976" s="8"/>
      <c r="D976" s="8" t="str">
        <f t="shared" si="15"/>
        <v/>
      </c>
      <c r="E976" s="13"/>
      <c r="F976" s="13"/>
    </row>
    <row r="977" spans="1:6" ht="16" x14ac:dyDescent="0.2">
      <c r="A977" s="8"/>
      <c r="B977" s="8"/>
      <c r="C977" s="8"/>
      <c r="D977" s="8" t="str">
        <f t="shared" si="15"/>
        <v/>
      </c>
      <c r="E977" s="13"/>
      <c r="F977" s="13"/>
    </row>
    <row r="978" spans="1:6" ht="16" x14ac:dyDescent="0.2">
      <c r="A978" s="8"/>
      <c r="B978" s="8"/>
      <c r="C978" s="8"/>
      <c r="D978" s="8" t="str">
        <f t="shared" si="15"/>
        <v/>
      </c>
      <c r="E978" s="13"/>
      <c r="F978" s="13"/>
    </row>
    <row r="979" spans="1:6" ht="16" x14ac:dyDescent="0.2">
      <c r="A979" s="8"/>
      <c r="B979" s="8"/>
      <c r="C979" s="8"/>
      <c r="D979" s="8" t="str">
        <f t="shared" si="15"/>
        <v/>
      </c>
      <c r="E979" s="13"/>
      <c r="F979" s="13"/>
    </row>
    <row r="980" spans="1:6" ht="16" x14ac:dyDescent="0.2">
      <c r="A980" s="8"/>
      <c r="B980" s="8"/>
      <c r="C980" s="8"/>
      <c r="D980" s="8" t="str">
        <f t="shared" si="15"/>
        <v/>
      </c>
      <c r="E980" s="13"/>
      <c r="F980" s="13"/>
    </row>
    <row r="981" spans="1:6" ht="16" x14ac:dyDescent="0.2">
      <c r="A981" s="8"/>
      <c r="B981" s="8"/>
      <c r="C981" s="8"/>
      <c r="D981" s="8" t="str">
        <f t="shared" si="15"/>
        <v/>
      </c>
      <c r="E981" s="13"/>
      <c r="F981" s="13"/>
    </row>
    <row r="982" spans="1:6" ht="16" x14ac:dyDescent="0.2">
      <c r="A982" s="8"/>
      <c r="B982" s="8"/>
      <c r="C982" s="8"/>
      <c r="D982" s="8" t="str">
        <f t="shared" si="15"/>
        <v/>
      </c>
      <c r="E982" s="13"/>
      <c r="F982" s="13"/>
    </row>
    <row r="983" spans="1:6" ht="16" x14ac:dyDescent="0.2">
      <c r="A983" s="8"/>
      <c r="B983" s="8"/>
      <c r="C983" s="8"/>
      <c r="D983" s="8" t="str">
        <f t="shared" si="15"/>
        <v/>
      </c>
      <c r="E983" s="13"/>
      <c r="F983" s="13"/>
    </row>
    <row r="984" spans="1:6" ht="16" x14ac:dyDescent="0.2">
      <c r="A984" s="8"/>
      <c r="B984" s="8"/>
      <c r="C984" s="8"/>
      <c r="D984" s="8" t="str">
        <f t="shared" si="15"/>
        <v/>
      </c>
      <c r="E984" s="13"/>
      <c r="F984" s="13"/>
    </row>
    <row r="985" spans="1:6" ht="16" x14ac:dyDescent="0.2">
      <c r="A985" s="8"/>
      <c r="B985" s="8"/>
      <c r="C985" s="8"/>
      <c r="D985" s="8" t="str">
        <f t="shared" si="15"/>
        <v/>
      </c>
      <c r="E985" s="13"/>
      <c r="F985" s="13"/>
    </row>
    <row r="986" spans="1:6" ht="16" x14ac:dyDescent="0.2">
      <c r="A986" s="8"/>
      <c r="B986" s="8"/>
      <c r="C986" s="8"/>
      <c r="D986" s="8" t="str">
        <f t="shared" si="15"/>
        <v/>
      </c>
      <c r="E986" s="13"/>
      <c r="F986" s="13"/>
    </row>
    <row r="987" spans="1:6" ht="16" x14ac:dyDescent="0.2">
      <c r="A987" s="8"/>
      <c r="B987" s="8"/>
      <c r="C987" s="8"/>
      <c r="D987" s="8" t="str">
        <f t="shared" si="15"/>
        <v/>
      </c>
      <c r="E987" s="13"/>
      <c r="F987" s="13"/>
    </row>
    <row r="988" spans="1:6" ht="16" x14ac:dyDescent="0.2">
      <c r="A988" s="8"/>
      <c r="B988" s="8"/>
      <c r="C988" s="8"/>
      <c r="D988" s="8" t="str">
        <f t="shared" si="15"/>
        <v/>
      </c>
      <c r="E988" s="13"/>
      <c r="F988" s="13"/>
    </row>
    <row r="989" spans="1:6" ht="16" x14ac:dyDescent="0.2">
      <c r="A989" s="8"/>
      <c r="B989" s="8"/>
      <c r="C989" s="8"/>
      <c r="D989" s="8" t="str">
        <f t="shared" si="15"/>
        <v/>
      </c>
      <c r="E989" s="13"/>
      <c r="F989" s="13"/>
    </row>
    <row r="990" spans="1:6" ht="16" x14ac:dyDescent="0.2">
      <c r="A990" s="8"/>
      <c r="B990" s="8"/>
      <c r="C990" s="8"/>
      <c r="D990" s="8" t="str">
        <f t="shared" si="15"/>
        <v/>
      </c>
      <c r="E990" s="13"/>
      <c r="F990" s="13"/>
    </row>
    <row r="991" spans="1:6" ht="16" x14ac:dyDescent="0.2">
      <c r="A991" s="8"/>
      <c r="B991" s="8"/>
      <c r="C991" s="8"/>
      <c r="D991" s="8" t="str">
        <f t="shared" si="15"/>
        <v/>
      </c>
      <c r="E991" s="13"/>
      <c r="F991" s="13"/>
    </row>
    <row r="992" spans="1:6" ht="16" x14ac:dyDescent="0.2">
      <c r="A992" s="8"/>
      <c r="B992" s="8"/>
      <c r="C992" s="8"/>
      <c r="D992" s="8" t="str">
        <f t="shared" si="15"/>
        <v/>
      </c>
      <c r="E992" s="13"/>
      <c r="F992" s="13"/>
    </row>
    <row r="993" spans="1:6" ht="16" x14ac:dyDescent="0.2">
      <c r="A993" s="8"/>
      <c r="B993" s="8"/>
      <c r="C993" s="8"/>
      <c r="D993" s="8" t="str">
        <f t="shared" si="15"/>
        <v/>
      </c>
      <c r="E993" s="13"/>
      <c r="F993" s="13"/>
    </row>
    <row r="994" spans="1:6" ht="16" x14ac:dyDescent="0.2">
      <c r="A994" s="8"/>
      <c r="B994" s="8"/>
      <c r="C994" s="8"/>
      <c r="D994" s="8" t="str">
        <f t="shared" si="15"/>
        <v/>
      </c>
      <c r="E994" s="13"/>
      <c r="F994" s="13"/>
    </row>
    <row r="995" spans="1:6" ht="16" x14ac:dyDescent="0.2">
      <c r="A995" s="8"/>
      <c r="B995" s="8"/>
      <c r="C995" s="8"/>
      <c r="D995" s="8" t="str">
        <f t="shared" si="15"/>
        <v/>
      </c>
      <c r="E995" s="13"/>
      <c r="F995" s="13"/>
    </row>
    <row r="996" spans="1:6" ht="16" x14ac:dyDescent="0.2">
      <c r="A996" s="8"/>
      <c r="B996" s="8"/>
      <c r="C996" s="8"/>
      <c r="D996" s="8" t="str">
        <f t="shared" si="15"/>
        <v/>
      </c>
      <c r="E996" s="13"/>
      <c r="F996" s="13"/>
    </row>
    <row r="997" spans="1:6" ht="16" x14ac:dyDescent="0.2">
      <c r="A997" s="8"/>
      <c r="B997" s="8"/>
      <c r="C997" s="8"/>
      <c r="D997" s="8" t="str">
        <f t="shared" si="15"/>
        <v/>
      </c>
      <c r="E997" s="13"/>
      <c r="F997" s="13"/>
    </row>
    <row r="998" spans="1:6" ht="16" x14ac:dyDescent="0.2">
      <c r="A998" s="8"/>
      <c r="B998" s="8"/>
      <c r="C998" s="8"/>
      <c r="D998" s="8" t="str">
        <f t="shared" si="15"/>
        <v/>
      </c>
      <c r="E998" s="13"/>
      <c r="F998" s="13"/>
    </row>
    <row r="999" spans="1:6" ht="16" x14ac:dyDescent="0.2">
      <c r="A999" s="8"/>
      <c r="B999" s="8"/>
      <c r="C999" s="8"/>
      <c r="D999" s="8" t="str">
        <f t="shared" si="15"/>
        <v/>
      </c>
      <c r="E999" s="13"/>
      <c r="F999" s="13"/>
    </row>
    <row r="1000" spans="1:6" ht="16" x14ac:dyDescent="0.2">
      <c r="A1000" s="8"/>
      <c r="B1000" s="8"/>
      <c r="C1000" s="8"/>
      <c r="D1000" s="8" t="str">
        <f t="shared" si="15"/>
        <v/>
      </c>
      <c r="E1000" s="13"/>
      <c r="F1000" s="13"/>
    </row>
    <row r="1001" spans="1:6" ht="16" x14ac:dyDescent="0.2">
      <c r="A1001" s="8"/>
      <c r="B1001" s="8"/>
      <c r="C1001" s="8"/>
      <c r="D1001" s="8" t="str">
        <f t="shared" si="15"/>
        <v/>
      </c>
      <c r="E1001" s="13"/>
      <c r="F1001" s="13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3" width="20.83203125" style="8" customWidth="1"/>
    <col min="4" max="4" width="15.83203125" style="12" customWidth="1"/>
    <col min="5" max="21" width="10.83203125" style="12" customWidth="1"/>
    <col min="22" max="25" width="15.83203125" style="12" customWidth="1"/>
    <col min="26" max="27" width="10.83203125" style="12" customWidth="1"/>
    <col min="28" max="29" width="15.83203125" style="12" customWidth="1"/>
    <col min="30" max="32" width="10.83203125" style="12" customWidth="1"/>
    <col min="33" max="16384" width="10.83203125" style="11"/>
  </cols>
  <sheetData>
    <row r="1" spans="1:32" s="9" customFormat="1" ht="16.5" customHeight="1" x14ac:dyDescent="0.2">
      <c r="A1" s="9" t="s">
        <v>11</v>
      </c>
      <c r="B1" s="9" t="s">
        <v>9</v>
      </c>
      <c r="C1" s="9" t="s">
        <v>20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44</v>
      </c>
      <c r="K1" s="9" t="s">
        <v>45</v>
      </c>
      <c r="L1" s="9" t="s">
        <v>46</v>
      </c>
      <c r="M1" s="9" t="s">
        <v>47</v>
      </c>
      <c r="N1" s="9" t="s">
        <v>48</v>
      </c>
      <c r="O1" s="9" t="s">
        <v>49</v>
      </c>
      <c r="P1" s="9" t="s">
        <v>50</v>
      </c>
      <c r="Q1" s="9" t="s">
        <v>51</v>
      </c>
      <c r="R1" s="9" t="s">
        <v>52</v>
      </c>
      <c r="S1" s="9" t="s">
        <v>53</v>
      </c>
      <c r="T1" s="9" t="s">
        <v>54</v>
      </c>
      <c r="U1" s="9" t="s">
        <v>55</v>
      </c>
      <c r="V1" s="9" t="s">
        <v>56</v>
      </c>
      <c r="W1" s="9" t="s">
        <v>57</v>
      </c>
      <c r="X1" s="9" t="s">
        <v>58</v>
      </c>
      <c r="Y1" s="9" t="s">
        <v>59</v>
      </c>
      <c r="Z1" s="9" t="s">
        <v>60</v>
      </c>
      <c r="AA1" s="9" t="s">
        <v>61</v>
      </c>
      <c r="AB1" s="9" t="s">
        <v>62</v>
      </c>
      <c r="AC1" s="9" t="s">
        <v>63</v>
      </c>
      <c r="AD1" s="9" t="s">
        <v>64</v>
      </c>
      <c r="AE1" s="9" t="s">
        <v>65</v>
      </c>
      <c r="AF1" s="9" t="s">
        <v>66</v>
      </c>
    </row>
    <row r="2" spans="1:32" x14ac:dyDescent="0.2">
      <c r="A2" s="8" t="s">
        <v>67</v>
      </c>
      <c r="B2" s="8" t="str">
        <f t="shared" ref="B2:B65" si="0">IF(A2=0,"","Hinge")</f>
        <v>Hinge</v>
      </c>
      <c r="C2" s="8" t="s">
        <v>68</v>
      </c>
      <c r="D2" s="12">
        <v>114958.97490209967</v>
      </c>
      <c r="E2" s="12">
        <v>0</v>
      </c>
      <c r="F2" s="12">
        <v>0</v>
      </c>
      <c r="G2" s="12">
        <v>243.16919999999999</v>
      </c>
      <c r="H2" s="12">
        <v>388.62200000000001</v>
      </c>
      <c r="I2" s="12">
        <f>G2*1.1</f>
        <v>267.48612000000003</v>
      </c>
      <c r="J2" s="12">
        <f>H2*1.1</f>
        <v>427.48420000000004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1</v>
      </c>
      <c r="S2" s="12">
        <v>1</v>
      </c>
      <c r="T2" s="12">
        <v>1</v>
      </c>
      <c r="U2" s="12">
        <v>1</v>
      </c>
      <c r="V2" s="12">
        <v>2.2268112818223454E-2</v>
      </c>
      <c r="W2" s="12">
        <v>2.2268112818223454E-2</v>
      </c>
      <c r="X2" s="12">
        <v>2.2268112818223454E-2</v>
      </c>
      <c r="Y2" s="12">
        <v>2.2268112818223454E-2</v>
      </c>
      <c r="Z2" s="12">
        <v>0.2</v>
      </c>
      <c r="AA2" s="12">
        <v>0.2</v>
      </c>
      <c r="AB2" s="12">
        <v>4.1385682576436635E-2</v>
      </c>
      <c r="AC2" s="12">
        <v>4.1385682576436635E-2</v>
      </c>
      <c r="AD2" s="12">
        <v>1</v>
      </c>
      <c r="AE2" s="12">
        <v>1</v>
      </c>
      <c r="AF2" s="12">
        <v>0</v>
      </c>
    </row>
    <row r="3" spans="1:32" x14ac:dyDescent="0.2">
      <c r="B3" s="8" t="str">
        <f t="shared" si="0"/>
        <v/>
      </c>
    </row>
    <row r="4" spans="1:32" x14ac:dyDescent="0.2">
      <c r="B4" s="8" t="str">
        <f t="shared" si="0"/>
        <v/>
      </c>
    </row>
    <row r="5" spans="1:32" x14ac:dyDescent="0.2">
      <c r="B5" s="8" t="str">
        <f t="shared" si="0"/>
        <v/>
      </c>
    </row>
    <row r="6" spans="1:32" x14ac:dyDescent="0.2">
      <c r="B6" s="8" t="str">
        <f t="shared" si="0"/>
        <v/>
      </c>
    </row>
    <row r="7" spans="1:32" x14ac:dyDescent="0.2">
      <c r="B7" s="8" t="str">
        <f t="shared" si="0"/>
        <v/>
      </c>
    </row>
    <row r="8" spans="1:32" x14ac:dyDescent="0.2">
      <c r="B8" s="8" t="str">
        <f t="shared" si="0"/>
        <v/>
      </c>
    </row>
    <row r="9" spans="1:32" x14ac:dyDescent="0.2">
      <c r="B9" s="8" t="str">
        <f t="shared" si="0"/>
        <v/>
      </c>
    </row>
    <row r="10" spans="1:32" x14ac:dyDescent="0.2">
      <c r="B10" s="8" t="str">
        <f t="shared" si="0"/>
        <v/>
      </c>
    </row>
    <row r="11" spans="1:32" x14ac:dyDescent="0.2">
      <c r="B11" s="8" t="str">
        <f t="shared" si="0"/>
        <v/>
      </c>
    </row>
    <row r="12" spans="1:32" x14ac:dyDescent="0.2">
      <c r="B12" s="8" t="str">
        <f t="shared" si="0"/>
        <v/>
      </c>
    </row>
    <row r="13" spans="1:32" x14ac:dyDescent="0.2">
      <c r="B13" s="8" t="str">
        <f t="shared" si="0"/>
        <v/>
      </c>
    </row>
    <row r="14" spans="1:32" x14ac:dyDescent="0.2">
      <c r="B14" s="8" t="str">
        <f t="shared" si="0"/>
        <v/>
      </c>
    </row>
    <row r="15" spans="1:32" x14ac:dyDescent="0.2">
      <c r="B15" s="8" t="str">
        <f t="shared" si="0"/>
        <v/>
      </c>
    </row>
    <row r="16" spans="1:32" x14ac:dyDescent="0.2">
      <c r="B16" s="8" t="str">
        <f t="shared" si="0"/>
        <v/>
      </c>
    </row>
    <row r="17" spans="2:2" x14ac:dyDescent="0.2">
      <c r="B17" s="8" t="str">
        <f t="shared" si="0"/>
        <v/>
      </c>
    </row>
    <row r="18" spans="2:2" x14ac:dyDescent="0.2">
      <c r="B18" s="8" t="str">
        <f t="shared" si="0"/>
        <v/>
      </c>
    </row>
    <row r="19" spans="2:2" x14ac:dyDescent="0.2">
      <c r="B19" s="8" t="str">
        <f t="shared" si="0"/>
        <v/>
      </c>
    </row>
    <row r="20" spans="2:2" x14ac:dyDescent="0.2">
      <c r="B20" s="8" t="str">
        <f t="shared" si="0"/>
        <v/>
      </c>
    </row>
    <row r="21" spans="2:2" x14ac:dyDescent="0.2">
      <c r="B21" s="8" t="str">
        <f t="shared" si="0"/>
        <v/>
      </c>
    </row>
    <row r="22" spans="2:2" x14ac:dyDescent="0.2">
      <c r="B22" s="8" t="str">
        <f t="shared" si="0"/>
        <v/>
      </c>
    </row>
    <row r="23" spans="2:2" x14ac:dyDescent="0.2">
      <c r="B23" s="8" t="str">
        <f t="shared" si="0"/>
        <v/>
      </c>
    </row>
    <row r="24" spans="2:2" x14ac:dyDescent="0.2">
      <c r="B24" s="8" t="str">
        <f t="shared" si="0"/>
        <v/>
      </c>
    </row>
    <row r="25" spans="2:2" x14ac:dyDescent="0.2">
      <c r="B25" s="8" t="str">
        <f t="shared" si="0"/>
        <v/>
      </c>
    </row>
    <row r="26" spans="2:2" x14ac:dyDescent="0.2">
      <c r="B26" s="8" t="str">
        <f t="shared" si="0"/>
        <v/>
      </c>
    </row>
    <row r="27" spans="2:2" x14ac:dyDescent="0.2">
      <c r="B27" s="8" t="str">
        <f t="shared" si="0"/>
        <v/>
      </c>
    </row>
    <row r="28" spans="2:2" x14ac:dyDescent="0.2">
      <c r="B28" s="8" t="str">
        <f t="shared" si="0"/>
        <v/>
      </c>
    </row>
    <row r="29" spans="2:2" x14ac:dyDescent="0.2">
      <c r="B29" s="8" t="str">
        <f t="shared" si="0"/>
        <v/>
      </c>
    </row>
    <row r="30" spans="2:2" x14ac:dyDescent="0.2">
      <c r="B30" s="8" t="str">
        <f t="shared" si="0"/>
        <v/>
      </c>
    </row>
    <row r="31" spans="2:2" x14ac:dyDescent="0.2">
      <c r="B31" s="8" t="str">
        <f t="shared" si="0"/>
        <v/>
      </c>
    </row>
    <row r="32" spans="2:2" x14ac:dyDescent="0.2">
      <c r="B32" s="8" t="str">
        <f t="shared" si="0"/>
        <v/>
      </c>
    </row>
    <row r="33" spans="2:2" x14ac:dyDescent="0.2">
      <c r="B33" s="8" t="str">
        <f t="shared" si="0"/>
        <v/>
      </c>
    </row>
    <row r="34" spans="2:2" x14ac:dyDescent="0.2">
      <c r="B34" s="8" t="str">
        <f t="shared" si="0"/>
        <v/>
      </c>
    </row>
    <row r="35" spans="2:2" x14ac:dyDescent="0.2">
      <c r="B35" s="8" t="str">
        <f t="shared" si="0"/>
        <v/>
      </c>
    </row>
    <row r="36" spans="2:2" x14ac:dyDescent="0.2">
      <c r="B36" s="8" t="str">
        <f t="shared" si="0"/>
        <v/>
      </c>
    </row>
    <row r="37" spans="2:2" x14ac:dyDescent="0.2">
      <c r="B37" s="8" t="str">
        <f t="shared" si="0"/>
        <v/>
      </c>
    </row>
    <row r="38" spans="2:2" x14ac:dyDescent="0.2">
      <c r="B38" s="8" t="str">
        <f t="shared" si="0"/>
        <v/>
      </c>
    </row>
    <row r="39" spans="2:2" x14ac:dyDescent="0.2">
      <c r="B39" s="8" t="str">
        <f t="shared" si="0"/>
        <v/>
      </c>
    </row>
    <row r="40" spans="2:2" x14ac:dyDescent="0.2">
      <c r="B40" s="8" t="str">
        <f t="shared" si="0"/>
        <v/>
      </c>
    </row>
    <row r="41" spans="2:2" x14ac:dyDescent="0.2">
      <c r="B41" s="8" t="str">
        <f t="shared" si="0"/>
        <v/>
      </c>
    </row>
    <row r="42" spans="2:2" x14ac:dyDescent="0.2">
      <c r="B42" s="8" t="str">
        <f t="shared" si="0"/>
        <v/>
      </c>
    </row>
    <row r="43" spans="2:2" x14ac:dyDescent="0.2">
      <c r="B43" s="8" t="str">
        <f t="shared" si="0"/>
        <v/>
      </c>
    </row>
    <row r="44" spans="2:2" x14ac:dyDescent="0.2">
      <c r="B44" s="8" t="str">
        <f t="shared" si="0"/>
        <v/>
      </c>
    </row>
    <row r="45" spans="2:2" x14ac:dyDescent="0.2">
      <c r="B45" s="8" t="str">
        <f t="shared" si="0"/>
        <v/>
      </c>
    </row>
    <row r="46" spans="2:2" x14ac:dyDescent="0.2">
      <c r="B46" s="8" t="str">
        <f t="shared" si="0"/>
        <v/>
      </c>
    </row>
    <row r="47" spans="2:2" x14ac:dyDescent="0.2">
      <c r="B47" s="8" t="str">
        <f t="shared" si="0"/>
        <v/>
      </c>
    </row>
    <row r="48" spans="2:2" x14ac:dyDescent="0.2">
      <c r="B48" s="8" t="str">
        <f t="shared" si="0"/>
        <v/>
      </c>
    </row>
    <row r="49" spans="2:2" x14ac:dyDescent="0.2">
      <c r="B49" s="8" t="str">
        <f t="shared" si="0"/>
        <v/>
      </c>
    </row>
    <row r="50" spans="2:2" x14ac:dyDescent="0.2">
      <c r="B50" s="8" t="str">
        <f t="shared" si="0"/>
        <v/>
      </c>
    </row>
    <row r="51" spans="2:2" x14ac:dyDescent="0.2">
      <c r="B51" s="8" t="str">
        <f t="shared" si="0"/>
        <v/>
      </c>
    </row>
    <row r="52" spans="2:2" x14ac:dyDescent="0.2">
      <c r="B52" s="8" t="str">
        <f t="shared" si="0"/>
        <v/>
      </c>
    </row>
    <row r="53" spans="2:2" x14ac:dyDescent="0.2">
      <c r="B53" s="8" t="str">
        <f t="shared" si="0"/>
        <v/>
      </c>
    </row>
    <row r="54" spans="2:2" x14ac:dyDescent="0.2">
      <c r="B54" s="8" t="str">
        <f t="shared" si="0"/>
        <v/>
      </c>
    </row>
    <row r="55" spans="2:2" x14ac:dyDescent="0.2">
      <c r="B55" s="8" t="str">
        <f t="shared" si="0"/>
        <v/>
      </c>
    </row>
    <row r="56" spans="2:2" x14ac:dyDescent="0.2">
      <c r="B56" s="8" t="str">
        <f t="shared" si="0"/>
        <v/>
      </c>
    </row>
    <row r="57" spans="2:2" x14ac:dyDescent="0.2">
      <c r="B57" s="8" t="str">
        <f t="shared" si="0"/>
        <v/>
      </c>
    </row>
    <row r="58" spans="2:2" x14ac:dyDescent="0.2">
      <c r="B58" s="8" t="str">
        <f t="shared" si="0"/>
        <v/>
      </c>
    </row>
    <row r="59" spans="2:2" x14ac:dyDescent="0.2">
      <c r="B59" s="8" t="str">
        <f t="shared" si="0"/>
        <v/>
      </c>
    </row>
    <row r="60" spans="2:2" x14ac:dyDescent="0.2">
      <c r="B60" s="8" t="str">
        <f t="shared" si="0"/>
        <v/>
      </c>
    </row>
    <row r="61" spans="2:2" x14ac:dyDescent="0.2">
      <c r="B61" s="8" t="str">
        <f t="shared" si="0"/>
        <v/>
      </c>
    </row>
    <row r="62" spans="2:2" x14ac:dyDescent="0.2">
      <c r="B62" s="8" t="str">
        <f t="shared" si="0"/>
        <v/>
      </c>
    </row>
    <row r="63" spans="2:2" x14ac:dyDescent="0.2">
      <c r="B63" s="8" t="str">
        <f t="shared" si="0"/>
        <v/>
      </c>
    </row>
    <row r="64" spans="2:2" x14ac:dyDescent="0.2">
      <c r="B64" s="8" t="str">
        <f t="shared" si="0"/>
        <v/>
      </c>
    </row>
    <row r="65" spans="2:2" x14ac:dyDescent="0.2">
      <c r="B65" s="8" t="str">
        <f t="shared" si="0"/>
        <v/>
      </c>
    </row>
    <row r="66" spans="2:2" x14ac:dyDescent="0.2">
      <c r="B66" s="8" t="str">
        <f t="shared" ref="B66:B129" si="1">IF(A66=0,"","Hinge")</f>
        <v/>
      </c>
    </row>
    <row r="67" spans="2:2" x14ac:dyDescent="0.2">
      <c r="B67" s="8" t="str">
        <f t="shared" si="1"/>
        <v/>
      </c>
    </row>
    <row r="68" spans="2:2" x14ac:dyDescent="0.2">
      <c r="B68" s="8" t="str">
        <f t="shared" si="1"/>
        <v/>
      </c>
    </row>
    <row r="69" spans="2:2" x14ac:dyDescent="0.2">
      <c r="B69" s="8" t="str">
        <f t="shared" si="1"/>
        <v/>
      </c>
    </row>
    <row r="70" spans="2:2" x14ac:dyDescent="0.2">
      <c r="B70" s="8" t="str">
        <f t="shared" si="1"/>
        <v/>
      </c>
    </row>
    <row r="71" spans="2:2" x14ac:dyDescent="0.2">
      <c r="B71" s="8" t="str">
        <f t="shared" si="1"/>
        <v/>
      </c>
    </row>
    <row r="72" spans="2:2" x14ac:dyDescent="0.2">
      <c r="B72" s="8" t="str">
        <f t="shared" si="1"/>
        <v/>
      </c>
    </row>
    <row r="73" spans="2:2" x14ac:dyDescent="0.2">
      <c r="B73" s="8" t="str">
        <f t="shared" si="1"/>
        <v/>
      </c>
    </row>
    <row r="74" spans="2:2" x14ac:dyDescent="0.2">
      <c r="B74" s="8" t="str">
        <f t="shared" si="1"/>
        <v/>
      </c>
    </row>
    <row r="75" spans="2:2" x14ac:dyDescent="0.2">
      <c r="B75" s="8" t="str">
        <f t="shared" si="1"/>
        <v/>
      </c>
    </row>
    <row r="76" spans="2:2" x14ac:dyDescent="0.2">
      <c r="B76" s="8" t="str">
        <f t="shared" si="1"/>
        <v/>
      </c>
    </row>
    <row r="77" spans="2:2" x14ac:dyDescent="0.2">
      <c r="B77" s="8" t="str">
        <f t="shared" si="1"/>
        <v/>
      </c>
    </row>
    <row r="78" spans="2:2" x14ac:dyDescent="0.2">
      <c r="B78" s="8" t="str">
        <f t="shared" si="1"/>
        <v/>
      </c>
    </row>
    <row r="79" spans="2:2" x14ac:dyDescent="0.2">
      <c r="B79" s="8" t="str">
        <f t="shared" si="1"/>
        <v/>
      </c>
    </row>
    <row r="80" spans="2:2" x14ac:dyDescent="0.2">
      <c r="B80" s="8" t="str">
        <f t="shared" si="1"/>
        <v/>
      </c>
    </row>
    <row r="81" spans="2:2" x14ac:dyDescent="0.2">
      <c r="B81" s="8" t="str">
        <f t="shared" si="1"/>
        <v/>
      </c>
    </row>
    <row r="82" spans="2:2" x14ac:dyDescent="0.2">
      <c r="B82" s="8" t="str">
        <f t="shared" si="1"/>
        <v/>
      </c>
    </row>
    <row r="83" spans="2:2" x14ac:dyDescent="0.2">
      <c r="B83" s="8" t="str">
        <f t="shared" si="1"/>
        <v/>
      </c>
    </row>
    <row r="84" spans="2:2" x14ac:dyDescent="0.2">
      <c r="B84" s="8" t="str">
        <f t="shared" si="1"/>
        <v/>
      </c>
    </row>
    <row r="85" spans="2:2" x14ac:dyDescent="0.2">
      <c r="B85" s="8" t="str">
        <f t="shared" si="1"/>
        <v/>
      </c>
    </row>
    <row r="86" spans="2:2" x14ac:dyDescent="0.2">
      <c r="B86" s="8" t="str">
        <f t="shared" si="1"/>
        <v/>
      </c>
    </row>
    <row r="87" spans="2:2" x14ac:dyDescent="0.2">
      <c r="B87" s="8" t="str">
        <f t="shared" si="1"/>
        <v/>
      </c>
    </row>
    <row r="88" spans="2:2" x14ac:dyDescent="0.2">
      <c r="B88" s="8" t="str">
        <f t="shared" si="1"/>
        <v/>
      </c>
    </row>
    <row r="89" spans="2:2" x14ac:dyDescent="0.2">
      <c r="B89" s="8" t="str">
        <f t="shared" si="1"/>
        <v/>
      </c>
    </row>
    <row r="90" spans="2:2" x14ac:dyDescent="0.2">
      <c r="B90" s="8" t="str">
        <f t="shared" si="1"/>
        <v/>
      </c>
    </row>
    <row r="91" spans="2:2" x14ac:dyDescent="0.2">
      <c r="B91" s="8" t="str">
        <f t="shared" si="1"/>
        <v/>
      </c>
    </row>
    <row r="92" spans="2:2" x14ac:dyDescent="0.2">
      <c r="B92" s="8" t="str">
        <f t="shared" si="1"/>
        <v/>
      </c>
    </row>
    <row r="93" spans="2:2" x14ac:dyDescent="0.2">
      <c r="B93" s="8" t="str">
        <f t="shared" si="1"/>
        <v/>
      </c>
    </row>
    <row r="94" spans="2:2" x14ac:dyDescent="0.2">
      <c r="B94" s="8" t="str">
        <f t="shared" si="1"/>
        <v/>
      </c>
    </row>
    <row r="95" spans="2:2" x14ac:dyDescent="0.2">
      <c r="B95" s="8" t="str">
        <f t="shared" si="1"/>
        <v/>
      </c>
    </row>
    <row r="96" spans="2:2" x14ac:dyDescent="0.2">
      <c r="B96" s="8" t="str">
        <f t="shared" si="1"/>
        <v/>
      </c>
    </row>
    <row r="97" spans="2:2" x14ac:dyDescent="0.2">
      <c r="B97" s="8" t="str">
        <f t="shared" si="1"/>
        <v/>
      </c>
    </row>
    <row r="98" spans="2:2" x14ac:dyDescent="0.2">
      <c r="B98" s="8" t="str">
        <f t="shared" si="1"/>
        <v/>
      </c>
    </row>
    <row r="99" spans="2:2" x14ac:dyDescent="0.2">
      <c r="B99" s="8" t="str">
        <f t="shared" si="1"/>
        <v/>
      </c>
    </row>
    <row r="100" spans="2:2" x14ac:dyDescent="0.2">
      <c r="B100" s="8" t="str">
        <f t="shared" si="1"/>
        <v/>
      </c>
    </row>
    <row r="101" spans="2:2" x14ac:dyDescent="0.2">
      <c r="B101" s="8" t="str">
        <f t="shared" si="1"/>
        <v/>
      </c>
    </row>
    <row r="102" spans="2:2" x14ac:dyDescent="0.2">
      <c r="B102" s="8" t="str">
        <f t="shared" si="1"/>
        <v/>
      </c>
    </row>
    <row r="103" spans="2:2" x14ac:dyDescent="0.2">
      <c r="B103" s="8" t="str">
        <f t="shared" si="1"/>
        <v/>
      </c>
    </row>
    <row r="104" spans="2:2" x14ac:dyDescent="0.2">
      <c r="B104" s="8" t="str">
        <f t="shared" si="1"/>
        <v/>
      </c>
    </row>
    <row r="105" spans="2:2" x14ac:dyDescent="0.2">
      <c r="B105" s="8" t="str">
        <f t="shared" si="1"/>
        <v/>
      </c>
    </row>
    <row r="106" spans="2:2" x14ac:dyDescent="0.2">
      <c r="B106" s="8" t="str">
        <f t="shared" si="1"/>
        <v/>
      </c>
    </row>
    <row r="107" spans="2:2" x14ac:dyDescent="0.2">
      <c r="B107" s="8" t="str">
        <f t="shared" si="1"/>
        <v/>
      </c>
    </row>
    <row r="108" spans="2:2" x14ac:dyDescent="0.2">
      <c r="B108" s="8" t="str">
        <f t="shared" si="1"/>
        <v/>
      </c>
    </row>
    <row r="109" spans="2:2" x14ac:dyDescent="0.2">
      <c r="B109" s="8" t="str">
        <f t="shared" si="1"/>
        <v/>
      </c>
    </row>
    <row r="110" spans="2:2" x14ac:dyDescent="0.2">
      <c r="B110" s="8" t="str">
        <f t="shared" si="1"/>
        <v/>
      </c>
    </row>
    <row r="111" spans="2:2" x14ac:dyDescent="0.2">
      <c r="B111" s="8" t="str">
        <f t="shared" si="1"/>
        <v/>
      </c>
    </row>
    <row r="112" spans="2:2" x14ac:dyDescent="0.2">
      <c r="B112" s="8" t="str">
        <f t="shared" si="1"/>
        <v/>
      </c>
    </row>
    <row r="113" spans="2:2" x14ac:dyDescent="0.2">
      <c r="B113" s="8" t="str">
        <f t="shared" si="1"/>
        <v/>
      </c>
    </row>
    <row r="114" spans="2:2" x14ac:dyDescent="0.2">
      <c r="B114" s="8" t="str">
        <f t="shared" si="1"/>
        <v/>
      </c>
    </row>
    <row r="115" spans="2:2" x14ac:dyDescent="0.2">
      <c r="B115" s="8" t="str">
        <f t="shared" si="1"/>
        <v/>
      </c>
    </row>
    <row r="116" spans="2:2" x14ac:dyDescent="0.2">
      <c r="B116" s="8" t="str">
        <f t="shared" si="1"/>
        <v/>
      </c>
    </row>
    <row r="117" spans="2:2" x14ac:dyDescent="0.2">
      <c r="B117" s="8" t="str">
        <f t="shared" si="1"/>
        <v/>
      </c>
    </row>
    <row r="118" spans="2:2" x14ac:dyDescent="0.2">
      <c r="B118" s="8" t="str">
        <f t="shared" si="1"/>
        <v/>
      </c>
    </row>
    <row r="119" spans="2:2" x14ac:dyDescent="0.2">
      <c r="B119" s="8" t="str">
        <f t="shared" si="1"/>
        <v/>
      </c>
    </row>
    <row r="120" spans="2:2" x14ac:dyDescent="0.2">
      <c r="B120" s="8" t="str">
        <f t="shared" si="1"/>
        <v/>
      </c>
    </row>
    <row r="121" spans="2:2" x14ac:dyDescent="0.2">
      <c r="B121" s="8" t="str">
        <f t="shared" si="1"/>
        <v/>
      </c>
    </row>
    <row r="122" spans="2:2" x14ac:dyDescent="0.2">
      <c r="B122" s="8" t="str">
        <f t="shared" si="1"/>
        <v/>
      </c>
    </row>
    <row r="123" spans="2:2" x14ac:dyDescent="0.2">
      <c r="B123" s="8" t="str">
        <f t="shared" si="1"/>
        <v/>
      </c>
    </row>
    <row r="124" spans="2:2" x14ac:dyDescent="0.2">
      <c r="B124" s="8" t="str">
        <f t="shared" si="1"/>
        <v/>
      </c>
    </row>
    <row r="125" spans="2:2" x14ac:dyDescent="0.2">
      <c r="B125" s="8" t="str">
        <f t="shared" si="1"/>
        <v/>
      </c>
    </row>
    <row r="126" spans="2:2" x14ac:dyDescent="0.2">
      <c r="B126" s="8" t="str">
        <f t="shared" si="1"/>
        <v/>
      </c>
    </row>
    <row r="127" spans="2:2" x14ac:dyDescent="0.2">
      <c r="B127" s="8" t="str">
        <f t="shared" si="1"/>
        <v/>
      </c>
    </row>
    <row r="128" spans="2:2" x14ac:dyDescent="0.2">
      <c r="B128" s="8" t="str">
        <f t="shared" si="1"/>
        <v/>
      </c>
    </row>
    <row r="129" spans="2:2" x14ac:dyDescent="0.2">
      <c r="B129" s="8" t="str">
        <f t="shared" si="1"/>
        <v/>
      </c>
    </row>
    <row r="130" spans="2:2" x14ac:dyDescent="0.2">
      <c r="B130" s="8" t="str">
        <f t="shared" ref="B130:B193" si="2">IF(A130=0,"","Hinge")</f>
        <v/>
      </c>
    </row>
    <row r="131" spans="2:2" x14ac:dyDescent="0.2">
      <c r="B131" s="8" t="str">
        <f t="shared" si="2"/>
        <v/>
      </c>
    </row>
    <row r="132" spans="2:2" x14ac:dyDescent="0.2">
      <c r="B132" s="8" t="str">
        <f t="shared" si="2"/>
        <v/>
      </c>
    </row>
    <row r="133" spans="2:2" x14ac:dyDescent="0.2">
      <c r="B133" s="8" t="str">
        <f t="shared" si="2"/>
        <v/>
      </c>
    </row>
    <row r="134" spans="2:2" x14ac:dyDescent="0.2">
      <c r="B134" s="8" t="str">
        <f t="shared" si="2"/>
        <v/>
      </c>
    </row>
    <row r="135" spans="2:2" x14ac:dyDescent="0.2">
      <c r="B135" s="8" t="str">
        <f t="shared" si="2"/>
        <v/>
      </c>
    </row>
    <row r="136" spans="2:2" x14ac:dyDescent="0.2">
      <c r="B136" s="8" t="str">
        <f t="shared" si="2"/>
        <v/>
      </c>
    </row>
    <row r="137" spans="2:2" x14ac:dyDescent="0.2">
      <c r="B137" s="8" t="str">
        <f t="shared" si="2"/>
        <v/>
      </c>
    </row>
    <row r="138" spans="2:2" x14ac:dyDescent="0.2">
      <c r="B138" s="8" t="str">
        <f t="shared" si="2"/>
        <v/>
      </c>
    </row>
    <row r="139" spans="2:2" x14ac:dyDescent="0.2">
      <c r="B139" s="8" t="str">
        <f t="shared" si="2"/>
        <v/>
      </c>
    </row>
    <row r="140" spans="2:2" x14ac:dyDescent="0.2">
      <c r="B140" s="8" t="str">
        <f t="shared" si="2"/>
        <v/>
      </c>
    </row>
    <row r="141" spans="2:2" x14ac:dyDescent="0.2">
      <c r="B141" s="8" t="str">
        <f t="shared" si="2"/>
        <v/>
      </c>
    </row>
    <row r="142" spans="2:2" x14ac:dyDescent="0.2">
      <c r="B142" s="8" t="str">
        <f t="shared" si="2"/>
        <v/>
      </c>
    </row>
    <row r="143" spans="2:2" x14ac:dyDescent="0.2">
      <c r="B143" s="8" t="str">
        <f t="shared" si="2"/>
        <v/>
      </c>
    </row>
    <row r="144" spans="2:2" x14ac:dyDescent="0.2">
      <c r="B144" s="8" t="str">
        <f t="shared" si="2"/>
        <v/>
      </c>
    </row>
    <row r="145" spans="2:2" x14ac:dyDescent="0.2">
      <c r="B145" s="8" t="str">
        <f t="shared" si="2"/>
        <v/>
      </c>
    </row>
    <row r="146" spans="2:2" x14ac:dyDescent="0.2">
      <c r="B146" s="8" t="str">
        <f t="shared" si="2"/>
        <v/>
      </c>
    </row>
    <row r="147" spans="2:2" x14ac:dyDescent="0.2">
      <c r="B147" s="8" t="str">
        <f t="shared" si="2"/>
        <v/>
      </c>
    </row>
    <row r="148" spans="2:2" x14ac:dyDescent="0.2">
      <c r="B148" s="8" t="str">
        <f t="shared" si="2"/>
        <v/>
      </c>
    </row>
    <row r="149" spans="2:2" x14ac:dyDescent="0.2">
      <c r="B149" s="8" t="str">
        <f t="shared" si="2"/>
        <v/>
      </c>
    </row>
    <row r="150" spans="2:2" x14ac:dyDescent="0.2">
      <c r="B150" s="8" t="str">
        <f t="shared" si="2"/>
        <v/>
      </c>
    </row>
    <row r="151" spans="2:2" x14ac:dyDescent="0.2">
      <c r="B151" s="8" t="str">
        <f t="shared" si="2"/>
        <v/>
      </c>
    </row>
    <row r="152" spans="2:2" x14ac:dyDescent="0.2">
      <c r="B152" s="8" t="str">
        <f t="shared" si="2"/>
        <v/>
      </c>
    </row>
    <row r="153" spans="2:2" x14ac:dyDescent="0.2">
      <c r="B153" s="8" t="str">
        <f t="shared" si="2"/>
        <v/>
      </c>
    </row>
    <row r="154" spans="2:2" x14ac:dyDescent="0.2">
      <c r="B154" s="8" t="str">
        <f t="shared" si="2"/>
        <v/>
      </c>
    </row>
    <row r="155" spans="2:2" x14ac:dyDescent="0.2">
      <c r="B155" s="8" t="str">
        <f t="shared" si="2"/>
        <v/>
      </c>
    </row>
    <row r="156" spans="2:2" x14ac:dyDescent="0.2">
      <c r="B156" s="8" t="str">
        <f t="shared" si="2"/>
        <v/>
      </c>
    </row>
    <row r="157" spans="2:2" x14ac:dyDescent="0.2">
      <c r="B157" s="8" t="str">
        <f t="shared" si="2"/>
        <v/>
      </c>
    </row>
    <row r="158" spans="2:2" x14ac:dyDescent="0.2">
      <c r="B158" s="8" t="str">
        <f t="shared" si="2"/>
        <v/>
      </c>
    </row>
    <row r="159" spans="2:2" x14ac:dyDescent="0.2">
      <c r="B159" s="8" t="str">
        <f t="shared" si="2"/>
        <v/>
      </c>
    </row>
    <row r="160" spans="2:2" x14ac:dyDescent="0.2">
      <c r="B160" s="8" t="str">
        <f t="shared" si="2"/>
        <v/>
      </c>
    </row>
    <row r="161" spans="2:2" x14ac:dyDescent="0.2">
      <c r="B161" s="8" t="str">
        <f t="shared" si="2"/>
        <v/>
      </c>
    </row>
    <row r="162" spans="2:2" x14ac:dyDescent="0.2">
      <c r="B162" s="8" t="str">
        <f t="shared" si="2"/>
        <v/>
      </c>
    </row>
    <row r="163" spans="2:2" x14ac:dyDescent="0.2">
      <c r="B163" s="8" t="str">
        <f t="shared" si="2"/>
        <v/>
      </c>
    </row>
    <row r="164" spans="2:2" x14ac:dyDescent="0.2">
      <c r="B164" s="8" t="str">
        <f t="shared" si="2"/>
        <v/>
      </c>
    </row>
    <row r="165" spans="2:2" x14ac:dyDescent="0.2">
      <c r="B165" s="8" t="str">
        <f t="shared" si="2"/>
        <v/>
      </c>
    </row>
    <row r="166" spans="2:2" x14ac:dyDescent="0.2">
      <c r="B166" s="8" t="str">
        <f t="shared" si="2"/>
        <v/>
      </c>
    </row>
    <row r="167" spans="2:2" x14ac:dyDescent="0.2">
      <c r="B167" s="8" t="str">
        <f t="shared" si="2"/>
        <v/>
      </c>
    </row>
    <row r="168" spans="2:2" x14ac:dyDescent="0.2">
      <c r="B168" s="8" t="str">
        <f t="shared" si="2"/>
        <v/>
      </c>
    </row>
    <row r="169" spans="2:2" x14ac:dyDescent="0.2">
      <c r="B169" s="8" t="str">
        <f t="shared" si="2"/>
        <v/>
      </c>
    </row>
    <row r="170" spans="2:2" x14ac:dyDescent="0.2">
      <c r="B170" s="8" t="str">
        <f t="shared" si="2"/>
        <v/>
      </c>
    </row>
    <row r="171" spans="2:2" x14ac:dyDescent="0.2">
      <c r="B171" s="8" t="str">
        <f t="shared" si="2"/>
        <v/>
      </c>
    </row>
    <row r="172" spans="2:2" x14ac:dyDescent="0.2">
      <c r="B172" s="8" t="str">
        <f t="shared" si="2"/>
        <v/>
      </c>
    </row>
    <row r="173" spans="2:2" x14ac:dyDescent="0.2">
      <c r="B173" s="8" t="str">
        <f t="shared" si="2"/>
        <v/>
      </c>
    </row>
    <row r="174" spans="2:2" x14ac:dyDescent="0.2">
      <c r="B174" s="8" t="str">
        <f t="shared" si="2"/>
        <v/>
      </c>
    </row>
    <row r="175" spans="2:2" x14ac:dyDescent="0.2">
      <c r="B175" s="8" t="str">
        <f t="shared" si="2"/>
        <v/>
      </c>
    </row>
    <row r="176" spans="2:2" x14ac:dyDescent="0.2">
      <c r="B176" s="8" t="str">
        <f t="shared" si="2"/>
        <v/>
      </c>
    </row>
    <row r="177" spans="2:2" x14ac:dyDescent="0.2">
      <c r="B177" s="8" t="str">
        <f t="shared" si="2"/>
        <v/>
      </c>
    </row>
    <row r="178" spans="2:2" x14ac:dyDescent="0.2">
      <c r="B178" s="8" t="str">
        <f t="shared" si="2"/>
        <v/>
      </c>
    </row>
    <row r="179" spans="2:2" x14ac:dyDescent="0.2">
      <c r="B179" s="8" t="str">
        <f t="shared" si="2"/>
        <v/>
      </c>
    </row>
    <row r="180" spans="2:2" x14ac:dyDescent="0.2">
      <c r="B180" s="8" t="str">
        <f t="shared" si="2"/>
        <v/>
      </c>
    </row>
    <row r="181" spans="2:2" x14ac:dyDescent="0.2">
      <c r="B181" s="8" t="str">
        <f t="shared" si="2"/>
        <v/>
      </c>
    </row>
    <row r="182" spans="2:2" x14ac:dyDescent="0.2">
      <c r="B182" s="8" t="str">
        <f t="shared" si="2"/>
        <v/>
      </c>
    </row>
    <row r="183" spans="2:2" x14ac:dyDescent="0.2">
      <c r="B183" s="8" t="str">
        <f t="shared" si="2"/>
        <v/>
      </c>
    </row>
    <row r="184" spans="2:2" x14ac:dyDescent="0.2">
      <c r="B184" s="8" t="str">
        <f t="shared" si="2"/>
        <v/>
      </c>
    </row>
    <row r="185" spans="2:2" x14ac:dyDescent="0.2">
      <c r="B185" s="8" t="str">
        <f t="shared" si="2"/>
        <v/>
      </c>
    </row>
    <row r="186" spans="2:2" x14ac:dyDescent="0.2">
      <c r="B186" s="8" t="str">
        <f t="shared" si="2"/>
        <v/>
      </c>
    </row>
    <row r="187" spans="2:2" x14ac:dyDescent="0.2">
      <c r="B187" s="8" t="str">
        <f t="shared" si="2"/>
        <v/>
      </c>
    </row>
    <row r="188" spans="2:2" x14ac:dyDescent="0.2">
      <c r="B188" s="8" t="str">
        <f t="shared" si="2"/>
        <v/>
      </c>
    </row>
    <row r="189" spans="2:2" x14ac:dyDescent="0.2">
      <c r="B189" s="8" t="str">
        <f t="shared" si="2"/>
        <v/>
      </c>
    </row>
    <row r="190" spans="2:2" x14ac:dyDescent="0.2">
      <c r="B190" s="8" t="str">
        <f t="shared" si="2"/>
        <v/>
      </c>
    </row>
    <row r="191" spans="2:2" x14ac:dyDescent="0.2">
      <c r="B191" s="8" t="str">
        <f t="shared" si="2"/>
        <v/>
      </c>
    </row>
    <row r="192" spans="2:2" x14ac:dyDescent="0.2">
      <c r="B192" s="8" t="str">
        <f t="shared" si="2"/>
        <v/>
      </c>
    </row>
    <row r="193" spans="2:2" x14ac:dyDescent="0.2">
      <c r="B193" s="8" t="str">
        <f t="shared" si="2"/>
        <v/>
      </c>
    </row>
    <row r="194" spans="2:2" x14ac:dyDescent="0.2">
      <c r="B194" s="8" t="str">
        <f t="shared" ref="B194:B257" si="3">IF(A194=0,"","Hinge")</f>
        <v/>
      </c>
    </row>
    <row r="195" spans="2:2" x14ac:dyDescent="0.2">
      <c r="B195" s="8" t="str">
        <f t="shared" si="3"/>
        <v/>
      </c>
    </row>
    <row r="196" spans="2:2" x14ac:dyDescent="0.2">
      <c r="B196" s="8" t="str">
        <f t="shared" si="3"/>
        <v/>
      </c>
    </row>
    <row r="197" spans="2:2" x14ac:dyDescent="0.2">
      <c r="B197" s="8" t="str">
        <f t="shared" si="3"/>
        <v/>
      </c>
    </row>
    <row r="198" spans="2:2" x14ac:dyDescent="0.2">
      <c r="B198" s="8" t="str">
        <f t="shared" si="3"/>
        <v/>
      </c>
    </row>
    <row r="199" spans="2:2" x14ac:dyDescent="0.2">
      <c r="B199" s="8" t="str">
        <f t="shared" si="3"/>
        <v/>
      </c>
    </row>
    <row r="200" spans="2:2" x14ac:dyDescent="0.2">
      <c r="B200" s="8" t="str">
        <f t="shared" si="3"/>
        <v/>
      </c>
    </row>
    <row r="201" spans="2:2" x14ac:dyDescent="0.2">
      <c r="B201" s="8" t="str">
        <f t="shared" si="3"/>
        <v/>
      </c>
    </row>
    <row r="202" spans="2:2" x14ac:dyDescent="0.2">
      <c r="B202" s="8" t="str">
        <f t="shared" si="3"/>
        <v/>
      </c>
    </row>
    <row r="203" spans="2:2" x14ac:dyDescent="0.2">
      <c r="B203" s="8" t="str">
        <f t="shared" si="3"/>
        <v/>
      </c>
    </row>
    <row r="204" spans="2:2" x14ac:dyDescent="0.2">
      <c r="B204" s="8" t="str">
        <f t="shared" si="3"/>
        <v/>
      </c>
    </row>
    <row r="205" spans="2:2" x14ac:dyDescent="0.2">
      <c r="B205" s="8" t="str">
        <f t="shared" si="3"/>
        <v/>
      </c>
    </row>
    <row r="206" spans="2:2" x14ac:dyDescent="0.2">
      <c r="B206" s="8" t="str">
        <f t="shared" si="3"/>
        <v/>
      </c>
    </row>
    <row r="207" spans="2:2" x14ac:dyDescent="0.2">
      <c r="B207" s="8" t="str">
        <f t="shared" si="3"/>
        <v/>
      </c>
    </row>
    <row r="208" spans="2:2" x14ac:dyDescent="0.2">
      <c r="B208" s="8" t="str">
        <f t="shared" si="3"/>
        <v/>
      </c>
    </row>
    <row r="209" spans="2:2" x14ac:dyDescent="0.2">
      <c r="B209" s="8" t="str">
        <f t="shared" si="3"/>
        <v/>
      </c>
    </row>
    <row r="210" spans="2:2" x14ac:dyDescent="0.2">
      <c r="B210" s="8" t="str">
        <f t="shared" si="3"/>
        <v/>
      </c>
    </row>
    <row r="211" spans="2:2" x14ac:dyDescent="0.2">
      <c r="B211" s="8" t="str">
        <f t="shared" si="3"/>
        <v/>
      </c>
    </row>
    <row r="212" spans="2:2" x14ac:dyDescent="0.2">
      <c r="B212" s="8" t="str">
        <f t="shared" si="3"/>
        <v/>
      </c>
    </row>
    <row r="213" spans="2:2" x14ac:dyDescent="0.2">
      <c r="B213" s="8" t="str">
        <f t="shared" si="3"/>
        <v/>
      </c>
    </row>
    <row r="214" spans="2:2" x14ac:dyDescent="0.2">
      <c r="B214" s="8" t="str">
        <f t="shared" si="3"/>
        <v/>
      </c>
    </row>
    <row r="215" spans="2:2" x14ac:dyDescent="0.2">
      <c r="B215" s="8" t="str">
        <f t="shared" si="3"/>
        <v/>
      </c>
    </row>
    <row r="216" spans="2:2" x14ac:dyDescent="0.2">
      <c r="B216" s="8" t="str">
        <f t="shared" si="3"/>
        <v/>
      </c>
    </row>
    <row r="217" spans="2:2" x14ac:dyDescent="0.2">
      <c r="B217" s="8" t="str">
        <f t="shared" si="3"/>
        <v/>
      </c>
    </row>
    <row r="218" spans="2:2" x14ac:dyDescent="0.2">
      <c r="B218" s="8" t="str">
        <f t="shared" si="3"/>
        <v/>
      </c>
    </row>
    <row r="219" spans="2:2" x14ac:dyDescent="0.2">
      <c r="B219" s="8" t="str">
        <f t="shared" si="3"/>
        <v/>
      </c>
    </row>
    <row r="220" spans="2:2" x14ac:dyDescent="0.2">
      <c r="B220" s="8" t="str">
        <f t="shared" si="3"/>
        <v/>
      </c>
    </row>
    <row r="221" spans="2:2" x14ac:dyDescent="0.2">
      <c r="B221" s="8" t="str">
        <f t="shared" si="3"/>
        <v/>
      </c>
    </row>
    <row r="222" spans="2:2" x14ac:dyDescent="0.2">
      <c r="B222" s="8" t="str">
        <f t="shared" si="3"/>
        <v/>
      </c>
    </row>
    <row r="223" spans="2:2" x14ac:dyDescent="0.2">
      <c r="B223" s="8" t="str">
        <f t="shared" si="3"/>
        <v/>
      </c>
    </row>
    <row r="224" spans="2:2" x14ac:dyDescent="0.2">
      <c r="B224" s="8" t="str">
        <f t="shared" si="3"/>
        <v/>
      </c>
    </row>
    <row r="225" spans="2:2" x14ac:dyDescent="0.2">
      <c r="B225" s="8" t="str">
        <f t="shared" si="3"/>
        <v/>
      </c>
    </row>
    <row r="226" spans="2:2" x14ac:dyDescent="0.2">
      <c r="B226" s="8" t="str">
        <f t="shared" si="3"/>
        <v/>
      </c>
    </row>
    <row r="227" spans="2:2" x14ac:dyDescent="0.2">
      <c r="B227" s="8" t="str">
        <f t="shared" si="3"/>
        <v/>
      </c>
    </row>
    <row r="228" spans="2:2" x14ac:dyDescent="0.2">
      <c r="B228" s="8" t="str">
        <f t="shared" si="3"/>
        <v/>
      </c>
    </row>
    <row r="229" spans="2:2" x14ac:dyDescent="0.2">
      <c r="B229" s="8" t="str">
        <f t="shared" si="3"/>
        <v/>
      </c>
    </row>
    <row r="230" spans="2:2" x14ac:dyDescent="0.2">
      <c r="B230" s="8" t="str">
        <f t="shared" si="3"/>
        <v/>
      </c>
    </row>
    <row r="231" spans="2:2" x14ac:dyDescent="0.2">
      <c r="B231" s="8" t="str">
        <f t="shared" si="3"/>
        <v/>
      </c>
    </row>
    <row r="232" spans="2:2" x14ac:dyDescent="0.2">
      <c r="B232" s="8" t="str">
        <f t="shared" si="3"/>
        <v/>
      </c>
    </row>
    <row r="233" spans="2:2" x14ac:dyDescent="0.2">
      <c r="B233" s="8" t="str">
        <f t="shared" si="3"/>
        <v/>
      </c>
    </row>
    <row r="234" spans="2:2" x14ac:dyDescent="0.2">
      <c r="B234" s="8" t="str">
        <f t="shared" si="3"/>
        <v/>
      </c>
    </row>
    <row r="235" spans="2:2" x14ac:dyDescent="0.2">
      <c r="B235" s="8" t="str">
        <f t="shared" si="3"/>
        <v/>
      </c>
    </row>
    <row r="236" spans="2:2" x14ac:dyDescent="0.2">
      <c r="B236" s="8" t="str">
        <f t="shared" si="3"/>
        <v/>
      </c>
    </row>
    <row r="237" spans="2:2" x14ac:dyDescent="0.2">
      <c r="B237" s="8" t="str">
        <f t="shared" si="3"/>
        <v/>
      </c>
    </row>
    <row r="238" spans="2:2" x14ac:dyDescent="0.2">
      <c r="B238" s="8" t="str">
        <f t="shared" si="3"/>
        <v/>
      </c>
    </row>
    <row r="239" spans="2:2" x14ac:dyDescent="0.2">
      <c r="B239" s="8" t="str">
        <f t="shared" si="3"/>
        <v/>
      </c>
    </row>
    <row r="240" spans="2:2" x14ac:dyDescent="0.2">
      <c r="B240" s="8" t="str">
        <f t="shared" si="3"/>
        <v/>
      </c>
    </row>
    <row r="241" spans="2:2" x14ac:dyDescent="0.2">
      <c r="B241" s="8" t="str">
        <f t="shared" si="3"/>
        <v/>
      </c>
    </row>
    <row r="242" spans="2:2" x14ac:dyDescent="0.2">
      <c r="B242" s="8" t="str">
        <f t="shared" si="3"/>
        <v/>
      </c>
    </row>
    <row r="243" spans="2:2" x14ac:dyDescent="0.2">
      <c r="B243" s="8" t="str">
        <f t="shared" si="3"/>
        <v/>
      </c>
    </row>
    <row r="244" spans="2:2" x14ac:dyDescent="0.2">
      <c r="B244" s="8" t="str">
        <f t="shared" si="3"/>
        <v/>
      </c>
    </row>
    <row r="245" spans="2:2" x14ac:dyDescent="0.2">
      <c r="B245" s="8" t="str">
        <f t="shared" si="3"/>
        <v/>
      </c>
    </row>
    <row r="246" spans="2:2" x14ac:dyDescent="0.2">
      <c r="B246" s="8" t="str">
        <f t="shared" si="3"/>
        <v/>
      </c>
    </row>
    <row r="247" spans="2:2" x14ac:dyDescent="0.2">
      <c r="B247" s="8" t="str">
        <f t="shared" si="3"/>
        <v/>
      </c>
    </row>
    <row r="248" spans="2:2" x14ac:dyDescent="0.2">
      <c r="B248" s="8" t="str">
        <f t="shared" si="3"/>
        <v/>
      </c>
    </row>
    <row r="249" spans="2:2" x14ac:dyDescent="0.2">
      <c r="B249" s="8" t="str">
        <f t="shared" si="3"/>
        <v/>
      </c>
    </row>
    <row r="250" spans="2:2" x14ac:dyDescent="0.2">
      <c r="B250" s="8" t="str">
        <f t="shared" si="3"/>
        <v/>
      </c>
    </row>
    <row r="251" spans="2:2" x14ac:dyDescent="0.2">
      <c r="B251" s="8" t="str">
        <f t="shared" si="3"/>
        <v/>
      </c>
    </row>
    <row r="252" spans="2:2" x14ac:dyDescent="0.2">
      <c r="B252" s="8" t="str">
        <f t="shared" si="3"/>
        <v/>
      </c>
    </row>
    <row r="253" spans="2:2" x14ac:dyDescent="0.2">
      <c r="B253" s="8" t="str">
        <f t="shared" si="3"/>
        <v/>
      </c>
    </row>
    <row r="254" spans="2:2" x14ac:dyDescent="0.2">
      <c r="B254" s="8" t="str">
        <f t="shared" si="3"/>
        <v/>
      </c>
    </row>
    <row r="255" spans="2:2" x14ac:dyDescent="0.2">
      <c r="B255" s="8" t="str">
        <f t="shared" si="3"/>
        <v/>
      </c>
    </row>
    <row r="256" spans="2:2" x14ac:dyDescent="0.2">
      <c r="B256" s="8" t="str">
        <f t="shared" si="3"/>
        <v/>
      </c>
    </row>
    <row r="257" spans="2:2" x14ac:dyDescent="0.2">
      <c r="B257" s="8" t="str">
        <f t="shared" si="3"/>
        <v/>
      </c>
    </row>
    <row r="258" spans="2:2" x14ac:dyDescent="0.2">
      <c r="B258" s="8" t="str">
        <f t="shared" ref="B258:B321" si="4">IF(A258=0,"","Hinge")</f>
        <v/>
      </c>
    </row>
    <row r="259" spans="2:2" x14ac:dyDescent="0.2">
      <c r="B259" s="8" t="str">
        <f t="shared" si="4"/>
        <v/>
      </c>
    </row>
    <row r="260" spans="2:2" x14ac:dyDescent="0.2">
      <c r="B260" s="8" t="str">
        <f t="shared" si="4"/>
        <v/>
      </c>
    </row>
    <row r="261" spans="2:2" x14ac:dyDescent="0.2">
      <c r="B261" s="8" t="str">
        <f t="shared" si="4"/>
        <v/>
      </c>
    </row>
    <row r="262" spans="2:2" x14ac:dyDescent="0.2">
      <c r="B262" s="8" t="str">
        <f t="shared" si="4"/>
        <v/>
      </c>
    </row>
    <row r="263" spans="2:2" x14ac:dyDescent="0.2">
      <c r="B263" s="8" t="str">
        <f t="shared" si="4"/>
        <v/>
      </c>
    </row>
    <row r="264" spans="2:2" x14ac:dyDescent="0.2">
      <c r="B264" s="8" t="str">
        <f t="shared" si="4"/>
        <v/>
      </c>
    </row>
    <row r="265" spans="2:2" x14ac:dyDescent="0.2">
      <c r="B265" s="8" t="str">
        <f t="shared" si="4"/>
        <v/>
      </c>
    </row>
    <row r="266" spans="2:2" x14ac:dyDescent="0.2">
      <c r="B266" s="8" t="str">
        <f t="shared" si="4"/>
        <v/>
      </c>
    </row>
    <row r="267" spans="2:2" x14ac:dyDescent="0.2">
      <c r="B267" s="8" t="str">
        <f t="shared" si="4"/>
        <v/>
      </c>
    </row>
    <row r="268" spans="2:2" x14ac:dyDescent="0.2">
      <c r="B268" s="8" t="str">
        <f t="shared" si="4"/>
        <v/>
      </c>
    </row>
    <row r="269" spans="2:2" x14ac:dyDescent="0.2">
      <c r="B269" s="8" t="str">
        <f t="shared" si="4"/>
        <v/>
      </c>
    </row>
    <row r="270" spans="2:2" x14ac:dyDescent="0.2">
      <c r="B270" s="8" t="str">
        <f t="shared" si="4"/>
        <v/>
      </c>
    </row>
    <row r="271" spans="2:2" x14ac:dyDescent="0.2">
      <c r="B271" s="8" t="str">
        <f t="shared" si="4"/>
        <v/>
      </c>
    </row>
    <row r="272" spans="2:2" x14ac:dyDescent="0.2">
      <c r="B272" s="8" t="str">
        <f t="shared" si="4"/>
        <v/>
      </c>
    </row>
    <row r="273" spans="2:2" x14ac:dyDescent="0.2">
      <c r="B273" s="8" t="str">
        <f t="shared" si="4"/>
        <v/>
      </c>
    </row>
    <row r="274" spans="2:2" x14ac:dyDescent="0.2">
      <c r="B274" s="8" t="str">
        <f t="shared" si="4"/>
        <v/>
      </c>
    </row>
    <row r="275" spans="2:2" x14ac:dyDescent="0.2">
      <c r="B275" s="8" t="str">
        <f t="shared" si="4"/>
        <v/>
      </c>
    </row>
    <row r="276" spans="2:2" x14ac:dyDescent="0.2">
      <c r="B276" s="8" t="str">
        <f t="shared" si="4"/>
        <v/>
      </c>
    </row>
    <row r="277" spans="2:2" x14ac:dyDescent="0.2">
      <c r="B277" s="8" t="str">
        <f t="shared" si="4"/>
        <v/>
      </c>
    </row>
    <row r="278" spans="2:2" x14ac:dyDescent="0.2">
      <c r="B278" s="8" t="str">
        <f t="shared" si="4"/>
        <v/>
      </c>
    </row>
    <row r="279" spans="2:2" x14ac:dyDescent="0.2">
      <c r="B279" s="8" t="str">
        <f t="shared" si="4"/>
        <v/>
      </c>
    </row>
    <row r="280" spans="2:2" x14ac:dyDescent="0.2">
      <c r="B280" s="8" t="str">
        <f t="shared" si="4"/>
        <v/>
      </c>
    </row>
    <row r="281" spans="2:2" x14ac:dyDescent="0.2">
      <c r="B281" s="8" t="str">
        <f t="shared" si="4"/>
        <v/>
      </c>
    </row>
    <row r="282" spans="2:2" x14ac:dyDescent="0.2">
      <c r="B282" s="8" t="str">
        <f t="shared" si="4"/>
        <v/>
      </c>
    </row>
    <row r="283" spans="2:2" x14ac:dyDescent="0.2">
      <c r="B283" s="8" t="str">
        <f t="shared" si="4"/>
        <v/>
      </c>
    </row>
    <row r="284" spans="2:2" x14ac:dyDescent="0.2">
      <c r="B284" s="8" t="str">
        <f t="shared" si="4"/>
        <v/>
      </c>
    </row>
    <row r="285" spans="2:2" x14ac:dyDescent="0.2">
      <c r="B285" s="8" t="str">
        <f t="shared" si="4"/>
        <v/>
      </c>
    </row>
    <row r="286" spans="2:2" x14ac:dyDescent="0.2">
      <c r="B286" s="8" t="str">
        <f t="shared" si="4"/>
        <v/>
      </c>
    </row>
    <row r="287" spans="2:2" x14ac:dyDescent="0.2">
      <c r="B287" s="8" t="str">
        <f t="shared" si="4"/>
        <v/>
      </c>
    </row>
    <row r="288" spans="2:2" x14ac:dyDescent="0.2">
      <c r="B288" s="8" t="str">
        <f t="shared" si="4"/>
        <v/>
      </c>
    </row>
    <row r="289" spans="2:2" x14ac:dyDescent="0.2">
      <c r="B289" s="8" t="str">
        <f t="shared" si="4"/>
        <v/>
      </c>
    </row>
    <row r="290" spans="2:2" x14ac:dyDescent="0.2">
      <c r="B290" s="8" t="str">
        <f t="shared" si="4"/>
        <v/>
      </c>
    </row>
    <row r="291" spans="2:2" x14ac:dyDescent="0.2">
      <c r="B291" s="8" t="str">
        <f t="shared" si="4"/>
        <v/>
      </c>
    </row>
    <row r="292" spans="2:2" x14ac:dyDescent="0.2">
      <c r="B292" s="8" t="str">
        <f t="shared" si="4"/>
        <v/>
      </c>
    </row>
    <row r="293" spans="2:2" x14ac:dyDescent="0.2">
      <c r="B293" s="8" t="str">
        <f t="shared" si="4"/>
        <v/>
      </c>
    </row>
    <row r="294" spans="2:2" x14ac:dyDescent="0.2">
      <c r="B294" s="8" t="str">
        <f t="shared" si="4"/>
        <v/>
      </c>
    </row>
    <row r="295" spans="2:2" x14ac:dyDescent="0.2">
      <c r="B295" s="8" t="str">
        <f t="shared" si="4"/>
        <v/>
      </c>
    </row>
    <row r="296" spans="2:2" x14ac:dyDescent="0.2">
      <c r="B296" s="8" t="str">
        <f t="shared" si="4"/>
        <v/>
      </c>
    </row>
    <row r="297" spans="2:2" x14ac:dyDescent="0.2">
      <c r="B297" s="8" t="str">
        <f t="shared" si="4"/>
        <v/>
      </c>
    </row>
    <row r="298" spans="2:2" x14ac:dyDescent="0.2">
      <c r="B298" s="8" t="str">
        <f t="shared" si="4"/>
        <v/>
      </c>
    </row>
    <row r="299" spans="2:2" x14ac:dyDescent="0.2">
      <c r="B299" s="8" t="str">
        <f t="shared" si="4"/>
        <v/>
      </c>
    </row>
    <row r="300" spans="2:2" x14ac:dyDescent="0.2">
      <c r="B300" s="8" t="str">
        <f t="shared" si="4"/>
        <v/>
      </c>
    </row>
    <row r="301" spans="2:2" x14ac:dyDescent="0.2">
      <c r="B301" s="8" t="str">
        <f t="shared" si="4"/>
        <v/>
      </c>
    </row>
    <row r="302" spans="2:2" x14ac:dyDescent="0.2">
      <c r="B302" s="8" t="str">
        <f t="shared" si="4"/>
        <v/>
      </c>
    </row>
    <row r="303" spans="2:2" x14ac:dyDescent="0.2">
      <c r="B303" s="8" t="str">
        <f t="shared" si="4"/>
        <v/>
      </c>
    </row>
    <row r="304" spans="2:2" x14ac:dyDescent="0.2">
      <c r="B304" s="8" t="str">
        <f t="shared" si="4"/>
        <v/>
      </c>
    </row>
    <row r="305" spans="2:2" x14ac:dyDescent="0.2">
      <c r="B305" s="8" t="str">
        <f t="shared" si="4"/>
        <v/>
      </c>
    </row>
    <row r="306" spans="2:2" x14ac:dyDescent="0.2">
      <c r="B306" s="8" t="str">
        <f t="shared" si="4"/>
        <v/>
      </c>
    </row>
    <row r="307" spans="2:2" x14ac:dyDescent="0.2">
      <c r="B307" s="8" t="str">
        <f t="shared" si="4"/>
        <v/>
      </c>
    </row>
    <row r="308" spans="2:2" x14ac:dyDescent="0.2">
      <c r="B308" s="8" t="str">
        <f t="shared" si="4"/>
        <v/>
      </c>
    </row>
    <row r="309" spans="2:2" x14ac:dyDescent="0.2">
      <c r="B309" s="8" t="str">
        <f t="shared" si="4"/>
        <v/>
      </c>
    </row>
    <row r="310" spans="2:2" x14ac:dyDescent="0.2">
      <c r="B310" s="8" t="str">
        <f t="shared" si="4"/>
        <v/>
      </c>
    </row>
    <row r="311" spans="2:2" x14ac:dyDescent="0.2">
      <c r="B311" s="8" t="str">
        <f t="shared" si="4"/>
        <v/>
      </c>
    </row>
    <row r="312" spans="2:2" x14ac:dyDescent="0.2">
      <c r="B312" s="8" t="str">
        <f t="shared" si="4"/>
        <v/>
      </c>
    </row>
    <row r="313" spans="2:2" x14ac:dyDescent="0.2">
      <c r="B313" s="8" t="str">
        <f t="shared" si="4"/>
        <v/>
      </c>
    </row>
    <row r="314" spans="2:2" x14ac:dyDescent="0.2">
      <c r="B314" s="8" t="str">
        <f t="shared" si="4"/>
        <v/>
      </c>
    </row>
    <row r="315" spans="2:2" x14ac:dyDescent="0.2">
      <c r="B315" s="8" t="str">
        <f t="shared" si="4"/>
        <v/>
      </c>
    </row>
    <row r="316" spans="2:2" x14ac:dyDescent="0.2">
      <c r="B316" s="8" t="str">
        <f t="shared" si="4"/>
        <v/>
      </c>
    </row>
    <row r="317" spans="2:2" x14ac:dyDescent="0.2">
      <c r="B317" s="8" t="str">
        <f t="shared" si="4"/>
        <v/>
      </c>
    </row>
    <row r="318" spans="2:2" x14ac:dyDescent="0.2">
      <c r="B318" s="8" t="str">
        <f t="shared" si="4"/>
        <v/>
      </c>
    </row>
    <row r="319" spans="2:2" x14ac:dyDescent="0.2">
      <c r="B319" s="8" t="str">
        <f t="shared" si="4"/>
        <v/>
      </c>
    </row>
    <row r="320" spans="2:2" x14ac:dyDescent="0.2">
      <c r="B320" s="8" t="str">
        <f t="shared" si="4"/>
        <v/>
      </c>
    </row>
    <row r="321" spans="2:2" x14ac:dyDescent="0.2">
      <c r="B321" s="8" t="str">
        <f t="shared" si="4"/>
        <v/>
      </c>
    </row>
    <row r="322" spans="2:2" x14ac:dyDescent="0.2">
      <c r="B322" s="8" t="str">
        <f t="shared" ref="B322:B385" si="5">IF(A322=0,"","Hinge")</f>
        <v/>
      </c>
    </row>
    <row r="323" spans="2:2" x14ac:dyDescent="0.2">
      <c r="B323" s="8" t="str">
        <f t="shared" si="5"/>
        <v/>
      </c>
    </row>
    <row r="324" spans="2:2" x14ac:dyDescent="0.2">
      <c r="B324" s="8" t="str">
        <f t="shared" si="5"/>
        <v/>
      </c>
    </row>
    <row r="325" spans="2:2" x14ac:dyDescent="0.2">
      <c r="B325" s="8" t="str">
        <f t="shared" si="5"/>
        <v/>
      </c>
    </row>
    <row r="326" spans="2:2" x14ac:dyDescent="0.2">
      <c r="B326" s="8" t="str">
        <f t="shared" si="5"/>
        <v/>
      </c>
    </row>
    <row r="327" spans="2:2" x14ac:dyDescent="0.2">
      <c r="B327" s="8" t="str">
        <f t="shared" si="5"/>
        <v/>
      </c>
    </row>
    <row r="328" spans="2:2" x14ac:dyDescent="0.2">
      <c r="B328" s="8" t="str">
        <f t="shared" si="5"/>
        <v/>
      </c>
    </row>
    <row r="329" spans="2:2" x14ac:dyDescent="0.2">
      <c r="B329" s="8" t="str">
        <f t="shared" si="5"/>
        <v/>
      </c>
    </row>
    <row r="330" spans="2:2" x14ac:dyDescent="0.2">
      <c r="B330" s="8" t="str">
        <f t="shared" si="5"/>
        <v/>
      </c>
    </row>
    <row r="331" spans="2:2" x14ac:dyDescent="0.2">
      <c r="B331" s="8" t="str">
        <f t="shared" si="5"/>
        <v/>
      </c>
    </row>
    <row r="332" spans="2:2" x14ac:dyDescent="0.2">
      <c r="B332" s="8" t="str">
        <f t="shared" si="5"/>
        <v/>
      </c>
    </row>
    <row r="333" spans="2:2" x14ac:dyDescent="0.2">
      <c r="B333" s="8" t="str">
        <f t="shared" si="5"/>
        <v/>
      </c>
    </row>
    <row r="334" spans="2:2" x14ac:dyDescent="0.2">
      <c r="B334" s="8" t="str">
        <f t="shared" si="5"/>
        <v/>
      </c>
    </row>
    <row r="335" spans="2:2" x14ac:dyDescent="0.2">
      <c r="B335" s="8" t="str">
        <f t="shared" si="5"/>
        <v/>
      </c>
    </row>
    <row r="336" spans="2:2" x14ac:dyDescent="0.2">
      <c r="B336" s="8" t="str">
        <f t="shared" si="5"/>
        <v/>
      </c>
    </row>
    <row r="337" spans="2:2" x14ac:dyDescent="0.2">
      <c r="B337" s="8" t="str">
        <f t="shared" si="5"/>
        <v/>
      </c>
    </row>
    <row r="338" spans="2:2" x14ac:dyDescent="0.2">
      <c r="B338" s="8" t="str">
        <f t="shared" si="5"/>
        <v/>
      </c>
    </row>
    <row r="339" spans="2:2" x14ac:dyDescent="0.2">
      <c r="B339" s="8" t="str">
        <f t="shared" si="5"/>
        <v/>
      </c>
    </row>
    <row r="340" spans="2:2" x14ac:dyDescent="0.2">
      <c r="B340" s="8" t="str">
        <f t="shared" si="5"/>
        <v/>
      </c>
    </row>
    <row r="341" spans="2:2" x14ac:dyDescent="0.2">
      <c r="B341" s="8" t="str">
        <f t="shared" si="5"/>
        <v/>
      </c>
    </row>
    <row r="342" spans="2:2" x14ac:dyDescent="0.2">
      <c r="B342" s="8" t="str">
        <f t="shared" si="5"/>
        <v/>
      </c>
    </row>
    <row r="343" spans="2:2" x14ac:dyDescent="0.2">
      <c r="B343" s="8" t="str">
        <f t="shared" si="5"/>
        <v/>
      </c>
    </row>
    <row r="344" spans="2:2" x14ac:dyDescent="0.2">
      <c r="B344" s="8" t="str">
        <f t="shared" si="5"/>
        <v/>
      </c>
    </row>
    <row r="345" spans="2:2" x14ac:dyDescent="0.2">
      <c r="B345" s="8" t="str">
        <f t="shared" si="5"/>
        <v/>
      </c>
    </row>
    <row r="346" spans="2:2" x14ac:dyDescent="0.2">
      <c r="B346" s="8" t="str">
        <f t="shared" si="5"/>
        <v/>
      </c>
    </row>
    <row r="347" spans="2:2" x14ac:dyDescent="0.2">
      <c r="B347" s="8" t="str">
        <f t="shared" si="5"/>
        <v/>
      </c>
    </row>
    <row r="348" spans="2:2" x14ac:dyDescent="0.2">
      <c r="B348" s="8" t="str">
        <f t="shared" si="5"/>
        <v/>
      </c>
    </row>
    <row r="349" spans="2:2" x14ac:dyDescent="0.2">
      <c r="B349" s="8" t="str">
        <f t="shared" si="5"/>
        <v/>
      </c>
    </row>
    <row r="350" spans="2:2" x14ac:dyDescent="0.2">
      <c r="B350" s="8" t="str">
        <f t="shared" si="5"/>
        <v/>
      </c>
    </row>
    <row r="351" spans="2:2" x14ac:dyDescent="0.2">
      <c r="B351" s="8" t="str">
        <f t="shared" si="5"/>
        <v/>
      </c>
    </row>
    <row r="352" spans="2:2" x14ac:dyDescent="0.2">
      <c r="B352" s="8" t="str">
        <f t="shared" si="5"/>
        <v/>
      </c>
    </row>
    <row r="353" spans="2:2" x14ac:dyDescent="0.2">
      <c r="B353" s="8" t="str">
        <f t="shared" si="5"/>
        <v/>
      </c>
    </row>
    <row r="354" spans="2:2" x14ac:dyDescent="0.2">
      <c r="B354" s="8" t="str">
        <f t="shared" si="5"/>
        <v/>
      </c>
    </row>
    <row r="355" spans="2:2" x14ac:dyDescent="0.2">
      <c r="B355" s="8" t="str">
        <f t="shared" si="5"/>
        <v/>
      </c>
    </row>
    <row r="356" spans="2:2" x14ac:dyDescent="0.2">
      <c r="B356" s="8" t="str">
        <f t="shared" si="5"/>
        <v/>
      </c>
    </row>
    <row r="357" spans="2:2" x14ac:dyDescent="0.2">
      <c r="B357" s="8" t="str">
        <f t="shared" si="5"/>
        <v/>
      </c>
    </row>
    <row r="358" spans="2:2" x14ac:dyDescent="0.2">
      <c r="B358" s="8" t="str">
        <f t="shared" si="5"/>
        <v/>
      </c>
    </row>
    <row r="359" spans="2:2" x14ac:dyDescent="0.2">
      <c r="B359" s="8" t="str">
        <f t="shared" si="5"/>
        <v/>
      </c>
    </row>
    <row r="360" spans="2:2" x14ac:dyDescent="0.2">
      <c r="B360" s="8" t="str">
        <f t="shared" si="5"/>
        <v/>
      </c>
    </row>
    <row r="361" spans="2:2" x14ac:dyDescent="0.2">
      <c r="B361" s="8" t="str">
        <f t="shared" si="5"/>
        <v/>
      </c>
    </row>
    <row r="362" spans="2:2" x14ac:dyDescent="0.2">
      <c r="B362" s="8" t="str">
        <f t="shared" si="5"/>
        <v/>
      </c>
    </row>
    <row r="363" spans="2:2" x14ac:dyDescent="0.2">
      <c r="B363" s="8" t="str">
        <f t="shared" si="5"/>
        <v/>
      </c>
    </row>
    <row r="364" spans="2:2" x14ac:dyDescent="0.2">
      <c r="B364" s="8" t="str">
        <f t="shared" si="5"/>
        <v/>
      </c>
    </row>
    <row r="365" spans="2:2" x14ac:dyDescent="0.2">
      <c r="B365" s="8" t="str">
        <f t="shared" si="5"/>
        <v/>
      </c>
    </row>
    <row r="366" spans="2:2" x14ac:dyDescent="0.2">
      <c r="B366" s="8" t="str">
        <f t="shared" si="5"/>
        <v/>
      </c>
    </row>
    <row r="367" spans="2:2" x14ac:dyDescent="0.2">
      <c r="B367" s="8" t="str">
        <f t="shared" si="5"/>
        <v/>
      </c>
    </row>
    <row r="368" spans="2:2" x14ac:dyDescent="0.2">
      <c r="B368" s="8" t="str">
        <f t="shared" si="5"/>
        <v/>
      </c>
    </row>
    <row r="369" spans="2:2" x14ac:dyDescent="0.2">
      <c r="B369" s="8" t="str">
        <f t="shared" si="5"/>
        <v/>
      </c>
    </row>
    <row r="370" spans="2:2" x14ac:dyDescent="0.2">
      <c r="B370" s="8" t="str">
        <f t="shared" si="5"/>
        <v/>
      </c>
    </row>
    <row r="371" spans="2:2" x14ac:dyDescent="0.2">
      <c r="B371" s="8" t="str">
        <f t="shared" si="5"/>
        <v/>
      </c>
    </row>
    <row r="372" spans="2:2" x14ac:dyDescent="0.2">
      <c r="B372" s="8" t="str">
        <f t="shared" si="5"/>
        <v/>
      </c>
    </row>
    <row r="373" spans="2:2" x14ac:dyDescent="0.2">
      <c r="B373" s="8" t="str">
        <f t="shared" si="5"/>
        <v/>
      </c>
    </row>
    <row r="374" spans="2:2" x14ac:dyDescent="0.2">
      <c r="B374" s="8" t="str">
        <f t="shared" si="5"/>
        <v/>
      </c>
    </row>
    <row r="375" spans="2:2" x14ac:dyDescent="0.2">
      <c r="B375" s="8" t="str">
        <f t="shared" si="5"/>
        <v/>
      </c>
    </row>
    <row r="376" spans="2:2" x14ac:dyDescent="0.2">
      <c r="B376" s="8" t="str">
        <f t="shared" si="5"/>
        <v/>
      </c>
    </row>
    <row r="377" spans="2:2" x14ac:dyDescent="0.2">
      <c r="B377" s="8" t="str">
        <f t="shared" si="5"/>
        <v/>
      </c>
    </row>
    <row r="378" spans="2:2" x14ac:dyDescent="0.2">
      <c r="B378" s="8" t="str">
        <f t="shared" si="5"/>
        <v/>
      </c>
    </row>
    <row r="379" spans="2:2" x14ac:dyDescent="0.2">
      <c r="B379" s="8" t="str">
        <f t="shared" si="5"/>
        <v/>
      </c>
    </row>
    <row r="380" spans="2:2" x14ac:dyDescent="0.2">
      <c r="B380" s="8" t="str">
        <f t="shared" si="5"/>
        <v/>
      </c>
    </row>
    <row r="381" spans="2:2" x14ac:dyDescent="0.2">
      <c r="B381" s="8" t="str">
        <f t="shared" si="5"/>
        <v/>
      </c>
    </row>
    <row r="382" spans="2:2" x14ac:dyDescent="0.2">
      <c r="B382" s="8" t="str">
        <f t="shared" si="5"/>
        <v/>
      </c>
    </row>
    <row r="383" spans="2:2" x14ac:dyDescent="0.2">
      <c r="B383" s="8" t="str">
        <f t="shared" si="5"/>
        <v/>
      </c>
    </row>
    <row r="384" spans="2:2" x14ac:dyDescent="0.2">
      <c r="B384" s="8" t="str">
        <f t="shared" si="5"/>
        <v/>
      </c>
    </row>
    <row r="385" spans="2:2" x14ac:dyDescent="0.2">
      <c r="B385" s="8" t="str">
        <f t="shared" si="5"/>
        <v/>
      </c>
    </row>
    <row r="386" spans="2:2" x14ac:dyDescent="0.2">
      <c r="B386" s="8" t="str">
        <f t="shared" ref="B386:B449" si="6">IF(A386=0,"","Hinge")</f>
        <v/>
      </c>
    </row>
    <row r="387" spans="2:2" x14ac:dyDescent="0.2">
      <c r="B387" s="8" t="str">
        <f t="shared" si="6"/>
        <v/>
      </c>
    </row>
    <row r="388" spans="2:2" x14ac:dyDescent="0.2">
      <c r="B388" s="8" t="str">
        <f t="shared" si="6"/>
        <v/>
      </c>
    </row>
    <row r="389" spans="2:2" x14ac:dyDescent="0.2">
      <c r="B389" s="8" t="str">
        <f t="shared" si="6"/>
        <v/>
      </c>
    </row>
    <row r="390" spans="2:2" x14ac:dyDescent="0.2">
      <c r="B390" s="8" t="str">
        <f t="shared" si="6"/>
        <v/>
      </c>
    </row>
    <row r="391" spans="2:2" x14ac:dyDescent="0.2">
      <c r="B391" s="8" t="str">
        <f t="shared" si="6"/>
        <v/>
      </c>
    </row>
    <row r="392" spans="2:2" x14ac:dyDescent="0.2">
      <c r="B392" s="8" t="str">
        <f t="shared" si="6"/>
        <v/>
      </c>
    </row>
    <row r="393" spans="2:2" x14ac:dyDescent="0.2">
      <c r="B393" s="8" t="str">
        <f t="shared" si="6"/>
        <v/>
      </c>
    </row>
    <row r="394" spans="2:2" x14ac:dyDescent="0.2">
      <c r="B394" s="8" t="str">
        <f t="shared" si="6"/>
        <v/>
      </c>
    </row>
    <row r="395" spans="2:2" x14ac:dyDescent="0.2">
      <c r="B395" s="8" t="str">
        <f t="shared" si="6"/>
        <v/>
      </c>
    </row>
    <row r="396" spans="2:2" x14ac:dyDescent="0.2">
      <c r="B396" s="8" t="str">
        <f t="shared" si="6"/>
        <v/>
      </c>
    </row>
    <row r="397" spans="2:2" x14ac:dyDescent="0.2">
      <c r="B397" s="8" t="str">
        <f t="shared" si="6"/>
        <v/>
      </c>
    </row>
    <row r="398" spans="2:2" x14ac:dyDescent="0.2">
      <c r="B398" s="8" t="str">
        <f t="shared" si="6"/>
        <v/>
      </c>
    </row>
    <row r="399" spans="2:2" x14ac:dyDescent="0.2">
      <c r="B399" s="8" t="str">
        <f t="shared" si="6"/>
        <v/>
      </c>
    </row>
    <row r="400" spans="2:2" x14ac:dyDescent="0.2">
      <c r="B400" s="8" t="str">
        <f t="shared" si="6"/>
        <v/>
      </c>
    </row>
    <row r="401" spans="2:2" x14ac:dyDescent="0.2">
      <c r="B401" s="8" t="str">
        <f t="shared" si="6"/>
        <v/>
      </c>
    </row>
    <row r="402" spans="2:2" x14ac:dyDescent="0.2">
      <c r="B402" s="8" t="str">
        <f t="shared" si="6"/>
        <v/>
      </c>
    </row>
    <row r="403" spans="2:2" x14ac:dyDescent="0.2">
      <c r="B403" s="8" t="str">
        <f t="shared" si="6"/>
        <v/>
      </c>
    </row>
    <row r="404" spans="2:2" x14ac:dyDescent="0.2">
      <c r="B404" s="8" t="str">
        <f t="shared" si="6"/>
        <v/>
      </c>
    </row>
    <row r="405" spans="2:2" x14ac:dyDescent="0.2">
      <c r="B405" s="8" t="str">
        <f t="shared" si="6"/>
        <v/>
      </c>
    </row>
    <row r="406" spans="2:2" x14ac:dyDescent="0.2">
      <c r="B406" s="8" t="str">
        <f t="shared" si="6"/>
        <v/>
      </c>
    </row>
    <row r="407" spans="2:2" x14ac:dyDescent="0.2">
      <c r="B407" s="8" t="str">
        <f t="shared" si="6"/>
        <v/>
      </c>
    </row>
    <row r="408" spans="2:2" x14ac:dyDescent="0.2">
      <c r="B408" s="8" t="str">
        <f t="shared" si="6"/>
        <v/>
      </c>
    </row>
    <row r="409" spans="2:2" x14ac:dyDescent="0.2">
      <c r="B409" s="8" t="str">
        <f t="shared" si="6"/>
        <v/>
      </c>
    </row>
    <row r="410" spans="2:2" x14ac:dyDescent="0.2">
      <c r="B410" s="8" t="str">
        <f t="shared" si="6"/>
        <v/>
      </c>
    </row>
    <row r="411" spans="2:2" x14ac:dyDescent="0.2">
      <c r="B411" s="8" t="str">
        <f t="shared" si="6"/>
        <v/>
      </c>
    </row>
    <row r="412" spans="2:2" x14ac:dyDescent="0.2">
      <c r="B412" s="8" t="str">
        <f t="shared" si="6"/>
        <v/>
      </c>
    </row>
    <row r="413" spans="2:2" x14ac:dyDescent="0.2">
      <c r="B413" s="8" t="str">
        <f t="shared" si="6"/>
        <v/>
      </c>
    </row>
    <row r="414" spans="2:2" x14ac:dyDescent="0.2">
      <c r="B414" s="8" t="str">
        <f t="shared" si="6"/>
        <v/>
      </c>
    </row>
    <row r="415" spans="2:2" x14ac:dyDescent="0.2">
      <c r="B415" s="8" t="str">
        <f t="shared" si="6"/>
        <v/>
      </c>
    </row>
    <row r="416" spans="2:2" x14ac:dyDescent="0.2">
      <c r="B416" s="8" t="str">
        <f t="shared" si="6"/>
        <v/>
      </c>
    </row>
    <row r="417" spans="2:2" x14ac:dyDescent="0.2">
      <c r="B417" s="8" t="str">
        <f t="shared" si="6"/>
        <v/>
      </c>
    </row>
    <row r="418" spans="2:2" x14ac:dyDescent="0.2">
      <c r="B418" s="8" t="str">
        <f t="shared" si="6"/>
        <v/>
      </c>
    </row>
    <row r="419" spans="2:2" x14ac:dyDescent="0.2">
      <c r="B419" s="8" t="str">
        <f t="shared" si="6"/>
        <v/>
      </c>
    </row>
    <row r="420" spans="2:2" x14ac:dyDescent="0.2">
      <c r="B420" s="8" t="str">
        <f t="shared" si="6"/>
        <v/>
      </c>
    </row>
    <row r="421" spans="2:2" x14ac:dyDescent="0.2">
      <c r="B421" s="8" t="str">
        <f t="shared" si="6"/>
        <v/>
      </c>
    </row>
    <row r="422" spans="2:2" x14ac:dyDescent="0.2">
      <c r="B422" s="8" t="str">
        <f t="shared" si="6"/>
        <v/>
      </c>
    </row>
    <row r="423" spans="2:2" x14ac:dyDescent="0.2">
      <c r="B423" s="8" t="str">
        <f t="shared" si="6"/>
        <v/>
      </c>
    </row>
    <row r="424" spans="2:2" x14ac:dyDescent="0.2">
      <c r="B424" s="8" t="str">
        <f t="shared" si="6"/>
        <v/>
      </c>
    </row>
    <row r="425" spans="2:2" x14ac:dyDescent="0.2">
      <c r="B425" s="8" t="str">
        <f t="shared" si="6"/>
        <v/>
      </c>
    </row>
    <row r="426" spans="2:2" x14ac:dyDescent="0.2">
      <c r="B426" s="8" t="str">
        <f t="shared" si="6"/>
        <v/>
      </c>
    </row>
    <row r="427" spans="2:2" x14ac:dyDescent="0.2">
      <c r="B427" s="8" t="str">
        <f t="shared" si="6"/>
        <v/>
      </c>
    </row>
    <row r="428" spans="2:2" x14ac:dyDescent="0.2">
      <c r="B428" s="8" t="str">
        <f t="shared" si="6"/>
        <v/>
      </c>
    </row>
    <row r="429" spans="2:2" x14ac:dyDescent="0.2">
      <c r="B429" s="8" t="str">
        <f t="shared" si="6"/>
        <v/>
      </c>
    </row>
    <row r="430" spans="2:2" x14ac:dyDescent="0.2">
      <c r="B430" s="8" t="str">
        <f t="shared" si="6"/>
        <v/>
      </c>
    </row>
    <row r="431" spans="2:2" x14ac:dyDescent="0.2">
      <c r="B431" s="8" t="str">
        <f t="shared" si="6"/>
        <v/>
      </c>
    </row>
    <row r="432" spans="2:2" x14ac:dyDescent="0.2">
      <c r="B432" s="8" t="str">
        <f t="shared" si="6"/>
        <v/>
      </c>
    </row>
    <row r="433" spans="2:2" x14ac:dyDescent="0.2">
      <c r="B433" s="8" t="str">
        <f t="shared" si="6"/>
        <v/>
      </c>
    </row>
    <row r="434" spans="2:2" x14ac:dyDescent="0.2">
      <c r="B434" s="8" t="str">
        <f t="shared" si="6"/>
        <v/>
      </c>
    </row>
    <row r="435" spans="2:2" x14ac:dyDescent="0.2">
      <c r="B435" s="8" t="str">
        <f t="shared" si="6"/>
        <v/>
      </c>
    </row>
    <row r="436" spans="2:2" x14ac:dyDescent="0.2">
      <c r="B436" s="8" t="str">
        <f t="shared" si="6"/>
        <v/>
      </c>
    </row>
    <row r="437" spans="2:2" x14ac:dyDescent="0.2">
      <c r="B437" s="8" t="str">
        <f t="shared" si="6"/>
        <v/>
      </c>
    </row>
    <row r="438" spans="2:2" x14ac:dyDescent="0.2">
      <c r="B438" s="8" t="str">
        <f t="shared" si="6"/>
        <v/>
      </c>
    </row>
    <row r="439" spans="2:2" x14ac:dyDescent="0.2">
      <c r="B439" s="8" t="str">
        <f t="shared" si="6"/>
        <v/>
      </c>
    </row>
    <row r="440" spans="2:2" x14ac:dyDescent="0.2">
      <c r="B440" s="8" t="str">
        <f t="shared" si="6"/>
        <v/>
      </c>
    </row>
    <row r="441" spans="2:2" x14ac:dyDescent="0.2">
      <c r="B441" s="8" t="str">
        <f t="shared" si="6"/>
        <v/>
      </c>
    </row>
    <row r="442" spans="2:2" x14ac:dyDescent="0.2">
      <c r="B442" s="8" t="str">
        <f t="shared" si="6"/>
        <v/>
      </c>
    </row>
    <row r="443" spans="2:2" x14ac:dyDescent="0.2">
      <c r="B443" s="8" t="str">
        <f t="shared" si="6"/>
        <v/>
      </c>
    </row>
    <row r="444" spans="2:2" x14ac:dyDescent="0.2">
      <c r="B444" s="8" t="str">
        <f t="shared" si="6"/>
        <v/>
      </c>
    </row>
    <row r="445" spans="2:2" x14ac:dyDescent="0.2">
      <c r="B445" s="8" t="str">
        <f t="shared" si="6"/>
        <v/>
      </c>
    </row>
    <row r="446" spans="2:2" x14ac:dyDescent="0.2">
      <c r="B446" s="8" t="str">
        <f t="shared" si="6"/>
        <v/>
      </c>
    </row>
    <row r="447" spans="2:2" x14ac:dyDescent="0.2">
      <c r="B447" s="8" t="str">
        <f t="shared" si="6"/>
        <v/>
      </c>
    </row>
    <row r="448" spans="2:2" x14ac:dyDescent="0.2">
      <c r="B448" s="8" t="str">
        <f t="shared" si="6"/>
        <v/>
      </c>
    </row>
    <row r="449" spans="2:2" x14ac:dyDescent="0.2">
      <c r="B449" s="8" t="str">
        <f t="shared" si="6"/>
        <v/>
      </c>
    </row>
    <row r="450" spans="2:2" x14ac:dyDescent="0.2">
      <c r="B450" s="8" t="str">
        <f t="shared" ref="B450:B513" si="7">IF(A450=0,"","Hinge")</f>
        <v/>
      </c>
    </row>
    <row r="451" spans="2:2" x14ac:dyDescent="0.2">
      <c r="B451" s="8" t="str">
        <f t="shared" si="7"/>
        <v/>
      </c>
    </row>
    <row r="452" spans="2:2" x14ac:dyDescent="0.2">
      <c r="B452" s="8" t="str">
        <f t="shared" si="7"/>
        <v/>
      </c>
    </row>
    <row r="453" spans="2:2" x14ac:dyDescent="0.2">
      <c r="B453" s="8" t="str">
        <f t="shared" si="7"/>
        <v/>
      </c>
    </row>
    <row r="454" spans="2:2" x14ac:dyDescent="0.2">
      <c r="B454" s="8" t="str">
        <f t="shared" si="7"/>
        <v/>
      </c>
    </row>
    <row r="455" spans="2:2" x14ac:dyDescent="0.2">
      <c r="B455" s="8" t="str">
        <f t="shared" si="7"/>
        <v/>
      </c>
    </row>
    <row r="456" spans="2:2" x14ac:dyDescent="0.2">
      <c r="B456" s="8" t="str">
        <f t="shared" si="7"/>
        <v/>
      </c>
    </row>
    <row r="457" spans="2:2" x14ac:dyDescent="0.2">
      <c r="B457" s="8" t="str">
        <f t="shared" si="7"/>
        <v/>
      </c>
    </row>
    <row r="458" spans="2:2" x14ac:dyDescent="0.2">
      <c r="B458" s="8" t="str">
        <f t="shared" si="7"/>
        <v/>
      </c>
    </row>
    <row r="459" spans="2:2" x14ac:dyDescent="0.2">
      <c r="B459" s="8" t="str">
        <f t="shared" si="7"/>
        <v/>
      </c>
    </row>
    <row r="460" spans="2:2" x14ac:dyDescent="0.2">
      <c r="B460" s="8" t="str">
        <f t="shared" si="7"/>
        <v/>
      </c>
    </row>
    <row r="461" spans="2:2" x14ac:dyDescent="0.2">
      <c r="B461" s="8" t="str">
        <f t="shared" si="7"/>
        <v/>
      </c>
    </row>
    <row r="462" spans="2:2" x14ac:dyDescent="0.2">
      <c r="B462" s="8" t="str">
        <f t="shared" si="7"/>
        <v/>
      </c>
    </row>
    <row r="463" spans="2:2" x14ac:dyDescent="0.2">
      <c r="B463" s="8" t="str">
        <f t="shared" si="7"/>
        <v/>
      </c>
    </row>
    <row r="464" spans="2:2" x14ac:dyDescent="0.2">
      <c r="B464" s="8" t="str">
        <f t="shared" si="7"/>
        <v/>
      </c>
    </row>
    <row r="465" spans="2:2" x14ac:dyDescent="0.2">
      <c r="B465" s="8" t="str">
        <f t="shared" si="7"/>
        <v/>
      </c>
    </row>
    <row r="466" spans="2:2" x14ac:dyDescent="0.2">
      <c r="B466" s="8" t="str">
        <f t="shared" si="7"/>
        <v/>
      </c>
    </row>
    <row r="467" spans="2:2" x14ac:dyDescent="0.2">
      <c r="B467" s="8" t="str">
        <f t="shared" si="7"/>
        <v/>
      </c>
    </row>
    <row r="468" spans="2:2" x14ac:dyDescent="0.2">
      <c r="B468" s="8" t="str">
        <f t="shared" si="7"/>
        <v/>
      </c>
    </row>
    <row r="469" spans="2:2" x14ac:dyDescent="0.2">
      <c r="B469" s="8" t="str">
        <f t="shared" si="7"/>
        <v/>
      </c>
    </row>
    <row r="470" spans="2:2" x14ac:dyDescent="0.2">
      <c r="B470" s="8" t="str">
        <f t="shared" si="7"/>
        <v/>
      </c>
    </row>
    <row r="471" spans="2:2" x14ac:dyDescent="0.2">
      <c r="B471" s="8" t="str">
        <f t="shared" si="7"/>
        <v/>
      </c>
    </row>
    <row r="472" spans="2:2" x14ac:dyDescent="0.2">
      <c r="B472" s="8" t="str">
        <f t="shared" si="7"/>
        <v/>
      </c>
    </row>
    <row r="473" spans="2:2" x14ac:dyDescent="0.2">
      <c r="B473" s="8" t="str">
        <f t="shared" si="7"/>
        <v/>
      </c>
    </row>
    <row r="474" spans="2:2" x14ac:dyDescent="0.2">
      <c r="B474" s="8" t="str">
        <f t="shared" si="7"/>
        <v/>
      </c>
    </row>
    <row r="475" spans="2:2" x14ac:dyDescent="0.2">
      <c r="B475" s="8" t="str">
        <f t="shared" si="7"/>
        <v/>
      </c>
    </row>
    <row r="476" spans="2:2" x14ac:dyDescent="0.2">
      <c r="B476" s="8" t="str">
        <f t="shared" si="7"/>
        <v/>
      </c>
    </row>
    <row r="477" spans="2:2" x14ac:dyDescent="0.2">
      <c r="B477" s="8" t="str">
        <f t="shared" si="7"/>
        <v/>
      </c>
    </row>
    <row r="478" spans="2:2" x14ac:dyDescent="0.2">
      <c r="B478" s="8" t="str">
        <f t="shared" si="7"/>
        <v/>
      </c>
    </row>
    <row r="479" spans="2:2" x14ac:dyDescent="0.2">
      <c r="B479" s="8" t="str">
        <f t="shared" si="7"/>
        <v/>
      </c>
    </row>
    <row r="480" spans="2:2" x14ac:dyDescent="0.2">
      <c r="B480" s="8" t="str">
        <f t="shared" si="7"/>
        <v/>
      </c>
    </row>
    <row r="481" spans="2:2" x14ac:dyDescent="0.2">
      <c r="B481" s="8" t="str">
        <f t="shared" si="7"/>
        <v/>
      </c>
    </row>
    <row r="482" spans="2:2" x14ac:dyDescent="0.2">
      <c r="B482" s="8" t="str">
        <f t="shared" si="7"/>
        <v/>
      </c>
    </row>
    <row r="483" spans="2:2" x14ac:dyDescent="0.2">
      <c r="B483" s="8" t="str">
        <f t="shared" si="7"/>
        <v/>
      </c>
    </row>
    <row r="484" spans="2:2" x14ac:dyDescent="0.2">
      <c r="B484" s="8" t="str">
        <f t="shared" si="7"/>
        <v/>
      </c>
    </row>
    <row r="485" spans="2:2" x14ac:dyDescent="0.2">
      <c r="B485" s="8" t="str">
        <f t="shared" si="7"/>
        <v/>
      </c>
    </row>
    <row r="486" spans="2:2" x14ac:dyDescent="0.2">
      <c r="B486" s="8" t="str">
        <f t="shared" si="7"/>
        <v/>
      </c>
    </row>
    <row r="487" spans="2:2" x14ac:dyDescent="0.2">
      <c r="B487" s="8" t="str">
        <f t="shared" si="7"/>
        <v/>
      </c>
    </row>
    <row r="488" spans="2:2" x14ac:dyDescent="0.2">
      <c r="B488" s="8" t="str">
        <f t="shared" si="7"/>
        <v/>
      </c>
    </row>
    <row r="489" spans="2:2" x14ac:dyDescent="0.2">
      <c r="B489" s="8" t="str">
        <f t="shared" si="7"/>
        <v/>
      </c>
    </row>
    <row r="490" spans="2:2" x14ac:dyDescent="0.2">
      <c r="B490" s="8" t="str">
        <f t="shared" si="7"/>
        <v/>
      </c>
    </row>
    <row r="491" spans="2:2" x14ac:dyDescent="0.2">
      <c r="B491" s="8" t="str">
        <f t="shared" si="7"/>
        <v/>
      </c>
    </row>
    <row r="492" spans="2:2" x14ac:dyDescent="0.2">
      <c r="B492" s="8" t="str">
        <f t="shared" si="7"/>
        <v/>
      </c>
    </row>
    <row r="493" spans="2:2" x14ac:dyDescent="0.2">
      <c r="B493" s="8" t="str">
        <f t="shared" si="7"/>
        <v/>
      </c>
    </row>
    <row r="494" spans="2:2" x14ac:dyDescent="0.2">
      <c r="B494" s="8" t="str">
        <f t="shared" si="7"/>
        <v/>
      </c>
    </row>
    <row r="495" spans="2:2" x14ac:dyDescent="0.2">
      <c r="B495" s="8" t="str">
        <f t="shared" si="7"/>
        <v/>
      </c>
    </row>
    <row r="496" spans="2:2" x14ac:dyDescent="0.2">
      <c r="B496" s="8" t="str">
        <f t="shared" si="7"/>
        <v/>
      </c>
    </row>
    <row r="497" spans="2:2" x14ac:dyDescent="0.2">
      <c r="B497" s="8" t="str">
        <f t="shared" si="7"/>
        <v/>
      </c>
    </row>
    <row r="498" spans="2:2" x14ac:dyDescent="0.2">
      <c r="B498" s="8" t="str">
        <f t="shared" si="7"/>
        <v/>
      </c>
    </row>
    <row r="499" spans="2:2" x14ac:dyDescent="0.2">
      <c r="B499" s="8" t="str">
        <f t="shared" si="7"/>
        <v/>
      </c>
    </row>
    <row r="500" spans="2:2" x14ac:dyDescent="0.2">
      <c r="B500" s="8" t="str">
        <f t="shared" si="7"/>
        <v/>
      </c>
    </row>
    <row r="501" spans="2:2" x14ac:dyDescent="0.2">
      <c r="B501" s="8" t="str">
        <f t="shared" si="7"/>
        <v/>
      </c>
    </row>
    <row r="502" spans="2:2" x14ac:dyDescent="0.2">
      <c r="B502" s="8" t="str">
        <f t="shared" si="7"/>
        <v/>
      </c>
    </row>
    <row r="503" spans="2:2" x14ac:dyDescent="0.2">
      <c r="B503" s="8" t="str">
        <f t="shared" si="7"/>
        <v/>
      </c>
    </row>
    <row r="504" spans="2:2" x14ac:dyDescent="0.2">
      <c r="B504" s="8" t="str">
        <f t="shared" si="7"/>
        <v/>
      </c>
    </row>
    <row r="505" spans="2:2" x14ac:dyDescent="0.2">
      <c r="B505" s="8" t="str">
        <f t="shared" si="7"/>
        <v/>
      </c>
    </row>
    <row r="506" spans="2:2" x14ac:dyDescent="0.2">
      <c r="B506" s="8" t="str">
        <f t="shared" si="7"/>
        <v/>
      </c>
    </row>
    <row r="507" spans="2:2" x14ac:dyDescent="0.2">
      <c r="B507" s="8" t="str">
        <f t="shared" si="7"/>
        <v/>
      </c>
    </row>
    <row r="508" spans="2:2" x14ac:dyDescent="0.2">
      <c r="B508" s="8" t="str">
        <f t="shared" si="7"/>
        <v/>
      </c>
    </row>
    <row r="509" spans="2:2" x14ac:dyDescent="0.2">
      <c r="B509" s="8" t="str">
        <f t="shared" si="7"/>
        <v/>
      </c>
    </row>
    <row r="510" spans="2:2" x14ac:dyDescent="0.2">
      <c r="B510" s="8" t="str">
        <f t="shared" si="7"/>
        <v/>
      </c>
    </row>
    <row r="511" spans="2:2" x14ac:dyDescent="0.2">
      <c r="B511" s="8" t="str">
        <f t="shared" si="7"/>
        <v/>
      </c>
    </row>
    <row r="512" spans="2:2" x14ac:dyDescent="0.2">
      <c r="B512" s="8" t="str">
        <f t="shared" si="7"/>
        <v/>
      </c>
    </row>
    <row r="513" spans="2:2" x14ac:dyDescent="0.2">
      <c r="B513" s="8" t="str">
        <f t="shared" si="7"/>
        <v/>
      </c>
    </row>
    <row r="514" spans="2:2" x14ac:dyDescent="0.2">
      <c r="B514" s="8" t="str">
        <f t="shared" ref="B514:B577" si="8">IF(A514=0,"","Hinge")</f>
        <v/>
      </c>
    </row>
    <row r="515" spans="2:2" x14ac:dyDescent="0.2">
      <c r="B515" s="8" t="str">
        <f t="shared" si="8"/>
        <v/>
      </c>
    </row>
    <row r="516" spans="2:2" x14ac:dyDescent="0.2">
      <c r="B516" s="8" t="str">
        <f t="shared" si="8"/>
        <v/>
      </c>
    </row>
    <row r="517" spans="2:2" x14ac:dyDescent="0.2">
      <c r="B517" s="8" t="str">
        <f t="shared" si="8"/>
        <v/>
      </c>
    </row>
    <row r="518" spans="2:2" x14ac:dyDescent="0.2">
      <c r="B518" s="8" t="str">
        <f t="shared" si="8"/>
        <v/>
      </c>
    </row>
    <row r="519" spans="2:2" x14ac:dyDescent="0.2">
      <c r="B519" s="8" t="str">
        <f t="shared" si="8"/>
        <v/>
      </c>
    </row>
    <row r="520" spans="2:2" x14ac:dyDescent="0.2">
      <c r="B520" s="8" t="str">
        <f t="shared" si="8"/>
        <v/>
      </c>
    </row>
    <row r="521" spans="2:2" x14ac:dyDescent="0.2">
      <c r="B521" s="8" t="str">
        <f t="shared" si="8"/>
        <v/>
      </c>
    </row>
    <row r="522" spans="2:2" x14ac:dyDescent="0.2">
      <c r="B522" s="8" t="str">
        <f t="shared" si="8"/>
        <v/>
      </c>
    </row>
    <row r="523" spans="2:2" x14ac:dyDescent="0.2">
      <c r="B523" s="8" t="str">
        <f t="shared" si="8"/>
        <v/>
      </c>
    </row>
    <row r="524" spans="2:2" x14ac:dyDescent="0.2">
      <c r="B524" s="8" t="str">
        <f t="shared" si="8"/>
        <v/>
      </c>
    </row>
    <row r="525" spans="2:2" x14ac:dyDescent="0.2">
      <c r="B525" s="8" t="str">
        <f t="shared" si="8"/>
        <v/>
      </c>
    </row>
    <row r="526" spans="2:2" x14ac:dyDescent="0.2">
      <c r="B526" s="8" t="str">
        <f t="shared" si="8"/>
        <v/>
      </c>
    </row>
    <row r="527" spans="2:2" x14ac:dyDescent="0.2">
      <c r="B527" s="8" t="str">
        <f t="shared" si="8"/>
        <v/>
      </c>
    </row>
    <row r="528" spans="2:2" x14ac:dyDescent="0.2">
      <c r="B528" s="8" t="str">
        <f t="shared" si="8"/>
        <v/>
      </c>
    </row>
    <row r="529" spans="2:2" x14ac:dyDescent="0.2">
      <c r="B529" s="8" t="str">
        <f t="shared" si="8"/>
        <v/>
      </c>
    </row>
    <row r="530" spans="2:2" x14ac:dyDescent="0.2">
      <c r="B530" s="8" t="str">
        <f t="shared" si="8"/>
        <v/>
      </c>
    </row>
    <row r="531" spans="2:2" x14ac:dyDescent="0.2">
      <c r="B531" s="8" t="str">
        <f t="shared" si="8"/>
        <v/>
      </c>
    </row>
    <row r="532" spans="2:2" x14ac:dyDescent="0.2">
      <c r="B532" s="8" t="str">
        <f t="shared" si="8"/>
        <v/>
      </c>
    </row>
    <row r="533" spans="2:2" x14ac:dyDescent="0.2">
      <c r="B533" s="8" t="str">
        <f t="shared" si="8"/>
        <v/>
      </c>
    </row>
    <row r="534" spans="2:2" x14ac:dyDescent="0.2">
      <c r="B534" s="8" t="str">
        <f t="shared" si="8"/>
        <v/>
      </c>
    </row>
    <row r="535" spans="2:2" x14ac:dyDescent="0.2">
      <c r="B535" s="8" t="str">
        <f t="shared" si="8"/>
        <v/>
      </c>
    </row>
    <row r="536" spans="2:2" x14ac:dyDescent="0.2">
      <c r="B536" s="8" t="str">
        <f t="shared" si="8"/>
        <v/>
      </c>
    </row>
    <row r="537" spans="2:2" x14ac:dyDescent="0.2">
      <c r="B537" s="8" t="str">
        <f t="shared" si="8"/>
        <v/>
      </c>
    </row>
    <row r="538" spans="2:2" x14ac:dyDescent="0.2">
      <c r="B538" s="8" t="str">
        <f t="shared" si="8"/>
        <v/>
      </c>
    </row>
    <row r="539" spans="2:2" x14ac:dyDescent="0.2">
      <c r="B539" s="8" t="str">
        <f t="shared" si="8"/>
        <v/>
      </c>
    </row>
    <row r="540" spans="2:2" x14ac:dyDescent="0.2">
      <c r="B540" s="8" t="str">
        <f t="shared" si="8"/>
        <v/>
      </c>
    </row>
    <row r="541" spans="2:2" x14ac:dyDescent="0.2">
      <c r="B541" s="8" t="str">
        <f t="shared" si="8"/>
        <v/>
      </c>
    </row>
    <row r="542" spans="2:2" x14ac:dyDescent="0.2">
      <c r="B542" s="8" t="str">
        <f t="shared" si="8"/>
        <v/>
      </c>
    </row>
    <row r="543" spans="2:2" x14ac:dyDescent="0.2">
      <c r="B543" s="8" t="str">
        <f t="shared" si="8"/>
        <v/>
      </c>
    </row>
    <row r="544" spans="2:2" x14ac:dyDescent="0.2">
      <c r="B544" s="8" t="str">
        <f t="shared" si="8"/>
        <v/>
      </c>
    </row>
    <row r="545" spans="2:2" x14ac:dyDescent="0.2">
      <c r="B545" s="8" t="str">
        <f t="shared" si="8"/>
        <v/>
      </c>
    </row>
    <row r="546" spans="2:2" x14ac:dyDescent="0.2">
      <c r="B546" s="8" t="str">
        <f t="shared" si="8"/>
        <v/>
      </c>
    </row>
    <row r="547" spans="2:2" x14ac:dyDescent="0.2">
      <c r="B547" s="8" t="str">
        <f t="shared" si="8"/>
        <v/>
      </c>
    </row>
    <row r="548" spans="2:2" x14ac:dyDescent="0.2">
      <c r="B548" s="8" t="str">
        <f t="shared" si="8"/>
        <v/>
      </c>
    </row>
    <row r="549" spans="2:2" x14ac:dyDescent="0.2">
      <c r="B549" s="8" t="str">
        <f t="shared" si="8"/>
        <v/>
      </c>
    </row>
    <row r="550" spans="2:2" x14ac:dyDescent="0.2">
      <c r="B550" s="8" t="str">
        <f t="shared" si="8"/>
        <v/>
      </c>
    </row>
    <row r="551" spans="2:2" x14ac:dyDescent="0.2">
      <c r="B551" s="8" t="str">
        <f t="shared" si="8"/>
        <v/>
      </c>
    </row>
    <row r="552" spans="2:2" x14ac:dyDescent="0.2">
      <c r="B552" s="8" t="str">
        <f t="shared" si="8"/>
        <v/>
      </c>
    </row>
    <row r="553" spans="2:2" x14ac:dyDescent="0.2">
      <c r="B553" s="8" t="str">
        <f t="shared" si="8"/>
        <v/>
      </c>
    </row>
    <row r="554" spans="2:2" x14ac:dyDescent="0.2">
      <c r="B554" s="8" t="str">
        <f t="shared" si="8"/>
        <v/>
      </c>
    </row>
    <row r="555" spans="2:2" x14ac:dyDescent="0.2">
      <c r="B555" s="8" t="str">
        <f t="shared" si="8"/>
        <v/>
      </c>
    </row>
    <row r="556" spans="2:2" x14ac:dyDescent="0.2">
      <c r="B556" s="8" t="str">
        <f t="shared" si="8"/>
        <v/>
      </c>
    </row>
    <row r="557" spans="2:2" x14ac:dyDescent="0.2">
      <c r="B557" s="8" t="str">
        <f t="shared" si="8"/>
        <v/>
      </c>
    </row>
    <row r="558" spans="2:2" x14ac:dyDescent="0.2">
      <c r="B558" s="8" t="str">
        <f t="shared" si="8"/>
        <v/>
      </c>
    </row>
    <row r="559" spans="2:2" x14ac:dyDescent="0.2">
      <c r="B559" s="8" t="str">
        <f t="shared" si="8"/>
        <v/>
      </c>
    </row>
    <row r="560" spans="2:2" x14ac:dyDescent="0.2">
      <c r="B560" s="8" t="str">
        <f t="shared" si="8"/>
        <v/>
      </c>
    </row>
    <row r="561" spans="2:2" x14ac:dyDescent="0.2">
      <c r="B561" s="8" t="str">
        <f t="shared" si="8"/>
        <v/>
      </c>
    </row>
    <row r="562" spans="2:2" x14ac:dyDescent="0.2">
      <c r="B562" s="8" t="str">
        <f t="shared" si="8"/>
        <v/>
      </c>
    </row>
    <row r="563" spans="2:2" x14ac:dyDescent="0.2">
      <c r="B563" s="8" t="str">
        <f t="shared" si="8"/>
        <v/>
      </c>
    </row>
    <row r="564" spans="2:2" x14ac:dyDescent="0.2">
      <c r="B564" s="8" t="str">
        <f t="shared" si="8"/>
        <v/>
      </c>
    </row>
    <row r="565" spans="2:2" x14ac:dyDescent="0.2">
      <c r="B565" s="8" t="str">
        <f t="shared" si="8"/>
        <v/>
      </c>
    </row>
    <row r="566" spans="2:2" x14ac:dyDescent="0.2">
      <c r="B566" s="8" t="str">
        <f t="shared" si="8"/>
        <v/>
      </c>
    </row>
    <row r="567" spans="2:2" x14ac:dyDescent="0.2">
      <c r="B567" s="8" t="str">
        <f t="shared" si="8"/>
        <v/>
      </c>
    </row>
    <row r="568" spans="2:2" x14ac:dyDescent="0.2">
      <c r="B568" s="8" t="str">
        <f t="shared" si="8"/>
        <v/>
      </c>
    </row>
    <row r="569" spans="2:2" x14ac:dyDescent="0.2">
      <c r="B569" s="8" t="str">
        <f t="shared" si="8"/>
        <v/>
      </c>
    </row>
    <row r="570" spans="2:2" x14ac:dyDescent="0.2">
      <c r="B570" s="8" t="str">
        <f t="shared" si="8"/>
        <v/>
      </c>
    </row>
    <row r="571" spans="2:2" x14ac:dyDescent="0.2">
      <c r="B571" s="8" t="str">
        <f t="shared" si="8"/>
        <v/>
      </c>
    </row>
    <row r="572" spans="2:2" x14ac:dyDescent="0.2">
      <c r="B572" s="8" t="str">
        <f t="shared" si="8"/>
        <v/>
      </c>
    </row>
    <row r="573" spans="2:2" x14ac:dyDescent="0.2">
      <c r="B573" s="8" t="str">
        <f t="shared" si="8"/>
        <v/>
      </c>
    </row>
    <row r="574" spans="2:2" x14ac:dyDescent="0.2">
      <c r="B574" s="8" t="str">
        <f t="shared" si="8"/>
        <v/>
      </c>
    </row>
    <row r="575" spans="2:2" x14ac:dyDescent="0.2">
      <c r="B575" s="8" t="str">
        <f t="shared" si="8"/>
        <v/>
      </c>
    </row>
    <row r="576" spans="2:2" x14ac:dyDescent="0.2">
      <c r="B576" s="8" t="str">
        <f t="shared" si="8"/>
        <v/>
      </c>
    </row>
    <row r="577" spans="2:2" x14ac:dyDescent="0.2">
      <c r="B577" s="8" t="str">
        <f t="shared" si="8"/>
        <v/>
      </c>
    </row>
    <row r="578" spans="2:2" x14ac:dyDescent="0.2">
      <c r="B578" s="8" t="str">
        <f t="shared" ref="B578:B641" si="9">IF(A578=0,"","Hinge")</f>
        <v/>
      </c>
    </row>
    <row r="579" spans="2:2" x14ac:dyDescent="0.2">
      <c r="B579" s="8" t="str">
        <f t="shared" si="9"/>
        <v/>
      </c>
    </row>
    <row r="580" spans="2:2" x14ac:dyDescent="0.2">
      <c r="B580" s="8" t="str">
        <f t="shared" si="9"/>
        <v/>
      </c>
    </row>
    <row r="581" spans="2:2" x14ac:dyDescent="0.2">
      <c r="B581" s="8" t="str">
        <f t="shared" si="9"/>
        <v/>
      </c>
    </row>
    <row r="582" spans="2:2" x14ac:dyDescent="0.2">
      <c r="B582" s="8" t="str">
        <f t="shared" si="9"/>
        <v/>
      </c>
    </row>
    <row r="583" spans="2:2" x14ac:dyDescent="0.2">
      <c r="B583" s="8" t="str">
        <f t="shared" si="9"/>
        <v/>
      </c>
    </row>
    <row r="584" spans="2:2" x14ac:dyDescent="0.2">
      <c r="B584" s="8" t="str">
        <f t="shared" si="9"/>
        <v/>
      </c>
    </row>
    <row r="585" spans="2:2" x14ac:dyDescent="0.2">
      <c r="B585" s="8" t="str">
        <f t="shared" si="9"/>
        <v/>
      </c>
    </row>
    <row r="586" spans="2:2" x14ac:dyDescent="0.2">
      <c r="B586" s="8" t="str">
        <f t="shared" si="9"/>
        <v/>
      </c>
    </row>
    <row r="587" spans="2:2" x14ac:dyDescent="0.2">
      <c r="B587" s="8" t="str">
        <f t="shared" si="9"/>
        <v/>
      </c>
    </row>
    <row r="588" spans="2:2" x14ac:dyDescent="0.2">
      <c r="B588" s="8" t="str">
        <f t="shared" si="9"/>
        <v/>
      </c>
    </row>
    <row r="589" spans="2:2" x14ac:dyDescent="0.2">
      <c r="B589" s="8" t="str">
        <f t="shared" si="9"/>
        <v/>
      </c>
    </row>
    <row r="590" spans="2:2" x14ac:dyDescent="0.2">
      <c r="B590" s="8" t="str">
        <f t="shared" si="9"/>
        <v/>
      </c>
    </row>
    <row r="591" spans="2:2" x14ac:dyDescent="0.2">
      <c r="B591" s="8" t="str">
        <f t="shared" si="9"/>
        <v/>
      </c>
    </row>
    <row r="592" spans="2:2" x14ac:dyDescent="0.2">
      <c r="B592" s="8" t="str">
        <f t="shared" si="9"/>
        <v/>
      </c>
    </row>
    <row r="593" spans="2:2" x14ac:dyDescent="0.2">
      <c r="B593" s="8" t="str">
        <f t="shared" si="9"/>
        <v/>
      </c>
    </row>
    <row r="594" spans="2:2" x14ac:dyDescent="0.2">
      <c r="B594" s="8" t="str">
        <f t="shared" si="9"/>
        <v/>
      </c>
    </row>
    <row r="595" spans="2:2" x14ac:dyDescent="0.2">
      <c r="B595" s="8" t="str">
        <f t="shared" si="9"/>
        <v/>
      </c>
    </row>
    <row r="596" spans="2:2" x14ac:dyDescent="0.2">
      <c r="B596" s="8" t="str">
        <f t="shared" si="9"/>
        <v/>
      </c>
    </row>
    <row r="597" spans="2:2" x14ac:dyDescent="0.2">
      <c r="B597" s="8" t="str">
        <f t="shared" si="9"/>
        <v/>
      </c>
    </row>
    <row r="598" spans="2:2" x14ac:dyDescent="0.2">
      <c r="B598" s="8" t="str">
        <f t="shared" si="9"/>
        <v/>
      </c>
    </row>
    <row r="599" spans="2:2" x14ac:dyDescent="0.2">
      <c r="B599" s="8" t="str">
        <f t="shared" si="9"/>
        <v/>
      </c>
    </row>
    <row r="600" spans="2:2" x14ac:dyDescent="0.2">
      <c r="B600" s="8" t="str">
        <f t="shared" si="9"/>
        <v/>
      </c>
    </row>
    <row r="601" spans="2:2" x14ac:dyDescent="0.2">
      <c r="B601" s="8" t="str">
        <f t="shared" si="9"/>
        <v/>
      </c>
    </row>
    <row r="602" spans="2:2" x14ac:dyDescent="0.2">
      <c r="B602" s="8" t="str">
        <f t="shared" si="9"/>
        <v/>
      </c>
    </row>
    <row r="603" spans="2:2" x14ac:dyDescent="0.2">
      <c r="B603" s="8" t="str">
        <f t="shared" si="9"/>
        <v/>
      </c>
    </row>
    <row r="604" spans="2:2" x14ac:dyDescent="0.2">
      <c r="B604" s="8" t="str">
        <f t="shared" si="9"/>
        <v/>
      </c>
    </row>
    <row r="605" spans="2:2" x14ac:dyDescent="0.2">
      <c r="B605" s="8" t="str">
        <f t="shared" si="9"/>
        <v/>
      </c>
    </row>
    <row r="606" spans="2:2" x14ac:dyDescent="0.2">
      <c r="B606" s="8" t="str">
        <f t="shared" si="9"/>
        <v/>
      </c>
    </row>
    <row r="607" spans="2:2" x14ac:dyDescent="0.2">
      <c r="B607" s="8" t="str">
        <f t="shared" si="9"/>
        <v/>
      </c>
    </row>
    <row r="608" spans="2:2" x14ac:dyDescent="0.2">
      <c r="B608" s="8" t="str">
        <f t="shared" si="9"/>
        <v/>
      </c>
    </row>
    <row r="609" spans="2:2" x14ac:dyDescent="0.2">
      <c r="B609" s="8" t="str">
        <f t="shared" si="9"/>
        <v/>
      </c>
    </row>
    <row r="610" spans="2:2" x14ac:dyDescent="0.2">
      <c r="B610" s="8" t="str">
        <f t="shared" si="9"/>
        <v/>
      </c>
    </row>
    <row r="611" spans="2:2" x14ac:dyDescent="0.2">
      <c r="B611" s="8" t="str">
        <f t="shared" si="9"/>
        <v/>
      </c>
    </row>
    <row r="612" spans="2:2" x14ac:dyDescent="0.2">
      <c r="B612" s="8" t="str">
        <f t="shared" si="9"/>
        <v/>
      </c>
    </row>
    <row r="613" spans="2:2" x14ac:dyDescent="0.2">
      <c r="B613" s="8" t="str">
        <f t="shared" si="9"/>
        <v/>
      </c>
    </row>
    <row r="614" spans="2:2" x14ac:dyDescent="0.2">
      <c r="B614" s="8" t="str">
        <f t="shared" si="9"/>
        <v/>
      </c>
    </row>
    <row r="615" spans="2:2" x14ac:dyDescent="0.2">
      <c r="B615" s="8" t="str">
        <f t="shared" si="9"/>
        <v/>
      </c>
    </row>
    <row r="616" spans="2:2" x14ac:dyDescent="0.2">
      <c r="B616" s="8" t="str">
        <f t="shared" si="9"/>
        <v/>
      </c>
    </row>
    <row r="617" spans="2:2" x14ac:dyDescent="0.2">
      <c r="B617" s="8" t="str">
        <f t="shared" si="9"/>
        <v/>
      </c>
    </row>
    <row r="618" spans="2:2" x14ac:dyDescent="0.2">
      <c r="B618" s="8" t="str">
        <f t="shared" si="9"/>
        <v/>
      </c>
    </row>
    <row r="619" spans="2:2" x14ac:dyDescent="0.2">
      <c r="B619" s="8" t="str">
        <f t="shared" si="9"/>
        <v/>
      </c>
    </row>
    <row r="620" spans="2:2" x14ac:dyDescent="0.2">
      <c r="B620" s="8" t="str">
        <f t="shared" si="9"/>
        <v/>
      </c>
    </row>
    <row r="621" spans="2:2" x14ac:dyDescent="0.2">
      <c r="B621" s="8" t="str">
        <f t="shared" si="9"/>
        <v/>
      </c>
    </row>
    <row r="622" spans="2:2" x14ac:dyDescent="0.2">
      <c r="B622" s="8" t="str">
        <f t="shared" si="9"/>
        <v/>
      </c>
    </row>
    <row r="623" spans="2:2" x14ac:dyDescent="0.2">
      <c r="B623" s="8" t="str">
        <f t="shared" si="9"/>
        <v/>
      </c>
    </row>
    <row r="624" spans="2:2" x14ac:dyDescent="0.2">
      <c r="B624" s="8" t="str">
        <f t="shared" si="9"/>
        <v/>
      </c>
    </row>
    <row r="625" spans="2:2" x14ac:dyDescent="0.2">
      <c r="B625" s="8" t="str">
        <f t="shared" si="9"/>
        <v/>
      </c>
    </row>
    <row r="626" spans="2:2" x14ac:dyDescent="0.2">
      <c r="B626" s="8" t="str">
        <f t="shared" si="9"/>
        <v/>
      </c>
    </row>
    <row r="627" spans="2:2" x14ac:dyDescent="0.2">
      <c r="B627" s="8" t="str">
        <f t="shared" si="9"/>
        <v/>
      </c>
    </row>
    <row r="628" spans="2:2" x14ac:dyDescent="0.2">
      <c r="B628" s="8" t="str">
        <f t="shared" si="9"/>
        <v/>
      </c>
    </row>
    <row r="629" spans="2:2" x14ac:dyDescent="0.2">
      <c r="B629" s="8" t="str">
        <f t="shared" si="9"/>
        <v/>
      </c>
    </row>
    <row r="630" spans="2:2" x14ac:dyDescent="0.2">
      <c r="B630" s="8" t="str">
        <f t="shared" si="9"/>
        <v/>
      </c>
    </row>
    <row r="631" spans="2:2" x14ac:dyDescent="0.2">
      <c r="B631" s="8" t="str">
        <f t="shared" si="9"/>
        <v/>
      </c>
    </row>
    <row r="632" spans="2:2" x14ac:dyDescent="0.2">
      <c r="B632" s="8" t="str">
        <f t="shared" si="9"/>
        <v/>
      </c>
    </row>
    <row r="633" spans="2:2" x14ac:dyDescent="0.2">
      <c r="B633" s="8" t="str">
        <f t="shared" si="9"/>
        <v/>
      </c>
    </row>
    <row r="634" spans="2:2" x14ac:dyDescent="0.2">
      <c r="B634" s="8" t="str">
        <f t="shared" si="9"/>
        <v/>
      </c>
    </row>
    <row r="635" spans="2:2" x14ac:dyDescent="0.2">
      <c r="B635" s="8" t="str">
        <f t="shared" si="9"/>
        <v/>
      </c>
    </row>
    <row r="636" spans="2:2" x14ac:dyDescent="0.2">
      <c r="B636" s="8" t="str">
        <f t="shared" si="9"/>
        <v/>
      </c>
    </row>
    <row r="637" spans="2:2" x14ac:dyDescent="0.2">
      <c r="B637" s="8" t="str">
        <f t="shared" si="9"/>
        <v/>
      </c>
    </row>
    <row r="638" spans="2:2" x14ac:dyDescent="0.2">
      <c r="B638" s="8" t="str">
        <f t="shared" si="9"/>
        <v/>
      </c>
    </row>
    <row r="639" spans="2:2" x14ac:dyDescent="0.2">
      <c r="B639" s="8" t="str">
        <f t="shared" si="9"/>
        <v/>
      </c>
    </row>
    <row r="640" spans="2:2" x14ac:dyDescent="0.2">
      <c r="B640" s="8" t="str">
        <f t="shared" si="9"/>
        <v/>
      </c>
    </row>
    <row r="641" spans="2:2" x14ac:dyDescent="0.2">
      <c r="B641" s="8" t="str">
        <f t="shared" si="9"/>
        <v/>
      </c>
    </row>
    <row r="642" spans="2:2" x14ac:dyDescent="0.2">
      <c r="B642" s="8" t="str">
        <f t="shared" ref="B642:B705" si="10">IF(A642=0,"","Hinge")</f>
        <v/>
      </c>
    </row>
    <row r="643" spans="2:2" x14ac:dyDescent="0.2">
      <c r="B643" s="8" t="str">
        <f t="shared" si="10"/>
        <v/>
      </c>
    </row>
    <row r="644" spans="2:2" x14ac:dyDescent="0.2">
      <c r="B644" s="8" t="str">
        <f t="shared" si="10"/>
        <v/>
      </c>
    </row>
    <row r="645" spans="2:2" x14ac:dyDescent="0.2">
      <c r="B645" s="8" t="str">
        <f t="shared" si="10"/>
        <v/>
      </c>
    </row>
    <row r="646" spans="2:2" x14ac:dyDescent="0.2">
      <c r="B646" s="8" t="str">
        <f t="shared" si="10"/>
        <v/>
      </c>
    </row>
    <row r="647" spans="2:2" x14ac:dyDescent="0.2">
      <c r="B647" s="8" t="str">
        <f t="shared" si="10"/>
        <v/>
      </c>
    </row>
    <row r="648" spans="2:2" x14ac:dyDescent="0.2">
      <c r="B648" s="8" t="str">
        <f t="shared" si="10"/>
        <v/>
      </c>
    </row>
    <row r="649" spans="2:2" x14ac:dyDescent="0.2">
      <c r="B649" s="8" t="str">
        <f t="shared" si="10"/>
        <v/>
      </c>
    </row>
    <row r="650" spans="2:2" x14ac:dyDescent="0.2">
      <c r="B650" s="8" t="str">
        <f t="shared" si="10"/>
        <v/>
      </c>
    </row>
    <row r="651" spans="2:2" x14ac:dyDescent="0.2">
      <c r="B651" s="8" t="str">
        <f t="shared" si="10"/>
        <v/>
      </c>
    </row>
    <row r="652" spans="2:2" x14ac:dyDescent="0.2">
      <c r="B652" s="8" t="str">
        <f t="shared" si="10"/>
        <v/>
      </c>
    </row>
    <row r="653" spans="2:2" x14ac:dyDescent="0.2">
      <c r="B653" s="8" t="str">
        <f t="shared" si="10"/>
        <v/>
      </c>
    </row>
    <row r="654" spans="2:2" x14ac:dyDescent="0.2">
      <c r="B654" s="8" t="str">
        <f t="shared" si="10"/>
        <v/>
      </c>
    </row>
    <row r="655" spans="2:2" x14ac:dyDescent="0.2">
      <c r="B655" s="8" t="str">
        <f t="shared" si="10"/>
        <v/>
      </c>
    </row>
    <row r="656" spans="2:2" x14ac:dyDescent="0.2">
      <c r="B656" s="8" t="str">
        <f t="shared" si="10"/>
        <v/>
      </c>
    </row>
    <row r="657" spans="2:2" x14ac:dyDescent="0.2">
      <c r="B657" s="8" t="str">
        <f t="shared" si="10"/>
        <v/>
      </c>
    </row>
    <row r="658" spans="2:2" x14ac:dyDescent="0.2">
      <c r="B658" s="8" t="str">
        <f t="shared" si="10"/>
        <v/>
      </c>
    </row>
    <row r="659" spans="2:2" x14ac:dyDescent="0.2">
      <c r="B659" s="8" t="str">
        <f t="shared" si="10"/>
        <v/>
      </c>
    </row>
    <row r="660" spans="2:2" x14ac:dyDescent="0.2">
      <c r="B660" s="8" t="str">
        <f t="shared" si="10"/>
        <v/>
      </c>
    </row>
    <row r="661" spans="2:2" x14ac:dyDescent="0.2">
      <c r="B661" s="8" t="str">
        <f t="shared" si="10"/>
        <v/>
      </c>
    </row>
    <row r="662" spans="2:2" x14ac:dyDescent="0.2">
      <c r="B662" s="8" t="str">
        <f t="shared" si="10"/>
        <v/>
      </c>
    </row>
    <row r="663" spans="2:2" x14ac:dyDescent="0.2">
      <c r="B663" s="8" t="str">
        <f t="shared" si="10"/>
        <v/>
      </c>
    </row>
    <row r="664" spans="2:2" x14ac:dyDescent="0.2">
      <c r="B664" s="8" t="str">
        <f t="shared" si="10"/>
        <v/>
      </c>
    </row>
    <row r="665" spans="2:2" x14ac:dyDescent="0.2">
      <c r="B665" s="8" t="str">
        <f t="shared" si="10"/>
        <v/>
      </c>
    </row>
    <row r="666" spans="2:2" x14ac:dyDescent="0.2">
      <c r="B666" s="8" t="str">
        <f t="shared" si="10"/>
        <v/>
      </c>
    </row>
    <row r="667" spans="2:2" x14ac:dyDescent="0.2">
      <c r="B667" s="8" t="str">
        <f t="shared" si="10"/>
        <v/>
      </c>
    </row>
    <row r="668" spans="2:2" x14ac:dyDescent="0.2">
      <c r="B668" s="8" t="str">
        <f t="shared" si="10"/>
        <v/>
      </c>
    </row>
    <row r="669" spans="2:2" x14ac:dyDescent="0.2">
      <c r="B669" s="8" t="str">
        <f t="shared" si="10"/>
        <v/>
      </c>
    </row>
    <row r="670" spans="2:2" x14ac:dyDescent="0.2">
      <c r="B670" s="8" t="str">
        <f t="shared" si="10"/>
        <v/>
      </c>
    </row>
    <row r="671" spans="2:2" x14ac:dyDescent="0.2">
      <c r="B671" s="8" t="str">
        <f t="shared" si="10"/>
        <v/>
      </c>
    </row>
    <row r="672" spans="2:2" x14ac:dyDescent="0.2">
      <c r="B672" s="8" t="str">
        <f t="shared" si="10"/>
        <v/>
      </c>
    </row>
    <row r="673" spans="2:2" x14ac:dyDescent="0.2">
      <c r="B673" s="8" t="str">
        <f t="shared" si="10"/>
        <v/>
      </c>
    </row>
    <row r="674" spans="2:2" x14ac:dyDescent="0.2">
      <c r="B674" s="8" t="str">
        <f t="shared" si="10"/>
        <v/>
      </c>
    </row>
    <row r="675" spans="2:2" x14ac:dyDescent="0.2">
      <c r="B675" s="8" t="str">
        <f t="shared" si="10"/>
        <v/>
      </c>
    </row>
    <row r="676" spans="2:2" x14ac:dyDescent="0.2">
      <c r="B676" s="8" t="str">
        <f t="shared" si="10"/>
        <v/>
      </c>
    </row>
    <row r="677" spans="2:2" x14ac:dyDescent="0.2">
      <c r="B677" s="8" t="str">
        <f t="shared" si="10"/>
        <v/>
      </c>
    </row>
    <row r="678" spans="2:2" x14ac:dyDescent="0.2">
      <c r="B678" s="8" t="str">
        <f t="shared" si="10"/>
        <v/>
      </c>
    </row>
    <row r="679" spans="2:2" x14ac:dyDescent="0.2">
      <c r="B679" s="8" t="str">
        <f t="shared" si="10"/>
        <v/>
      </c>
    </row>
    <row r="680" spans="2:2" x14ac:dyDescent="0.2">
      <c r="B680" s="8" t="str">
        <f t="shared" si="10"/>
        <v/>
      </c>
    </row>
    <row r="681" spans="2:2" x14ac:dyDescent="0.2">
      <c r="B681" s="8" t="str">
        <f t="shared" si="10"/>
        <v/>
      </c>
    </row>
    <row r="682" spans="2:2" x14ac:dyDescent="0.2">
      <c r="B682" s="8" t="str">
        <f t="shared" si="10"/>
        <v/>
      </c>
    </row>
    <row r="683" spans="2:2" x14ac:dyDescent="0.2">
      <c r="B683" s="8" t="str">
        <f t="shared" si="10"/>
        <v/>
      </c>
    </row>
    <row r="684" spans="2:2" x14ac:dyDescent="0.2">
      <c r="B684" s="8" t="str">
        <f t="shared" si="10"/>
        <v/>
      </c>
    </row>
    <row r="685" spans="2:2" x14ac:dyDescent="0.2">
      <c r="B685" s="8" t="str">
        <f t="shared" si="10"/>
        <v/>
      </c>
    </row>
    <row r="686" spans="2:2" x14ac:dyDescent="0.2">
      <c r="B686" s="8" t="str">
        <f t="shared" si="10"/>
        <v/>
      </c>
    </row>
    <row r="687" spans="2:2" x14ac:dyDescent="0.2">
      <c r="B687" s="8" t="str">
        <f t="shared" si="10"/>
        <v/>
      </c>
    </row>
    <row r="688" spans="2:2" x14ac:dyDescent="0.2">
      <c r="B688" s="8" t="str">
        <f t="shared" si="10"/>
        <v/>
      </c>
    </row>
    <row r="689" spans="2:2" x14ac:dyDescent="0.2">
      <c r="B689" s="8" t="str">
        <f t="shared" si="10"/>
        <v/>
      </c>
    </row>
    <row r="690" spans="2:2" x14ac:dyDescent="0.2">
      <c r="B690" s="8" t="str">
        <f t="shared" si="10"/>
        <v/>
      </c>
    </row>
    <row r="691" spans="2:2" x14ac:dyDescent="0.2">
      <c r="B691" s="8" t="str">
        <f t="shared" si="10"/>
        <v/>
      </c>
    </row>
    <row r="692" spans="2:2" x14ac:dyDescent="0.2">
      <c r="B692" s="8" t="str">
        <f t="shared" si="10"/>
        <v/>
      </c>
    </row>
    <row r="693" spans="2:2" x14ac:dyDescent="0.2">
      <c r="B693" s="8" t="str">
        <f t="shared" si="10"/>
        <v/>
      </c>
    </row>
    <row r="694" spans="2:2" x14ac:dyDescent="0.2">
      <c r="B694" s="8" t="str">
        <f t="shared" si="10"/>
        <v/>
      </c>
    </row>
    <row r="695" spans="2:2" x14ac:dyDescent="0.2">
      <c r="B695" s="8" t="str">
        <f t="shared" si="10"/>
        <v/>
      </c>
    </row>
    <row r="696" spans="2:2" x14ac:dyDescent="0.2">
      <c r="B696" s="8" t="str">
        <f t="shared" si="10"/>
        <v/>
      </c>
    </row>
    <row r="697" spans="2:2" x14ac:dyDescent="0.2">
      <c r="B697" s="8" t="str">
        <f t="shared" si="10"/>
        <v/>
      </c>
    </row>
    <row r="698" spans="2:2" x14ac:dyDescent="0.2">
      <c r="B698" s="8" t="str">
        <f t="shared" si="10"/>
        <v/>
      </c>
    </row>
    <row r="699" spans="2:2" x14ac:dyDescent="0.2">
      <c r="B699" s="8" t="str">
        <f t="shared" si="10"/>
        <v/>
      </c>
    </row>
    <row r="700" spans="2:2" x14ac:dyDescent="0.2">
      <c r="B700" s="8" t="str">
        <f t="shared" si="10"/>
        <v/>
      </c>
    </row>
    <row r="701" spans="2:2" x14ac:dyDescent="0.2">
      <c r="B701" s="8" t="str">
        <f t="shared" si="10"/>
        <v/>
      </c>
    </row>
    <row r="702" spans="2:2" x14ac:dyDescent="0.2">
      <c r="B702" s="8" t="str">
        <f t="shared" si="10"/>
        <v/>
      </c>
    </row>
    <row r="703" spans="2:2" x14ac:dyDescent="0.2">
      <c r="B703" s="8" t="str">
        <f t="shared" si="10"/>
        <v/>
      </c>
    </row>
    <row r="704" spans="2:2" x14ac:dyDescent="0.2">
      <c r="B704" s="8" t="str">
        <f t="shared" si="10"/>
        <v/>
      </c>
    </row>
    <row r="705" spans="2:2" x14ac:dyDescent="0.2">
      <c r="B705" s="8" t="str">
        <f t="shared" si="10"/>
        <v/>
      </c>
    </row>
    <row r="706" spans="2:2" x14ac:dyDescent="0.2">
      <c r="B706" s="8" t="str">
        <f t="shared" ref="B706:B769" si="11">IF(A706=0,"","Hinge")</f>
        <v/>
      </c>
    </row>
    <row r="707" spans="2:2" x14ac:dyDescent="0.2">
      <c r="B707" s="8" t="str">
        <f t="shared" si="11"/>
        <v/>
      </c>
    </row>
    <row r="708" spans="2:2" x14ac:dyDescent="0.2">
      <c r="B708" s="8" t="str">
        <f t="shared" si="11"/>
        <v/>
      </c>
    </row>
    <row r="709" spans="2:2" x14ac:dyDescent="0.2">
      <c r="B709" s="8" t="str">
        <f t="shared" si="11"/>
        <v/>
      </c>
    </row>
    <row r="710" spans="2:2" x14ac:dyDescent="0.2">
      <c r="B710" s="8" t="str">
        <f t="shared" si="11"/>
        <v/>
      </c>
    </row>
    <row r="711" spans="2:2" x14ac:dyDescent="0.2">
      <c r="B711" s="8" t="str">
        <f t="shared" si="11"/>
        <v/>
      </c>
    </row>
    <row r="712" spans="2:2" x14ac:dyDescent="0.2">
      <c r="B712" s="8" t="str">
        <f t="shared" si="11"/>
        <v/>
      </c>
    </row>
    <row r="713" spans="2:2" x14ac:dyDescent="0.2">
      <c r="B713" s="8" t="str">
        <f t="shared" si="11"/>
        <v/>
      </c>
    </row>
    <row r="714" spans="2:2" x14ac:dyDescent="0.2">
      <c r="B714" s="8" t="str">
        <f t="shared" si="11"/>
        <v/>
      </c>
    </row>
    <row r="715" spans="2:2" x14ac:dyDescent="0.2">
      <c r="B715" s="8" t="str">
        <f t="shared" si="11"/>
        <v/>
      </c>
    </row>
    <row r="716" spans="2:2" x14ac:dyDescent="0.2">
      <c r="B716" s="8" t="str">
        <f t="shared" si="11"/>
        <v/>
      </c>
    </row>
    <row r="717" spans="2:2" x14ac:dyDescent="0.2">
      <c r="B717" s="8" t="str">
        <f t="shared" si="11"/>
        <v/>
      </c>
    </row>
    <row r="718" spans="2:2" x14ac:dyDescent="0.2">
      <c r="B718" s="8" t="str">
        <f t="shared" si="11"/>
        <v/>
      </c>
    </row>
    <row r="719" spans="2:2" x14ac:dyDescent="0.2">
      <c r="B719" s="8" t="str">
        <f t="shared" si="11"/>
        <v/>
      </c>
    </row>
    <row r="720" spans="2:2" x14ac:dyDescent="0.2">
      <c r="B720" s="8" t="str">
        <f t="shared" si="11"/>
        <v/>
      </c>
    </row>
    <row r="721" spans="2:2" x14ac:dyDescent="0.2">
      <c r="B721" s="8" t="str">
        <f t="shared" si="11"/>
        <v/>
      </c>
    </row>
    <row r="722" spans="2:2" x14ac:dyDescent="0.2">
      <c r="B722" s="8" t="str">
        <f t="shared" si="11"/>
        <v/>
      </c>
    </row>
    <row r="723" spans="2:2" x14ac:dyDescent="0.2">
      <c r="B723" s="8" t="str">
        <f t="shared" si="11"/>
        <v/>
      </c>
    </row>
    <row r="724" spans="2:2" x14ac:dyDescent="0.2">
      <c r="B724" s="8" t="str">
        <f t="shared" si="11"/>
        <v/>
      </c>
    </row>
    <row r="725" spans="2:2" x14ac:dyDescent="0.2">
      <c r="B725" s="8" t="str">
        <f t="shared" si="11"/>
        <v/>
      </c>
    </row>
    <row r="726" spans="2:2" x14ac:dyDescent="0.2">
      <c r="B726" s="8" t="str">
        <f t="shared" si="11"/>
        <v/>
      </c>
    </row>
    <row r="727" spans="2:2" x14ac:dyDescent="0.2">
      <c r="B727" s="8" t="str">
        <f t="shared" si="11"/>
        <v/>
      </c>
    </row>
    <row r="728" spans="2:2" x14ac:dyDescent="0.2">
      <c r="B728" s="8" t="str">
        <f t="shared" si="11"/>
        <v/>
      </c>
    </row>
    <row r="729" spans="2:2" x14ac:dyDescent="0.2">
      <c r="B729" s="8" t="str">
        <f t="shared" si="11"/>
        <v/>
      </c>
    </row>
    <row r="730" spans="2:2" x14ac:dyDescent="0.2">
      <c r="B730" s="8" t="str">
        <f t="shared" si="11"/>
        <v/>
      </c>
    </row>
    <row r="731" spans="2:2" x14ac:dyDescent="0.2">
      <c r="B731" s="8" t="str">
        <f t="shared" si="11"/>
        <v/>
      </c>
    </row>
    <row r="732" spans="2:2" x14ac:dyDescent="0.2">
      <c r="B732" s="8" t="str">
        <f t="shared" si="11"/>
        <v/>
      </c>
    </row>
    <row r="733" spans="2:2" x14ac:dyDescent="0.2">
      <c r="B733" s="8" t="str">
        <f t="shared" si="11"/>
        <v/>
      </c>
    </row>
    <row r="734" spans="2:2" x14ac:dyDescent="0.2">
      <c r="B734" s="8" t="str">
        <f t="shared" si="11"/>
        <v/>
      </c>
    </row>
    <row r="735" spans="2:2" x14ac:dyDescent="0.2">
      <c r="B735" s="8" t="str">
        <f t="shared" si="11"/>
        <v/>
      </c>
    </row>
    <row r="736" spans="2:2" x14ac:dyDescent="0.2">
      <c r="B736" s="8" t="str">
        <f t="shared" si="11"/>
        <v/>
      </c>
    </row>
    <row r="737" spans="2:2" x14ac:dyDescent="0.2">
      <c r="B737" s="8" t="str">
        <f t="shared" si="11"/>
        <v/>
      </c>
    </row>
    <row r="738" spans="2:2" x14ac:dyDescent="0.2">
      <c r="B738" s="8" t="str">
        <f t="shared" si="11"/>
        <v/>
      </c>
    </row>
    <row r="739" spans="2:2" x14ac:dyDescent="0.2">
      <c r="B739" s="8" t="str">
        <f t="shared" si="11"/>
        <v/>
      </c>
    </row>
    <row r="740" spans="2:2" x14ac:dyDescent="0.2">
      <c r="B740" s="8" t="str">
        <f t="shared" si="11"/>
        <v/>
      </c>
    </row>
    <row r="741" spans="2:2" x14ac:dyDescent="0.2">
      <c r="B741" s="8" t="str">
        <f t="shared" si="11"/>
        <v/>
      </c>
    </row>
    <row r="742" spans="2:2" x14ac:dyDescent="0.2">
      <c r="B742" s="8" t="str">
        <f t="shared" si="11"/>
        <v/>
      </c>
    </row>
    <row r="743" spans="2:2" x14ac:dyDescent="0.2">
      <c r="B743" s="8" t="str">
        <f t="shared" si="11"/>
        <v/>
      </c>
    </row>
    <row r="744" spans="2:2" x14ac:dyDescent="0.2">
      <c r="B744" s="8" t="str">
        <f t="shared" si="11"/>
        <v/>
      </c>
    </row>
    <row r="745" spans="2:2" x14ac:dyDescent="0.2">
      <c r="B745" s="8" t="str">
        <f t="shared" si="11"/>
        <v/>
      </c>
    </row>
    <row r="746" spans="2:2" x14ac:dyDescent="0.2">
      <c r="B746" s="8" t="str">
        <f t="shared" si="11"/>
        <v/>
      </c>
    </row>
    <row r="747" spans="2:2" x14ac:dyDescent="0.2">
      <c r="B747" s="8" t="str">
        <f t="shared" si="11"/>
        <v/>
      </c>
    </row>
    <row r="748" spans="2:2" x14ac:dyDescent="0.2">
      <c r="B748" s="8" t="str">
        <f t="shared" si="11"/>
        <v/>
      </c>
    </row>
    <row r="749" spans="2:2" x14ac:dyDescent="0.2">
      <c r="B749" s="8" t="str">
        <f t="shared" si="11"/>
        <v/>
      </c>
    </row>
    <row r="750" spans="2:2" x14ac:dyDescent="0.2">
      <c r="B750" s="8" t="str">
        <f t="shared" si="11"/>
        <v/>
      </c>
    </row>
    <row r="751" spans="2:2" x14ac:dyDescent="0.2">
      <c r="B751" s="8" t="str">
        <f t="shared" si="11"/>
        <v/>
      </c>
    </row>
    <row r="752" spans="2:2" x14ac:dyDescent="0.2">
      <c r="B752" s="8" t="str">
        <f t="shared" si="11"/>
        <v/>
      </c>
    </row>
    <row r="753" spans="2:2" x14ac:dyDescent="0.2">
      <c r="B753" s="8" t="str">
        <f t="shared" si="11"/>
        <v/>
      </c>
    </row>
    <row r="754" spans="2:2" x14ac:dyDescent="0.2">
      <c r="B754" s="8" t="str">
        <f t="shared" si="11"/>
        <v/>
      </c>
    </row>
    <row r="755" spans="2:2" x14ac:dyDescent="0.2">
      <c r="B755" s="8" t="str">
        <f t="shared" si="11"/>
        <v/>
      </c>
    </row>
    <row r="756" spans="2:2" x14ac:dyDescent="0.2">
      <c r="B756" s="8" t="str">
        <f t="shared" si="11"/>
        <v/>
      </c>
    </row>
    <row r="757" spans="2:2" x14ac:dyDescent="0.2">
      <c r="B757" s="8" t="str">
        <f t="shared" si="11"/>
        <v/>
      </c>
    </row>
    <row r="758" spans="2:2" x14ac:dyDescent="0.2">
      <c r="B758" s="8" t="str">
        <f t="shared" si="11"/>
        <v/>
      </c>
    </row>
    <row r="759" spans="2:2" x14ac:dyDescent="0.2">
      <c r="B759" s="8" t="str">
        <f t="shared" si="11"/>
        <v/>
      </c>
    </row>
    <row r="760" spans="2:2" x14ac:dyDescent="0.2">
      <c r="B760" s="8" t="str">
        <f t="shared" si="11"/>
        <v/>
      </c>
    </row>
    <row r="761" spans="2:2" x14ac:dyDescent="0.2">
      <c r="B761" s="8" t="str">
        <f t="shared" si="11"/>
        <v/>
      </c>
    </row>
    <row r="762" spans="2:2" x14ac:dyDescent="0.2">
      <c r="B762" s="8" t="str">
        <f t="shared" si="11"/>
        <v/>
      </c>
    </row>
    <row r="763" spans="2:2" x14ac:dyDescent="0.2">
      <c r="B763" s="8" t="str">
        <f t="shared" si="11"/>
        <v/>
      </c>
    </row>
    <row r="764" spans="2:2" x14ac:dyDescent="0.2">
      <c r="B764" s="8" t="str">
        <f t="shared" si="11"/>
        <v/>
      </c>
    </row>
    <row r="765" spans="2:2" x14ac:dyDescent="0.2">
      <c r="B765" s="8" t="str">
        <f t="shared" si="11"/>
        <v/>
      </c>
    </row>
    <row r="766" spans="2:2" x14ac:dyDescent="0.2">
      <c r="B766" s="8" t="str">
        <f t="shared" si="11"/>
        <v/>
      </c>
    </row>
    <row r="767" spans="2:2" x14ac:dyDescent="0.2">
      <c r="B767" s="8" t="str">
        <f t="shared" si="11"/>
        <v/>
      </c>
    </row>
    <row r="768" spans="2:2" x14ac:dyDescent="0.2">
      <c r="B768" s="8" t="str">
        <f t="shared" si="11"/>
        <v/>
      </c>
    </row>
    <row r="769" spans="2:2" x14ac:dyDescent="0.2">
      <c r="B769" s="8" t="str">
        <f t="shared" si="11"/>
        <v/>
      </c>
    </row>
    <row r="770" spans="2:2" x14ac:dyDescent="0.2">
      <c r="B770" s="8" t="str">
        <f t="shared" ref="B770:B833" si="12">IF(A770=0,"","Hinge")</f>
        <v/>
      </c>
    </row>
    <row r="771" spans="2:2" x14ac:dyDescent="0.2">
      <c r="B771" s="8" t="str">
        <f t="shared" si="12"/>
        <v/>
      </c>
    </row>
    <row r="772" spans="2:2" x14ac:dyDescent="0.2">
      <c r="B772" s="8" t="str">
        <f t="shared" si="12"/>
        <v/>
      </c>
    </row>
    <row r="773" spans="2:2" x14ac:dyDescent="0.2">
      <c r="B773" s="8" t="str">
        <f t="shared" si="12"/>
        <v/>
      </c>
    </row>
    <row r="774" spans="2:2" x14ac:dyDescent="0.2">
      <c r="B774" s="8" t="str">
        <f t="shared" si="12"/>
        <v/>
      </c>
    </row>
    <row r="775" spans="2:2" x14ac:dyDescent="0.2">
      <c r="B775" s="8" t="str">
        <f t="shared" si="12"/>
        <v/>
      </c>
    </row>
    <row r="776" spans="2:2" x14ac:dyDescent="0.2">
      <c r="B776" s="8" t="str">
        <f t="shared" si="12"/>
        <v/>
      </c>
    </row>
    <row r="777" spans="2:2" x14ac:dyDescent="0.2">
      <c r="B777" s="8" t="str">
        <f t="shared" si="12"/>
        <v/>
      </c>
    </row>
    <row r="778" spans="2:2" x14ac:dyDescent="0.2">
      <c r="B778" s="8" t="str">
        <f t="shared" si="12"/>
        <v/>
      </c>
    </row>
    <row r="779" spans="2:2" x14ac:dyDescent="0.2">
      <c r="B779" s="8" t="str">
        <f t="shared" si="12"/>
        <v/>
      </c>
    </row>
    <row r="780" spans="2:2" x14ac:dyDescent="0.2">
      <c r="B780" s="8" t="str">
        <f t="shared" si="12"/>
        <v/>
      </c>
    </row>
    <row r="781" spans="2:2" x14ac:dyDescent="0.2">
      <c r="B781" s="8" t="str">
        <f t="shared" si="12"/>
        <v/>
      </c>
    </row>
    <row r="782" spans="2:2" x14ac:dyDescent="0.2">
      <c r="B782" s="8" t="str">
        <f t="shared" si="12"/>
        <v/>
      </c>
    </row>
    <row r="783" spans="2:2" x14ac:dyDescent="0.2">
      <c r="B783" s="8" t="str">
        <f t="shared" si="12"/>
        <v/>
      </c>
    </row>
    <row r="784" spans="2:2" x14ac:dyDescent="0.2">
      <c r="B784" s="8" t="str">
        <f t="shared" si="12"/>
        <v/>
      </c>
    </row>
    <row r="785" spans="2:2" x14ac:dyDescent="0.2">
      <c r="B785" s="8" t="str">
        <f t="shared" si="12"/>
        <v/>
      </c>
    </row>
    <row r="786" spans="2:2" x14ac:dyDescent="0.2">
      <c r="B786" s="8" t="str">
        <f t="shared" si="12"/>
        <v/>
      </c>
    </row>
    <row r="787" spans="2:2" x14ac:dyDescent="0.2">
      <c r="B787" s="8" t="str">
        <f t="shared" si="12"/>
        <v/>
      </c>
    </row>
    <row r="788" spans="2:2" x14ac:dyDescent="0.2">
      <c r="B788" s="8" t="str">
        <f t="shared" si="12"/>
        <v/>
      </c>
    </row>
    <row r="789" spans="2:2" x14ac:dyDescent="0.2">
      <c r="B789" s="8" t="str">
        <f t="shared" si="12"/>
        <v/>
      </c>
    </row>
    <row r="790" spans="2:2" x14ac:dyDescent="0.2">
      <c r="B790" s="8" t="str">
        <f t="shared" si="12"/>
        <v/>
      </c>
    </row>
    <row r="791" spans="2:2" x14ac:dyDescent="0.2">
      <c r="B791" s="8" t="str">
        <f t="shared" si="12"/>
        <v/>
      </c>
    </row>
    <row r="792" spans="2:2" x14ac:dyDescent="0.2">
      <c r="B792" s="8" t="str">
        <f t="shared" si="12"/>
        <v/>
      </c>
    </row>
    <row r="793" spans="2:2" x14ac:dyDescent="0.2">
      <c r="B793" s="8" t="str">
        <f t="shared" si="12"/>
        <v/>
      </c>
    </row>
    <row r="794" spans="2:2" x14ac:dyDescent="0.2">
      <c r="B794" s="8" t="str">
        <f t="shared" si="12"/>
        <v/>
      </c>
    </row>
    <row r="795" spans="2:2" x14ac:dyDescent="0.2">
      <c r="B795" s="8" t="str">
        <f t="shared" si="12"/>
        <v/>
      </c>
    </row>
    <row r="796" spans="2:2" x14ac:dyDescent="0.2">
      <c r="B796" s="8" t="str">
        <f t="shared" si="12"/>
        <v/>
      </c>
    </row>
    <row r="797" spans="2:2" x14ac:dyDescent="0.2">
      <c r="B797" s="8" t="str">
        <f t="shared" si="12"/>
        <v/>
      </c>
    </row>
    <row r="798" spans="2:2" x14ac:dyDescent="0.2">
      <c r="B798" s="8" t="str">
        <f t="shared" si="12"/>
        <v/>
      </c>
    </row>
    <row r="799" spans="2:2" x14ac:dyDescent="0.2">
      <c r="B799" s="8" t="str">
        <f t="shared" si="12"/>
        <v/>
      </c>
    </row>
    <row r="800" spans="2:2" x14ac:dyDescent="0.2">
      <c r="B800" s="8" t="str">
        <f t="shared" si="12"/>
        <v/>
      </c>
    </row>
    <row r="801" spans="2:2" x14ac:dyDescent="0.2">
      <c r="B801" s="8" t="str">
        <f t="shared" si="12"/>
        <v/>
      </c>
    </row>
    <row r="802" spans="2:2" x14ac:dyDescent="0.2">
      <c r="B802" s="8" t="str">
        <f t="shared" si="12"/>
        <v/>
      </c>
    </row>
    <row r="803" spans="2:2" x14ac:dyDescent="0.2">
      <c r="B803" s="8" t="str">
        <f t="shared" si="12"/>
        <v/>
      </c>
    </row>
    <row r="804" spans="2:2" x14ac:dyDescent="0.2">
      <c r="B804" s="8" t="str">
        <f t="shared" si="12"/>
        <v/>
      </c>
    </row>
    <row r="805" spans="2:2" x14ac:dyDescent="0.2">
      <c r="B805" s="8" t="str">
        <f t="shared" si="12"/>
        <v/>
      </c>
    </row>
    <row r="806" spans="2:2" x14ac:dyDescent="0.2">
      <c r="B806" s="8" t="str">
        <f t="shared" si="12"/>
        <v/>
      </c>
    </row>
    <row r="807" spans="2:2" x14ac:dyDescent="0.2">
      <c r="B807" s="8" t="str">
        <f t="shared" si="12"/>
        <v/>
      </c>
    </row>
    <row r="808" spans="2:2" x14ac:dyDescent="0.2">
      <c r="B808" s="8" t="str">
        <f t="shared" si="12"/>
        <v/>
      </c>
    </row>
    <row r="809" spans="2:2" x14ac:dyDescent="0.2">
      <c r="B809" s="8" t="str">
        <f t="shared" si="12"/>
        <v/>
      </c>
    </row>
    <row r="810" spans="2:2" x14ac:dyDescent="0.2">
      <c r="B810" s="8" t="str">
        <f t="shared" si="12"/>
        <v/>
      </c>
    </row>
    <row r="811" spans="2:2" x14ac:dyDescent="0.2">
      <c r="B811" s="8" t="str">
        <f t="shared" si="12"/>
        <v/>
      </c>
    </row>
    <row r="812" spans="2:2" x14ac:dyDescent="0.2">
      <c r="B812" s="8" t="str">
        <f t="shared" si="12"/>
        <v/>
      </c>
    </row>
    <row r="813" spans="2:2" x14ac:dyDescent="0.2">
      <c r="B813" s="8" t="str">
        <f t="shared" si="12"/>
        <v/>
      </c>
    </row>
    <row r="814" spans="2:2" x14ac:dyDescent="0.2">
      <c r="B814" s="8" t="str">
        <f t="shared" si="12"/>
        <v/>
      </c>
    </row>
    <row r="815" spans="2:2" x14ac:dyDescent="0.2">
      <c r="B815" s="8" t="str">
        <f t="shared" si="12"/>
        <v/>
      </c>
    </row>
    <row r="816" spans="2:2" x14ac:dyDescent="0.2">
      <c r="B816" s="8" t="str">
        <f t="shared" si="12"/>
        <v/>
      </c>
    </row>
    <row r="817" spans="2:2" x14ac:dyDescent="0.2">
      <c r="B817" s="8" t="str">
        <f t="shared" si="12"/>
        <v/>
      </c>
    </row>
    <row r="818" spans="2:2" x14ac:dyDescent="0.2">
      <c r="B818" s="8" t="str">
        <f t="shared" si="12"/>
        <v/>
      </c>
    </row>
    <row r="819" spans="2:2" x14ac:dyDescent="0.2">
      <c r="B819" s="8" t="str">
        <f t="shared" si="12"/>
        <v/>
      </c>
    </row>
    <row r="820" spans="2:2" x14ac:dyDescent="0.2">
      <c r="B820" s="8" t="str">
        <f t="shared" si="12"/>
        <v/>
      </c>
    </row>
    <row r="821" spans="2:2" x14ac:dyDescent="0.2">
      <c r="B821" s="8" t="str">
        <f t="shared" si="12"/>
        <v/>
      </c>
    </row>
    <row r="822" spans="2:2" x14ac:dyDescent="0.2">
      <c r="B822" s="8" t="str">
        <f t="shared" si="12"/>
        <v/>
      </c>
    </row>
    <row r="823" spans="2:2" x14ac:dyDescent="0.2">
      <c r="B823" s="8" t="str">
        <f t="shared" si="12"/>
        <v/>
      </c>
    </row>
    <row r="824" spans="2:2" x14ac:dyDescent="0.2">
      <c r="B824" s="8" t="str">
        <f t="shared" si="12"/>
        <v/>
      </c>
    </row>
    <row r="825" spans="2:2" x14ac:dyDescent="0.2">
      <c r="B825" s="8" t="str">
        <f t="shared" si="12"/>
        <v/>
      </c>
    </row>
    <row r="826" spans="2:2" x14ac:dyDescent="0.2">
      <c r="B826" s="8" t="str">
        <f t="shared" si="12"/>
        <v/>
      </c>
    </row>
    <row r="827" spans="2:2" x14ac:dyDescent="0.2">
      <c r="B827" s="8" t="str">
        <f t="shared" si="12"/>
        <v/>
      </c>
    </row>
    <row r="828" spans="2:2" x14ac:dyDescent="0.2">
      <c r="B828" s="8" t="str">
        <f t="shared" si="12"/>
        <v/>
      </c>
    </row>
    <row r="829" spans="2:2" x14ac:dyDescent="0.2">
      <c r="B829" s="8" t="str">
        <f t="shared" si="12"/>
        <v/>
      </c>
    </row>
    <row r="830" spans="2:2" x14ac:dyDescent="0.2">
      <c r="B830" s="8" t="str">
        <f t="shared" si="12"/>
        <v/>
      </c>
    </row>
    <row r="831" spans="2:2" x14ac:dyDescent="0.2">
      <c r="B831" s="8" t="str">
        <f t="shared" si="12"/>
        <v/>
      </c>
    </row>
    <row r="832" spans="2:2" x14ac:dyDescent="0.2">
      <c r="B832" s="8" t="str">
        <f t="shared" si="12"/>
        <v/>
      </c>
    </row>
    <row r="833" spans="2:2" x14ac:dyDescent="0.2">
      <c r="B833" s="8" t="str">
        <f t="shared" si="12"/>
        <v/>
      </c>
    </row>
    <row r="834" spans="2:2" x14ac:dyDescent="0.2">
      <c r="B834" s="8" t="str">
        <f t="shared" ref="B834:B897" si="13">IF(A834=0,"","Hinge")</f>
        <v/>
      </c>
    </row>
    <row r="835" spans="2:2" x14ac:dyDescent="0.2">
      <c r="B835" s="8" t="str">
        <f t="shared" si="13"/>
        <v/>
      </c>
    </row>
    <row r="836" spans="2:2" x14ac:dyDescent="0.2">
      <c r="B836" s="8" t="str">
        <f t="shared" si="13"/>
        <v/>
      </c>
    </row>
    <row r="837" spans="2:2" x14ac:dyDescent="0.2">
      <c r="B837" s="8" t="str">
        <f t="shared" si="13"/>
        <v/>
      </c>
    </row>
    <row r="838" spans="2:2" x14ac:dyDescent="0.2">
      <c r="B838" s="8" t="str">
        <f t="shared" si="13"/>
        <v/>
      </c>
    </row>
    <row r="839" spans="2:2" x14ac:dyDescent="0.2">
      <c r="B839" s="8" t="str">
        <f t="shared" si="13"/>
        <v/>
      </c>
    </row>
    <row r="840" spans="2:2" x14ac:dyDescent="0.2">
      <c r="B840" s="8" t="str">
        <f t="shared" si="13"/>
        <v/>
      </c>
    </row>
    <row r="841" spans="2:2" x14ac:dyDescent="0.2">
      <c r="B841" s="8" t="str">
        <f t="shared" si="13"/>
        <v/>
      </c>
    </row>
    <row r="842" spans="2:2" x14ac:dyDescent="0.2">
      <c r="B842" s="8" t="str">
        <f t="shared" si="13"/>
        <v/>
      </c>
    </row>
    <row r="843" spans="2:2" x14ac:dyDescent="0.2">
      <c r="B843" s="8" t="str">
        <f t="shared" si="13"/>
        <v/>
      </c>
    </row>
    <row r="844" spans="2:2" x14ac:dyDescent="0.2">
      <c r="B844" s="8" t="str">
        <f t="shared" si="13"/>
        <v/>
      </c>
    </row>
    <row r="845" spans="2:2" x14ac:dyDescent="0.2">
      <c r="B845" s="8" t="str">
        <f t="shared" si="13"/>
        <v/>
      </c>
    </row>
    <row r="846" spans="2:2" x14ac:dyDescent="0.2">
      <c r="B846" s="8" t="str">
        <f t="shared" si="13"/>
        <v/>
      </c>
    </row>
    <row r="847" spans="2:2" x14ac:dyDescent="0.2">
      <c r="B847" s="8" t="str">
        <f t="shared" si="13"/>
        <v/>
      </c>
    </row>
    <row r="848" spans="2:2" x14ac:dyDescent="0.2">
      <c r="B848" s="8" t="str">
        <f t="shared" si="13"/>
        <v/>
      </c>
    </row>
    <row r="849" spans="2:2" x14ac:dyDescent="0.2">
      <c r="B849" s="8" t="str">
        <f t="shared" si="13"/>
        <v/>
      </c>
    </row>
    <row r="850" spans="2:2" x14ac:dyDescent="0.2">
      <c r="B850" s="8" t="str">
        <f t="shared" si="13"/>
        <v/>
      </c>
    </row>
    <row r="851" spans="2:2" x14ac:dyDescent="0.2">
      <c r="B851" s="8" t="str">
        <f t="shared" si="13"/>
        <v/>
      </c>
    </row>
    <row r="852" spans="2:2" x14ac:dyDescent="0.2">
      <c r="B852" s="8" t="str">
        <f t="shared" si="13"/>
        <v/>
      </c>
    </row>
    <row r="853" spans="2:2" x14ac:dyDescent="0.2">
      <c r="B853" s="8" t="str">
        <f t="shared" si="13"/>
        <v/>
      </c>
    </row>
    <row r="854" spans="2:2" x14ac:dyDescent="0.2">
      <c r="B854" s="8" t="str">
        <f t="shared" si="13"/>
        <v/>
      </c>
    </row>
    <row r="855" spans="2:2" x14ac:dyDescent="0.2">
      <c r="B855" s="8" t="str">
        <f t="shared" si="13"/>
        <v/>
      </c>
    </row>
    <row r="856" spans="2:2" x14ac:dyDescent="0.2">
      <c r="B856" s="8" t="str">
        <f t="shared" si="13"/>
        <v/>
      </c>
    </row>
    <row r="857" spans="2:2" x14ac:dyDescent="0.2">
      <c r="B857" s="8" t="str">
        <f t="shared" si="13"/>
        <v/>
      </c>
    </row>
    <row r="858" spans="2:2" x14ac:dyDescent="0.2">
      <c r="B858" s="8" t="str">
        <f t="shared" si="13"/>
        <v/>
      </c>
    </row>
    <row r="859" spans="2:2" x14ac:dyDescent="0.2">
      <c r="B859" s="8" t="str">
        <f t="shared" si="13"/>
        <v/>
      </c>
    </row>
    <row r="860" spans="2:2" x14ac:dyDescent="0.2">
      <c r="B860" s="8" t="str">
        <f t="shared" si="13"/>
        <v/>
      </c>
    </row>
    <row r="861" spans="2:2" x14ac:dyDescent="0.2">
      <c r="B861" s="8" t="str">
        <f t="shared" si="13"/>
        <v/>
      </c>
    </row>
    <row r="862" spans="2:2" x14ac:dyDescent="0.2">
      <c r="B862" s="8" t="str">
        <f t="shared" si="13"/>
        <v/>
      </c>
    </row>
    <row r="863" spans="2:2" x14ac:dyDescent="0.2">
      <c r="B863" s="8" t="str">
        <f t="shared" si="13"/>
        <v/>
      </c>
    </row>
    <row r="864" spans="2:2" x14ac:dyDescent="0.2">
      <c r="B864" s="8" t="str">
        <f t="shared" si="13"/>
        <v/>
      </c>
    </row>
    <row r="865" spans="2:2" x14ac:dyDescent="0.2">
      <c r="B865" s="8" t="str">
        <f t="shared" si="13"/>
        <v/>
      </c>
    </row>
    <row r="866" spans="2:2" x14ac:dyDescent="0.2">
      <c r="B866" s="8" t="str">
        <f t="shared" si="13"/>
        <v/>
      </c>
    </row>
    <row r="867" spans="2:2" x14ac:dyDescent="0.2">
      <c r="B867" s="8" t="str">
        <f t="shared" si="13"/>
        <v/>
      </c>
    </row>
    <row r="868" spans="2:2" x14ac:dyDescent="0.2">
      <c r="B868" s="8" t="str">
        <f t="shared" si="13"/>
        <v/>
      </c>
    </row>
    <row r="869" spans="2:2" x14ac:dyDescent="0.2">
      <c r="B869" s="8" t="str">
        <f t="shared" si="13"/>
        <v/>
      </c>
    </row>
    <row r="870" spans="2:2" x14ac:dyDescent="0.2">
      <c r="B870" s="8" t="str">
        <f t="shared" si="13"/>
        <v/>
      </c>
    </row>
    <row r="871" spans="2:2" x14ac:dyDescent="0.2">
      <c r="B871" s="8" t="str">
        <f t="shared" si="13"/>
        <v/>
      </c>
    </row>
    <row r="872" spans="2:2" x14ac:dyDescent="0.2">
      <c r="B872" s="8" t="str">
        <f t="shared" si="13"/>
        <v/>
      </c>
    </row>
    <row r="873" spans="2:2" x14ac:dyDescent="0.2">
      <c r="B873" s="8" t="str">
        <f t="shared" si="13"/>
        <v/>
      </c>
    </row>
    <row r="874" spans="2:2" x14ac:dyDescent="0.2">
      <c r="B874" s="8" t="str">
        <f t="shared" si="13"/>
        <v/>
      </c>
    </row>
    <row r="875" spans="2:2" x14ac:dyDescent="0.2">
      <c r="B875" s="8" t="str">
        <f t="shared" si="13"/>
        <v/>
      </c>
    </row>
    <row r="876" spans="2:2" x14ac:dyDescent="0.2">
      <c r="B876" s="8" t="str">
        <f t="shared" si="13"/>
        <v/>
      </c>
    </row>
    <row r="877" spans="2:2" x14ac:dyDescent="0.2">
      <c r="B877" s="8" t="str">
        <f t="shared" si="13"/>
        <v/>
      </c>
    </row>
    <row r="878" spans="2:2" x14ac:dyDescent="0.2">
      <c r="B878" s="8" t="str">
        <f t="shared" si="13"/>
        <v/>
      </c>
    </row>
    <row r="879" spans="2:2" x14ac:dyDescent="0.2">
      <c r="B879" s="8" t="str">
        <f t="shared" si="13"/>
        <v/>
      </c>
    </row>
    <row r="880" spans="2:2" x14ac:dyDescent="0.2">
      <c r="B880" s="8" t="str">
        <f t="shared" si="13"/>
        <v/>
      </c>
    </row>
    <row r="881" spans="2:2" x14ac:dyDescent="0.2">
      <c r="B881" s="8" t="str">
        <f t="shared" si="13"/>
        <v/>
      </c>
    </row>
    <row r="882" spans="2:2" x14ac:dyDescent="0.2">
      <c r="B882" s="8" t="str">
        <f t="shared" si="13"/>
        <v/>
      </c>
    </row>
    <row r="883" spans="2:2" x14ac:dyDescent="0.2">
      <c r="B883" s="8" t="str">
        <f t="shared" si="13"/>
        <v/>
      </c>
    </row>
    <row r="884" spans="2:2" x14ac:dyDescent="0.2">
      <c r="B884" s="8" t="str">
        <f t="shared" si="13"/>
        <v/>
      </c>
    </row>
    <row r="885" spans="2:2" x14ac:dyDescent="0.2">
      <c r="B885" s="8" t="str">
        <f t="shared" si="13"/>
        <v/>
      </c>
    </row>
    <row r="886" spans="2:2" x14ac:dyDescent="0.2">
      <c r="B886" s="8" t="str">
        <f t="shared" si="13"/>
        <v/>
      </c>
    </row>
    <row r="887" spans="2:2" x14ac:dyDescent="0.2">
      <c r="B887" s="8" t="str">
        <f t="shared" si="13"/>
        <v/>
      </c>
    </row>
    <row r="888" spans="2:2" x14ac:dyDescent="0.2">
      <c r="B888" s="8" t="str">
        <f t="shared" si="13"/>
        <v/>
      </c>
    </row>
    <row r="889" spans="2:2" x14ac:dyDescent="0.2">
      <c r="B889" s="8" t="str">
        <f t="shared" si="13"/>
        <v/>
      </c>
    </row>
    <row r="890" spans="2:2" x14ac:dyDescent="0.2">
      <c r="B890" s="8" t="str">
        <f t="shared" si="13"/>
        <v/>
      </c>
    </row>
    <row r="891" spans="2:2" x14ac:dyDescent="0.2">
      <c r="B891" s="8" t="str">
        <f t="shared" si="13"/>
        <v/>
      </c>
    </row>
    <row r="892" spans="2:2" x14ac:dyDescent="0.2">
      <c r="B892" s="8" t="str">
        <f t="shared" si="13"/>
        <v/>
      </c>
    </row>
    <row r="893" spans="2:2" x14ac:dyDescent="0.2">
      <c r="B893" s="8" t="str">
        <f t="shared" si="13"/>
        <v/>
      </c>
    </row>
    <row r="894" spans="2:2" x14ac:dyDescent="0.2">
      <c r="B894" s="8" t="str">
        <f t="shared" si="13"/>
        <v/>
      </c>
    </row>
    <row r="895" spans="2:2" x14ac:dyDescent="0.2">
      <c r="B895" s="8" t="str">
        <f t="shared" si="13"/>
        <v/>
      </c>
    </row>
    <row r="896" spans="2:2" x14ac:dyDescent="0.2">
      <c r="B896" s="8" t="str">
        <f t="shared" si="13"/>
        <v/>
      </c>
    </row>
    <row r="897" spans="2:2" x14ac:dyDescent="0.2">
      <c r="B897" s="8" t="str">
        <f t="shared" si="13"/>
        <v/>
      </c>
    </row>
    <row r="898" spans="2:2" x14ac:dyDescent="0.2">
      <c r="B898" s="8" t="str">
        <f t="shared" ref="B898:B961" si="14">IF(A898=0,"","Hinge")</f>
        <v/>
      </c>
    </row>
    <row r="899" spans="2:2" x14ac:dyDescent="0.2">
      <c r="B899" s="8" t="str">
        <f t="shared" si="14"/>
        <v/>
      </c>
    </row>
    <row r="900" spans="2:2" x14ac:dyDescent="0.2">
      <c r="B900" s="8" t="str">
        <f t="shared" si="14"/>
        <v/>
      </c>
    </row>
    <row r="901" spans="2:2" x14ac:dyDescent="0.2">
      <c r="B901" s="8" t="str">
        <f t="shared" si="14"/>
        <v/>
      </c>
    </row>
    <row r="902" spans="2:2" x14ac:dyDescent="0.2">
      <c r="B902" s="8" t="str">
        <f t="shared" si="14"/>
        <v/>
      </c>
    </row>
    <row r="903" spans="2:2" x14ac:dyDescent="0.2">
      <c r="B903" s="8" t="str">
        <f t="shared" si="14"/>
        <v/>
      </c>
    </row>
    <row r="904" spans="2:2" x14ac:dyDescent="0.2">
      <c r="B904" s="8" t="str">
        <f t="shared" si="14"/>
        <v/>
      </c>
    </row>
    <row r="905" spans="2:2" x14ac:dyDescent="0.2">
      <c r="B905" s="8" t="str">
        <f t="shared" si="14"/>
        <v/>
      </c>
    </row>
    <row r="906" spans="2:2" x14ac:dyDescent="0.2">
      <c r="B906" s="8" t="str">
        <f t="shared" si="14"/>
        <v/>
      </c>
    </row>
    <row r="907" spans="2:2" x14ac:dyDescent="0.2">
      <c r="B907" s="8" t="str">
        <f t="shared" si="14"/>
        <v/>
      </c>
    </row>
    <row r="908" spans="2:2" x14ac:dyDescent="0.2">
      <c r="B908" s="8" t="str">
        <f t="shared" si="14"/>
        <v/>
      </c>
    </row>
    <row r="909" spans="2:2" x14ac:dyDescent="0.2">
      <c r="B909" s="8" t="str">
        <f t="shared" si="14"/>
        <v/>
      </c>
    </row>
    <row r="910" spans="2:2" x14ac:dyDescent="0.2">
      <c r="B910" s="8" t="str">
        <f t="shared" si="14"/>
        <v/>
      </c>
    </row>
    <row r="911" spans="2:2" x14ac:dyDescent="0.2">
      <c r="B911" s="8" t="str">
        <f t="shared" si="14"/>
        <v/>
      </c>
    </row>
    <row r="912" spans="2:2" x14ac:dyDescent="0.2">
      <c r="B912" s="8" t="str">
        <f t="shared" si="14"/>
        <v/>
      </c>
    </row>
    <row r="913" spans="2:2" x14ac:dyDescent="0.2">
      <c r="B913" s="8" t="str">
        <f t="shared" si="14"/>
        <v/>
      </c>
    </row>
    <row r="914" spans="2:2" x14ac:dyDescent="0.2">
      <c r="B914" s="8" t="str">
        <f t="shared" si="14"/>
        <v/>
      </c>
    </row>
    <row r="915" spans="2:2" x14ac:dyDescent="0.2">
      <c r="B915" s="8" t="str">
        <f t="shared" si="14"/>
        <v/>
      </c>
    </row>
    <row r="916" spans="2:2" x14ac:dyDescent="0.2">
      <c r="B916" s="8" t="str">
        <f t="shared" si="14"/>
        <v/>
      </c>
    </row>
    <row r="917" spans="2:2" x14ac:dyDescent="0.2">
      <c r="B917" s="8" t="str">
        <f t="shared" si="14"/>
        <v/>
      </c>
    </row>
    <row r="918" spans="2:2" x14ac:dyDescent="0.2">
      <c r="B918" s="8" t="str">
        <f t="shared" si="14"/>
        <v/>
      </c>
    </row>
    <row r="919" spans="2:2" x14ac:dyDescent="0.2">
      <c r="B919" s="8" t="str">
        <f t="shared" si="14"/>
        <v/>
      </c>
    </row>
    <row r="920" spans="2:2" x14ac:dyDescent="0.2">
      <c r="B920" s="8" t="str">
        <f t="shared" si="14"/>
        <v/>
      </c>
    </row>
    <row r="921" spans="2:2" x14ac:dyDescent="0.2">
      <c r="B921" s="8" t="str">
        <f t="shared" si="14"/>
        <v/>
      </c>
    </row>
    <row r="922" spans="2:2" x14ac:dyDescent="0.2">
      <c r="B922" s="8" t="str">
        <f t="shared" si="14"/>
        <v/>
      </c>
    </row>
    <row r="923" spans="2:2" x14ac:dyDescent="0.2">
      <c r="B923" s="8" t="str">
        <f t="shared" si="14"/>
        <v/>
      </c>
    </row>
    <row r="924" spans="2:2" x14ac:dyDescent="0.2">
      <c r="B924" s="8" t="str">
        <f t="shared" si="14"/>
        <v/>
      </c>
    </row>
    <row r="925" spans="2:2" x14ac:dyDescent="0.2">
      <c r="B925" s="8" t="str">
        <f t="shared" si="14"/>
        <v/>
      </c>
    </row>
    <row r="926" spans="2:2" x14ac:dyDescent="0.2">
      <c r="B926" s="8" t="str">
        <f t="shared" si="14"/>
        <v/>
      </c>
    </row>
    <row r="927" spans="2:2" x14ac:dyDescent="0.2">
      <c r="B927" s="8" t="str">
        <f t="shared" si="14"/>
        <v/>
      </c>
    </row>
    <row r="928" spans="2:2" x14ac:dyDescent="0.2">
      <c r="B928" s="8" t="str">
        <f t="shared" si="14"/>
        <v/>
      </c>
    </row>
    <row r="929" spans="2:2" x14ac:dyDescent="0.2">
      <c r="B929" s="8" t="str">
        <f t="shared" si="14"/>
        <v/>
      </c>
    </row>
    <row r="930" spans="2:2" x14ac:dyDescent="0.2">
      <c r="B930" s="8" t="str">
        <f t="shared" si="14"/>
        <v/>
      </c>
    </row>
    <row r="931" spans="2:2" x14ac:dyDescent="0.2">
      <c r="B931" s="8" t="str">
        <f t="shared" si="14"/>
        <v/>
      </c>
    </row>
    <row r="932" spans="2:2" x14ac:dyDescent="0.2">
      <c r="B932" s="8" t="str">
        <f t="shared" si="14"/>
        <v/>
      </c>
    </row>
    <row r="933" spans="2:2" x14ac:dyDescent="0.2">
      <c r="B933" s="8" t="str">
        <f t="shared" si="14"/>
        <v/>
      </c>
    </row>
    <row r="934" spans="2:2" x14ac:dyDescent="0.2">
      <c r="B934" s="8" t="str">
        <f t="shared" si="14"/>
        <v/>
      </c>
    </row>
    <row r="935" spans="2:2" x14ac:dyDescent="0.2">
      <c r="B935" s="8" t="str">
        <f t="shared" si="14"/>
        <v/>
      </c>
    </row>
    <row r="936" spans="2:2" x14ac:dyDescent="0.2">
      <c r="B936" s="8" t="str">
        <f t="shared" si="14"/>
        <v/>
      </c>
    </row>
    <row r="937" spans="2:2" x14ac:dyDescent="0.2">
      <c r="B937" s="8" t="str">
        <f t="shared" si="14"/>
        <v/>
      </c>
    </row>
    <row r="938" spans="2:2" x14ac:dyDescent="0.2">
      <c r="B938" s="8" t="str">
        <f t="shared" si="14"/>
        <v/>
      </c>
    </row>
    <row r="939" spans="2:2" x14ac:dyDescent="0.2">
      <c r="B939" s="8" t="str">
        <f t="shared" si="14"/>
        <v/>
      </c>
    </row>
    <row r="940" spans="2:2" x14ac:dyDescent="0.2">
      <c r="B940" s="8" t="str">
        <f t="shared" si="14"/>
        <v/>
      </c>
    </row>
    <row r="941" spans="2:2" x14ac:dyDescent="0.2">
      <c r="B941" s="8" t="str">
        <f t="shared" si="14"/>
        <v/>
      </c>
    </row>
    <row r="942" spans="2:2" x14ac:dyDescent="0.2">
      <c r="B942" s="8" t="str">
        <f t="shared" si="14"/>
        <v/>
      </c>
    </row>
    <row r="943" spans="2:2" x14ac:dyDescent="0.2">
      <c r="B943" s="8" t="str">
        <f t="shared" si="14"/>
        <v/>
      </c>
    </row>
    <row r="944" spans="2:2" x14ac:dyDescent="0.2">
      <c r="B944" s="8" t="str">
        <f t="shared" si="14"/>
        <v/>
      </c>
    </row>
    <row r="945" spans="2:2" x14ac:dyDescent="0.2">
      <c r="B945" s="8" t="str">
        <f t="shared" si="14"/>
        <v/>
      </c>
    </row>
    <row r="946" spans="2:2" x14ac:dyDescent="0.2">
      <c r="B946" s="8" t="str">
        <f t="shared" si="14"/>
        <v/>
      </c>
    </row>
    <row r="947" spans="2:2" x14ac:dyDescent="0.2">
      <c r="B947" s="8" t="str">
        <f t="shared" si="14"/>
        <v/>
      </c>
    </row>
    <row r="948" spans="2:2" x14ac:dyDescent="0.2">
      <c r="B948" s="8" t="str">
        <f t="shared" si="14"/>
        <v/>
      </c>
    </row>
    <row r="949" spans="2:2" x14ac:dyDescent="0.2">
      <c r="B949" s="8" t="str">
        <f t="shared" si="14"/>
        <v/>
      </c>
    </row>
    <row r="950" spans="2:2" x14ac:dyDescent="0.2">
      <c r="B950" s="8" t="str">
        <f t="shared" si="14"/>
        <v/>
      </c>
    </row>
    <row r="951" spans="2:2" x14ac:dyDescent="0.2">
      <c r="B951" s="8" t="str">
        <f t="shared" si="14"/>
        <v/>
      </c>
    </row>
    <row r="952" spans="2:2" x14ac:dyDescent="0.2">
      <c r="B952" s="8" t="str">
        <f t="shared" si="14"/>
        <v/>
      </c>
    </row>
    <row r="953" spans="2:2" x14ac:dyDescent="0.2">
      <c r="B953" s="8" t="str">
        <f t="shared" si="14"/>
        <v/>
      </c>
    </row>
    <row r="954" spans="2:2" x14ac:dyDescent="0.2">
      <c r="B954" s="8" t="str">
        <f t="shared" si="14"/>
        <v/>
      </c>
    </row>
    <row r="955" spans="2:2" x14ac:dyDescent="0.2">
      <c r="B955" s="8" t="str">
        <f t="shared" si="14"/>
        <v/>
      </c>
    </row>
    <row r="956" spans="2:2" x14ac:dyDescent="0.2">
      <c r="B956" s="8" t="str">
        <f t="shared" si="14"/>
        <v/>
      </c>
    </row>
    <row r="957" spans="2:2" x14ac:dyDescent="0.2">
      <c r="B957" s="8" t="str">
        <f t="shared" si="14"/>
        <v/>
      </c>
    </row>
    <row r="958" spans="2:2" x14ac:dyDescent="0.2">
      <c r="B958" s="8" t="str">
        <f t="shared" si="14"/>
        <v/>
      </c>
    </row>
    <row r="959" spans="2:2" x14ac:dyDescent="0.2">
      <c r="B959" s="8" t="str">
        <f t="shared" si="14"/>
        <v/>
      </c>
    </row>
    <row r="960" spans="2:2" x14ac:dyDescent="0.2">
      <c r="B960" s="8" t="str">
        <f t="shared" si="14"/>
        <v/>
      </c>
    </row>
    <row r="961" spans="2:2" x14ac:dyDescent="0.2">
      <c r="B961" s="8" t="str">
        <f t="shared" si="14"/>
        <v/>
      </c>
    </row>
    <row r="962" spans="2:2" x14ac:dyDescent="0.2">
      <c r="B962" s="8" t="str">
        <f t="shared" ref="B962:B1001" si="15">IF(A962=0,"","Hinge")</f>
        <v/>
      </c>
    </row>
    <row r="963" spans="2:2" x14ac:dyDescent="0.2">
      <c r="B963" s="8" t="str">
        <f t="shared" si="15"/>
        <v/>
      </c>
    </row>
    <row r="964" spans="2:2" x14ac:dyDescent="0.2">
      <c r="B964" s="8" t="str">
        <f t="shared" si="15"/>
        <v/>
      </c>
    </row>
    <row r="965" spans="2:2" x14ac:dyDescent="0.2">
      <c r="B965" s="8" t="str">
        <f t="shared" si="15"/>
        <v/>
      </c>
    </row>
    <row r="966" spans="2:2" x14ac:dyDescent="0.2">
      <c r="B966" s="8" t="str">
        <f t="shared" si="15"/>
        <v/>
      </c>
    </row>
    <row r="967" spans="2:2" x14ac:dyDescent="0.2">
      <c r="B967" s="8" t="str">
        <f t="shared" si="15"/>
        <v/>
      </c>
    </row>
    <row r="968" spans="2:2" x14ac:dyDescent="0.2">
      <c r="B968" s="8" t="str">
        <f t="shared" si="15"/>
        <v/>
      </c>
    </row>
    <row r="969" spans="2:2" x14ac:dyDescent="0.2">
      <c r="B969" s="8" t="str">
        <f t="shared" si="15"/>
        <v/>
      </c>
    </row>
    <row r="970" spans="2:2" x14ac:dyDescent="0.2">
      <c r="B970" s="8" t="str">
        <f t="shared" si="15"/>
        <v/>
      </c>
    </row>
    <row r="971" spans="2:2" x14ac:dyDescent="0.2">
      <c r="B971" s="8" t="str">
        <f t="shared" si="15"/>
        <v/>
      </c>
    </row>
    <row r="972" spans="2:2" x14ac:dyDescent="0.2">
      <c r="B972" s="8" t="str">
        <f t="shared" si="15"/>
        <v/>
      </c>
    </row>
    <row r="973" spans="2:2" x14ac:dyDescent="0.2">
      <c r="B973" s="8" t="str">
        <f t="shared" si="15"/>
        <v/>
      </c>
    </row>
    <row r="974" spans="2:2" x14ac:dyDescent="0.2">
      <c r="B974" s="8" t="str">
        <f t="shared" si="15"/>
        <v/>
      </c>
    </row>
    <row r="975" spans="2:2" x14ac:dyDescent="0.2">
      <c r="B975" s="8" t="str">
        <f t="shared" si="15"/>
        <v/>
      </c>
    </row>
    <row r="976" spans="2:2" x14ac:dyDescent="0.2">
      <c r="B976" s="8" t="str">
        <f t="shared" si="15"/>
        <v/>
      </c>
    </row>
    <row r="977" spans="2:2" x14ac:dyDescent="0.2">
      <c r="B977" s="8" t="str">
        <f t="shared" si="15"/>
        <v/>
      </c>
    </row>
    <row r="978" spans="2:2" x14ac:dyDescent="0.2">
      <c r="B978" s="8" t="str">
        <f t="shared" si="15"/>
        <v/>
      </c>
    </row>
    <row r="979" spans="2:2" x14ac:dyDescent="0.2">
      <c r="B979" s="8" t="str">
        <f t="shared" si="15"/>
        <v/>
      </c>
    </row>
    <row r="980" spans="2:2" x14ac:dyDescent="0.2">
      <c r="B980" s="8" t="str">
        <f t="shared" si="15"/>
        <v/>
      </c>
    </row>
    <row r="981" spans="2:2" x14ac:dyDescent="0.2">
      <c r="B981" s="8" t="str">
        <f t="shared" si="15"/>
        <v/>
      </c>
    </row>
    <row r="982" spans="2:2" x14ac:dyDescent="0.2">
      <c r="B982" s="8" t="str">
        <f t="shared" si="15"/>
        <v/>
      </c>
    </row>
    <row r="983" spans="2:2" x14ac:dyDescent="0.2">
      <c r="B983" s="8" t="str">
        <f t="shared" si="15"/>
        <v/>
      </c>
    </row>
    <row r="984" spans="2:2" x14ac:dyDescent="0.2">
      <c r="B984" s="8" t="str">
        <f t="shared" si="15"/>
        <v/>
      </c>
    </row>
    <row r="985" spans="2:2" x14ac:dyDescent="0.2">
      <c r="B985" s="8" t="str">
        <f t="shared" si="15"/>
        <v/>
      </c>
    </row>
    <row r="986" spans="2:2" x14ac:dyDescent="0.2">
      <c r="B986" s="8" t="str">
        <f t="shared" si="15"/>
        <v/>
      </c>
    </row>
    <row r="987" spans="2:2" x14ac:dyDescent="0.2">
      <c r="B987" s="8" t="str">
        <f t="shared" si="15"/>
        <v/>
      </c>
    </row>
    <row r="988" spans="2:2" x14ac:dyDescent="0.2">
      <c r="B988" s="8" t="str">
        <f t="shared" si="15"/>
        <v/>
      </c>
    </row>
    <row r="989" spans="2:2" x14ac:dyDescent="0.2">
      <c r="B989" s="8" t="str">
        <f t="shared" si="15"/>
        <v/>
      </c>
    </row>
    <row r="990" spans="2:2" x14ac:dyDescent="0.2">
      <c r="B990" s="8" t="str">
        <f t="shared" si="15"/>
        <v/>
      </c>
    </row>
    <row r="991" spans="2:2" x14ac:dyDescent="0.2">
      <c r="B991" s="8" t="str">
        <f t="shared" si="15"/>
        <v/>
      </c>
    </row>
    <row r="992" spans="2:2" x14ac:dyDescent="0.2">
      <c r="B992" s="8" t="str">
        <f t="shared" si="15"/>
        <v/>
      </c>
    </row>
    <row r="993" spans="2:2" x14ac:dyDescent="0.2">
      <c r="B993" s="8" t="str">
        <f t="shared" si="15"/>
        <v/>
      </c>
    </row>
    <row r="994" spans="2:2" x14ac:dyDescent="0.2">
      <c r="B994" s="8" t="str">
        <f t="shared" si="15"/>
        <v/>
      </c>
    </row>
    <row r="995" spans="2:2" x14ac:dyDescent="0.2">
      <c r="B995" s="8" t="str">
        <f t="shared" si="15"/>
        <v/>
      </c>
    </row>
    <row r="996" spans="2:2" x14ac:dyDescent="0.2">
      <c r="B996" s="8" t="str">
        <f t="shared" si="15"/>
        <v/>
      </c>
    </row>
    <row r="997" spans="2:2" x14ac:dyDescent="0.2">
      <c r="B997" s="8" t="str">
        <f t="shared" si="15"/>
        <v/>
      </c>
    </row>
    <row r="998" spans="2:2" x14ac:dyDescent="0.2">
      <c r="B998" s="8" t="str">
        <f t="shared" si="15"/>
        <v/>
      </c>
    </row>
    <row r="999" spans="2:2" x14ac:dyDescent="0.2">
      <c r="B999" s="8" t="str">
        <f t="shared" si="15"/>
        <v/>
      </c>
    </row>
    <row r="1000" spans="2:2" x14ac:dyDescent="0.2">
      <c r="B1000" s="8" t="str">
        <f t="shared" si="15"/>
        <v/>
      </c>
    </row>
    <row r="1001" spans="2:2" x14ac:dyDescent="0.2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baseColWidth="10" defaultColWidth="10.83203125" defaultRowHeight="16" x14ac:dyDescent="0.2"/>
  <cols>
    <col min="1" max="5" width="20.83203125" style="8" customWidth="1"/>
    <col min="6" max="13" width="10.83203125" style="12" customWidth="1"/>
    <col min="14" max="16384" width="10.83203125" style="11"/>
  </cols>
  <sheetData>
    <row r="1" spans="1:13" s="9" customFormat="1" x14ac:dyDescent="0.2">
      <c r="A1" s="9" t="s">
        <v>74</v>
      </c>
      <c r="B1" s="9" t="s">
        <v>73</v>
      </c>
      <c r="C1" s="9" t="s">
        <v>19</v>
      </c>
      <c r="D1" s="9" t="s">
        <v>81</v>
      </c>
      <c r="E1" s="9" t="s">
        <v>117</v>
      </c>
      <c r="F1" s="9" t="s">
        <v>82</v>
      </c>
      <c r="G1" s="9" t="s">
        <v>29</v>
      </c>
      <c r="H1" s="9" t="s">
        <v>83</v>
      </c>
      <c r="I1" s="9" t="s">
        <v>84</v>
      </c>
      <c r="J1" s="9" t="s">
        <v>85</v>
      </c>
      <c r="K1" s="9" t="s">
        <v>86</v>
      </c>
      <c r="L1" s="9" t="s">
        <v>87</v>
      </c>
      <c r="M1" s="9" t="s">
        <v>88</v>
      </c>
    </row>
    <row r="2" spans="1:13" x14ac:dyDescent="0.2">
      <c r="A2" s="8" t="s">
        <v>89</v>
      </c>
      <c r="B2" s="8" t="s">
        <v>76</v>
      </c>
      <c r="C2" s="8" t="s">
        <v>17</v>
      </c>
      <c r="D2" s="8" t="str">
        <f t="shared" ref="D2:D65" si="0">IF(A2=0,"","Elastic")</f>
        <v>Elastic</v>
      </c>
      <c r="E2" s="8" t="s">
        <v>118</v>
      </c>
      <c r="F2" s="12">
        <v>0.7</v>
      </c>
      <c r="G2" s="12">
        <v>0.7</v>
      </c>
      <c r="H2" s="12">
        <v>1</v>
      </c>
      <c r="I2" s="12">
        <v>1</v>
      </c>
      <c r="J2" s="12">
        <v>1</v>
      </c>
      <c r="K2" s="12">
        <v>0.7</v>
      </c>
      <c r="L2" s="12">
        <v>0.7</v>
      </c>
      <c r="M2" s="12">
        <v>1</v>
      </c>
    </row>
    <row r="3" spans="1:13" x14ac:dyDescent="0.2">
      <c r="A3" s="8" t="s">
        <v>90</v>
      </c>
      <c r="B3" s="8" t="s">
        <v>76</v>
      </c>
      <c r="C3" s="8" t="s">
        <v>17</v>
      </c>
      <c r="D3" s="8" t="str">
        <f t="shared" si="0"/>
        <v>Elastic</v>
      </c>
      <c r="E3" s="8" t="s">
        <v>119</v>
      </c>
      <c r="F3" s="12">
        <v>0.6</v>
      </c>
      <c r="G3" s="12">
        <v>0.3</v>
      </c>
      <c r="H3" s="12">
        <v>1</v>
      </c>
      <c r="I3" s="12">
        <v>1</v>
      </c>
      <c r="J3" s="12">
        <v>1</v>
      </c>
      <c r="K3" s="12">
        <v>0.35</v>
      </c>
      <c r="L3" s="12">
        <v>0.35</v>
      </c>
      <c r="M3" s="12">
        <v>1</v>
      </c>
    </row>
    <row r="4" spans="1:13" x14ac:dyDescent="0.2">
      <c r="D4" s="8" t="str">
        <f t="shared" si="0"/>
        <v/>
      </c>
      <c r="E4" s="8" t="str">
        <f t="shared" ref="E4:E67" si="1">IF(B4=0,"","Elastic")</f>
        <v/>
      </c>
    </row>
    <row r="5" spans="1:13" x14ac:dyDescent="0.2">
      <c r="D5" s="8" t="str">
        <f t="shared" si="0"/>
        <v/>
      </c>
      <c r="E5" s="8" t="str">
        <f t="shared" si="1"/>
        <v/>
      </c>
    </row>
    <row r="6" spans="1:13" x14ac:dyDescent="0.2">
      <c r="D6" s="8" t="str">
        <f t="shared" si="0"/>
        <v/>
      </c>
      <c r="E6" s="8" t="str">
        <f t="shared" si="1"/>
        <v/>
      </c>
    </row>
    <row r="7" spans="1:13" x14ac:dyDescent="0.2">
      <c r="D7" s="8" t="str">
        <f t="shared" si="0"/>
        <v/>
      </c>
      <c r="E7" s="8" t="str">
        <f t="shared" si="1"/>
        <v/>
      </c>
    </row>
    <row r="8" spans="1:13" x14ac:dyDescent="0.2">
      <c r="D8" s="8" t="str">
        <f t="shared" si="0"/>
        <v/>
      </c>
      <c r="E8" s="8" t="str">
        <f t="shared" si="1"/>
        <v/>
      </c>
    </row>
    <row r="9" spans="1:13" x14ac:dyDescent="0.2">
      <c r="D9" s="8" t="str">
        <f t="shared" si="0"/>
        <v/>
      </c>
      <c r="E9" s="8" t="str">
        <f t="shared" si="1"/>
        <v/>
      </c>
    </row>
    <row r="10" spans="1:13" x14ac:dyDescent="0.2">
      <c r="D10" s="8" t="str">
        <f t="shared" si="0"/>
        <v/>
      </c>
      <c r="E10" s="8" t="str">
        <f t="shared" si="1"/>
        <v/>
      </c>
    </row>
    <row r="11" spans="1:13" x14ac:dyDescent="0.2">
      <c r="D11" s="8" t="str">
        <f t="shared" si="0"/>
        <v/>
      </c>
      <c r="E11" s="8" t="str">
        <f t="shared" si="1"/>
        <v/>
      </c>
    </row>
    <row r="12" spans="1:13" x14ac:dyDescent="0.2">
      <c r="D12" s="8" t="str">
        <f t="shared" si="0"/>
        <v/>
      </c>
      <c r="E12" s="8" t="str">
        <f t="shared" si="1"/>
        <v/>
      </c>
    </row>
    <row r="13" spans="1:13" x14ac:dyDescent="0.2">
      <c r="D13" s="8" t="str">
        <f t="shared" si="0"/>
        <v/>
      </c>
      <c r="E13" s="8" t="str">
        <f t="shared" si="1"/>
        <v/>
      </c>
    </row>
    <row r="14" spans="1:13" x14ac:dyDescent="0.2">
      <c r="D14" s="8" t="str">
        <f t="shared" si="0"/>
        <v/>
      </c>
      <c r="E14" s="8" t="str">
        <f t="shared" si="1"/>
        <v/>
      </c>
    </row>
    <row r="15" spans="1:13" x14ac:dyDescent="0.2">
      <c r="D15" s="8" t="str">
        <f t="shared" si="0"/>
        <v/>
      </c>
      <c r="E15" s="8" t="str">
        <f t="shared" si="1"/>
        <v/>
      </c>
    </row>
    <row r="16" spans="1:13" x14ac:dyDescent="0.2">
      <c r="D16" s="8" t="str">
        <f t="shared" si="0"/>
        <v/>
      </c>
      <c r="E16" s="8" t="str">
        <f t="shared" si="1"/>
        <v/>
      </c>
    </row>
    <row r="17" spans="4:5" x14ac:dyDescent="0.2">
      <c r="D17" s="8" t="str">
        <f t="shared" si="0"/>
        <v/>
      </c>
      <c r="E17" s="8" t="str">
        <f t="shared" si="1"/>
        <v/>
      </c>
    </row>
    <row r="18" spans="4:5" x14ac:dyDescent="0.2">
      <c r="D18" s="8" t="str">
        <f t="shared" si="0"/>
        <v/>
      </c>
      <c r="E18" s="8" t="str">
        <f t="shared" si="1"/>
        <v/>
      </c>
    </row>
    <row r="19" spans="4:5" x14ac:dyDescent="0.2">
      <c r="D19" s="8" t="str">
        <f t="shared" si="0"/>
        <v/>
      </c>
      <c r="E19" s="8" t="str">
        <f t="shared" si="1"/>
        <v/>
      </c>
    </row>
    <row r="20" spans="4:5" x14ac:dyDescent="0.2">
      <c r="D20" s="8" t="str">
        <f t="shared" si="0"/>
        <v/>
      </c>
      <c r="E20" s="8" t="str">
        <f t="shared" si="1"/>
        <v/>
      </c>
    </row>
    <row r="21" spans="4:5" x14ac:dyDescent="0.2">
      <c r="D21" s="8" t="str">
        <f t="shared" si="0"/>
        <v/>
      </c>
      <c r="E21" s="8" t="str">
        <f t="shared" si="1"/>
        <v/>
      </c>
    </row>
    <row r="22" spans="4:5" x14ac:dyDescent="0.2">
      <c r="D22" s="8" t="str">
        <f t="shared" si="0"/>
        <v/>
      </c>
      <c r="E22" s="8" t="str">
        <f t="shared" si="1"/>
        <v/>
      </c>
    </row>
    <row r="23" spans="4:5" x14ac:dyDescent="0.2">
      <c r="D23" s="8" t="str">
        <f t="shared" si="0"/>
        <v/>
      </c>
      <c r="E23" s="8" t="str">
        <f t="shared" si="1"/>
        <v/>
      </c>
    </row>
    <row r="24" spans="4:5" x14ac:dyDescent="0.2">
      <c r="D24" s="8" t="str">
        <f t="shared" si="0"/>
        <v/>
      </c>
      <c r="E24" s="8" t="str">
        <f t="shared" si="1"/>
        <v/>
      </c>
    </row>
    <row r="25" spans="4:5" x14ac:dyDescent="0.2">
      <c r="D25" s="8" t="str">
        <f t="shared" si="0"/>
        <v/>
      </c>
      <c r="E25" s="8" t="str">
        <f t="shared" si="1"/>
        <v/>
      </c>
    </row>
    <row r="26" spans="4:5" x14ac:dyDescent="0.2">
      <c r="D26" s="8" t="str">
        <f t="shared" si="0"/>
        <v/>
      </c>
      <c r="E26" s="8" t="str">
        <f t="shared" si="1"/>
        <v/>
      </c>
    </row>
    <row r="27" spans="4:5" x14ac:dyDescent="0.2">
      <c r="D27" s="8" t="str">
        <f t="shared" si="0"/>
        <v/>
      </c>
      <c r="E27" s="8" t="str">
        <f t="shared" si="1"/>
        <v/>
      </c>
    </row>
    <row r="28" spans="4:5" x14ac:dyDescent="0.2">
      <c r="D28" s="8" t="str">
        <f t="shared" si="0"/>
        <v/>
      </c>
      <c r="E28" s="8" t="str">
        <f t="shared" si="1"/>
        <v/>
      </c>
    </row>
    <row r="29" spans="4:5" x14ac:dyDescent="0.2">
      <c r="D29" s="8" t="str">
        <f t="shared" si="0"/>
        <v/>
      </c>
      <c r="E29" s="8" t="str">
        <f t="shared" si="1"/>
        <v/>
      </c>
    </row>
    <row r="30" spans="4:5" x14ac:dyDescent="0.2">
      <c r="D30" s="8" t="str">
        <f t="shared" si="0"/>
        <v/>
      </c>
      <c r="E30" s="8" t="str">
        <f t="shared" si="1"/>
        <v/>
      </c>
    </row>
    <row r="31" spans="4:5" x14ac:dyDescent="0.2">
      <c r="D31" s="8" t="str">
        <f t="shared" si="0"/>
        <v/>
      </c>
      <c r="E31" s="8" t="str">
        <f t="shared" si="1"/>
        <v/>
      </c>
    </row>
    <row r="32" spans="4:5" x14ac:dyDescent="0.2">
      <c r="D32" s="8" t="str">
        <f t="shared" si="0"/>
        <v/>
      </c>
      <c r="E32" s="8" t="str">
        <f t="shared" si="1"/>
        <v/>
      </c>
    </row>
    <row r="33" spans="4:5" x14ac:dyDescent="0.2">
      <c r="D33" s="8" t="str">
        <f t="shared" si="0"/>
        <v/>
      </c>
      <c r="E33" s="8" t="str">
        <f t="shared" si="1"/>
        <v/>
      </c>
    </row>
    <row r="34" spans="4:5" x14ac:dyDescent="0.2">
      <c r="D34" s="8" t="str">
        <f t="shared" si="0"/>
        <v/>
      </c>
      <c r="E34" s="8" t="str">
        <f t="shared" si="1"/>
        <v/>
      </c>
    </row>
    <row r="35" spans="4:5" x14ac:dyDescent="0.2">
      <c r="D35" s="8" t="str">
        <f t="shared" si="0"/>
        <v/>
      </c>
      <c r="E35" s="8" t="str">
        <f t="shared" si="1"/>
        <v/>
      </c>
    </row>
    <row r="36" spans="4:5" x14ac:dyDescent="0.2">
      <c r="D36" s="8" t="str">
        <f t="shared" si="0"/>
        <v/>
      </c>
      <c r="E36" s="8" t="str">
        <f t="shared" si="1"/>
        <v/>
      </c>
    </row>
    <row r="37" spans="4:5" x14ac:dyDescent="0.2">
      <c r="D37" s="8" t="str">
        <f t="shared" si="0"/>
        <v/>
      </c>
      <c r="E37" s="8" t="str">
        <f t="shared" si="1"/>
        <v/>
      </c>
    </row>
    <row r="38" spans="4:5" x14ac:dyDescent="0.2">
      <c r="D38" s="8" t="str">
        <f t="shared" si="0"/>
        <v/>
      </c>
      <c r="E38" s="8" t="str">
        <f t="shared" si="1"/>
        <v/>
      </c>
    </row>
    <row r="39" spans="4:5" x14ac:dyDescent="0.2">
      <c r="D39" s="8" t="str">
        <f t="shared" si="0"/>
        <v/>
      </c>
      <c r="E39" s="8" t="str">
        <f t="shared" si="1"/>
        <v/>
      </c>
    </row>
    <row r="40" spans="4:5" x14ac:dyDescent="0.2">
      <c r="D40" s="8" t="str">
        <f t="shared" si="0"/>
        <v/>
      </c>
      <c r="E40" s="8" t="str">
        <f t="shared" si="1"/>
        <v/>
      </c>
    </row>
    <row r="41" spans="4:5" x14ac:dyDescent="0.2">
      <c r="D41" s="8" t="str">
        <f t="shared" si="0"/>
        <v/>
      </c>
      <c r="E41" s="8" t="str">
        <f t="shared" si="1"/>
        <v/>
      </c>
    </row>
    <row r="42" spans="4:5" x14ac:dyDescent="0.2">
      <c r="D42" s="8" t="str">
        <f t="shared" si="0"/>
        <v/>
      </c>
      <c r="E42" s="8" t="str">
        <f t="shared" si="1"/>
        <v/>
      </c>
    </row>
    <row r="43" spans="4:5" x14ac:dyDescent="0.2">
      <c r="D43" s="8" t="str">
        <f t="shared" si="0"/>
        <v/>
      </c>
      <c r="E43" s="8" t="str">
        <f t="shared" si="1"/>
        <v/>
      </c>
    </row>
    <row r="44" spans="4:5" x14ac:dyDescent="0.2">
      <c r="D44" s="8" t="str">
        <f t="shared" si="0"/>
        <v/>
      </c>
      <c r="E44" s="8" t="str">
        <f t="shared" si="1"/>
        <v/>
      </c>
    </row>
    <row r="45" spans="4:5" x14ac:dyDescent="0.2">
      <c r="D45" s="8" t="str">
        <f t="shared" si="0"/>
        <v/>
      </c>
      <c r="E45" s="8" t="str">
        <f t="shared" si="1"/>
        <v/>
      </c>
    </row>
    <row r="46" spans="4:5" x14ac:dyDescent="0.2">
      <c r="D46" s="8" t="str">
        <f t="shared" si="0"/>
        <v/>
      </c>
      <c r="E46" s="8" t="str">
        <f t="shared" si="1"/>
        <v/>
      </c>
    </row>
    <row r="47" spans="4:5" x14ac:dyDescent="0.2">
      <c r="D47" s="8" t="str">
        <f t="shared" si="0"/>
        <v/>
      </c>
      <c r="E47" s="8" t="str">
        <f t="shared" si="1"/>
        <v/>
      </c>
    </row>
    <row r="48" spans="4:5" x14ac:dyDescent="0.2">
      <c r="D48" s="8" t="str">
        <f t="shared" si="0"/>
        <v/>
      </c>
      <c r="E48" s="8" t="str">
        <f t="shared" si="1"/>
        <v/>
      </c>
    </row>
    <row r="49" spans="4:5" x14ac:dyDescent="0.2">
      <c r="D49" s="8" t="str">
        <f t="shared" si="0"/>
        <v/>
      </c>
      <c r="E49" s="8" t="str">
        <f t="shared" si="1"/>
        <v/>
      </c>
    </row>
    <row r="50" spans="4:5" x14ac:dyDescent="0.2">
      <c r="D50" s="8" t="str">
        <f t="shared" si="0"/>
        <v/>
      </c>
      <c r="E50" s="8" t="str">
        <f t="shared" si="1"/>
        <v/>
      </c>
    </row>
    <row r="51" spans="4:5" x14ac:dyDescent="0.2">
      <c r="D51" s="8" t="str">
        <f t="shared" si="0"/>
        <v/>
      </c>
      <c r="E51" s="8" t="str">
        <f t="shared" si="1"/>
        <v/>
      </c>
    </row>
    <row r="52" spans="4:5" x14ac:dyDescent="0.2">
      <c r="D52" s="8" t="str">
        <f t="shared" si="0"/>
        <v/>
      </c>
      <c r="E52" s="8" t="str">
        <f t="shared" si="1"/>
        <v/>
      </c>
    </row>
    <row r="53" spans="4:5" x14ac:dyDescent="0.2">
      <c r="D53" s="8" t="str">
        <f t="shared" si="0"/>
        <v/>
      </c>
      <c r="E53" s="8" t="str">
        <f t="shared" si="1"/>
        <v/>
      </c>
    </row>
    <row r="54" spans="4:5" x14ac:dyDescent="0.2">
      <c r="D54" s="8" t="str">
        <f t="shared" si="0"/>
        <v/>
      </c>
      <c r="E54" s="8" t="str">
        <f t="shared" si="1"/>
        <v/>
      </c>
    </row>
    <row r="55" spans="4:5" x14ac:dyDescent="0.2">
      <c r="D55" s="8" t="str">
        <f t="shared" si="0"/>
        <v/>
      </c>
      <c r="E55" s="8" t="str">
        <f t="shared" si="1"/>
        <v/>
      </c>
    </row>
    <row r="56" spans="4:5" x14ac:dyDescent="0.2">
      <c r="D56" s="8" t="str">
        <f t="shared" si="0"/>
        <v/>
      </c>
      <c r="E56" s="8" t="str">
        <f t="shared" si="1"/>
        <v/>
      </c>
    </row>
    <row r="57" spans="4:5" x14ac:dyDescent="0.2">
      <c r="D57" s="8" t="str">
        <f t="shared" si="0"/>
        <v/>
      </c>
      <c r="E57" s="8" t="str">
        <f t="shared" si="1"/>
        <v/>
      </c>
    </row>
    <row r="58" spans="4:5" x14ac:dyDescent="0.2">
      <c r="D58" s="8" t="str">
        <f t="shared" si="0"/>
        <v/>
      </c>
      <c r="E58" s="8" t="str">
        <f t="shared" si="1"/>
        <v/>
      </c>
    </row>
    <row r="59" spans="4:5" x14ac:dyDescent="0.2">
      <c r="D59" s="8" t="str">
        <f t="shared" si="0"/>
        <v/>
      </c>
      <c r="E59" s="8" t="str">
        <f t="shared" si="1"/>
        <v/>
      </c>
    </row>
    <row r="60" spans="4:5" x14ac:dyDescent="0.2">
      <c r="D60" s="8" t="str">
        <f t="shared" si="0"/>
        <v/>
      </c>
      <c r="E60" s="8" t="str">
        <f t="shared" si="1"/>
        <v/>
      </c>
    </row>
    <row r="61" spans="4:5" x14ac:dyDescent="0.2">
      <c r="D61" s="8" t="str">
        <f t="shared" si="0"/>
        <v/>
      </c>
      <c r="E61" s="8" t="str">
        <f t="shared" si="1"/>
        <v/>
      </c>
    </row>
    <row r="62" spans="4:5" x14ac:dyDescent="0.2">
      <c r="D62" s="8" t="str">
        <f t="shared" si="0"/>
        <v/>
      </c>
      <c r="E62" s="8" t="str">
        <f t="shared" si="1"/>
        <v/>
      </c>
    </row>
    <row r="63" spans="4:5" x14ac:dyDescent="0.2">
      <c r="D63" s="8" t="str">
        <f t="shared" si="0"/>
        <v/>
      </c>
      <c r="E63" s="8" t="str">
        <f t="shared" si="1"/>
        <v/>
      </c>
    </row>
    <row r="64" spans="4:5" x14ac:dyDescent="0.2">
      <c r="D64" s="8" t="str">
        <f t="shared" si="0"/>
        <v/>
      </c>
      <c r="E64" s="8" t="str">
        <f t="shared" si="1"/>
        <v/>
      </c>
    </row>
    <row r="65" spans="4:5" x14ac:dyDescent="0.2">
      <c r="D65" s="8" t="str">
        <f t="shared" si="0"/>
        <v/>
      </c>
      <c r="E65" s="8" t="str">
        <f t="shared" si="1"/>
        <v/>
      </c>
    </row>
    <row r="66" spans="4:5" x14ac:dyDescent="0.2">
      <c r="D66" s="8" t="str">
        <f t="shared" ref="D66:D129" si="2">IF(A66=0,"","Elastic")</f>
        <v/>
      </c>
      <c r="E66" s="8" t="str">
        <f t="shared" si="1"/>
        <v/>
      </c>
    </row>
    <row r="67" spans="4:5" x14ac:dyDescent="0.2">
      <c r="D67" s="8" t="str">
        <f t="shared" si="2"/>
        <v/>
      </c>
      <c r="E67" s="8" t="str">
        <f t="shared" si="1"/>
        <v/>
      </c>
    </row>
    <row r="68" spans="4:5" x14ac:dyDescent="0.2">
      <c r="D68" s="8" t="str">
        <f t="shared" si="2"/>
        <v/>
      </c>
      <c r="E68" s="8" t="str">
        <f t="shared" ref="E68:E131" si="3">IF(B68=0,"","Elastic")</f>
        <v/>
      </c>
    </row>
    <row r="69" spans="4:5" x14ac:dyDescent="0.2">
      <c r="D69" s="8" t="str">
        <f t="shared" si="2"/>
        <v/>
      </c>
      <c r="E69" s="8" t="str">
        <f t="shared" si="3"/>
        <v/>
      </c>
    </row>
    <row r="70" spans="4:5" x14ac:dyDescent="0.2">
      <c r="D70" s="8" t="str">
        <f t="shared" si="2"/>
        <v/>
      </c>
      <c r="E70" s="8" t="str">
        <f t="shared" si="3"/>
        <v/>
      </c>
    </row>
    <row r="71" spans="4:5" x14ac:dyDescent="0.2">
      <c r="D71" s="8" t="str">
        <f t="shared" si="2"/>
        <v/>
      </c>
      <c r="E71" s="8" t="str">
        <f t="shared" si="3"/>
        <v/>
      </c>
    </row>
    <row r="72" spans="4:5" x14ac:dyDescent="0.2">
      <c r="D72" s="8" t="str">
        <f t="shared" si="2"/>
        <v/>
      </c>
      <c r="E72" s="8" t="str">
        <f t="shared" si="3"/>
        <v/>
      </c>
    </row>
    <row r="73" spans="4:5" x14ac:dyDescent="0.2">
      <c r="D73" s="8" t="str">
        <f t="shared" si="2"/>
        <v/>
      </c>
      <c r="E73" s="8" t="str">
        <f t="shared" si="3"/>
        <v/>
      </c>
    </row>
    <row r="74" spans="4:5" x14ac:dyDescent="0.2">
      <c r="D74" s="8" t="str">
        <f t="shared" si="2"/>
        <v/>
      </c>
      <c r="E74" s="8" t="str">
        <f t="shared" si="3"/>
        <v/>
      </c>
    </row>
    <row r="75" spans="4:5" x14ac:dyDescent="0.2">
      <c r="D75" s="8" t="str">
        <f t="shared" si="2"/>
        <v/>
      </c>
      <c r="E75" s="8" t="str">
        <f t="shared" si="3"/>
        <v/>
      </c>
    </row>
    <row r="76" spans="4:5" x14ac:dyDescent="0.2">
      <c r="D76" s="8" t="str">
        <f t="shared" si="2"/>
        <v/>
      </c>
      <c r="E76" s="8" t="str">
        <f t="shared" si="3"/>
        <v/>
      </c>
    </row>
    <row r="77" spans="4:5" x14ac:dyDescent="0.2">
      <c r="D77" s="8" t="str">
        <f t="shared" si="2"/>
        <v/>
      </c>
      <c r="E77" s="8" t="str">
        <f t="shared" si="3"/>
        <v/>
      </c>
    </row>
    <row r="78" spans="4:5" x14ac:dyDescent="0.2">
      <c r="D78" s="8" t="str">
        <f t="shared" si="2"/>
        <v/>
      </c>
      <c r="E78" s="8" t="str">
        <f t="shared" si="3"/>
        <v/>
      </c>
    </row>
    <row r="79" spans="4:5" x14ac:dyDescent="0.2">
      <c r="D79" s="8" t="str">
        <f t="shared" si="2"/>
        <v/>
      </c>
      <c r="E79" s="8" t="str">
        <f t="shared" si="3"/>
        <v/>
      </c>
    </row>
    <row r="80" spans="4:5" x14ac:dyDescent="0.2">
      <c r="D80" s="8" t="str">
        <f t="shared" si="2"/>
        <v/>
      </c>
      <c r="E80" s="8" t="str">
        <f t="shared" si="3"/>
        <v/>
      </c>
    </row>
    <row r="81" spans="4:5" x14ac:dyDescent="0.2">
      <c r="D81" s="8" t="str">
        <f t="shared" si="2"/>
        <v/>
      </c>
      <c r="E81" s="8" t="str">
        <f t="shared" si="3"/>
        <v/>
      </c>
    </row>
    <row r="82" spans="4:5" x14ac:dyDescent="0.2">
      <c r="D82" s="8" t="str">
        <f t="shared" si="2"/>
        <v/>
      </c>
      <c r="E82" s="8" t="str">
        <f t="shared" si="3"/>
        <v/>
      </c>
    </row>
    <row r="83" spans="4:5" x14ac:dyDescent="0.2">
      <c r="D83" s="8" t="str">
        <f t="shared" si="2"/>
        <v/>
      </c>
      <c r="E83" s="8" t="str">
        <f t="shared" si="3"/>
        <v/>
      </c>
    </row>
    <row r="84" spans="4:5" x14ac:dyDescent="0.2">
      <c r="D84" s="8" t="str">
        <f t="shared" si="2"/>
        <v/>
      </c>
      <c r="E84" s="8" t="str">
        <f t="shared" si="3"/>
        <v/>
      </c>
    </row>
    <row r="85" spans="4:5" x14ac:dyDescent="0.2">
      <c r="D85" s="8" t="str">
        <f t="shared" si="2"/>
        <v/>
      </c>
      <c r="E85" s="8" t="str">
        <f t="shared" si="3"/>
        <v/>
      </c>
    </row>
    <row r="86" spans="4:5" x14ac:dyDescent="0.2">
      <c r="D86" s="8" t="str">
        <f t="shared" si="2"/>
        <v/>
      </c>
      <c r="E86" s="8" t="str">
        <f t="shared" si="3"/>
        <v/>
      </c>
    </row>
    <row r="87" spans="4:5" x14ac:dyDescent="0.2">
      <c r="D87" s="8" t="str">
        <f t="shared" si="2"/>
        <v/>
      </c>
      <c r="E87" s="8" t="str">
        <f t="shared" si="3"/>
        <v/>
      </c>
    </row>
    <row r="88" spans="4:5" x14ac:dyDescent="0.2">
      <c r="D88" s="8" t="str">
        <f t="shared" si="2"/>
        <v/>
      </c>
      <c r="E88" s="8" t="str">
        <f t="shared" si="3"/>
        <v/>
      </c>
    </row>
    <row r="89" spans="4:5" x14ac:dyDescent="0.2">
      <c r="D89" s="8" t="str">
        <f t="shared" si="2"/>
        <v/>
      </c>
      <c r="E89" s="8" t="str">
        <f t="shared" si="3"/>
        <v/>
      </c>
    </row>
    <row r="90" spans="4:5" x14ac:dyDescent="0.2">
      <c r="D90" s="8" t="str">
        <f t="shared" si="2"/>
        <v/>
      </c>
      <c r="E90" s="8" t="str">
        <f t="shared" si="3"/>
        <v/>
      </c>
    </row>
    <row r="91" spans="4:5" x14ac:dyDescent="0.2">
      <c r="D91" s="8" t="str">
        <f t="shared" si="2"/>
        <v/>
      </c>
      <c r="E91" s="8" t="str">
        <f t="shared" si="3"/>
        <v/>
      </c>
    </row>
    <row r="92" spans="4:5" x14ac:dyDescent="0.2">
      <c r="D92" s="8" t="str">
        <f t="shared" si="2"/>
        <v/>
      </c>
      <c r="E92" s="8" t="str">
        <f t="shared" si="3"/>
        <v/>
      </c>
    </row>
    <row r="93" spans="4:5" x14ac:dyDescent="0.2">
      <c r="D93" s="8" t="str">
        <f t="shared" si="2"/>
        <v/>
      </c>
      <c r="E93" s="8" t="str">
        <f t="shared" si="3"/>
        <v/>
      </c>
    </row>
    <row r="94" spans="4:5" x14ac:dyDescent="0.2">
      <c r="D94" s="8" t="str">
        <f t="shared" si="2"/>
        <v/>
      </c>
      <c r="E94" s="8" t="str">
        <f t="shared" si="3"/>
        <v/>
      </c>
    </row>
    <row r="95" spans="4:5" x14ac:dyDescent="0.2">
      <c r="D95" s="8" t="str">
        <f t="shared" si="2"/>
        <v/>
      </c>
      <c r="E95" s="8" t="str">
        <f t="shared" si="3"/>
        <v/>
      </c>
    </row>
    <row r="96" spans="4:5" x14ac:dyDescent="0.2">
      <c r="D96" s="8" t="str">
        <f t="shared" si="2"/>
        <v/>
      </c>
      <c r="E96" s="8" t="str">
        <f t="shared" si="3"/>
        <v/>
      </c>
    </row>
    <row r="97" spans="4:5" x14ac:dyDescent="0.2">
      <c r="D97" s="8" t="str">
        <f t="shared" si="2"/>
        <v/>
      </c>
      <c r="E97" s="8" t="str">
        <f t="shared" si="3"/>
        <v/>
      </c>
    </row>
    <row r="98" spans="4:5" x14ac:dyDescent="0.2">
      <c r="D98" s="8" t="str">
        <f t="shared" si="2"/>
        <v/>
      </c>
      <c r="E98" s="8" t="str">
        <f t="shared" si="3"/>
        <v/>
      </c>
    </row>
    <row r="99" spans="4:5" x14ac:dyDescent="0.2">
      <c r="D99" s="8" t="str">
        <f t="shared" si="2"/>
        <v/>
      </c>
      <c r="E99" s="8" t="str">
        <f t="shared" si="3"/>
        <v/>
      </c>
    </row>
    <row r="100" spans="4:5" x14ac:dyDescent="0.2">
      <c r="D100" s="8" t="str">
        <f t="shared" si="2"/>
        <v/>
      </c>
      <c r="E100" s="8" t="str">
        <f t="shared" si="3"/>
        <v/>
      </c>
    </row>
    <row r="101" spans="4:5" x14ac:dyDescent="0.2">
      <c r="D101" s="8" t="str">
        <f t="shared" si="2"/>
        <v/>
      </c>
      <c r="E101" s="8" t="str">
        <f t="shared" si="3"/>
        <v/>
      </c>
    </row>
    <row r="102" spans="4:5" x14ac:dyDescent="0.2">
      <c r="D102" s="8" t="str">
        <f t="shared" si="2"/>
        <v/>
      </c>
      <c r="E102" s="8" t="str">
        <f t="shared" si="3"/>
        <v/>
      </c>
    </row>
    <row r="103" spans="4:5" x14ac:dyDescent="0.2">
      <c r="D103" s="8" t="str">
        <f t="shared" si="2"/>
        <v/>
      </c>
      <c r="E103" s="8" t="str">
        <f t="shared" si="3"/>
        <v/>
      </c>
    </row>
    <row r="104" spans="4:5" x14ac:dyDescent="0.2">
      <c r="D104" s="8" t="str">
        <f t="shared" si="2"/>
        <v/>
      </c>
      <c r="E104" s="8" t="str">
        <f t="shared" si="3"/>
        <v/>
      </c>
    </row>
    <row r="105" spans="4:5" x14ac:dyDescent="0.2">
      <c r="D105" s="8" t="str">
        <f t="shared" si="2"/>
        <v/>
      </c>
      <c r="E105" s="8" t="str">
        <f t="shared" si="3"/>
        <v/>
      </c>
    </row>
    <row r="106" spans="4:5" x14ac:dyDescent="0.2">
      <c r="D106" s="8" t="str">
        <f t="shared" si="2"/>
        <v/>
      </c>
      <c r="E106" s="8" t="str">
        <f t="shared" si="3"/>
        <v/>
      </c>
    </row>
    <row r="107" spans="4:5" x14ac:dyDescent="0.2">
      <c r="D107" s="8" t="str">
        <f t="shared" si="2"/>
        <v/>
      </c>
      <c r="E107" s="8" t="str">
        <f t="shared" si="3"/>
        <v/>
      </c>
    </row>
    <row r="108" spans="4:5" x14ac:dyDescent="0.2">
      <c r="D108" s="8" t="str">
        <f t="shared" si="2"/>
        <v/>
      </c>
      <c r="E108" s="8" t="str">
        <f t="shared" si="3"/>
        <v/>
      </c>
    </row>
    <row r="109" spans="4:5" x14ac:dyDescent="0.2">
      <c r="D109" s="8" t="str">
        <f t="shared" si="2"/>
        <v/>
      </c>
      <c r="E109" s="8" t="str">
        <f t="shared" si="3"/>
        <v/>
      </c>
    </row>
    <row r="110" spans="4:5" x14ac:dyDescent="0.2">
      <c r="D110" s="8" t="str">
        <f t="shared" si="2"/>
        <v/>
      </c>
      <c r="E110" s="8" t="str">
        <f t="shared" si="3"/>
        <v/>
      </c>
    </row>
    <row r="111" spans="4:5" x14ac:dyDescent="0.2">
      <c r="D111" s="8" t="str">
        <f t="shared" si="2"/>
        <v/>
      </c>
      <c r="E111" s="8" t="str">
        <f t="shared" si="3"/>
        <v/>
      </c>
    </row>
    <row r="112" spans="4:5" x14ac:dyDescent="0.2">
      <c r="D112" s="8" t="str">
        <f t="shared" si="2"/>
        <v/>
      </c>
      <c r="E112" s="8" t="str">
        <f t="shared" si="3"/>
        <v/>
      </c>
    </row>
    <row r="113" spans="4:5" x14ac:dyDescent="0.2">
      <c r="D113" s="8" t="str">
        <f t="shared" si="2"/>
        <v/>
      </c>
      <c r="E113" s="8" t="str">
        <f t="shared" si="3"/>
        <v/>
      </c>
    </row>
    <row r="114" spans="4:5" x14ac:dyDescent="0.2">
      <c r="D114" s="8" t="str">
        <f t="shared" si="2"/>
        <v/>
      </c>
      <c r="E114" s="8" t="str">
        <f t="shared" si="3"/>
        <v/>
      </c>
    </row>
    <row r="115" spans="4:5" x14ac:dyDescent="0.2">
      <c r="D115" s="8" t="str">
        <f t="shared" si="2"/>
        <v/>
      </c>
      <c r="E115" s="8" t="str">
        <f t="shared" si="3"/>
        <v/>
      </c>
    </row>
    <row r="116" spans="4:5" x14ac:dyDescent="0.2">
      <c r="D116" s="8" t="str">
        <f t="shared" si="2"/>
        <v/>
      </c>
      <c r="E116" s="8" t="str">
        <f t="shared" si="3"/>
        <v/>
      </c>
    </row>
    <row r="117" spans="4:5" x14ac:dyDescent="0.2">
      <c r="D117" s="8" t="str">
        <f t="shared" si="2"/>
        <v/>
      </c>
      <c r="E117" s="8" t="str">
        <f t="shared" si="3"/>
        <v/>
      </c>
    </row>
    <row r="118" spans="4:5" x14ac:dyDescent="0.2">
      <c r="D118" s="8" t="str">
        <f t="shared" si="2"/>
        <v/>
      </c>
      <c r="E118" s="8" t="str">
        <f t="shared" si="3"/>
        <v/>
      </c>
    </row>
    <row r="119" spans="4:5" x14ac:dyDescent="0.2">
      <c r="D119" s="8" t="str">
        <f t="shared" si="2"/>
        <v/>
      </c>
      <c r="E119" s="8" t="str">
        <f t="shared" si="3"/>
        <v/>
      </c>
    </row>
    <row r="120" spans="4:5" x14ac:dyDescent="0.2">
      <c r="D120" s="8" t="str">
        <f t="shared" si="2"/>
        <v/>
      </c>
      <c r="E120" s="8" t="str">
        <f t="shared" si="3"/>
        <v/>
      </c>
    </row>
    <row r="121" spans="4:5" x14ac:dyDescent="0.2">
      <c r="D121" s="8" t="str">
        <f t="shared" si="2"/>
        <v/>
      </c>
      <c r="E121" s="8" t="str">
        <f t="shared" si="3"/>
        <v/>
      </c>
    </row>
    <row r="122" spans="4:5" x14ac:dyDescent="0.2">
      <c r="D122" s="8" t="str">
        <f t="shared" si="2"/>
        <v/>
      </c>
      <c r="E122" s="8" t="str">
        <f t="shared" si="3"/>
        <v/>
      </c>
    </row>
    <row r="123" spans="4:5" x14ac:dyDescent="0.2">
      <c r="D123" s="8" t="str">
        <f t="shared" si="2"/>
        <v/>
      </c>
      <c r="E123" s="8" t="str">
        <f t="shared" si="3"/>
        <v/>
      </c>
    </row>
    <row r="124" spans="4:5" x14ac:dyDescent="0.2">
      <c r="D124" s="8" t="str">
        <f t="shared" si="2"/>
        <v/>
      </c>
      <c r="E124" s="8" t="str">
        <f t="shared" si="3"/>
        <v/>
      </c>
    </row>
    <row r="125" spans="4:5" x14ac:dyDescent="0.2">
      <c r="D125" s="8" t="str">
        <f t="shared" si="2"/>
        <v/>
      </c>
      <c r="E125" s="8" t="str">
        <f t="shared" si="3"/>
        <v/>
      </c>
    </row>
    <row r="126" spans="4:5" x14ac:dyDescent="0.2">
      <c r="D126" s="8" t="str">
        <f t="shared" si="2"/>
        <v/>
      </c>
      <c r="E126" s="8" t="str">
        <f t="shared" si="3"/>
        <v/>
      </c>
    </row>
    <row r="127" spans="4:5" x14ac:dyDescent="0.2">
      <c r="D127" s="8" t="str">
        <f t="shared" si="2"/>
        <v/>
      </c>
      <c r="E127" s="8" t="str">
        <f t="shared" si="3"/>
        <v/>
      </c>
    </row>
    <row r="128" spans="4:5" x14ac:dyDescent="0.2">
      <c r="D128" s="8" t="str">
        <f t="shared" si="2"/>
        <v/>
      </c>
      <c r="E128" s="8" t="str">
        <f t="shared" si="3"/>
        <v/>
      </c>
    </row>
    <row r="129" spans="4:5" x14ac:dyDescent="0.2">
      <c r="D129" s="8" t="str">
        <f t="shared" si="2"/>
        <v/>
      </c>
      <c r="E129" s="8" t="str">
        <f t="shared" si="3"/>
        <v/>
      </c>
    </row>
    <row r="130" spans="4:5" x14ac:dyDescent="0.2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">
      <c r="D131" s="8" t="str">
        <f t="shared" si="4"/>
        <v/>
      </c>
      <c r="E131" s="8" t="str">
        <f t="shared" si="3"/>
        <v/>
      </c>
    </row>
    <row r="132" spans="4:5" x14ac:dyDescent="0.2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">
      <c r="D133" s="8" t="str">
        <f t="shared" si="4"/>
        <v/>
      </c>
      <c r="E133" s="8" t="str">
        <f t="shared" si="5"/>
        <v/>
      </c>
    </row>
    <row r="134" spans="4:5" x14ac:dyDescent="0.2">
      <c r="D134" s="8" t="str">
        <f t="shared" si="4"/>
        <v/>
      </c>
      <c r="E134" s="8" t="str">
        <f t="shared" si="5"/>
        <v/>
      </c>
    </row>
    <row r="135" spans="4:5" x14ac:dyDescent="0.2">
      <c r="D135" s="8" t="str">
        <f t="shared" si="4"/>
        <v/>
      </c>
      <c r="E135" s="8" t="str">
        <f t="shared" si="5"/>
        <v/>
      </c>
    </row>
    <row r="136" spans="4:5" x14ac:dyDescent="0.2">
      <c r="D136" s="8" t="str">
        <f t="shared" si="4"/>
        <v/>
      </c>
      <c r="E136" s="8" t="str">
        <f t="shared" si="5"/>
        <v/>
      </c>
    </row>
    <row r="137" spans="4:5" x14ac:dyDescent="0.2">
      <c r="D137" s="8" t="str">
        <f t="shared" si="4"/>
        <v/>
      </c>
      <c r="E137" s="8" t="str">
        <f t="shared" si="5"/>
        <v/>
      </c>
    </row>
    <row r="138" spans="4:5" x14ac:dyDescent="0.2">
      <c r="D138" s="8" t="str">
        <f t="shared" si="4"/>
        <v/>
      </c>
      <c r="E138" s="8" t="str">
        <f t="shared" si="5"/>
        <v/>
      </c>
    </row>
    <row r="139" spans="4:5" x14ac:dyDescent="0.2">
      <c r="D139" s="8" t="str">
        <f t="shared" si="4"/>
        <v/>
      </c>
      <c r="E139" s="8" t="str">
        <f t="shared" si="5"/>
        <v/>
      </c>
    </row>
    <row r="140" spans="4:5" x14ac:dyDescent="0.2">
      <c r="D140" s="8" t="str">
        <f t="shared" si="4"/>
        <v/>
      </c>
      <c r="E140" s="8" t="str">
        <f t="shared" si="5"/>
        <v/>
      </c>
    </row>
    <row r="141" spans="4:5" x14ac:dyDescent="0.2">
      <c r="D141" s="8" t="str">
        <f t="shared" si="4"/>
        <v/>
      </c>
      <c r="E141" s="8" t="str">
        <f t="shared" si="5"/>
        <v/>
      </c>
    </row>
    <row r="142" spans="4:5" x14ac:dyDescent="0.2">
      <c r="D142" s="8" t="str">
        <f t="shared" si="4"/>
        <v/>
      </c>
      <c r="E142" s="8" t="str">
        <f t="shared" si="5"/>
        <v/>
      </c>
    </row>
    <row r="143" spans="4:5" x14ac:dyDescent="0.2">
      <c r="D143" s="8" t="str">
        <f t="shared" si="4"/>
        <v/>
      </c>
      <c r="E143" s="8" t="str">
        <f t="shared" si="5"/>
        <v/>
      </c>
    </row>
    <row r="144" spans="4:5" x14ac:dyDescent="0.2">
      <c r="D144" s="8" t="str">
        <f t="shared" si="4"/>
        <v/>
      </c>
      <c r="E144" s="8" t="str">
        <f t="shared" si="5"/>
        <v/>
      </c>
    </row>
    <row r="145" spans="4:5" x14ac:dyDescent="0.2">
      <c r="D145" s="8" t="str">
        <f t="shared" si="4"/>
        <v/>
      </c>
      <c r="E145" s="8" t="str">
        <f t="shared" si="5"/>
        <v/>
      </c>
    </row>
    <row r="146" spans="4:5" x14ac:dyDescent="0.2">
      <c r="D146" s="8" t="str">
        <f t="shared" si="4"/>
        <v/>
      </c>
      <c r="E146" s="8" t="str">
        <f t="shared" si="5"/>
        <v/>
      </c>
    </row>
    <row r="147" spans="4:5" x14ac:dyDescent="0.2">
      <c r="D147" s="8" t="str">
        <f t="shared" si="4"/>
        <v/>
      </c>
      <c r="E147" s="8" t="str">
        <f t="shared" si="5"/>
        <v/>
      </c>
    </row>
    <row r="148" spans="4:5" x14ac:dyDescent="0.2">
      <c r="D148" s="8" t="str">
        <f t="shared" si="4"/>
        <v/>
      </c>
      <c r="E148" s="8" t="str">
        <f t="shared" si="5"/>
        <v/>
      </c>
    </row>
    <row r="149" spans="4:5" x14ac:dyDescent="0.2">
      <c r="D149" s="8" t="str">
        <f t="shared" si="4"/>
        <v/>
      </c>
      <c r="E149" s="8" t="str">
        <f t="shared" si="5"/>
        <v/>
      </c>
    </row>
    <row r="150" spans="4:5" x14ac:dyDescent="0.2">
      <c r="D150" s="8" t="str">
        <f t="shared" si="4"/>
        <v/>
      </c>
      <c r="E150" s="8" t="str">
        <f t="shared" si="5"/>
        <v/>
      </c>
    </row>
    <row r="151" spans="4:5" x14ac:dyDescent="0.2">
      <c r="D151" s="8" t="str">
        <f t="shared" si="4"/>
        <v/>
      </c>
      <c r="E151" s="8" t="str">
        <f t="shared" si="5"/>
        <v/>
      </c>
    </row>
    <row r="152" spans="4:5" x14ac:dyDescent="0.2">
      <c r="D152" s="8" t="str">
        <f t="shared" si="4"/>
        <v/>
      </c>
      <c r="E152" s="8" t="str">
        <f t="shared" si="5"/>
        <v/>
      </c>
    </row>
    <row r="153" spans="4:5" x14ac:dyDescent="0.2">
      <c r="D153" s="8" t="str">
        <f t="shared" si="4"/>
        <v/>
      </c>
      <c r="E153" s="8" t="str">
        <f t="shared" si="5"/>
        <v/>
      </c>
    </row>
    <row r="154" spans="4:5" x14ac:dyDescent="0.2">
      <c r="D154" s="8" t="str">
        <f t="shared" si="4"/>
        <v/>
      </c>
      <c r="E154" s="8" t="str">
        <f t="shared" si="5"/>
        <v/>
      </c>
    </row>
    <row r="155" spans="4:5" x14ac:dyDescent="0.2">
      <c r="D155" s="8" t="str">
        <f t="shared" si="4"/>
        <v/>
      </c>
      <c r="E155" s="8" t="str">
        <f t="shared" si="5"/>
        <v/>
      </c>
    </row>
    <row r="156" spans="4:5" x14ac:dyDescent="0.2">
      <c r="D156" s="8" t="str">
        <f t="shared" si="4"/>
        <v/>
      </c>
      <c r="E156" s="8" t="str">
        <f t="shared" si="5"/>
        <v/>
      </c>
    </row>
    <row r="157" spans="4:5" x14ac:dyDescent="0.2">
      <c r="D157" s="8" t="str">
        <f t="shared" si="4"/>
        <v/>
      </c>
      <c r="E157" s="8" t="str">
        <f t="shared" si="5"/>
        <v/>
      </c>
    </row>
    <row r="158" spans="4:5" x14ac:dyDescent="0.2">
      <c r="D158" s="8" t="str">
        <f t="shared" si="4"/>
        <v/>
      </c>
      <c r="E158" s="8" t="str">
        <f t="shared" si="5"/>
        <v/>
      </c>
    </row>
    <row r="159" spans="4:5" x14ac:dyDescent="0.2">
      <c r="D159" s="8" t="str">
        <f t="shared" si="4"/>
        <v/>
      </c>
      <c r="E159" s="8" t="str">
        <f t="shared" si="5"/>
        <v/>
      </c>
    </row>
    <row r="160" spans="4:5" x14ac:dyDescent="0.2">
      <c r="D160" s="8" t="str">
        <f t="shared" si="4"/>
        <v/>
      </c>
      <c r="E160" s="8" t="str">
        <f t="shared" si="5"/>
        <v/>
      </c>
    </row>
    <row r="161" spans="4:5" x14ac:dyDescent="0.2">
      <c r="D161" s="8" t="str">
        <f t="shared" si="4"/>
        <v/>
      </c>
      <c r="E161" s="8" t="str">
        <f t="shared" si="5"/>
        <v/>
      </c>
    </row>
    <row r="162" spans="4:5" x14ac:dyDescent="0.2">
      <c r="D162" s="8" t="str">
        <f t="shared" si="4"/>
        <v/>
      </c>
      <c r="E162" s="8" t="str">
        <f t="shared" si="5"/>
        <v/>
      </c>
    </row>
    <row r="163" spans="4:5" x14ac:dyDescent="0.2">
      <c r="D163" s="8" t="str">
        <f t="shared" si="4"/>
        <v/>
      </c>
      <c r="E163" s="8" t="str">
        <f t="shared" si="5"/>
        <v/>
      </c>
    </row>
    <row r="164" spans="4:5" x14ac:dyDescent="0.2">
      <c r="D164" s="8" t="str">
        <f t="shared" si="4"/>
        <v/>
      </c>
      <c r="E164" s="8" t="str">
        <f t="shared" si="5"/>
        <v/>
      </c>
    </row>
    <row r="165" spans="4:5" x14ac:dyDescent="0.2">
      <c r="D165" s="8" t="str">
        <f t="shared" si="4"/>
        <v/>
      </c>
      <c r="E165" s="8" t="str">
        <f t="shared" si="5"/>
        <v/>
      </c>
    </row>
    <row r="166" spans="4:5" x14ac:dyDescent="0.2">
      <c r="D166" s="8" t="str">
        <f t="shared" si="4"/>
        <v/>
      </c>
      <c r="E166" s="8" t="str">
        <f t="shared" si="5"/>
        <v/>
      </c>
    </row>
    <row r="167" spans="4:5" x14ac:dyDescent="0.2">
      <c r="D167" s="8" t="str">
        <f t="shared" si="4"/>
        <v/>
      </c>
      <c r="E167" s="8" t="str">
        <f t="shared" si="5"/>
        <v/>
      </c>
    </row>
    <row r="168" spans="4:5" x14ac:dyDescent="0.2">
      <c r="D168" s="8" t="str">
        <f t="shared" si="4"/>
        <v/>
      </c>
      <c r="E168" s="8" t="str">
        <f t="shared" si="5"/>
        <v/>
      </c>
    </row>
    <row r="169" spans="4:5" x14ac:dyDescent="0.2">
      <c r="D169" s="8" t="str">
        <f t="shared" si="4"/>
        <v/>
      </c>
      <c r="E169" s="8" t="str">
        <f t="shared" si="5"/>
        <v/>
      </c>
    </row>
    <row r="170" spans="4:5" x14ac:dyDescent="0.2">
      <c r="D170" s="8" t="str">
        <f t="shared" si="4"/>
        <v/>
      </c>
      <c r="E170" s="8" t="str">
        <f t="shared" si="5"/>
        <v/>
      </c>
    </row>
    <row r="171" spans="4:5" x14ac:dyDescent="0.2">
      <c r="D171" s="8" t="str">
        <f t="shared" si="4"/>
        <v/>
      </c>
      <c r="E171" s="8" t="str">
        <f t="shared" si="5"/>
        <v/>
      </c>
    </row>
    <row r="172" spans="4:5" x14ac:dyDescent="0.2">
      <c r="D172" s="8" t="str">
        <f t="shared" si="4"/>
        <v/>
      </c>
      <c r="E172" s="8" t="str">
        <f t="shared" si="5"/>
        <v/>
      </c>
    </row>
    <row r="173" spans="4:5" x14ac:dyDescent="0.2">
      <c r="D173" s="8" t="str">
        <f t="shared" si="4"/>
        <v/>
      </c>
      <c r="E173" s="8" t="str">
        <f t="shared" si="5"/>
        <v/>
      </c>
    </row>
    <row r="174" spans="4:5" x14ac:dyDescent="0.2">
      <c r="D174" s="8" t="str">
        <f t="shared" si="4"/>
        <v/>
      </c>
      <c r="E174" s="8" t="str">
        <f t="shared" si="5"/>
        <v/>
      </c>
    </row>
    <row r="175" spans="4:5" x14ac:dyDescent="0.2">
      <c r="D175" s="8" t="str">
        <f t="shared" si="4"/>
        <v/>
      </c>
      <c r="E175" s="8" t="str">
        <f t="shared" si="5"/>
        <v/>
      </c>
    </row>
    <row r="176" spans="4:5" x14ac:dyDescent="0.2">
      <c r="D176" s="8" t="str">
        <f t="shared" si="4"/>
        <v/>
      </c>
      <c r="E176" s="8" t="str">
        <f t="shared" si="5"/>
        <v/>
      </c>
    </row>
    <row r="177" spans="4:5" x14ac:dyDescent="0.2">
      <c r="D177" s="8" t="str">
        <f t="shared" si="4"/>
        <v/>
      </c>
      <c r="E177" s="8" t="str">
        <f t="shared" si="5"/>
        <v/>
      </c>
    </row>
    <row r="178" spans="4:5" x14ac:dyDescent="0.2">
      <c r="D178" s="8" t="str">
        <f t="shared" si="4"/>
        <v/>
      </c>
      <c r="E178" s="8" t="str">
        <f t="shared" si="5"/>
        <v/>
      </c>
    </row>
    <row r="179" spans="4:5" x14ac:dyDescent="0.2">
      <c r="D179" s="8" t="str">
        <f t="shared" si="4"/>
        <v/>
      </c>
      <c r="E179" s="8" t="str">
        <f t="shared" si="5"/>
        <v/>
      </c>
    </row>
    <row r="180" spans="4:5" x14ac:dyDescent="0.2">
      <c r="D180" s="8" t="str">
        <f t="shared" si="4"/>
        <v/>
      </c>
      <c r="E180" s="8" t="str">
        <f t="shared" si="5"/>
        <v/>
      </c>
    </row>
    <row r="181" spans="4:5" x14ac:dyDescent="0.2">
      <c r="D181" s="8" t="str">
        <f t="shared" si="4"/>
        <v/>
      </c>
      <c r="E181" s="8" t="str">
        <f t="shared" si="5"/>
        <v/>
      </c>
    </row>
    <row r="182" spans="4:5" x14ac:dyDescent="0.2">
      <c r="D182" s="8" t="str">
        <f t="shared" si="4"/>
        <v/>
      </c>
      <c r="E182" s="8" t="str">
        <f t="shared" si="5"/>
        <v/>
      </c>
    </row>
    <row r="183" spans="4:5" x14ac:dyDescent="0.2">
      <c r="D183" s="8" t="str">
        <f t="shared" si="4"/>
        <v/>
      </c>
      <c r="E183" s="8" t="str">
        <f t="shared" si="5"/>
        <v/>
      </c>
    </row>
    <row r="184" spans="4:5" x14ac:dyDescent="0.2">
      <c r="D184" s="8" t="str">
        <f t="shared" si="4"/>
        <v/>
      </c>
      <c r="E184" s="8" t="str">
        <f t="shared" si="5"/>
        <v/>
      </c>
    </row>
    <row r="185" spans="4:5" x14ac:dyDescent="0.2">
      <c r="D185" s="8" t="str">
        <f t="shared" si="4"/>
        <v/>
      </c>
      <c r="E185" s="8" t="str">
        <f t="shared" si="5"/>
        <v/>
      </c>
    </row>
    <row r="186" spans="4:5" x14ac:dyDescent="0.2">
      <c r="D186" s="8" t="str">
        <f t="shared" si="4"/>
        <v/>
      </c>
      <c r="E186" s="8" t="str">
        <f t="shared" si="5"/>
        <v/>
      </c>
    </row>
    <row r="187" spans="4:5" x14ac:dyDescent="0.2">
      <c r="D187" s="8" t="str">
        <f t="shared" si="4"/>
        <v/>
      </c>
      <c r="E187" s="8" t="str">
        <f t="shared" si="5"/>
        <v/>
      </c>
    </row>
    <row r="188" spans="4:5" x14ac:dyDescent="0.2">
      <c r="D188" s="8" t="str">
        <f t="shared" si="4"/>
        <v/>
      </c>
      <c r="E188" s="8" t="str">
        <f t="shared" si="5"/>
        <v/>
      </c>
    </row>
    <row r="189" spans="4:5" x14ac:dyDescent="0.2">
      <c r="D189" s="8" t="str">
        <f t="shared" si="4"/>
        <v/>
      </c>
      <c r="E189" s="8" t="str">
        <f t="shared" si="5"/>
        <v/>
      </c>
    </row>
    <row r="190" spans="4:5" x14ac:dyDescent="0.2">
      <c r="D190" s="8" t="str">
        <f t="shared" si="4"/>
        <v/>
      </c>
      <c r="E190" s="8" t="str">
        <f t="shared" si="5"/>
        <v/>
      </c>
    </row>
    <row r="191" spans="4:5" x14ac:dyDescent="0.2">
      <c r="D191" s="8" t="str">
        <f t="shared" si="4"/>
        <v/>
      </c>
      <c r="E191" s="8" t="str">
        <f t="shared" si="5"/>
        <v/>
      </c>
    </row>
    <row r="192" spans="4:5" x14ac:dyDescent="0.2">
      <c r="D192" s="8" t="str">
        <f t="shared" si="4"/>
        <v/>
      </c>
      <c r="E192" s="8" t="str">
        <f t="shared" si="5"/>
        <v/>
      </c>
    </row>
    <row r="193" spans="4:5" x14ac:dyDescent="0.2">
      <c r="D193" s="8" t="str">
        <f t="shared" si="4"/>
        <v/>
      </c>
      <c r="E193" s="8" t="str">
        <f t="shared" si="5"/>
        <v/>
      </c>
    </row>
    <row r="194" spans="4:5" x14ac:dyDescent="0.2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">
      <c r="D195" s="8" t="str">
        <f t="shared" si="6"/>
        <v/>
      </c>
      <c r="E195" s="8" t="str">
        <f t="shared" si="5"/>
        <v/>
      </c>
    </row>
    <row r="196" spans="4:5" x14ac:dyDescent="0.2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">
      <c r="D197" s="8" t="str">
        <f t="shared" si="6"/>
        <v/>
      </c>
      <c r="E197" s="8" t="str">
        <f t="shared" si="7"/>
        <v/>
      </c>
    </row>
    <row r="198" spans="4:5" x14ac:dyDescent="0.2">
      <c r="D198" s="8" t="str">
        <f t="shared" si="6"/>
        <v/>
      </c>
      <c r="E198" s="8" t="str">
        <f t="shared" si="7"/>
        <v/>
      </c>
    </row>
    <row r="199" spans="4:5" x14ac:dyDescent="0.2">
      <c r="D199" s="8" t="str">
        <f t="shared" si="6"/>
        <v/>
      </c>
      <c r="E199" s="8" t="str">
        <f t="shared" si="7"/>
        <v/>
      </c>
    </row>
    <row r="200" spans="4:5" x14ac:dyDescent="0.2">
      <c r="D200" s="8" t="str">
        <f t="shared" si="6"/>
        <v/>
      </c>
      <c r="E200" s="8" t="str">
        <f t="shared" si="7"/>
        <v/>
      </c>
    </row>
    <row r="201" spans="4:5" x14ac:dyDescent="0.2">
      <c r="D201" s="8" t="str">
        <f t="shared" si="6"/>
        <v/>
      </c>
      <c r="E201" s="8" t="str">
        <f t="shared" si="7"/>
        <v/>
      </c>
    </row>
    <row r="202" spans="4:5" x14ac:dyDescent="0.2">
      <c r="D202" s="8" t="str">
        <f t="shared" si="6"/>
        <v/>
      </c>
      <c r="E202" s="8" t="str">
        <f t="shared" si="7"/>
        <v/>
      </c>
    </row>
    <row r="203" spans="4:5" x14ac:dyDescent="0.2">
      <c r="D203" s="8" t="str">
        <f t="shared" si="6"/>
        <v/>
      </c>
      <c r="E203" s="8" t="str">
        <f t="shared" si="7"/>
        <v/>
      </c>
    </row>
    <row r="204" spans="4:5" x14ac:dyDescent="0.2">
      <c r="D204" s="8" t="str">
        <f t="shared" si="6"/>
        <v/>
      </c>
      <c r="E204" s="8" t="str">
        <f t="shared" si="7"/>
        <v/>
      </c>
    </row>
    <row r="205" spans="4:5" x14ac:dyDescent="0.2">
      <c r="D205" s="8" t="str">
        <f t="shared" si="6"/>
        <v/>
      </c>
      <c r="E205" s="8" t="str">
        <f t="shared" si="7"/>
        <v/>
      </c>
    </row>
    <row r="206" spans="4:5" x14ac:dyDescent="0.2">
      <c r="D206" s="8" t="str">
        <f t="shared" si="6"/>
        <v/>
      </c>
      <c r="E206" s="8" t="str">
        <f t="shared" si="7"/>
        <v/>
      </c>
    </row>
    <row r="207" spans="4:5" x14ac:dyDescent="0.2">
      <c r="D207" s="8" t="str">
        <f t="shared" si="6"/>
        <v/>
      </c>
      <c r="E207" s="8" t="str">
        <f t="shared" si="7"/>
        <v/>
      </c>
    </row>
    <row r="208" spans="4:5" x14ac:dyDescent="0.2">
      <c r="D208" s="8" t="str">
        <f t="shared" si="6"/>
        <v/>
      </c>
      <c r="E208" s="8" t="str">
        <f t="shared" si="7"/>
        <v/>
      </c>
    </row>
    <row r="209" spans="4:5" x14ac:dyDescent="0.2">
      <c r="D209" s="8" t="str">
        <f t="shared" si="6"/>
        <v/>
      </c>
      <c r="E209" s="8" t="str">
        <f t="shared" si="7"/>
        <v/>
      </c>
    </row>
    <row r="210" spans="4:5" x14ac:dyDescent="0.2">
      <c r="D210" s="8" t="str">
        <f t="shared" si="6"/>
        <v/>
      </c>
      <c r="E210" s="8" t="str">
        <f t="shared" si="7"/>
        <v/>
      </c>
    </row>
    <row r="211" spans="4:5" x14ac:dyDescent="0.2">
      <c r="D211" s="8" t="str">
        <f t="shared" si="6"/>
        <v/>
      </c>
      <c r="E211" s="8" t="str">
        <f t="shared" si="7"/>
        <v/>
      </c>
    </row>
    <row r="212" spans="4:5" x14ac:dyDescent="0.2">
      <c r="D212" s="8" t="str">
        <f t="shared" si="6"/>
        <v/>
      </c>
      <c r="E212" s="8" t="str">
        <f t="shared" si="7"/>
        <v/>
      </c>
    </row>
    <row r="213" spans="4:5" x14ac:dyDescent="0.2">
      <c r="D213" s="8" t="str">
        <f t="shared" si="6"/>
        <v/>
      </c>
      <c r="E213" s="8" t="str">
        <f t="shared" si="7"/>
        <v/>
      </c>
    </row>
    <row r="214" spans="4:5" x14ac:dyDescent="0.2">
      <c r="D214" s="8" t="str">
        <f t="shared" si="6"/>
        <v/>
      </c>
      <c r="E214" s="8" t="str">
        <f t="shared" si="7"/>
        <v/>
      </c>
    </row>
    <row r="215" spans="4:5" x14ac:dyDescent="0.2">
      <c r="D215" s="8" t="str">
        <f t="shared" si="6"/>
        <v/>
      </c>
      <c r="E215" s="8" t="str">
        <f t="shared" si="7"/>
        <v/>
      </c>
    </row>
    <row r="216" spans="4:5" x14ac:dyDescent="0.2">
      <c r="D216" s="8" t="str">
        <f t="shared" si="6"/>
        <v/>
      </c>
      <c r="E216" s="8" t="str">
        <f t="shared" si="7"/>
        <v/>
      </c>
    </row>
    <row r="217" spans="4:5" x14ac:dyDescent="0.2">
      <c r="D217" s="8" t="str">
        <f t="shared" si="6"/>
        <v/>
      </c>
      <c r="E217" s="8" t="str">
        <f t="shared" si="7"/>
        <v/>
      </c>
    </row>
    <row r="218" spans="4:5" x14ac:dyDescent="0.2">
      <c r="D218" s="8" t="str">
        <f t="shared" si="6"/>
        <v/>
      </c>
      <c r="E218" s="8" t="str">
        <f t="shared" si="7"/>
        <v/>
      </c>
    </row>
    <row r="219" spans="4:5" x14ac:dyDescent="0.2">
      <c r="D219" s="8" t="str">
        <f t="shared" si="6"/>
        <v/>
      </c>
      <c r="E219" s="8" t="str">
        <f t="shared" si="7"/>
        <v/>
      </c>
    </row>
    <row r="220" spans="4:5" x14ac:dyDescent="0.2">
      <c r="D220" s="8" t="str">
        <f t="shared" si="6"/>
        <v/>
      </c>
      <c r="E220" s="8" t="str">
        <f t="shared" si="7"/>
        <v/>
      </c>
    </row>
    <row r="221" spans="4:5" x14ac:dyDescent="0.2">
      <c r="D221" s="8" t="str">
        <f t="shared" si="6"/>
        <v/>
      </c>
      <c r="E221" s="8" t="str">
        <f t="shared" si="7"/>
        <v/>
      </c>
    </row>
    <row r="222" spans="4:5" x14ac:dyDescent="0.2">
      <c r="D222" s="8" t="str">
        <f t="shared" si="6"/>
        <v/>
      </c>
      <c r="E222" s="8" t="str">
        <f t="shared" si="7"/>
        <v/>
      </c>
    </row>
    <row r="223" spans="4:5" x14ac:dyDescent="0.2">
      <c r="D223" s="8" t="str">
        <f t="shared" si="6"/>
        <v/>
      </c>
      <c r="E223" s="8" t="str">
        <f t="shared" si="7"/>
        <v/>
      </c>
    </row>
    <row r="224" spans="4:5" x14ac:dyDescent="0.2">
      <c r="D224" s="8" t="str">
        <f t="shared" si="6"/>
        <v/>
      </c>
      <c r="E224" s="8" t="str">
        <f t="shared" si="7"/>
        <v/>
      </c>
    </row>
    <row r="225" spans="4:5" x14ac:dyDescent="0.2">
      <c r="D225" s="8" t="str">
        <f t="shared" si="6"/>
        <v/>
      </c>
      <c r="E225" s="8" t="str">
        <f t="shared" si="7"/>
        <v/>
      </c>
    </row>
    <row r="226" spans="4:5" x14ac:dyDescent="0.2">
      <c r="D226" s="8" t="str">
        <f t="shared" si="6"/>
        <v/>
      </c>
      <c r="E226" s="8" t="str">
        <f t="shared" si="7"/>
        <v/>
      </c>
    </row>
    <row r="227" spans="4:5" x14ac:dyDescent="0.2">
      <c r="D227" s="8" t="str">
        <f t="shared" si="6"/>
        <v/>
      </c>
      <c r="E227" s="8" t="str">
        <f t="shared" si="7"/>
        <v/>
      </c>
    </row>
    <row r="228" spans="4:5" x14ac:dyDescent="0.2">
      <c r="D228" s="8" t="str">
        <f t="shared" si="6"/>
        <v/>
      </c>
      <c r="E228" s="8" t="str">
        <f t="shared" si="7"/>
        <v/>
      </c>
    </row>
    <row r="229" spans="4:5" x14ac:dyDescent="0.2">
      <c r="D229" s="8" t="str">
        <f t="shared" si="6"/>
        <v/>
      </c>
      <c r="E229" s="8" t="str">
        <f t="shared" si="7"/>
        <v/>
      </c>
    </row>
    <row r="230" spans="4:5" x14ac:dyDescent="0.2">
      <c r="D230" s="8" t="str">
        <f t="shared" si="6"/>
        <v/>
      </c>
      <c r="E230" s="8" t="str">
        <f t="shared" si="7"/>
        <v/>
      </c>
    </row>
    <row r="231" spans="4:5" x14ac:dyDescent="0.2">
      <c r="D231" s="8" t="str">
        <f t="shared" si="6"/>
        <v/>
      </c>
      <c r="E231" s="8" t="str">
        <f t="shared" si="7"/>
        <v/>
      </c>
    </row>
    <row r="232" spans="4:5" x14ac:dyDescent="0.2">
      <c r="D232" s="8" t="str">
        <f t="shared" si="6"/>
        <v/>
      </c>
      <c r="E232" s="8" t="str">
        <f t="shared" si="7"/>
        <v/>
      </c>
    </row>
    <row r="233" spans="4:5" x14ac:dyDescent="0.2">
      <c r="D233" s="8" t="str">
        <f t="shared" si="6"/>
        <v/>
      </c>
      <c r="E233" s="8" t="str">
        <f t="shared" si="7"/>
        <v/>
      </c>
    </row>
    <row r="234" spans="4:5" x14ac:dyDescent="0.2">
      <c r="D234" s="8" t="str">
        <f t="shared" si="6"/>
        <v/>
      </c>
      <c r="E234" s="8" t="str">
        <f t="shared" si="7"/>
        <v/>
      </c>
    </row>
    <row r="235" spans="4:5" x14ac:dyDescent="0.2">
      <c r="D235" s="8" t="str">
        <f t="shared" si="6"/>
        <v/>
      </c>
      <c r="E235" s="8" t="str">
        <f t="shared" si="7"/>
        <v/>
      </c>
    </row>
    <row r="236" spans="4:5" x14ac:dyDescent="0.2">
      <c r="D236" s="8" t="str">
        <f t="shared" si="6"/>
        <v/>
      </c>
      <c r="E236" s="8" t="str">
        <f t="shared" si="7"/>
        <v/>
      </c>
    </row>
    <row r="237" spans="4:5" x14ac:dyDescent="0.2">
      <c r="D237" s="8" t="str">
        <f t="shared" si="6"/>
        <v/>
      </c>
      <c r="E237" s="8" t="str">
        <f t="shared" si="7"/>
        <v/>
      </c>
    </row>
    <row r="238" spans="4:5" x14ac:dyDescent="0.2">
      <c r="D238" s="8" t="str">
        <f t="shared" si="6"/>
        <v/>
      </c>
      <c r="E238" s="8" t="str">
        <f t="shared" si="7"/>
        <v/>
      </c>
    </row>
    <row r="239" spans="4:5" x14ac:dyDescent="0.2">
      <c r="D239" s="8" t="str">
        <f t="shared" si="6"/>
        <v/>
      </c>
      <c r="E239" s="8" t="str">
        <f t="shared" si="7"/>
        <v/>
      </c>
    </row>
    <row r="240" spans="4:5" x14ac:dyDescent="0.2">
      <c r="D240" s="8" t="str">
        <f t="shared" si="6"/>
        <v/>
      </c>
      <c r="E240" s="8" t="str">
        <f t="shared" si="7"/>
        <v/>
      </c>
    </row>
    <row r="241" spans="4:5" x14ac:dyDescent="0.2">
      <c r="D241" s="8" t="str">
        <f t="shared" si="6"/>
        <v/>
      </c>
      <c r="E241" s="8" t="str">
        <f t="shared" si="7"/>
        <v/>
      </c>
    </row>
    <row r="242" spans="4:5" x14ac:dyDescent="0.2">
      <c r="D242" s="8" t="str">
        <f t="shared" si="6"/>
        <v/>
      </c>
      <c r="E242" s="8" t="str">
        <f t="shared" si="7"/>
        <v/>
      </c>
    </row>
    <row r="243" spans="4:5" x14ac:dyDescent="0.2">
      <c r="D243" s="8" t="str">
        <f t="shared" si="6"/>
        <v/>
      </c>
      <c r="E243" s="8" t="str">
        <f t="shared" si="7"/>
        <v/>
      </c>
    </row>
    <row r="244" spans="4:5" x14ac:dyDescent="0.2">
      <c r="D244" s="8" t="str">
        <f t="shared" si="6"/>
        <v/>
      </c>
      <c r="E244" s="8" t="str">
        <f t="shared" si="7"/>
        <v/>
      </c>
    </row>
    <row r="245" spans="4:5" x14ac:dyDescent="0.2">
      <c r="D245" s="8" t="str">
        <f t="shared" si="6"/>
        <v/>
      </c>
      <c r="E245" s="8" t="str">
        <f t="shared" si="7"/>
        <v/>
      </c>
    </row>
    <row r="246" spans="4:5" x14ac:dyDescent="0.2">
      <c r="D246" s="8" t="str">
        <f t="shared" si="6"/>
        <v/>
      </c>
      <c r="E246" s="8" t="str">
        <f t="shared" si="7"/>
        <v/>
      </c>
    </row>
    <row r="247" spans="4:5" x14ac:dyDescent="0.2">
      <c r="D247" s="8" t="str">
        <f t="shared" si="6"/>
        <v/>
      </c>
      <c r="E247" s="8" t="str">
        <f t="shared" si="7"/>
        <v/>
      </c>
    </row>
    <row r="248" spans="4:5" x14ac:dyDescent="0.2">
      <c r="D248" s="8" t="str">
        <f t="shared" si="6"/>
        <v/>
      </c>
      <c r="E248" s="8" t="str">
        <f t="shared" si="7"/>
        <v/>
      </c>
    </row>
    <row r="249" spans="4:5" x14ac:dyDescent="0.2">
      <c r="D249" s="8" t="str">
        <f t="shared" si="6"/>
        <v/>
      </c>
      <c r="E249" s="8" t="str">
        <f t="shared" si="7"/>
        <v/>
      </c>
    </row>
    <row r="250" spans="4:5" x14ac:dyDescent="0.2">
      <c r="D250" s="8" t="str">
        <f t="shared" si="6"/>
        <v/>
      </c>
      <c r="E250" s="8" t="str">
        <f t="shared" si="7"/>
        <v/>
      </c>
    </row>
    <row r="251" spans="4:5" x14ac:dyDescent="0.2">
      <c r="D251" s="8" t="str">
        <f t="shared" si="6"/>
        <v/>
      </c>
      <c r="E251" s="8" t="str">
        <f t="shared" si="7"/>
        <v/>
      </c>
    </row>
    <row r="252" spans="4:5" x14ac:dyDescent="0.2">
      <c r="D252" s="8" t="str">
        <f t="shared" si="6"/>
        <v/>
      </c>
      <c r="E252" s="8" t="str">
        <f t="shared" si="7"/>
        <v/>
      </c>
    </row>
    <row r="253" spans="4:5" x14ac:dyDescent="0.2">
      <c r="D253" s="8" t="str">
        <f t="shared" si="6"/>
        <v/>
      </c>
      <c r="E253" s="8" t="str">
        <f t="shared" si="7"/>
        <v/>
      </c>
    </row>
    <row r="254" spans="4:5" x14ac:dyDescent="0.2">
      <c r="D254" s="8" t="str">
        <f t="shared" si="6"/>
        <v/>
      </c>
      <c r="E254" s="8" t="str">
        <f t="shared" si="7"/>
        <v/>
      </c>
    </row>
    <row r="255" spans="4:5" x14ac:dyDescent="0.2">
      <c r="D255" s="8" t="str">
        <f t="shared" si="6"/>
        <v/>
      </c>
      <c r="E255" s="8" t="str">
        <f t="shared" si="7"/>
        <v/>
      </c>
    </row>
    <row r="256" spans="4:5" x14ac:dyDescent="0.2">
      <c r="D256" s="8" t="str">
        <f t="shared" si="6"/>
        <v/>
      </c>
      <c r="E256" s="8" t="str">
        <f t="shared" si="7"/>
        <v/>
      </c>
    </row>
    <row r="257" spans="4:5" x14ac:dyDescent="0.2">
      <c r="D257" s="8" t="str">
        <f t="shared" si="6"/>
        <v/>
      </c>
      <c r="E257" s="8" t="str">
        <f t="shared" si="7"/>
        <v/>
      </c>
    </row>
    <row r="258" spans="4:5" x14ac:dyDescent="0.2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">
      <c r="D259" s="8" t="str">
        <f t="shared" si="8"/>
        <v/>
      </c>
      <c r="E259" s="8" t="str">
        <f t="shared" si="7"/>
        <v/>
      </c>
    </row>
    <row r="260" spans="4:5" x14ac:dyDescent="0.2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">
      <c r="D261" s="8" t="str">
        <f t="shared" si="8"/>
        <v/>
      </c>
      <c r="E261" s="8" t="str">
        <f t="shared" si="9"/>
        <v/>
      </c>
    </row>
    <row r="262" spans="4:5" x14ac:dyDescent="0.2">
      <c r="D262" s="8" t="str">
        <f t="shared" si="8"/>
        <v/>
      </c>
      <c r="E262" s="8" t="str">
        <f t="shared" si="9"/>
        <v/>
      </c>
    </row>
    <row r="263" spans="4:5" x14ac:dyDescent="0.2">
      <c r="D263" s="8" t="str">
        <f t="shared" si="8"/>
        <v/>
      </c>
      <c r="E263" s="8" t="str">
        <f t="shared" si="9"/>
        <v/>
      </c>
    </row>
    <row r="264" spans="4:5" x14ac:dyDescent="0.2">
      <c r="D264" s="8" t="str">
        <f t="shared" si="8"/>
        <v/>
      </c>
      <c r="E264" s="8" t="str">
        <f t="shared" si="9"/>
        <v/>
      </c>
    </row>
    <row r="265" spans="4:5" x14ac:dyDescent="0.2">
      <c r="D265" s="8" t="str">
        <f t="shared" si="8"/>
        <v/>
      </c>
      <c r="E265" s="8" t="str">
        <f t="shared" si="9"/>
        <v/>
      </c>
    </row>
    <row r="266" spans="4:5" x14ac:dyDescent="0.2">
      <c r="D266" s="8" t="str">
        <f t="shared" si="8"/>
        <v/>
      </c>
      <c r="E266" s="8" t="str">
        <f t="shared" si="9"/>
        <v/>
      </c>
    </row>
    <row r="267" spans="4:5" x14ac:dyDescent="0.2">
      <c r="D267" s="8" t="str">
        <f t="shared" si="8"/>
        <v/>
      </c>
      <c r="E267" s="8" t="str">
        <f t="shared" si="9"/>
        <v/>
      </c>
    </row>
    <row r="268" spans="4:5" x14ac:dyDescent="0.2">
      <c r="D268" s="8" t="str">
        <f t="shared" si="8"/>
        <v/>
      </c>
      <c r="E268" s="8" t="str">
        <f t="shared" si="9"/>
        <v/>
      </c>
    </row>
    <row r="269" spans="4:5" x14ac:dyDescent="0.2">
      <c r="D269" s="8" t="str">
        <f t="shared" si="8"/>
        <v/>
      </c>
      <c r="E269" s="8" t="str">
        <f t="shared" si="9"/>
        <v/>
      </c>
    </row>
    <row r="270" spans="4:5" x14ac:dyDescent="0.2">
      <c r="D270" s="8" t="str">
        <f t="shared" si="8"/>
        <v/>
      </c>
      <c r="E270" s="8" t="str">
        <f t="shared" si="9"/>
        <v/>
      </c>
    </row>
    <row r="271" spans="4:5" x14ac:dyDescent="0.2">
      <c r="D271" s="8" t="str">
        <f t="shared" si="8"/>
        <v/>
      </c>
      <c r="E271" s="8" t="str">
        <f t="shared" si="9"/>
        <v/>
      </c>
    </row>
    <row r="272" spans="4:5" x14ac:dyDescent="0.2">
      <c r="D272" s="8" t="str">
        <f t="shared" si="8"/>
        <v/>
      </c>
      <c r="E272" s="8" t="str">
        <f t="shared" si="9"/>
        <v/>
      </c>
    </row>
    <row r="273" spans="4:5" x14ac:dyDescent="0.2">
      <c r="D273" s="8" t="str">
        <f t="shared" si="8"/>
        <v/>
      </c>
      <c r="E273" s="8" t="str">
        <f t="shared" si="9"/>
        <v/>
      </c>
    </row>
    <row r="274" spans="4:5" x14ac:dyDescent="0.2">
      <c r="D274" s="8" t="str">
        <f t="shared" si="8"/>
        <v/>
      </c>
      <c r="E274" s="8" t="str">
        <f t="shared" si="9"/>
        <v/>
      </c>
    </row>
    <row r="275" spans="4:5" x14ac:dyDescent="0.2">
      <c r="D275" s="8" t="str">
        <f t="shared" si="8"/>
        <v/>
      </c>
      <c r="E275" s="8" t="str">
        <f t="shared" si="9"/>
        <v/>
      </c>
    </row>
    <row r="276" spans="4:5" x14ac:dyDescent="0.2">
      <c r="D276" s="8" t="str">
        <f t="shared" si="8"/>
        <v/>
      </c>
      <c r="E276" s="8" t="str">
        <f t="shared" si="9"/>
        <v/>
      </c>
    </row>
    <row r="277" spans="4:5" x14ac:dyDescent="0.2">
      <c r="D277" s="8" t="str">
        <f t="shared" si="8"/>
        <v/>
      </c>
      <c r="E277" s="8" t="str">
        <f t="shared" si="9"/>
        <v/>
      </c>
    </row>
    <row r="278" spans="4:5" x14ac:dyDescent="0.2">
      <c r="D278" s="8" t="str">
        <f t="shared" si="8"/>
        <v/>
      </c>
      <c r="E278" s="8" t="str">
        <f t="shared" si="9"/>
        <v/>
      </c>
    </row>
    <row r="279" spans="4:5" x14ac:dyDescent="0.2">
      <c r="D279" s="8" t="str">
        <f t="shared" si="8"/>
        <v/>
      </c>
      <c r="E279" s="8" t="str">
        <f t="shared" si="9"/>
        <v/>
      </c>
    </row>
    <row r="280" spans="4:5" x14ac:dyDescent="0.2">
      <c r="D280" s="8" t="str">
        <f t="shared" si="8"/>
        <v/>
      </c>
      <c r="E280" s="8" t="str">
        <f t="shared" si="9"/>
        <v/>
      </c>
    </row>
    <row r="281" spans="4:5" x14ac:dyDescent="0.2">
      <c r="D281" s="8" t="str">
        <f t="shared" si="8"/>
        <v/>
      </c>
      <c r="E281" s="8" t="str">
        <f t="shared" si="9"/>
        <v/>
      </c>
    </row>
    <row r="282" spans="4:5" x14ac:dyDescent="0.2">
      <c r="D282" s="8" t="str">
        <f t="shared" si="8"/>
        <v/>
      </c>
      <c r="E282" s="8" t="str">
        <f t="shared" si="9"/>
        <v/>
      </c>
    </row>
    <row r="283" spans="4:5" x14ac:dyDescent="0.2">
      <c r="D283" s="8" t="str">
        <f t="shared" si="8"/>
        <v/>
      </c>
      <c r="E283" s="8" t="str">
        <f t="shared" si="9"/>
        <v/>
      </c>
    </row>
    <row r="284" spans="4:5" x14ac:dyDescent="0.2">
      <c r="D284" s="8" t="str">
        <f t="shared" si="8"/>
        <v/>
      </c>
      <c r="E284" s="8" t="str">
        <f t="shared" si="9"/>
        <v/>
      </c>
    </row>
    <row r="285" spans="4:5" x14ac:dyDescent="0.2">
      <c r="D285" s="8" t="str">
        <f t="shared" si="8"/>
        <v/>
      </c>
      <c r="E285" s="8" t="str">
        <f t="shared" si="9"/>
        <v/>
      </c>
    </row>
    <row r="286" spans="4:5" x14ac:dyDescent="0.2">
      <c r="D286" s="8" t="str">
        <f t="shared" si="8"/>
        <v/>
      </c>
      <c r="E286" s="8" t="str">
        <f t="shared" si="9"/>
        <v/>
      </c>
    </row>
    <row r="287" spans="4:5" x14ac:dyDescent="0.2">
      <c r="D287" s="8" t="str">
        <f t="shared" si="8"/>
        <v/>
      </c>
      <c r="E287" s="8" t="str">
        <f t="shared" si="9"/>
        <v/>
      </c>
    </row>
    <row r="288" spans="4:5" x14ac:dyDescent="0.2">
      <c r="D288" s="8" t="str">
        <f t="shared" si="8"/>
        <v/>
      </c>
      <c r="E288" s="8" t="str">
        <f t="shared" si="9"/>
        <v/>
      </c>
    </row>
    <row r="289" spans="4:5" x14ac:dyDescent="0.2">
      <c r="D289" s="8" t="str">
        <f t="shared" si="8"/>
        <v/>
      </c>
      <c r="E289" s="8" t="str">
        <f t="shared" si="9"/>
        <v/>
      </c>
    </row>
    <row r="290" spans="4:5" x14ac:dyDescent="0.2">
      <c r="D290" s="8" t="str">
        <f t="shared" si="8"/>
        <v/>
      </c>
      <c r="E290" s="8" t="str">
        <f t="shared" si="9"/>
        <v/>
      </c>
    </row>
    <row r="291" spans="4:5" x14ac:dyDescent="0.2">
      <c r="D291" s="8" t="str">
        <f t="shared" si="8"/>
        <v/>
      </c>
      <c r="E291" s="8" t="str">
        <f t="shared" si="9"/>
        <v/>
      </c>
    </row>
    <row r="292" spans="4:5" x14ac:dyDescent="0.2">
      <c r="D292" s="8" t="str">
        <f t="shared" si="8"/>
        <v/>
      </c>
      <c r="E292" s="8" t="str">
        <f t="shared" si="9"/>
        <v/>
      </c>
    </row>
    <row r="293" spans="4:5" x14ac:dyDescent="0.2">
      <c r="D293" s="8" t="str">
        <f t="shared" si="8"/>
        <v/>
      </c>
      <c r="E293" s="8" t="str">
        <f t="shared" si="9"/>
        <v/>
      </c>
    </row>
    <row r="294" spans="4:5" x14ac:dyDescent="0.2">
      <c r="D294" s="8" t="str">
        <f t="shared" si="8"/>
        <v/>
      </c>
      <c r="E294" s="8" t="str">
        <f t="shared" si="9"/>
        <v/>
      </c>
    </row>
    <row r="295" spans="4:5" x14ac:dyDescent="0.2">
      <c r="D295" s="8" t="str">
        <f t="shared" si="8"/>
        <v/>
      </c>
      <c r="E295" s="8" t="str">
        <f t="shared" si="9"/>
        <v/>
      </c>
    </row>
    <row r="296" spans="4:5" x14ac:dyDescent="0.2">
      <c r="D296" s="8" t="str">
        <f t="shared" si="8"/>
        <v/>
      </c>
      <c r="E296" s="8" t="str">
        <f t="shared" si="9"/>
        <v/>
      </c>
    </row>
    <row r="297" spans="4:5" x14ac:dyDescent="0.2">
      <c r="D297" s="8" t="str">
        <f t="shared" si="8"/>
        <v/>
      </c>
      <c r="E297" s="8" t="str">
        <f t="shared" si="9"/>
        <v/>
      </c>
    </row>
    <row r="298" spans="4:5" x14ac:dyDescent="0.2">
      <c r="D298" s="8" t="str">
        <f t="shared" si="8"/>
        <v/>
      </c>
      <c r="E298" s="8" t="str">
        <f t="shared" si="9"/>
        <v/>
      </c>
    </row>
    <row r="299" spans="4:5" x14ac:dyDescent="0.2">
      <c r="D299" s="8" t="str">
        <f t="shared" si="8"/>
        <v/>
      </c>
      <c r="E299" s="8" t="str">
        <f t="shared" si="9"/>
        <v/>
      </c>
    </row>
    <row r="300" spans="4:5" x14ac:dyDescent="0.2">
      <c r="D300" s="8" t="str">
        <f t="shared" si="8"/>
        <v/>
      </c>
      <c r="E300" s="8" t="str">
        <f t="shared" si="9"/>
        <v/>
      </c>
    </row>
    <row r="301" spans="4:5" x14ac:dyDescent="0.2">
      <c r="D301" s="8" t="str">
        <f t="shared" si="8"/>
        <v/>
      </c>
      <c r="E301" s="8" t="str">
        <f t="shared" si="9"/>
        <v/>
      </c>
    </row>
    <row r="302" spans="4:5" x14ac:dyDescent="0.2">
      <c r="D302" s="8" t="str">
        <f t="shared" si="8"/>
        <v/>
      </c>
      <c r="E302" s="8" t="str">
        <f t="shared" si="9"/>
        <v/>
      </c>
    </row>
    <row r="303" spans="4:5" x14ac:dyDescent="0.2">
      <c r="D303" s="8" t="str">
        <f t="shared" si="8"/>
        <v/>
      </c>
      <c r="E303" s="8" t="str">
        <f t="shared" si="9"/>
        <v/>
      </c>
    </row>
    <row r="304" spans="4:5" x14ac:dyDescent="0.2">
      <c r="D304" s="8" t="str">
        <f t="shared" si="8"/>
        <v/>
      </c>
      <c r="E304" s="8" t="str">
        <f t="shared" si="9"/>
        <v/>
      </c>
    </row>
    <row r="305" spans="4:5" x14ac:dyDescent="0.2">
      <c r="D305" s="8" t="str">
        <f t="shared" si="8"/>
        <v/>
      </c>
      <c r="E305" s="8" t="str">
        <f t="shared" si="9"/>
        <v/>
      </c>
    </row>
    <row r="306" spans="4:5" x14ac:dyDescent="0.2">
      <c r="D306" s="8" t="str">
        <f t="shared" si="8"/>
        <v/>
      </c>
      <c r="E306" s="8" t="str">
        <f t="shared" si="9"/>
        <v/>
      </c>
    </row>
    <row r="307" spans="4:5" x14ac:dyDescent="0.2">
      <c r="D307" s="8" t="str">
        <f t="shared" si="8"/>
        <v/>
      </c>
      <c r="E307" s="8" t="str">
        <f t="shared" si="9"/>
        <v/>
      </c>
    </row>
    <row r="308" spans="4:5" x14ac:dyDescent="0.2">
      <c r="D308" s="8" t="str">
        <f t="shared" si="8"/>
        <v/>
      </c>
      <c r="E308" s="8" t="str">
        <f t="shared" si="9"/>
        <v/>
      </c>
    </row>
    <row r="309" spans="4:5" x14ac:dyDescent="0.2">
      <c r="D309" s="8" t="str">
        <f t="shared" si="8"/>
        <v/>
      </c>
      <c r="E309" s="8" t="str">
        <f t="shared" si="9"/>
        <v/>
      </c>
    </row>
    <row r="310" spans="4:5" x14ac:dyDescent="0.2">
      <c r="D310" s="8" t="str">
        <f t="shared" si="8"/>
        <v/>
      </c>
      <c r="E310" s="8" t="str">
        <f t="shared" si="9"/>
        <v/>
      </c>
    </row>
    <row r="311" spans="4:5" x14ac:dyDescent="0.2">
      <c r="D311" s="8" t="str">
        <f t="shared" si="8"/>
        <v/>
      </c>
      <c r="E311" s="8" t="str">
        <f t="shared" si="9"/>
        <v/>
      </c>
    </row>
    <row r="312" spans="4:5" x14ac:dyDescent="0.2">
      <c r="D312" s="8" t="str">
        <f t="shared" si="8"/>
        <v/>
      </c>
      <c r="E312" s="8" t="str">
        <f t="shared" si="9"/>
        <v/>
      </c>
    </row>
    <row r="313" spans="4:5" x14ac:dyDescent="0.2">
      <c r="D313" s="8" t="str">
        <f t="shared" si="8"/>
        <v/>
      </c>
      <c r="E313" s="8" t="str">
        <f t="shared" si="9"/>
        <v/>
      </c>
    </row>
    <row r="314" spans="4:5" x14ac:dyDescent="0.2">
      <c r="D314" s="8" t="str">
        <f t="shared" si="8"/>
        <v/>
      </c>
      <c r="E314" s="8" t="str">
        <f t="shared" si="9"/>
        <v/>
      </c>
    </row>
    <row r="315" spans="4:5" x14ac:dyDescent="0.2">
      <c r="D315" s="8" t="str">
        <f t="shared" si="8"/>
        <v/>
      </c>
      <c r="E315" s="8" t="str">
        <f t="shared" si="9"/>
        <v/>
      </c>
    </row>
    <row r="316" spans="4:5" x14ac:dyDescent="0.2">
      <c r="D316" s="8" t="str">
        <f t="shared" si="8"/>
        <v/>
      </c>
      <c r="E316" s="8" t="str">
        <f t="shared" si="9"/>
        <v/>
      </c>
    </row>
    <row r="317" spans="4:5" x14ac:dyDescent="0.2">
      <c r="D317" s="8" t="str">
        <f t="shared" si="8"/>
        <v/>
      </c>
      <c r="E317" s="8" t="str">
        <f t="shared" si="9"/>
        <v/>
      </c>
    </row>
    <row r="318" spans="4:5" x14ac:dyDescent="0.2">
      <c r="D318" s="8" t="str">
        <f t="shared" si="8"/>
        <v/>
      </c>
      <c r="E318" s="8" t="str">
        <f t="shared" si="9"/>
        <v/>
      </c>
    </row>
    <row r="319" spans="4:5" x14ac:dyDescent="0.2">
      <c r="D319" s="8" t="str">
        <f t="shared" si="8"/>
        <v/>
      </c>
      <c r="E319" s="8" t="str">
        <f t="shared" si="9"/>
        <v/>
      </c>
    </row>
    <row r="320" spans="4:5" x14ac:dyDescent="0.2">
      <c r="D320" s="8" t="str">
        <f t="shared" si="8"/>
        <v/>
      </c>
      <c r="E320" s="8" t="str">
        <f t="shared" si="9"/>
        <v/>
      </c>
    </row>
    <row r="321" spans="4:5" x14ac:dyDescent="0.2">
      <c r="D321" s="8" t="str">
        <f t="shared" si="8"/>
        <v/>
      </c>
      <c r="E321" s="8" t="str">
        <f t="shared" si="9"/>
        <v/>
      </c>
    </row>
    <row r="322" spans="4:5" x14ac:dyDescent="0.2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">
      <c r="D323" s="8" t="str">
        <f t="shared" si="10"/>
        <v/>
      </c>
      <c r="E323" s="8" t="str">
        <f t="shared" si="9"/>
        <v/>
      </c>
    </row>
    <row r="324" spans="4:5" x14ac:dyDescent="0.2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">
      <c r="D325" s="8" t="str">
        <f t="shared" si="10"/>
        <v/>
      </c>
      <c r="E325" s="8" t="str">
        <f t="shared" si="11"/>
        <v/>
      </c>
    </row>
    <row r="326" spans="4:5" x14ac:dyDescent="0.2">
      <c r="D326" s="8" t="str">
        <f t="shared" si="10"/>
        <v/>
      </c>
      <c r="E326" s="8" t="str">
        <f t="shared" si="11"/>
        <v/>
      </c>
    </row>
    <row r="327" spans="4:5" x14ac:dyDescent="0.2">
      <c r="D327" s="8" t="str">
        <f t="shared" si="10"/>
        <v/>
      </c>
      <c r="E327" s="8" t="str">
        <f t="shared" si="11"/>
        <v/>
      </c>
    </row>
    <row r="328" spans="4:5" x14ac:dyDescent="0.2">
      <c r="D328" s="8" t="str">
        <f t="shared" si="10"/>
        <v/>
      </c>
      <c r="E328" s="8" t="str">
        <f t="shared" si="11"/>
        <v/>
      </c>
    </row>
    <row r="329" spans="4:5" x14ac:dyDescent="0.2">
      <c r="D329" s="8" t="str">
        <f t="shared" si="10"/>
        <v/>
      </c>
      <c r="E329" s="8" t="str">
        <f t="shared" si="11"/>
        <v/>
      </c>
    </row>
    <row r="330" spans="4:5" x14ac:dyDescent="0.2">
      <c r="D330" s="8" t="str">
        <f t="shared" si="10"/>
        <v/>
      </c>
      <c r="E330" s="8" t="str">
        <f t="shared" si="11"/>
        <v/>
      </c>
    </row>
    <row r="331" spans="4:5" x14ac:dyDescent="0.2">
      <c r="D331" s="8" t="str">
        <f t="shared" si="10"/>
        <v/>
      </c>
      <c r="E331" s="8" t="str">
        <f t="shared" si="11"/>
        <v/>
      </c>
    </row>
    <row r="332" spans="4:5" x14ac:dyDescent="0.2">
      <c r="D332" s="8" t="str">
        <f t="shared" si="10"/>
        <v/>
      </c>
      <c r="E332" s="8" t="str">
        <f t="shared" si="11"/>
        <v/>
      </c>
    </row>
    <row r="333" spans="4:5" x14ac:dyDescent="0.2">
      <c r="D333" s="8" t="str">
        <f t="shared" si="10"/>
        <v/>
      </c>
      <c r="E333" s="8" t="str">
        <f t="shared" si="11"/>
        <v/>
      </c>
    </row>
    <row r="334" spans="4:5" x14ac:dyDescent="0.2">
      <c r="D334" s="8" t="str">
        <f t="shared" si="10"/>
        <v/>
      </c>
      <c r="E334" s="8" t="str">
        <f t="shared" si="11"/>
        <v/>
      </c>
    </row>
    <row r="335" spans="4:5" x14ac:dyDescent="0.2">
      <c r="D335" s="8" t="str">
        <f t="shared" si="10"/>
        <v/>
      </c>
      <c r="E335" s="8" t="str">
        <f t="shared" si="11"/>
        <v/>
      </c>
    </row>
    <row r="336" spans="4:5" x14ac:dyDescent="0.2">
      <c r="D336" s="8" t="str">
        <f t="shared" si="10"/>
        <v/>
      </c>
      <c r="E336" s="8" t="str">
        <f t="shared" si="11"/>
        <v/>
      </c>
    </row>
    <row r="337" spans="4:5" x14ac:dyDescent="0.2">
      <c r="D337" s="8" t="str">
        <f t="shared" si="10"/>
        <v/>
      </c>
      <c r="E337" s="8" t="str">
        <f t="shared" si="11"/>
        <v/>
      </c>
    </row>
    <row r="338" spans="4:5" x14ac:dyDescent="0.2">
      <c r="D338" s="8" t="str">
        <f t="shared" si="10"/>
        <v/>
      </c>
      <c r="E338" s="8" t="str">
        <f t="shared" si="11"/>
        <v/>
      </c>
    </row>
    <row r="339" spans="4:5" x14ac:dyDescent="0.2">
      <c r="D339" s="8" t="str">
        <f t="shared" si="10"/>
        <v/>
      </c>
      <c r="E339" s="8" t="str">
        <f t="shared" si="11"/>
        <v/>
      </c>
    </row>
    <row r="340" spans="4:5" x14ac:dyDescent="0.2">
      <c r="D340" s="8" t="str">
        <f t="shared" si="10"/>
        <v/>
      </c>
      <c r="E340" s="8" t="str">
        <f t="shared" si="11"/>
        <v/>
      </c>
    </row>
    <row r="341" spans="4:5" x14ac:dyDescent="0.2">
      <c r="D341" s="8" t="str">
        <f t="shared" si="10"/>
        <v/>
      </c>
      <c r="E341" s="8" t="str">
        <f t="shared" si="11"/>
        <v/>
      </c>
    </row>
    <row r="342" spans="4:5" x14ac:dyDescent="0.2">
      <c r="D342" s="8" t="str">
        <f t="shared" si="10"/>
        <v/>
      </c>
      <c r="E342" s="8" t="str">
        <f t="shared" si="11"/>
        <v/>
      </c>
    </row>
    <row r="343" spans="4:5" x14ac:dyDescent="0.2">
      <c r="D343" s="8" t="str">
        <f t="shared" si="10"/>
        <v/>
      </c>
      <c r="E343" s="8" t="str">
        <f t="shared" si="11"/>
        <v/>
      </c>
    </row>
    <row r="344" spans="4:5" x14ac:dyDescent="0.2">
      <c r="D344" s="8" t="str">
        <f t="shared" si="10"/>
        <v/>
      </c>
      <c r="E344" s="8" t="str">
        <f t="shared" si="11"/>
        <v/>
      </c>
    </row>
    <row r="345" spans="4:5" x14ac:dyDescent="0.2">
      <c r="D345" s="8" t="str">
        <f t="shared" si="10"/>
        <v/>
      </c>
      <c r="E345" s="8" t="str">
        <f t="shared" si="11"/>
        <v/>
      </c>
    </row>
    <row r="346" spans="4:5" x14ac:dyDescent="0.2">
      <c r="D346" s="8" t="str">
        <f t="shared" si="10"/>
        <v/>
      </c>
      <c r="E346" s="8" t="str">
        <f t="shared" si="11"/>
        <v/>
      </c>
    </row>
    <row r="347" spans="4:5" x14ac:dyDescent="0.2">
      <c r="D347" s="8" t="str">
        <f t="shared" si="10"/>
        <v/>
      </c>
      <c r="E347" s="8" t="str">
        <f t="shared" si="11"/>
        <v/>
      </c>
    </row>
    <row r="348" spans="4:5" x14ac:dyDescent="0.2">
      <c r="D348" s="8" t="str">
        <f t="shared" si="10"/>
        <v/>
      </c>
      <c r="E348" s="8" t="str">
        <f t="shared" si="11"/>
        <v/>
      </c>
    </row>
    <row r="349" spans="4:5" x14ac:dyDescent="0.2">
      <c r="D349" s="8" t="str">
        <f t="shared" si="10"/>
        <v/>
      </c>
      <c r="E349" s="8" t="str">
        <f t="shared" si="11"/>
        <v/>
      </c>
    </row>
    <row r="350" spans="4:5" x14ac:dyDescent="0.2">
      <c r="D350" s="8" t="str">
        <f t="shared" si="10"/>
        <v/>
      </c>
      <c r="E350" s="8" t="str">
        <f t="shared" si="11"/>
        <v/>
      </c>
    </row>
    <row r="351" spans="4:5" x14ac:dyDescent="0.2">
      <c r="D351" s="8" t="str">
        <f t="shared" si="10"/>
        <v/>
      </c>
      <c r="E351" s="8" t="str">
        <f t="shared" si="11"/>
        <v/>
      </c>
    </row>
    <row r="352" spans="4:5" x14ac:dyDescent="0.2">
      <c r="D352" s="8" t="str">
        <f t="shared" si="10"/>
        <v/>
      </c>
      <c r="E352" s="8" t="str">
        <f t="shared" si="11"/>
        <v/>
      </c>
    </row>
    <row r="353" spans="4:5" x14ac:dyDescent="0.2">
      <c r="D353" s="8" t="str">
        <f t="shared" si="10"/>
        <v/>
      </c>
      <c r="E353" s="8" t="str">
        <f t="shared" si="11"/>
        <v/>
      </c>
    </row>
    <row r="354" spans="4:5" x14ac:dyDescent="0.2">
      <c r="D354" s="8" t="str">
        <f t="shared" si="10"/>
        <v/>
      </c>
      <c r="E354" s="8" t="str">
        <f t="shared" si="11"/>
        <v/>
      </c>
    </row>
    <row r="355" spans="4:5" x14ac:dyDescent="0.2">
      <c r="D355" s="8" t="str">
        <f t="shared" si="10"/>
        <v/>
      </c>
      <c r="E355" s="8" t="str">
        <f t="shared" si="11"/>
        <v/>
      </c>
    </row>
    <row r="356" spans="4:5" x14ac:dyDescent="0.2">
      <c r="D356" s="8" t="str">
        <f t="shared" si="10"/>
        <v/>
      </c>
      <c r="E356" s="8" t="str">
        <f t="shared" si="11"/>
        <v/>
      </c>
    </row>
    <row r="357" spans="4:5" x14ac:dyDescent="0.2">
      <c r="D357" s="8" t="str">
        <f t="shared" si="10"/>
        <v/>
      </c>
      <c r="E357" s="8" t="str">
        <f t="shared" si="11"/>
        <v/>
      </c>
    </row>
    <row r="358" spans="4:5" x14ac:dyDescent="0.2">
      <c r="D358" s="8" t="str">
        <f t="shared" si="10"/>
        <v/>
      </c>
      <c r="E358" s="8" t="str">
        <f t="shared" si="11"/>
        <v/>
      </c>
    </row>
    <row r="359" spans="4:5" x14ac:dyDescent="0.2">
      <c r="D359" s="8" t="str">
        <f t="shared" si="10"/>
        <v/>
      </c>
      <c r="E359" s="8" t="str">
        <f t="shared" si="11"/>
        <v/>
      </c>
    </row>
    <row r="360" spans="4:5" x14ac:dyDescent="0.2">
      <c r="D360" s="8" t="str">
        <f t="shared" si="10"/>
        <v/>
      </c>
      <c r="E360" s="8" t="str">
        <f t="shared" si="11"/>
        <v/>
      </c>
    </row>
    <row r="361" spans="4:5" x14ac:dyDescent="0.2">
      <c r="D361" s="8" t="str">
        <f t="shared" si="10"/>
        <v/>
      </c>
      <c r="E361" s="8" t="str">
        <f t="shared" si="11"/>
        <v/>
      </c>
    </row>
    <row r="362" spans="4:5" x14ac:dyDescent="0.2">
      <c r="D362" s="8" t="str">
        <f t="shared" si="10"/>
        <v/>
      </c>
      <c r="E362" s="8" t="str">
        <f t="shared" si="11"/>
        <v/>
      </c>
    </row>
    <row r="363" spans="4:5" x14ac:dyDescent="0.2">
      <c r="D363" s="8" t="str">
        <f t="shared" si="10"/>
        <v/>
      </c>
      <c r="E363" s="8" t="str">
        <f t="shared" si="11"/>
        <v/>
      </c>
    </row>
    <row r="364" spans="4:5" x14ac:dyDescent="0.2">
      <c r="D364" s="8" t="str">
        <f t="shared" si="10"/>
        <v/>
      </c>
      <c r="E364" s="8" t="str">
        <f t="shared" si="11"/>
        <v/>
      </c>
    </row>
    <row r="365" spans="4:5" x14ac:dyDescent="0.2">
      <c r="D365" s="8" t="str">
        <f t="shared" si="10"/>
        <v/>
      </c>
      <c r="E365" s="8" t="str">
        <f t="shared" si="11"/>
        <v/>
      </c>
    </row>
    <row r="366" spans="4:5" x14ac:dyDescent="0.2">
      <c r="D366" s="8" t="str">
        <f t="shared" si="10"/>
        <v/>
      </c>
      <c r="E366" s="8" t="str">
        <f t="shared" si="11"/>
        <v/>
      </c>
    </row>
    <row r="367" spans="4:5" x14ac:dyDescent="0.2">
      <c r="D367" s="8" t="str">
        <f t="shared" si="10"/>
        <v/>
      </c>
      <c r="E367" s="8" t="str">
        <f t="shared" si="11"/>
        <v/>
      </c>
    </row>
    <row r="368" spans="4:5" x14ac:dyDescent="0.2">
      <c r="D368" s="8" t="str">
        <f t="shared" si="10"/>
        <v/>
      </c>
      <c r="E368" s="8" t="str">
        <f t="shared" si="11"/>
        <v/>
      </c>
    </row>
    <row r="369" spans="4:5" x14ac:dyDescent="0.2">
      <c r="D369" s="8" t="str">
        <f t="shared" si="10"/>
        <v/>
      </c>
      <c r="E369" s="8" t="str">
        <f t="shared" si="11"/>
        <v/>
      </c>
    </row>
    <row r="370" spans="4:5" x14ac:dyDescent="0.2">
      <c r="D370" s="8" t="str">
        <f t="shared" si="10"/>
        <v/>
      </c>
      <c r="E370" s="8" t="str">
        <f t="shared" si="11"/>
        <v/>
      </c>
    </row>
    <row r="371" spans="4:5" x14ac:dyDescent="0.2">
      <c r="D371" s="8" t="str">
        <f t="shared" si="10"/>
        <v/>
      </c>
      <c r="E371" s="8" t="str">
        <f t="shared" si="11"/>
        <v/>
      </c>
    </row>
    <row r="372" spans="4:5" x14ac:dyDescent="0.2">
      <c r="D372" s="8" t="str">
        <f t="shared" si="10"/>
        <v/>
      </c>
      <c r="E372" s="8" t="str">
        <f t="shared" si="11"/>
        <v/>
      </c>
    </row>
    <row r="373" spans="4:5" x14ac:dyDescent="0.2">
      <c r="D373" s="8" t="str">
        <f t="shared" si="10"/>
        <v/>
      </c>
      <c r="E373" s="8" t="str">
        <f t="shared" si="11"/>
        <v/>
      </c>
    </row>
    <row r="374" spans="4:5" x14ac:dyDescent="0.2">
      <c r="D374" s="8" t="str">
        <f t="shared" si="10"/>
        <v/>
      </c>
      <c r="E374" s="8" t="str">
        <f t="shared" si="11"/>
        <v/>
      </c>
    </row>
    <row r="375" spans="4:5" x14ac:dyDescent="0.2">
      <c r="D375" s="8" t="str">
        <f t="shared" si="10"/>
        <v/>
      </c>
      <c r="E375" s="8" t="str">
        <f t="shared" si="11"/>
        <v/>
      </c>
    </row>
    <row r="376" spans="4:5" x14ac:dyDescent="0.2">
      <c r="D376" s="8" t="str">
        <f t="shared" si="10"/>
        <v/>
      </c>
      <c r="E376" s="8" t="str">
        <f t="shared" si="11"/>
        <v/>
      </c>
    </row>
    <row r="377" spans="4:5" x14ac:dyDescent="0.2">
      <c r="D377" s="8" t="str">
        <f t="shared" si="10"/>
        <v/>
      </c>
      <c r="E377" s="8" t="str">
        <f t="shared" si="11"/>
        <v/>
      </c>
    </row>
    <row r="378" spans="4:5" x14ac:dyDescent="0.2">
      <c r="D378" s="8" t="str">
        <f t="shared" si="10"/>
        <v/>
      </c>
      <c r="E378" s="8" t="str">
        <f t="shared" si="11"/>
        <v/>
      </c>
    </row>
    <row r="379" spans="4:5" x14ac:dyDescent="0.2">
      <c r="D379" s="8" t="str">
        <f t="shared" si="10"/>
        <v/>
      </c>
      <c r="E379" s="8" t="str">
        <f t="shared" si="11"/>
        <v/>
      </c>
    </row>
    <row r="380" spans="4:5" x14ac:dyDescent="0.2">
      <c r="D380" s="8" t="str">
        <f t="shared" si="10"/>
        <v/>
      </c>
      <c r="E380" s="8" t="str">
        <f t="shared" si="11"/>
        <v/>
      </c>
    </row>
    <row r="381" spans="4:5" x14ac:dyDescent="0.2">
      <c r="D381" s="8" t="str">
        <f t="shared" si="10"/>
        <v/>
      </c>
      <c r="E381" s="8" t="str">
        <f t="shared" si="11"/>
        <v/>
      </c>
    </row>
    <row r="382" spans="4:5" x14ac:dyDescent="0.2">
      <c r="D382" s="8" t="str">
        <f t="shared" si="10"/>
        <v/>
      </c>
      <c r="E382" s="8" t="str">
        <f t="shared" si="11"/>
        <v/>
      </c>
    </row>
    <row r="383" spans="4:5" x14ac:dyDescent="0.2">
      <c r="D383" s="8" t="str">
        <f t="shared" si="10"/>
        <v/>
      </c>
      <c r="E383" s="8" t="str">
        <f t="shared" si="11"/>
        <v/>
      </c>
    </row>
    <row r="384" spans="4:5" x14ac:dyDescent="0.2">
      <c r="D384" s="8" t="str">
        <f t="shared" si="10"/>
        <v/>
      </c>
      <c r="E384" s="8" t="str">
        <f t="shared" si="11"/>
        <v/>
      </c>
    </row>
    <row r="385" spans="4:5" x14ac:dyDescent="0.2">
      <c r="D385" s="8" t="str">
        <f t="shared" si="10"/>
        <v/>
      </c>
      <c r="E385" s="8" t="str">
        <f t="shared" si="11"/>
        <v/>
      </c>
    </row>
    <row r="386" spans="4:5" x14ac:dyDescent="0.2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">
      <c r="D387" s="8" t="str">
        <f t="shared" si="12"/>
        <v/>
      </c>
      <c r="E387" s="8" t="str">
        <f t="shared" si="11"/>
        <v/>
      </c>
    </row>
    <row r="388" spans="4:5" x14ac:dyDescent="0.2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">
      <c r="D389" s="8" t="str">
        <f t="shared" si="12"/>
        <v/>
      </c>
      <c r="E389" s="8" t="str">
        <f t="shared" si="13"/>
        <v/>
      </c>
    </row>
    <row r="390" spans="4:5" x14ac:dyDescent="0.2">
      <c r="D390" s="8" t="str">
        <f t="shared" si="12"/>
        <v/>
      </c>
      <c r="E390" s="8" t="str">
        <f t="shared" si="13"/>
        <v/>
      </c>
    </row>
    <row r="391" spans="4:5" x14ac:dyDescent="0.2">
      <c r="D391" s="8" t="str">
        <f t="shared" si="12"/>
        <v/>
      </c>
      <c r="E391" s="8" t="str">
        <f t="shared" si="13"/>
        <v/>
      </c>
    </row>
    <row r="392" spans="4:5" x14ac:dyDescent="0.2">
      <c r="D392" s="8" t="str">
        <f t="shared" si="12"/>
        <v/>
      </c>
      <c r="E392" s="8" t="str">
        <f t="shared" si="13"/>
        <v/>
      </c>
    </row>
    <row r="393" spans="4:5" x14ac:dyDescent="0.2">
      <c r="D393" s="8" t="str">
        <f t="shared" si="12"/>
        <v/>
      </c>
      <c r="E393" s="8" t="str">
        <f t="shared" si="13"/>
        <v/>
      </c>
    </row>
    <row r="394" spans="4:5" x14ac:dyDescent="0.2">
      <c r="D394" s="8" t="str">
        <f t="shared" si="12"/>
        <v/>
      </c>
      <c r="E394" s="8" t="str">
        <f t="shared" si="13"/>
        <v/>
      </c>
    </row>
    <row r="395" spans="4:5" x14ac:dyDescent="0.2">
      <c r="D395" s="8" t="str">
        <f t="shared" si="12"/>
        <v/>
      </c>
      <c r="E395" s="8" t="str">
        <f t="shared" si="13"/>
        <v/>
      </c>
    </row>
    <row r="396" spans="4:5" x14ac:dyDescent="0.2">
      <c r="D396" s="8" t="str">
        <f t="shared" si="12"/>
        <v/>
      </c>
      <c r="E396" s="8" t="str">
        <f t="shared" si="13"/>
        <v/>
      </c>
    </row>
    <row r="397" spans="4:5" x14ac:dyDescent="0.2">
      <c r="D397" s="8" t="str">
        <f t="shared" si="12"/>
        <v/>
      </c>
      <c r="E397" s="8" t="str">
        <f t="shared" si="13"/>
        <v/>
      </c>
    </row>
    <row r="398" spans="4:5" x14ac:dyDescent="0.2">
      <c r="D398" s="8" t="str">
        <f t="shared" si="12"/>
        <v/>
      </c>
      <c r="E398" s="8" t="str">
        <f t="shared" si="13"/>
        <v/>
      </c>
    </row>
    <row r="399" spans="4:5" x14ac:dyDescent="0.2">
      <c r="D399" s="8" t="str">
        <f t="shared" si="12"/>
        <v/>
      </c>
      <c r="E399" s="8" t="str">
        <f t="shared" si="13"/>
        <v/>
      </c>
    </row>
    <row r="400" spans="4:5" x14ac:dyDescent="0.2">
      <c r="D400" s="8" t="str">
        <f t="shared" si="12"/>
        <v/>
      </c>
      <c r="E400" s="8" t="str">
        <f t="shared" si="13"/>
        <v/>
      </c>
    </row>
    <row r="401" spans="4:5" x14ac:dyDescent="0.2">
      <c r="D401" s="8" t="str">
        <f t="shared" si="12"/>
        <v/>
      </c>
      <c r="E401" s="8" t="str">
        <f t="shared" si="13"/>
        <v/>
      </c>
    </row>
    <row r="402" spans="4:5" x14ac:dyDescent="0.2">
      <c r="D402" s="8" t="str">
        <f t="shared" si="12"/>
        <v/>
      </c>
      <c r="E402" s="8" t="str">
        <f t="shared" si="13"/>
        <v/>
      </c>
    </row>
    <row r="403" spans="4:5" x14ac:dyDescent="0.2">
      <c r="D403" s="8" t="str">
        <f t="shared" si="12"/>
        <v/>
      </c>
      <c r="E403" s="8" t="str">
        <f t="shared" si="13"/>
        <v/>
      </c>
    </row>
    <row r="404" spans="4:5" x14ac:dyDescent="0.2">
      <c r="D404" s="8" t="str">
        <f t="shared" si="12"/>
        <v/>
      </c>
      <c r="E404" s="8" t="str">
        <f t="shared" si="13"/>
        <v/>
      </c>
    </row>
    <row r="405" spans="4:5" x14ac:dyDescent="0.2">
      <c r="D405" s="8" t="str">
        <f t="shared" si="12"/>
        <v/>
      </c>
      <c r="E405" s="8" t="str">
        <f t="shared" si="13"/>
        <v/>
      </c>
    </row>
    <row r="406" spans="4:5" x14ac:dyDescent="0.2">
      <c r="D406" s="8" t="str">
        <f t="shared" si="12"/>
        <v/>
      </c>
      <c r="E406" s="8" t="str">
        <f t="shared" si="13"/>
        <v/>
      </c>
    </row>
    <row r="407" spans="4:5" x14ac:dyDescent="0.2">
      <c r="D407" s="8" t="str">
        <f t="shared" si="12"/>
        <v/>
      </c>
      <c r="E407" s="8" t="str">
        <f t="shared" si="13"/>
        <v/>
      </c>
    </row>
    <row r="408" spans="4:5" x14ac:dyDescent="0.2">
      <c r="D408" s="8" t="str">
        <f t="shared" si="12"/>
        <v/>
      </c>
      <c r="E408" s="8" t="str">
        <f t="shared" si="13"/>
        <v/>
      </c>
    </row>
    <row r="409" spans="4:5" x14ac:dyDescent="0.2">
      <c r="D409" s="8" t="str">
        <f t="shared" si="12"/>
        <v/>
      </c>
      <c r="E409" s="8" t="str">
        <f t="shared" si="13"/>
        <v/>
      </c>
    </row>
    <row r="410" spans="4:5" x14ac:dyDescent="0.2">
      <c r="D410" s="8" t="str">
        <f t="shared" si="12"/>
        <v/>
      </c>
      <c r="E410" s="8" t="str">
        <f t="shared" si="13"/>
        <v/>
      </c>
    </row>
    <row r="411" spans="4:5" x14ac:dyDescent="0.2">
      <c r="D411" s="8" t="str">
        <f t="shared" si="12"/>
        <v/>
      </c>
      <c r="E411" s="8" t="str">
        <f t="shared" si="13"/>
        <v/>
      </c>
    </row>
    <row r="412" spans="4:5" x14ac:dyDescent="0.2">
      <c r="D412" s="8" t="str">
        <f t="shared" si="12"/>
        <v/>
      </c>
      <c r="E412" s="8" t="str">
        <f t="shared" si="13"/>
        <v/>
      </c>
    </row>
    <row r="413" spans="4:5" x14ac:dyDescent="0.2">
      <c r="D413" s="8" t="str">
        <f t="shared" si="12"/>
        <v/>
      </c>
      <c r="E413" s="8" t="str">
        <f t="shared" si="13"/>
        <v/>
      </c>
    </row>
    <row r="414" spans="4:5" x14ac:dyDescent="0.2">
      <c r="D414" s="8" t="str">
        <f t="shared" si="12"/>
        <v/>
      </c>
      <c r="E414" s="8" t="str">
        <f t="shared" si="13"/>
        <v/>
      </c>
    </row>
    <row r="415" spans="4:5" x14ac:dyDescent="0.2">
      <c r="D415" s="8" t="str">
        <f t="shared" si="12"/>
        <v/>
      </c>
      <c r="E415" s="8" t="str">
        <f t="shared" si="13"/>
        <v/>
      </c>
    </row>
    <row r="416" spans="4:5" x14ac:dyDescent="0.2">
      <c r="D416" s="8" t="str">
        <f t="shared" si="12"/>
        <v/>
      </c>
      <c r="E416" s="8" t="str">
        <f t="shared" si="13"/>
        <v/>
      </c>
    </row>
    <row r="417" spans="4:5" x14ac:dyDescent="0.2">
      <c r="D417" s="8" t="str">
        <f t="shared" si="12"/>
        <v/>
      </c>
      <c r="E417" s="8" t="str">
        <f t="shared" si="13"/>
        <v/>
      </c>
    </row>
    <row r="418" spans="4:5" x14ac:dyDescent="0.2">
      <c r="D418" s="8" t="str">
        <f t="shared" si="12"/>
        <v/>
      </c>
      <c r="E418" s="8" t="str">
        <f t="shared" si="13"/>
        <v/>
      </c>
    </row>
    <row r="419" spans="4:5" x14ac:dyDescent="0.2">
      <c r="D419" s="8" t="str">
        <f t="shared" si="12"/>
        <v/>
      </c>
      <c r="E419" s="8" t="str">
        <f t="shared" si="13"/>
        <v/>
      </c>
    </row>
    <row r="420" spans="4:5" x14ac:dyDescent="0.2">
      <c r="D420" s="8" t="str">
        <f t="shared" si="12"/>
        <v/>
      </c>
      <c r="E420" s="8" t="str">
        <f t="shared" si="13"/>
        <v/>
      </c>
    </row>
    <row r="421" spans="4:5" x14ac:dyDescent="0.2">
      <c r="D421" s="8" t="str">
        <f t="shared" si="12"/>
        <v/>
      </c>
      <c r="E421" s="8" t="str">
        <f t="shared" si="13"/>
        <v/>
      </c>
    </row>
    <row r="422" spans="4:5" x14ac:dyDescent="0.2">
      <c r="D422" s="8" t="str">
        <f t="shared" si="12"/>
        <v/>
      </c>
      <c r="E422" s="8" t="str">
        <f t="shared" si="13"/>
        <v/>
      </c>
    </row>
    <row r="423" spans="4:5" x14ac:dyDescent="0.2">
      <c r="D423" s="8" t="str">
        <f t="shared" si="12"/>
        <v/>
      </c>
      <c r="E423" s="8" t="str">
        <f t="shared" si="13"/>
        <v/>
      </c>
    </row>
    <row r="424" spans="4:5" x14ac:dyDescent="0.2">
      <c r="D424" s="8" t="str">
        <f t="shared" si="12"/>
        <v/>
      </c>
      <c r="E424" s="8" t="str">
        <f t="shared" si="13"/>
        <v/>
      </c>
    </row>
    <row r="425" spans="4:5" x14ac:dyDescent="0.2">
      <c r="D425" s="8" t="str">
        <f t="shared" si="12"/>
        <v/>
      </c>
      <c r="E425" s="8" t="str">
        <f t="shared" si="13"/>
        <v/>
      </c>
    </row>
    <row r="426" spans="4:5" x14ac:dyDescent="0.2">
      <c r="D426" s="8" t="str">
        <f t="shared" si="12"/>
        <v/>
      </c>
      <c r="E426" s="8" t="str">
        <f t="shared" si="13"/>
        <v/>
      </c>
    </row>
    <row r="427" spans="4:5" x14ac:dyDescent="0.2">
      <c r="D427" s="8" t="str">
        <f t="shared" si="12"/>
        <v/>
      </c>
      <c r="E427" s="8" t="str">
        <f t="shared" si="13"/>
        <v/>
      </c>
    </row>
    <row r="428" spans="4:5" x14ac:dyDescent="0.2">
      <c r="D428" s="8" t="str">
        <f t="shared" si="12"/>
        <v/>
      </c>
      <c r="E428" s="8" t="str">
        <f t="shared" si="13"/>
        <v/>
      </c>
    </row>
    <row r="429" spans="4:5" x14ac:dyDescent="0.2">
      <c r="D429" s="8" t="str">
        <f t="shared" si="12"/>
        <v/>
      </c>
      <c r="E429" s="8" t="str">
        <f t="shared" si="13"/>
        <v/>
      </c>
    </row>
    <row r="430" spans="4:5" x14ac:dyDescent="0.2">
      <c r="D430" s="8" t="str">
        <f t="shared" si="12"/>
        <v/>
      </c>
      <c r="E430" s="8" t="str">
        <f t="shared" si="13"/>
        <v/>
      </c>
    </row>
    <row r="431" spans="4:5" x14ac:dyDescent="0.2">
      <c r="D431" s="8" t="str">
        <f t="shared" si="12"/>
        <v/>
      </c>
      <c r="E431" s="8" t="str">
        <f t="shared" si="13"/>
        <v/>
      </c>
    </row>
    <row r="432" spans="4:5" x14ac:dyDescent="0.2">
      <c r="D432" s="8" t="str">
        <f t="shared" si="12"/>
        <v/>
      </c>
      <c r="E432" s="8" t="str">
        <f t="shared" si="13"/>
        <v/>
      </c>
    </row>
    <row r="433" spans="4:5" x14ac:dyDescent="0.2">
      <c r="D433" s="8" t="str">
        <f t="shared" si="12"/>
        <v/>
      </c>
      <c r="E433" s="8" t="str">
        <f t="shared" si="13"/>
        <v/>
      </c>
    </row>
    <row r="434" spans="4:5" x14ac:dyDescent="0.2">
      <c r="D434" s="8" t="str">
        <f t="shared" si="12"/>
        <v/>
      </c>
      <c r="E434" s="8" t="str">
        <f t="shared" si="13"/>
        <v/>
      </c>
    </row>
    <row r="435" spans="4:5" x14ac:dyDescent="0.2">
      <c r="D435" s="8" t="str">
        <f t="shared" si="12"/>
        <v/>
      </c>
      <c r="E435" s="8" t="str">
        <f t="shared" si="13"/>
        <v/>
      </c>
    </row>
    <row r="436" spans="4:5" x14ac:dyDescent="0.2">
      <c r="D436" s="8" t="str">
        <f t="shared" si="12"/>
        <v/>
      </c>
      <c r="E436" s="8" t="str">
        <f t="shared" si="13"/>
        <v/>
      </c>
    </row>
    <row r="437" spans="4:5" x14ac:dyDescent="0.2">
      <c r="D437" s="8" t="str">
        <f t="shared" si="12"/>
        <v/>
      </c>
      <c r="E437" s="8" t="str">
        <f t="shared" si="13"/>
        <v/>
      </c>
    </row>
    <row r="438" spans="4:5" x14ac:dyDescent="0.2">
      <c r="D438" s="8" t="str">
        <f t="shared" si="12"/>
        <v/>
      </c>
      <c r="E438" s="8" t="str">
        <f t="shared" si="13"/>
        <v/>
      </c>
    </row>
    <row r="439" spans="4:5" x14ac:dyDescent="0.2">
      <c r="D439" s="8" t="str">
        <f t="shared" si="12"/>
        <v/>
      </c>
      <c r="E439" s="8" t="str">
        <f t="shared" si="13"/>
        <v/>
      </c>
    </row>
    <row r="440" spans="4:5" x14ac:dyDescent="0.2">
      <c r="D440" s="8" t="str">
        <f t="shared" si="12"/>
        <v/>
      </c>
      <c r="E440" s="8" t="str">
        <f t="shared" si="13"/>
        <v/>
      </c>
    </row>
    <row r="441" spans="4:5" x14ac:dyDescent="0.2">
      <c r="D441" s="8" t="str">
        <f t="shared" si="12"/>
        <v/>
      </c>
      <c r="E441" s="8" t="str">
        <f t="shared" si="13"/>
        <v/>
      </c>
    </row>
    <row r="442" spans="4:5" x14ac:dyDescent="0.2">
      <c r="D442" s="8" t="str">
        <f t="shared" si="12"/>
        <v/>
      </c>
      <c r="E442" s="8" t="str">
        <f t="shared" si="13"/>
        <v/>
      </c>
    </row>
    <row r="443" spans="4:5" x14ac:dyDescent="0.2">
      <c r="D443" s="8" t="str">
        <f t="shared" si="12"/>
        <v/>
      </c>
      <c r="E443" s="8" t="str">
        <f t="shared" si="13"/>
        <v/>
      </c>
    </row>
    <row r="444" spans="4:5" x14ac:dyDescent="0.2">
      <c r="D444" s="8" t="str">
        <f t="shared" si="12"/>
        <v/>
      </c>
      <c r="E444" s="8" t="str">
        <f t="shared" si="13"/>
        <v/>
      </c>
    </row>
    <row r="445" spans="4:5" x14ac:dyDescent="0.2">
      <c r="D445" s="8" t="str">
        <f t="shared" si="12"/>
        <v/>
      </c>
      <c r="E445" s="8" t="str">
        <f t="shared" si="13"/>
        <v/>
      </c>
    </row>
    <row r="446" spans="4:5" x14ac:dyDescent="0.2">
      <c r="D446" s="8" t="str">
        <f t="shared" si="12"/>
        <v/>
      </c>
      <c r="E446" s="8" t="str">
        <f t="shared" si="13"/>
        <v/>
      </c>
    </row>
    <row r="447" spans="4:5" x14ac:dyDescent="0.2">
      <c r="D447" s="8" t="str">
        <f t="shared" si="12"/>
        <v/>
      </c>
      <c r="E447" s="8" t="str">
        <f t="shared" si="13"/>
        <v/>
      </c>
    </row>
    <row r="448" spans="4:5" x14ac:dyDescent="0.2">
      <c r="D448" s="8" t="str">
        <f t="shared" si="12"/>
        <v/>
      </c>
      <c r="E448" s="8" t="str">
        <f t="shared" si="13"/>
        <v/>
      </c>
    </row>
    <row r="449" spans="4:5" x14ac:dyDescent="0.2">
      <c r="D449" s="8" t="str">
        <f t="shared" si="12"/>
        <v/>
      </c>
      <c r="E449" s="8" t="str">
        <f t="shared" si="13"/>
        <v/>
      </c>
    </row>
    <row r="450" spans="4:5" x14ac:dyDescent="0.2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">
      <c r="D451" s="8" t="str">
        <f t="shared" si="14"/>
        <v/>
      </c>
      <c r="E451" s="8" t="str">
        <f t="shared" si="13"/>
        <v/>
      </c>
    </row>
    <row r="452" spans="4:5" x14ac:dyDescent="0.2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">
      <c r="D453" s="8" t="str">
        <f t="shared" si="14"/>
        <v/>
      </c>
      <c r="E453" s="8" t="str">
        <f t="shared" si="15"/>
        <v/>
      </c>
    </row>
    <row r="454" spans="4:5" x14ac:dyDescent="0.2">
      <c r="D454" s="8" t="str">
        <f t="shared" si="14"/>
        <v/>
      </c>
      <c r="E454" s="8" t="str">
        <f t="shared" si="15"/>
        <v/>
      </c>
    </row>
    <row r="455" spans="4:5" x14ac:dyDescent="0.2">
      <c r="D455" s="8" t="str">
        <f t="shared" si="14"/>
        <v/>
      </c>
      <c r="E455" s="8" t="str">
        <f t="shared" si="15"/>
        <v/>
      </c>
    </row>
    <row r="456" spans="4:5" x14ac:dyDescent="0.2">
      <c r="D456" s="8" t="str">
        <f t="shared" si="14"/>
        <v/>
      </c>
      <c r="E456" s="8" t="str">
        <f t="shared" si="15"/>
        <v/>
      </c>
    </row>
    <row r="457" spans="4:5" x14ac:dyDescent="0.2">
      <c r="D457" s="8" t="str">
        <f t="shared" si="14"/>
        <v/>
      </c>
      <c r="E457" s="8" t="str">
        <f t="shared" si="15"/>
        <v/>
      </c>
    </row>
    <row r="458" spans="4:5" x14ac:dyDescent="0.2">
      <c r="D458" s="8" t="str">
        <f t="shared" si="14"/>
        <v/>
      </c>
      <c r="E458" s="8" t="str">
        <f t="shared" si="15"/>
        <v/>
      </c>
    </row>
    <row r="459" spans="4:5" x14ac:dyDescent="0.2">
      <c r="D459" s="8" t="str">
        <f t="shared" si="14"/>
        <v/>
      </c>
      <c r="E459" s="8" t="str">
        <f t="shared" si="15"/>
        <v/>
      </c>
    </row>
    <row r="460" spans="4:5" x14ac:dyDescent="0.2">
      <c r="D460" s="8" t="str">
        <f t="shared" si="14"/>
        <v/>
      </c>
      <c r="E460" s="8" t="str">
        <f t="shared" si="15"/>
        <v/>
      </c>
    </row>
    <row r="461" spans="4:5" x14ac:dyDescent="0.2">
      <c r="D461" s="8" t="str">
        <f t="shared" si="14"/>
        <v/>
      </c>
      <c r="E461" s="8" t="str">
        <f t="shared" si="15"/>
        <v/>
      </c>
    </row>
    <row r="462" spans="4:5" x14ac:dyDescent="0.2">
      <c r="D462" s="8" t="str">
        <f t="shared" si="14"/>
        <v/>
      </c>
      <c r="E462" s="8" t="str">
        <f t="shared" si="15"/>
        <v/>
      </c>
    </row>
    <row r="463" spans="4:5" x14ac:dyDescent="0.2">
      <c r="D463" s="8" t="str">
        <f t="shared" si="14"/>
        <v/>
      </c>
      <c r="E463" s="8" t="str">
        <f t="shared" si="15"/>
        <v/>
      </c>
    </row>
    <row r="464" spans="4:5" x14ac:dyDescent="0.2">
      <c r="D464" s="8" t="str">
        <f t="shared" si="14"/>
        <v/>
      </c>
      <c r="E464" s="8" t="str">
        <f t="shared" si="15"/>
        <v/>
      </c>
    </row>
    <row r="465" spans="4:5" x14ac:dyDescent="0.2">
      <c r="D465" s="8" t="str">
        <f t="shared" si="14"/>
        <v/>
      </c>
      <c r="E465" s="8" t="str">
        <f t="shared" si="15"/>
        <v/>
      </c>
    </row>
    <row r="466" spans="4:5" x14ac:dyDescent="0.2">
      <c r="D466" s="8" t="str">
        <f t="shared" si="14"/>
        <v/>
      </c>
      <c r="E466" s="8" t="str">
        <f t="shared" si="15"/>
        <v/>
      </c>
    </row>
    <row r="467" spans="4:5" x14ac:dyDescent="0.2">
      <c r="D467" s="8" t="str">
        <f t="shared" si="14"/>
        <v/>
      </c>
      <c r="E467" s="8" t="str">
        <f t="shared" si="15"/>
        <v/>
      </c>
    </row>
    <row r="468" spans="4:5" x14ac:dyDescent="0.2">
      <c r="D468" s="8" t="str">
        <f t="shared" si="14"/>
        <v/>
      </c>
      <c r="E468" s="8" t="str">
        <f t="shared" si="15"/>
        <v/>
      </c>
    </row>
    <row r="469" spans="4:5" x14ac:dyDescent="0.2">
      <c r="D469" s="8" t="str">
        <f t="shared" si="14"/>
        <v/>
      </c>
      <c r="E469" s="8" t="str">
        <f t="shared" si="15"/>
        <v/>
      </c>
    </row>
    <row r="470" spans="4:5" x14ac:dyDescent="0.2">
      <c r="D470" s="8" t="str">
        <f t="shared" si="14"/>
        <v/>
      </c>
      <c r="E470" s="8" t="str">
        <f t="shared" si="15"/>
        <v/>
      </c>
    </row>
    <row r="471" spans="4:5" x14ac:dyDescent="0.2">
      <c r="D471" s="8" t="str">
        <f t="shared" si="14"/>
        <v/>
      </c>
      <c r="E471" s="8" t="str">
        <f t="shared" si="15"/>
        <v/>
      </c>
    </row>
    <row r="472" spans="4:5" x14ac:dyDescent="0.2">
      <c r="D472" s="8" t="str">
        <f t="shared" si="14"/>
        <v/>
      </c>
      <c r="E472" s="8" t="str">
        <f t="shared" si="15"/>
        <v/>
      </c>
    </row>
    <row r="473" spans="4:5" x14ac:dyDescent="0.2">
      <c r="D473" s="8" t="str">
        <f t="shared" si="14"/>
        <v/>
      </c>
      <c r="E473" s="8" t="str">
        <f t="shared" si="15"/>
        <v/>
      </c>
    </row>
    <row r="474" spans="4:5" x14ac:dyDescent="0.2">
      <c r="D474" s="8" t="str">
        <f t="shared" si="14"/>
        <v/>
      </c>
      <c r="E474" s="8" t="str">
        <f t="shared" si="15"/>
        <v/>
      </c>
    </row>
    <row r="475" spans="4:5" x14ac:dyDescent="0.2">
      <c r="D475" s="8" t="str">
        <f t="shared" si="14"/>
        <v/>
      </c>
      <c r="E475" s="8" t="str">
        <f t="shared" si="15"/>
        <v/>
      </c>
    </row>
    <row r="476" spans="4:5" x14ac:dyDescent="0.2">
      <c r="D476" s="8" t="str">
        <f t="shared" si="14"/>
        <v/>
      </c>
      <c r="E476" s="8" t="str">
        <f t="shared" si="15"/>
        <v/>
      </c>
    </row>
    <row r="477" spans="4:5" x14ac:dyDescent="0.2">
      <c r="D477" s="8" t="str">
        <f t="shared" si="14"/>
        <v/>
      </c>
      <c r="E477" s="8" t="str">
        <f t="shared" si="15"/>
        <v/>
      </c>
    </row>
    <row r="478" spans="4:5" x14ac:dyDescent="0.2">
      <c r="D478" s="8" t="str">
        <f t="shared" si="14"/>
        <v/>
      </c>
      <c r="E478" s="8" t="str">
        <f t="shared" si="15"/>
        <v/>
      </c>
    </row>
    <row r="479" spans="4:5" x14ac:dyDescent="0.2">
      <c r="D479" s="8" t="str">
        <f t="shared" si="14"/>
        <v/>
      </c>
      <c r="E479" s="8" t="str">
        <f t="shared" si="15"/>
        <v/>
      </c>
    </row>
    <row r="480" spans="4:5" x14ac:dyDescent="0.2">
      <c r="D480" s="8" t="str">
        <f t="shared" si="14"/>
        <v/>
      </c>
      <c r="E480" s="8" t="str">
        <f t="shared" si="15"/>
        <v/>
      </c>
    </row>
    <row r="481" spans="4:5" x14ac:dyDescent="0.2">
      <c r="D481" s="8" t="str">
        <f t="shared" si="14"/>
        <v/>
      </c>
      <c r="E481" s="8" t="str">
        <f t="shared" si="15"/>
        <v/>
      </c>
    </row>
    <row r="482" spans="4:5" x14ac:dyDescent="0.2">
      <c r="D482" s="8" t="str">
        <f t="shared" si="14"/>
        <v/>
      </c>
      <c r="E482" s="8" t="str">
        <f t="shared" si="15"/>
        <v/>
      </c>
    </row>
    <row r="483" spans="4:5" x14ac:dyDescent="0.2">
      <c r="D483" s="8" t="str">
        <f t="shared" si="14"/>
        <v/>
      </c>
      <c r="E483" s="8" t="str">
        <f t="shared" si="15"/>
        <v/>
      </c>
    </row>
    <row r="484" spans="4:5" x14ac:dyDescent="0.2">
      <c r="D484" s="8" t="str">
        <f t="shared" si="14"/>
        <v/>
      </c>
      <c r="E484" s="8" t="str">
        <f t="shared" si="15"/>
        <v/>
      </c>
    </row>
    <row r="485" spans="4:5" x14ac:dyDescent="0.2">
      <c r="D485" s="8" t="str">
        <f t="shared" si="14"/>
        <v/>
      </c>
      <c r="E485" s="8" t="str">
        <f t="shared" si="15"/>
        <v/>
      </c>
    </row>
    <row r="486" spans="4:5" x14ac:dyDescent="0.2">
      <c r="D486" s="8" t="str">
        <f t="shared" si="14"/>
        <v/>
      </c>
      <c r="E486" s="8" t="str">
        <f t="shared" si="15"/>
        <v/>
      </c>
    </row>
    <row r="487" spans="4:5" x14ac:dyDescent="0.2">
      <c r="D487" s="8" t="str">
        <f t="shared" si="14"/>
        <v/>
      </c>
      <c r="E487" s="8" t="str">
        <f t="shared" si="15"/>
        <v/>
      </c>
    </row>
    <row r="488" spans="4:5" x14ac:dyDescent="0.2">
      <c r="D488" s="8" t="str">
        <f t="shared" si="14"/>
        <v/>
      </c>
      <c r="E488" s="8" t="str">
        <f t="shared" si="15"/>
        <v/>
      </c>
    </row>
    <row r="489" spans="4:5" x14ac:dyDescent="0.2">
      <c r="D489" s="8" t="str">
        <f t="shared" si="14"/>
        <v/>
      </c>
      <c r="E489" s="8" t="str">
        <f t="shared" si="15"/>
        <v/>
      </c>
    </row>
    <row r="490" spans="4:5" x14ac:dyDescent="0.2">
      <c r="D490" s="8" t="str">
        <f t="shared" si="14"/>
        <v/>
      </c>
      <c r="E490" s="8" t="str">
        <f t="shared" si="15"/>
        <v/>
      </c>
    </row>
    <row r="491" spans="4:5" x14ac:dyDescent="0.2">
      <c r="D491" s="8" t="str">
        <f t="shared" si="14"/>
        <v/>
      </c>
      <c r="E491" s="8" t="str">
        <f t="shared" si="15"/>
        <v/>
      </c>
    </row>
    <row r="492" spans="4:5" x14ac:dyDescent="0.2">
      <c r="D492" s="8" t="str">
        <f t="shared" si="14"/>
        <v/>
      </c>
      <c r="E492" s="8" t="str">
        <f t="shared" si="15"/>
        <v/>
      </c>
    </row>
    <row r="493" spans="4:5" x14ac:dyDescent="0.2">
      <c r="D493" s="8" t="str">
        <f t="shared" si="14"/>
        <v/>
      </c>
      <c r="E493" s="8" t="str">
        <f t="shared" si="15"/>
        <v/>
      </c>
    </row>
    <row r="494" spans="4:5" x14ac:dyDescent="0.2">
      <c r="D494" s="8" t="str">
        <f t="shared" si="14"/>
        <v/>
      </c>
      <c r="E494" s="8" t="str">
        <f t="shared" si="15"/>
        <v/>
      </c>
    </row>
    <row r="495" spans="4:5" x14ac:dyDescent="0.2">
      <c r="D495" s="8" t="str">
        <f t="shared" si="14"/>
        <v/>
      </c>
      <c r="E495" s="8" t="str">
        <f t="shared" si="15"/>
        <v/>
      </c>
    </row>
    <row r="496" spans="4:5" x14ac:dyDescent="0.2">
      <c r="D496" s="8" t="str">
        <f t="shared" si="14"/>
        <v/>
      </c>
      <c r="E496" s="8" t="str">
        <f t="shared" si="15"/>
        <v/>
      </c>
    </row>
    <row r="497" spans="4:5" x14ac:dyDescent="0.2">
      <c r="D497" s="8" t="str">
        <f t="shared" si="14"/>
        <v/>
      </c>
      <c r="E497" s="8" t="str">
        <f t="shared" si="15"/>
        <v/>
      </c>
    </row>
    <row r="498" spans="4:5" x14ac:dyDescent="0.2">
      <c r="D498" s="8" t="str">
        <f t="shared" si="14"/>
        <v/>
      </c>
      <c r="E498" s="8" t="str">
        <f t="shared" si="15"/>
        <v/>
      </c>
    </row>
    <row r="499" spans="4:5" x14ac:dyDescent="0.2">
      <c r="D499" s="8" t="str">
        <f t="shared" si="14"/>
        <v/>
      </c>
      <c r="E499" s="8" t="str">
        <f t="shared" si="15"/>
        <v/>
      </c>
    </row>
    <row r="500" spans="4:5" x14ac:dyDescent="0.2">
      <c r="D500" s="8" t="str">
        <f t="shared" si="14"/>
        <v/>
      </c>
      <c r="E500" s="8" t="str">
        <f t="shared" si="15"/>
        <v/>
      </c>
    </row>
    <row r="501" spans="4:5" x14ac:dyDescent="0.2">
      <c r="D501" s="8" t="str">
        <f t="shared" si="14"/>
        <v/>
      </c>
      <c r="E501" s="8" t="str">
        <f t="shared" si="15"/>
        <v/>
      </c>
    </row>
    <row r="502" spans="4:5" x14ac:dyDescent="0.2">
      <c r="D502" s="8" t="str">
        <f t="shared" si="14"/>
        <v/>
      </c>
      <c r="E502" s="8" t="str">
        <f t="shared" si="15"/>
        <v/>
      </c>
    </row>
    <row r="503" spans="4:5" x14ac:dyDescent="0.2">
      <c r="D503" s="8" t="str">
        <f t="shared" si="14"/>
        <v/>
      </c>
      <c r="E503" s="8" t="str">
        <f t="shared" si="15"/>
        <v/>
      </c>
    </row>
    <row r="504" spans="4:5" x14ac:dyDescent="0.2">
      <c r="D504" s="8" t="str">
        <f t="shared" si="14"/>
        <v/>
      </c>
      <c r="E504" s="8" t="str">
        <f t="shared" si="15"/>
        <v/>
      </c>
    </row>
    <row r="505" spans="4:5" x14ac:dyDescent="0.2">
      <c r="D505" s="8" t="str">
        <f t="shared" si="14"/>
        <v/>
      </c>
      <c r="E505" s="8" t="str">
        <f t="shared" si="15"/>
        <v/>
      </c>
    </row>
    <row r="506" spans="4:5" x14ac:dyDescent="0.2">
      <c r="D506" s="8" t="str">
        <f t="shared" si="14"/>
        <v/>
      </c>
      <c r="E506" s="8" t="str">
        <f t="shared" si="15"/>
        <v/>
      </c>
    </row>
    <row r="507" spans="4:5" x14ac:dyDescent="0.2">
      <c r="D507" s="8" t="str">
        <f t="shared" si="14"/>
        <v/>
      </c>
      <c r="E507" s="8" t="str">
        <f t="shared" si="15"/>
        <v/>
      </c>
    </row>
    <row r="508" spans="4:5" x14ac:dyDescent="0.2">
      <c r="D508" s="8" t="str">
        <f t="shared" si="14"/>
        <v/>
      </c>
      <c r="E508" s="8" t="str">
        <f t="shared" si="15"/>
        <v/>
      </c>
    </row>
    <row r="509" spans="4:5" x14ac:dyDescent="0.2">
      <c r="D509" s="8" t="str">
        <f t="shared" si="14"/>
        <v/>
      </c>
      <c r="E509" s="8" t="str">
        <f t="shared" si="15"/>
        <v/>
      </c>
    </row>
    <row r="510" spans="4:5" x14ac:dyDescent="0.2">
      <c r="D510" s="8" t="str">
        <f t="shared" si="14"/>
        <v/>
      </c>
      <c r="E510" s="8" t="str">
        <f t="shared" si="15"/>
        <v/>
      </c>
    </row>
    <row r="511" spans="4:5" x14ac:dyDescent="0.2">
      <c r="D511" s="8" t="str">
        <f t="shared" si="14"/>
        <v/>
      </c>
      <c r="E511" s="8" t="str">
        <f t="shared" si="15"/>
        <v/>
      </c>
    </row>
    <row r="512" spans="4:5" x14ac:dyDescent="0.2">
      <c r="D512" s="8" t="str">
        <f t="shared" si="14"/>
        <v/>
      </c>
      <c r="E512" s="8" t="str">
        <f t="shared" si="15"/>
        <v/>
      </c>
    </row>
    <row r="513" spans="4:5" x14ac:dyDescent="0.2">
      <c r="D513" s="8" t="str">
        <f t="shared" si="14"/>
        <v/>
      </c>
      <c r="E513" s="8" t="str">
        <f t="shared" si="15"/>
        <v/>
      </c>
    </row>
    <row r="514" spans="4:5" x14ac:dyDescent="0.2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">
      <c r="D515" s="8" t="str">
        <f t="shared" si="16"/>
        <v/>
      </c>
      <c r="E515" s="8" t="str">
        <f t="shared" si="15"/>
        <v/>
      </c>
    </row>
    <row r="516" spans="4:5" x14ac:dyDescent="0.2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">
      <c r="D517" s="8" t="str">
        <f t="shared" si="16"/>
        <v/>
      </c>
      <c r="E517" s="8" t="str">
        <f t="shared" si="17"/>
        <v/>
      </c>
    </row>
    <row r="518" spans="4:5" x14ac:dyDescent="0.2">
      <c r="D518" s="8" t="str">
        <f t="shared" si="16"/>
        <v/>
      </c>
      <c r="E518" s="8" t="str">
        <f t="shared" si="17"/>
        <v/>
      </c>
    </row>
    <row r="519" spans="4:5" x14ac:dyDescent="0.2">
      <c r="D519" s="8" t="str">
        <f t="shared" si="16"/>
        <v/>
      </c>
      <c r="E519" s="8" t="str">
        <f t="shared" si="17"/>
        <v/>
      </c>
    </row>
    <row r="520" spans="4:5" x14ac:dyDescent="0.2">
      <c r="D520" s="8" t="str">
        <f t="shared" si="16"/>
        <v/>
      </c>
      <c r="E520" s="8" t="str">
        <f t="shared" si="17"/>
        <v/>
      </c>
    </row>
    <row r="521" spans="4:5" x14ac:dyDescent="0.2">
      <c r="D521" s="8" t="str">
        <f t="shared" si="16"/>
        <v/>
      </c>
      <c r="E521" s="8" t="str">
        <f t="shared" si="17"/>
        <v/>
      </c>
    </row>
    <row r="522" spans="4:5" x14ac:dyDescent="0.2">
      <c r="D522" s="8" t="str">
        <f t="shared" si="16"/>
        <v/>
      </c>
      <c r="E522" s="8" t="str">
        <f t="shared" si="17"/>
        <v/>
      </c>
    </row>
    <row r="523" spans="4:5" x14ac:dyDescent="0.2">
      <c r="D523" s="8" t="str">
        <f t="shared" si="16"/>
        <v/>
      </c>
      <c r="E523" s="8" t="str">
        <f t="shared" si="17"/>
        <v/>
      </c>
    </row>
    <row r="524" spans="4:5" x14ac:dyDescent="0.2">
      <c r="D524" s="8" t="str">
        <f t="shared" si="16"/>
        <v/>
      </c>
      <c r="E524" s="8" t="str">
        <f t="shared" si="17"/>
        <v/>
      </c>
    </row>
    <row r="525" spans="4:5" x14ac:dyDescent="0.2">
      <c r="D525" s="8" t="str">
        <f t="shared" si="16"/>
        <v/>
      </c>
      <c r="E525" s="8" t="str">
        <f t="shared" si="17"/>
        <v/>
      </c>
    </row>
    <row r="526" spans="4:5" x14ac:dyDescent="0.2">
      <c r="D526" s="8" t="str">
        <f t="shared" si="16"/>
        <v/>
      </c>
      <c r="E526" s="8" t="str">
        <f t="shared" si="17"/>
        <v/>
      </c>
    </row>
    <row r="527" spans="4:5" x14ac:dyDescent="0.2">
      <c r="D527" s="8" t="str">
        <f t="shared" si="16"/>
        <v/>
      </c>
      <c r="E527" s="8" t="str">
        <f t="shared" si="17"/>
        <v/>
      </c>
    </row>
    <row r="528" spans="4:5" x14ac:dyDescent="0.2">
      <c r="D528" s="8" t="str">
        <f t="shared" si="16"/>
        <v/>
      </c>
      <c r="E528" s="8" t="str">
        <f t="shared" si="17"/>
        <v/>
      </c>
    </row>
    <row r="529" spans="4:5" x14ac:dyDescent="0.2">
      <c r="D529" s="8" t="str">
        <f t="shared" si="16"/>
        <v/>
      </c>
      <c r="E529" s="8" t="str">
        <f t="shared" si="17"/>
        <v/>
      </c>
    </row>
    <row r="530" spans="4:5" x14ac:dyDescent="0.2">
      <c r="D530" s="8" t="str">
        <f t="shared" si="16"/>
        <v/>
      </c>
      <c r="E530" s="8" t="str">
        <f t="shared" si="17"/>
        <v/>
      </c>
    </row>
    <row r="531" spans="4:5" x14ac:dyDescent="0.2">
      <c r="D531" s="8" t="str">
        <f t="shared" si="16"/>
        <v/>
      </c>
      <c r="E531" s="8" t="str">
        <f t="shared" si="17"/>
        <v/>
      </c>
    </row>
    <row r="532" spans="4:5" x14ac:dyDescent="0.2">
      <c r="D532" s="8" t="str">
        <f t="shared" si="16"/>
        <v/>
      </c>
      <c r="E532" s="8" t="str">
        <f t="shared" si="17"/>
        <v/>
      </c>
    </row>
    <row r="533" spans="4:5" x14ac:dyDescent="0.2">
      <c r="D533" s="8" t="str">
        <f t="shared" si="16"/>
        <v/>
      </c>
      <c r="E533" s="8" t="str">
        <f t="shared" si="17"/>
        <v/>
      </c>
    </row>
    <row r="534" spans="4:5" x14ac:dyDescent="0.2">
      <c r="D534" s="8" t="str">
        <f t="shared" si="16"/>
        <v/>
      </c>
      <c r="E534" s="8" t="str">
        <f t="shared" si="17"/>
        <v/>
      </c>
    </row>
    <row r="535" spans="4:5" x14ac:dyDescent="0.2">
      <c r="D535" s="8" t="str">
        <f t="shared" si="16"/>
        <v/>
      </c>
      <c r="E535" s="8" t="str">
        <f t="shared" si="17"/>
        <v/>
      </c>
    </row>
    <row r="536" spans="4:5" x14ac:dyDescent="0.2">
      <c r="D536" s="8" t="str">
        <f t="shared" si="16"/>
        <v/>
      </c>
      <c r="E536" s="8" t="str">
        <f t="shared" si="17"/>
        <v/>
      </c>
    </row>
    <row r="537" spans="4:5" x14ac:dyDescent="0.2">
      <c r="D537" s="8" t="str">
        <f t="shared" si="16"/>
        <v/>
      </c>
      <c r="E537" s="8" t="str">
        <f t="shared" si="17"/>
        <v/>
      </c>
    </row>
    <row r="538" spans="4:5" x14ac:dyDescent="0.2">
      <c r="D538" s="8" t="str">
        <f t="shared" si="16"/>
        <v/>
      </c>
      <c r="E538" s="8" t="str">
        <f t="shared" si="17"/>
        <v/>
      </c>
    </row>
    <row r="539" spans="4:5" x14ac:dyDescent="0.2">
      <c r="D539" s="8" t="str">
        <f t="shared" si="16"/>
        <v/>
      </c>
      <c r="E539" s="8" t="str">
        <f t="shared" si="17"/>
        <v/>
      </c>
    </row>
    <row r="540" spans="4:5" x14ac:dyDescent="0.2">
      <c r="D540" s="8" t="str">
        <f t="shared" si="16"/>
        <v/>
      </c>
      <c r="E540" s="8" t="str">
        <f t="shared" si="17"/>
        <v/>
      </c>
    </row>
    <row r="541" spans="4:5" x14ac:dyDescent="0.2">
      <c r="D541" s="8" t="str">
        <f t="shared" si="16"/>
        <v/>
      </c>
      <c r="E541" s="8" t="str">
        <f t="shared" si="17"/>
        <v/>
      </c>
    </row>
    <row r="542" spans="4:5" x14ac:dyDescent="0.2">
      <c r="D542" s="8" t="str">
        <f t="shared" si="16"/>
        <v/>
      </c>
      <c r="E542" s="8" t="str">
        <f t="shared" si="17"/>
        <v/>
      </c>
    </row>
    <row r="543" spans="4:5" x14ac:dyDescent="0.2">
      <c r="D543" s="8" t="str">
        <f t="shared" si="16"/>
        <v/>
      </c>
      <c r="E543" s="8" t="str">
        <f t="shared" si="17"/>
        <v/>
      </c>
    </row>
    <row r="544" spans="4:5" x14ac:dyDescent="0.2">
      <c r="D544" s="8" t="str">
        <f t="shared" si="16"/>
        <v/>
      </c>
      <c r="E544" s="8" t="str">
        <f t="shared" si="17"/>
        <v/>
      </c>
    </row>
    <row r="545" spans="4:5" x14ac:dyDescent="0.2">
      <c r="D545" s="8" t="str">
        <f t="shared" si="16"/>
        <v/>
      </c>
      <c r="E545" s="8" t="str">
        <f t="shared" si="17"/>
        <v/>
      </c>
    </row>
    <row r="546" spans="4:5" x14ac:dyDescent="0.2">
      <c r="D546" s="8" t="str">
        <f t="shared" si="16"/>
        <v/>
      </c>
      <c r="E546" s="8" t="str">
        <f t="shared" si="17"/>
        <v/>
      </c>
    </row>
    <row r="547" spans="4:5" x14ac:dyDescent="0.2">
      <c r="D547" s="8" t="str">
        <f t="shared" si="16"/>
        <v/>
      </c>
      <c r="E547" s="8" t="str">
        <f t="shared" si="17"/>
        <v/>
      </c>
    </row>
    <row r="548" spans="4:5" x14ac:dyDescent="0.2">
      <c r="D548" s="8" t="str">
        <f t="shared" si="16"/>
        <v/>
      </c>
      <c r="E548" s="8" t="str">
        <f t="shared" si="17"/>
        <v/>
      </c>
    </row>
    <row r="549" spans="4:5" x14ac:dyDescent="0.2">
      <c r="D549" s="8" t="str">
        <f t="shared" si="16"/>
        <v/>
      </c>
      <c r="E549" s="8" t="str">
        <f t="shared" si="17"/>
        <v/>
      </c>
    </row>
    <row r="550" spans="4:5" x14ac:dyDescent="0.2">
      <c r="D550" s="8" t="str">
        <f t="shared" si="16"/>
        <v/>
      </c>
      <c r="E550" s="8" t="str">
        <f t="shared" si="17"/>
        <v/>
      </c>
    </row>
    <row r="551" spans="4:5" x14ac:dyDescent="0.2">
      <c r="D551" s="8" t="str">
        <f t="shared" si="16"/>
        <v/>
      </c>
      <c r="E551" s="8" t="str">
        <f t="shared" si="17"/>
        <v/>
      </c>
    </row>
    <row r="552" spans="4:5" x14ac:dyDescent="0.2">
      <c r="D552" s="8" t="str">
        <f t="shared" si="16"/>
        <v/>
      </c>
      <c r="E552" s="8" t="str">
        <f t="shared" si="17"/>
        <v/>
      </c>
    </row>
    <row r="553" spans="4:5" x14ac:dyDescent="0.2">
      <c r="D553" s="8" t="str">
        <f t="shared" si="16"/>
        <v/>
      </c>
      <c r="E553" s="8" t="str">
        <f t="shared" si="17"/>
        <v/>
      </c>
    </row>
    <row r="554" spans="4:5" x14ac:dyDescent="0.2">
      <c r="D554" s="8" t="str">
        <f t="shared" si="16"/>
        <v/>
      </c>
      <c r="E554" s="8" t="str">
        <f t="shared" si="17"/>
        <v/>
      </c>
    </row>
    <row r="555" spans="4:5" x14ac:dyDescent="0.2">
      <c r="D555" s="8" t="str">
        <f t="shared" si="16"/>
        <v/>
      </c>
      <c r="E555" s="8" t="str">
        <f t="shared" si="17"/>
        <v/>
      </c>
    </row>
    <row r="556" spans="4:5" x14ac:dyDescent="0.2">
      <c r="D556" s="8" t="str">
        <f t="shared" si="16"/>
        <v/>
      </c>
      <c r="E556" s="8" t="str">
        <f t="shared" si="17"/>
        <v/>
      </c>
    </row>
    <row r="557" spans="4:5" x14ac:dyDescent="0.2">
      <c r="D557" s="8" t="str">
        <f t="shared" si="16"/>
        <v/>
      </c>
      <c r="E557" s="8" t="str">
        <f t="shared" si="17"/>
        <v/>
      </c>
    </row>
    <row r="558" spans="4:5" x14ac:dyDescent="0.2">
      <c r="D558" s="8" t="str">
        <f t="shared" si="16"/>
        <v/>
      </c>
      <c r="E558" s="8" t="str">
        <f t="shared" si="17"/>
        <v/>
      </c>
    </row>
    <row r="559" spans="4:5" x14ac:dyDescent="0.2">
      <c r="D559" s="8" t="str">
        <f t="shared" si="16"/>
        <v/>
      </c>
      <c r="E559" s="8" t="str">
        <f t="shared" si="17"/>
        <v/>
      </c>
    </row>
    <row r="560" spans="4:5" x14ac:dyDescent="0.2">
      <c r="D560" s="8" t="str">
        <f t="shared" si="16"/>
        <v/>
      </c>
      <c r="E560" s="8" t="str">
        <f t="shared" si="17"/>
        <v/>
      </c>
    </row>
    <row r="561" spans="4:5" x14ac:dyDescent="0.2">
      <c r="D561" s="8" t="str">
        <f t="shared" si="16"/>
        <v/>
      </c>
      <c r="E561" s="8" t="str">
        <f t="shared" si="17"/>
        <v/>
      </c>
    </row>
    <row r="562" spans="4:5" x14ac:dyDescent="0.2">
      <c r="D562" s="8" t="str">
        <f t="shared" si="16"/>
        <v/>
      </c>
      <c r="E562" s="8" t="str">
        <f t="shared" si="17"/>
        <v/>
      </c>
    </row>
    <row r="563" spans="4:5" x14ac:dyDescent="0.2">
      <c r="D563" s="8" t="str">
        <f t="shared" si="16"/>
        <v/>
      </c>
      <c r="E563" s="8" t="str">
        <f t="shared" si="17"/>
        <v/>
      </c>
    </row>
    <row r="564" spans="4:5" x14ac:dyDescent="0.2">
      <c r="D564" s="8" t="str">
        <f t="shared" si="16"/>
        <v/>
      </c>
      <c r="E564" s="8" t="str">
        <f t="shared" si="17"/>
        <v/>
      </c>
    </row>
    <row r="565" spans="4:5" x14ac:dyDescent="0.2">
      <c r="D565" s="8" t="str">
        <f t="shared" si="16"/>
        <v/>
      </c>
      <c r="E565" s="8" t="str">
        <f t="shared" si="17"/>
        <v/>
      </c>
    </row>
    <row r="566" spans="4:5" x14ac:dyDescent="0.2">
      <c r="D566" s="8" t="str">
        <f t="shared" si="16"/>
        <v/>
      </c>
      <c r="E566" s="8" t="str">
        <f t="shared" si="17"/>
        <v/>
      </c>
    </row>
    <row r="567" spans="4:5" x14ac:dyDescent="0.2">
      <c r="D567" s="8" t="str">
        <f t="shared" si="16"/>
        <v/>
      </c>
      <c r="E567" s="8" t="str">
        <f t="shared" si="17"/>
        <v/>
      </c>
    </row>
    <row r="568" spans="4:5" x14ac:dyDescent="0.2">
      <c r="D568" s="8" t="str">
        <f t="shared" si="16"/>
        <v/>
      </c>
      <c r="E568" s="8" t="str">
        <f t="shared" si="17"/>
        <v/>
      </c>
    </row>
    <row r="569" spans="4:5" x14ac:dyDescent="0.2">
      <c r="D569" s="8" t="str">
        <f t="shared" si="16"/>
        <v/>
      </c>
      <c r="E569" s="8" t="str">
        <f t="shared" si="17"/>
        <v/>
      </c>
    </row>
    <row r="570" spans="4:5" x14ac:dyDescent="0.2">
      <c r="D570" s="8" t="str">
        <f t="shared" si="16"/>
        <v/>
      </c>
      <c r="E570" s="8" t="str">
        <f t="shared" si="17"/>
        <v/>
      </c>
    </row>
    <row r="571" spans="4:5" x14ac:dyDescent="0.2">
      <c r="D571" s="8" t="str">
        <f t="shared" si="16"/>
        <v/>
      </c>
      <c r="E571" s="8" t="str">
        <f t="shared" si="17"/>
        <v/>
      </c>
    </row>
    <row r="572" spans="4:5" x14ac:dyDescent="0.2">
      <c r="D572" s="8" t="str">
        <f t="shared" si="16"/>
        <v/>
      </c>
      <c r="E572" s="8" t="str">
        <f t="shared" si="17"/>
        <v/>
      </c>
    </row>
    <row r="573" spans="4:5" x14ac:dyDescent="0.2">
      <c r="D573" s="8" t="str">
        <f t="shared" si="16"/>
        <v/>
      </c>
      <c r="E573" s="8" t="str">
        <f t="shared" si="17"/>
        <v/>
      </c>
    </row>
    <row r="574" spans="4:5" x14ac:dyDescent="0.2">
      <c r="D574" s="8" t="str">
        <f t="shared" si="16"/>
        <v/>
      </c>
      <c r="E574" s="8" t="str">
        <f t="shared" si="17"/>
        <v/>
      </c>
    </row>
    <row r="575" spans="4:5" x14ac:dyDescent="0.2">
      <c r="D575" s="8" t="str">
        <f t="shared" si="16"/>
        <v/>
      </c>
      <c r="E575" s="8" t="str">
        <f t="shared" si="17"/>
        <v/>
      </c>
    </row>
    <row r="576" spans="4:5" x14ac:dyDescent="0.2">
      <c r="D576" s="8" t="str">
        <f t="shared" si="16"/>
        <v/>
      </c>
      <c r="E576" s="8" t="str">
        <f t="shared" si="17"/>
        <v/>
      </c>
    </row>
    <row r="577" spans="4:5" x14ac:dyDescent="0.2">
      <c r="D577" s="8" t="str">
        <f t="shared" si="16"/>
        <v/>
      </c>
      <c r="E577" s="8" t="str">
        <f t="shared" si="17"/>
        <v/>
      </c>
    </row>
    <row r="578" spans="4:5" x14ac:dyDescent="0.2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">
      <c r="D579" s="8" t="str">
        <f t="shared" si="18"/>
        <v/>
      </c>
      <c r="E579" s="8" t="str">
        <f t="shared" si="17"/>
        <v/>
      </c>
    </row>
    <row r="580" spans="4:5" x14ac:dyDescent="0.2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">
      <c r="D581" s="8" t="str">
        <f t="shared" si="18"/>
        <v/>
      </c>
      <c r="E581" s="8" t="str">
        <f t="shared" si="19"/>
        <v/>
      </c>
    </row>
    <row r="582" spans="4:5" x14ac:dyDescent="0.2">
      <c r="D582" s="8" t="str">
        <f t="shared" si="18"/>
        <v/>
      </c>
      <c r="E582" s="8" t="str">
        <f t="shared" si="19"/>
        <v/>
      </c>
    </row>
    <row r="583" spans="4:5" x14ac:dyDescent="0.2">
      <c r="D583" s="8" t="str">
        <f t="shared" si="18"/>
        <v/>
      </c>
      <c r="E583" s="8" t="str">
        <f t="shared" si="19"/>
        <v/>
      </c>
    </row>
    <row r="584" spans="4:5" x14ac:dyDescent="0.2">
      <c r="D584" s="8" t="str">
        <f t="shared" si="18"/>
        <v/>
      </c>
      <c r="E584" s="8" t="str">
        <f t="shared" si="19"/>
        <v/>
      </c>
    </row>
    <row r="585" spans="4:5" x14ac:dyDescent="0.2">
      <c r="D585" s="8" t="str">
        <f t="shared" si="18"/>
        <v/>
      </c>
      <c r="E585" s="8" t="str">
        <f t="shared" si="19"/>
        <v/>
      </c>
    </row>
    <row r="586" spans="4:5" x14ac:dyDescent="0.2">
      <c r="D586" s="8" t="str">
        <f t="shared" si="18"/>
        <v/>
      </c>
      <c r="E586" s="8" t="str">
        <f t="shared" si="19"/>
        <v/>
      </c>
    </row>
    <row r="587" spans="4:5" x14ac:dyDescent="0.2">
      <c r="D587" s="8" t="str">
        <f t="shared" si="18"/>
        <v/>
      </c>
      <c r="E587" s="8" t="str">
        <f t="shared" si="19"/>
        <v/>
      </c>
    </row>
    <row r="588" spans="4:5" x14ac:dyDescent="0.2">
      <c r="D588" s="8" t="str">
        <f t="shared" si="18"/>
        <v/>
      </c>
      <c r="E588" s="8" t="str">
        <f t="shared" si="19"/>
        <v/>
      </c>
    </row>
    <row r="589" spans="4:5" x14ac:dyDescent="0.2">
      <c r="D589" s="8" t="str">
        <f t="shared" si="18"/>
        <v/>
      </c>
      <c r="E589" s="8" t="str">
        <f t="shared" si="19"/>
        <v/>
      </c>
    </row>
    <row r="590" spans="4:5" x14ac:dyDescent="0.2">
      <c r="D590" s="8" t="str">
        <f t="shared" si="18"/>
        <v/>
      </c>
      <c r="E590" s="8" t="str">
        <f t="shared" si="19"/>
        <v/>
      </c>
    </row>
    <row r="591" spans="4:5" x14ac:dyDescent="0.2">
      <c r="D591" s="8" t="str">
        <f t="shared" si="18"/>
        <v/>
      </c>
      <c r="E591" s="8" t="str">
        <f t="shared" si="19"/>
        <v/>
      </c>
    </row>
    <row r="592" spans="4:5" x14ac:dyDescent="0.2">
      <c r="D592" s="8" t="str">
        <f t="shared" si="18"/>
        <v/>
      </c>
      <c r="E592" s="8" t="str">
        <f t="shared" si="19"/>
        <v/>
      </c>
    </row>
    <row r="593" spans="4:5" x14ac:dyDescent="0.2">
      <c r="D593" s="8" t="str">
        <f t="shared" si="18"/>
        <v/>
      </c>
      <c r="E593" s="8" t="str">
        <f t="shared" si="19"/>
        <v/>
      </c>
    </row>
    <row r="594" spans="4:5" x14ac:dyDescent="0.2">
      <c r="D594" s="8" t="str">
        <f t="shared" si="18"/>
        <v/>
      </c>
      <c r="E594" s="8" t="str">
        <f t="shared" si="19"/>
        <v/>
      </c>
    </row>
    <row r="595" spans="4:5" x14ac:dyDescent="0.2">
      <c r="D595" s="8" t="str">
        <f t="shared" si="18"/>
        <v/>
      </c>
      <c r="E595" s="8" t="str">
        <f t="shared" si="19"/>
        <v/>
      </c>
    </row>
    <row r="596" spans="4:5" x14ac:dyDescent="0.2">
      <c r="D596" s="8" t="str">
        <f t="shared" si="18"/>
        <v/>
      </c>
      <c r="E596" s="8" t="str">
        <f t="shared" si="19"/>
        <v/>
      </c>
    </row>
    <row r="597" spans="4:5" x14ac:dyDescent="0.2">
      <c r="D597" s="8" t="str">
        <f t="shared" si="18"/>
        <v/>
      </c>
      <c r="E597" s="8" t="str">
        <f t="shared" si="19"/>
        <v/>
      </c>
    </row>
    <row r="598" spans="4:5" x14ac:dyDescent="0.2">
      <c r="D598" s="8" t="str">
        <f t="shared" si="18"/>
        <v/>
      </c>
      <c r="E598" s="8" t="str">
        <f t="shared" si="19"/>
        <v/>
      </c>
    </row>
    <row r="599" spans="4:5" x14ac:dyDescent="0.2">
      <c r="D599" s="8" t="str">
        <f t="shared" si="18"/>
        <v/>
      </c>
      <c r="E599" s="8" t="str">
        <f t="shared" si="19"/>
        <v/>
      </c>
    </row>
    <row r="600" spans="4:5" x14ac:dyDescent="0.2">
      <c r="D600" s="8" t="str">
        <f t="shared" si="18"/>
        <v/>
      </c>
      <c r="E600" s="8" t="str">
        <f t="shared" si="19"/>
        <v/>
      </c>
    </row>
    <row r="601" spans="4:5" x14ac:dyDescent="0.2">
      <c r="D601" s="8" t="str">
        <f t="shared" si="18"/>
        <v/>
      </c>
      <c r="E601" s="8" t="str">
        <f t="shared" si="19"/>
        <v/>
      </c>
    </row>
    <row r="602" spans="4:5" x14ac:dyDescent="0.2">
      <c r="D602" s="8" t="str">
        <f t="shared" si="18"/>
        <v/>
      </c>
      <c r="E602" s="8" t="str">
        <f t="shared" si="19"/>
        <v/>
      </c>
    </row>
    <row r="603" spans="4:5" x14ac:dyDescent="0.2">
      <c r="D603" s="8" t="str">
        <f t="shared" si="18"/>
        <v/>
      </c>
      <c r="E603" s="8" t="str">
        <f t="shared" si="19"/>
        <v/>
      </c>
    </row>
    <row r="604" spans="4:5" x14ac:dyDescent="0.2">
      <c r="D604" s="8" t="str">
        <f t="shared" si="18"/>
        <v/>
      </c>
      <c r="E604" s="8" t="str">
        <f t="shared" si="19"/>
        <v/>
      </c>
    </row>
    <row r="605" spans="4:5" x14ac:dyDescent="0.2">
      <c r="D605" s="8" t="str">
        <f t="shared" si="18"/>
        <v/>
      </c>
      <c r="E605" s="8" t="str">
        <f t="shared" si="19"/>
        <v/>
      </c>
    </row>
    <row r="606" spans="4:5" x14ac:dyDescent="0.2">
      <c r="D606" s="8" t="str">
        <f t="shared" si="18"/>
        <v/>
      </c>
      <c r="E606" s="8" t="str">
        <f t="shared" si="19"/>
        <v/>
      </c>
    </row>
    <row r="607" spans="4:5" x14ac:dyDescent="0.2">
      <c r="D607" s="8" t="str">
        <f t="shared" si="18"/>
        <v/>
      </c>
      <c r="E607" s="8" t="str">
        <f t="shared" si="19"/>
        <v/>
      </c>
    </row>
    <row r="608" spans="4:5" x14ac:dyDescent="0.2">
      <c r="D608" s="8" t="str">
        <f t="shared" si="18"/>
        <v/>
      </c>
      <c r="E608" s="8" t="str">
        <f t="shared" si="19"/>
        <v/>
      </c>
    </row>
    <row r="609" spans="4:5" x14ac:dyDescent="0.2">
      <c r="D609" s="8" t="str">
        <f t="shared" si="18"/>
        <v/>
      </c>
      <c r="E609" s="8" t="str">
        <f t="shared" si="19"/>
        <v/>
      </c>
    </row>
    <row r="610" spans="4:5" x14ac:dyDescent="0.2">
      <c r="D610" s="8" t="str">
        <f t="shared" si="18"/>
        <v/>
      </c>
      <c r="E610" s="8" t="str">
        <f t="shared" si="19"/>
        <v/>
      </c>
    </row>
    <row r="611" spans="4:5" x14ac:dyDescent="0.2">
      <c r="D611" s="8" t="str">
        <f t="shared" si="18"/>
        <v/>
      </c>
      <c r="E611" s="8" t="str">
        <f t="shared" si="19"/>
        <v/>
      </c>
    </row>
    <row r="612" spans="4:5" x14ac:dyDescent="0.2">
      <c r="D612" s="8" t="str">
        <f t="shared" si="18"/>
        <v/>
      </c>
      <c r="E612" s="8" t="str">
        <f t="shared" si="19"/>
        <v/>
      </c>
    </row>
    <row r="613" spans="4:5" x14ac:dyDescent="0.2">
      <c r="D613" s="8" t="str">
        <f t="shared" si="18"/>
        <v/>
      </c>
      <c r="E613" s="8" t="str">
        <f t="shared" si="19"/>
        <v/>
      </c>
    </row>
    <row r="614" spans="4:5" x14ac:dyDescent="0.2">
      <c r="D614" s="8" t="str">
        <f t="shared" si="18"/>
        <v/>
      </c>
      <c r="E614" s="8" t="str">
        <f t="shared" si="19"/>
        <v/>
      </c>
    </row>
    <row r="615" spans="4:5" x14ac:dyDescent="0.2">
      <c r="D615" s="8" t="str">
        <f t="shared" si="18"/>
        <v/>
      </c>
      <c r="E615" s="8" t="str">
        <f t="shared" si="19"/>
        <v/>
      </c>
    </row>
    <row r="616" spans="4:5" x14ac:dyDescent="0.2">
      <c r="D616" s="8" t="str">
        <f t="shared" si="18"/>
        <v/>
      </c>
      <c r="E616" s="8" t="str">
        <f t="shared" si="19"/>
        <v/>
      </c>
    </row>
    <row r="617" spans="4:5" x14ac:dyDescent="0.2">
      <c r="D617" s="8" t="str">
        <f t="shared" si="18"/>
        <v/>
      </c>
      <c r="E617" s="8" t="str">
        <f t="shared" si="19"/>
        <v/>
      </c>
    </row>
    <row r="618" spans="4:5" x14ac:dyDescent="0.2">
      <c r="D618" s="8" t="str">
        <f t="shared" si="18"/>
        <v/>
      </c>
      <c r="E618" s="8" t="str">
        <f t="shared" si="19"/>
        <v/>
      </c>
    </row>
    <row r="619" spans="4:5" x14ac:dyDescent="0.2">
      <c r="D619" s="8" t="str">
        <f t="shared" si="18"/>
        <v/>
      </c>
      <c r="E619" s="8" t="str">
        <f t="shared" si="19"/>
        <v/>
      </c>
    </row>
    <row r="620" spans="4:5" x14ac:dyDescent="0.2">
      <c r="D620" s="8" t="str">
        <f t="shared" si="18"/>
        <v/>
      </c>
      <c r="E620" s="8" t="str">
        <f t="shared" si="19"/>
        <v/>
      </c>
    </row>
    <row r="621" spans="4:5" x14ac:dyDescent="0.2">
      <c r="D621" s="8" t="str">
        <f t="shared" si="18"/>
        <v/>
      </c>
      <c r="E621" s="8" t="str">
        <f t="shared" si="19"/>
        <v/>
      </c>
    </row>
    <row r="622" spans="4:5" x14ac:dyDescent="0.2">
      <c r="D622" s="8" t="str">
        <f t="shared" si="18"/>
        <v/>
      </c>
      <c r="E622" s="8" t="str">
        <f t="shared" si="19"/>
        <v/>
      </c>
    </row>
    <row r="623" spans="4:5" x14ac:dyDescent="0.2">
      <c r="D623" s="8" t="str">
        <f t="shared" si="18"/>
        <v/>
      </c>
      <c r="E623" s="8" t="str">
        <f t="shared" si="19"/>
        <v/>
      </c>
    </row>
    <row r="624" spans="4:5" x14ac:dyDescent="0.2">
      <c r="D624" s="8" t="str">
        <f t="shared" si="18"/>
        <v/>
      </c>
      <c r="E624" s="8" t="str">
        <f t="shared" si="19"/>
        <v/>
      </c>
    </row>
    <row r="625" spans="4:5" x14ac:dyDescent="0.2">
      <c r="D625" s="8" t="str">
        <f t="shared" si="18"/>
        <v/>
      </c>
      <c r="E625" s="8" t="str">
        <f t="shared" si="19"/>
        <v/>
      </c>
    </row>
    <row r="626" spans="4:5" x14ac:dyDescent="0.2">
      <c r="D626" s="8" t="str">
        <f t="shared" si="18"/>
        <v/>
      </c>
      <c r="E626" s="8" t="str">
        <f t="shared" si="19"/>
        <v/>
      </c>
    </row>
    <row r="627" spans="4:5" x14ac:dyDescent="0.2">
      <c r="D627" s="8" t="str">
        <f t="shared" si="18"/>
        <v/>
      </c>
      <c r="E627" s="8" t="str">
        <f t="shared" si="19"/>
        <v/>
      </c>
    </row>
    <row r="628" spans="4:5" x14ac:dyDescent="0.2">
      <c r="D628" s="8" t="str">
        <f t="shared" si="18"/>
        <v/>
      </c>
      <c r="E628" s="8" t="str">
        <f t="shared" si="19"/>
        <v/>
      </c>
    </row>
    <row r="629" spans="4:5" x14ac:dyDescent="0.2">
      <c r="D629" s="8" t="str">
        <f t="shared" si="18"/>
        <v/>
      </c>
      <c r="E629" s="8" t="str">
        <f t="shared" si="19"/>
        <v/>
      </c>
    </row>
    <row r="630" spans="4:5" x14ac:dyDescent="0.2">
      <c r="D630" s="8" t="str">
        <f t="shared" si="18"/>
        <v/>
      </c>
      <c r="E630" s="8" t="str">
        <f t="shared" si="19"/>
        <v/>
      </c>
    </row>
    <row r="631" spans="4:5" x14ac:dyDescent="0.2">
      <c r="D631" s="8" t="str">
        <f t="shared" si="18"/>
        <v/>
      </c>
      <c r="E631" s="8" t="str">
        <f t="shared" si="19"/>
        <v/>
      </c>
    </row>
    <row r="632" spans="4:5" x14ac:dyDescent="0.2">
      <c r="D632" s="8" t="str">
        <f t="shared" si="18"/>
        <v/>
      </c>
      <c r="E632" s="8" t="str">
        <f t="shared" si="19"/>
        <v/>
      </c>
    </row>
    <row r="633" spans="4:5" x14ac:dyDescent="0.2">
      <c r="D633" s="8" t="str">
        <f t="shared" si="18"/>
        <v/>
      </c>
      <c r="E633" s="8" t="str">
        <f t="shared" si="19"/>
        <v/>
      </c>
    </row>
    <row r="634" spans="4:5" x14ac:dyDescent="0.2">
      <c r="D634" s="8" t="str">
        <f t="shared" si="18"/>
        <v/>
      </c>
      <c r="E634" s="8" t="str">
        <f t="shared" si="19"/>
        <v/>
      </c>
    </row>
    <row r="635" spans="4:5" x14ac:dyDescent="0.2">
      <c r="D635" s="8" t="str">
        <f t="shared" si="18"/>
        <v/>
      </c>
      <c r="E635" s="8" t="str">
        <f t="shared" si="19"/>
        <v/>
      </c>
    </row>
    <row r="636" spans="4:5" x14ac:dyDescent="0.2">
      <c r="D636" s="8" t="str">
        <f t="shared" si="18"/>
        <v/>
      </c>
      <c r="E636" s="8" t="str">
        <f t="shared" si="19"/>
        <v/>
      </c>
    </row>
    <row r="637" spans="4:5" x14ac:dyDescent="0.2">
      <c r="D637" s="8" t="str">
        <f t="shared" si="18"/>
        <v/>
      </c>
      <c r="E637" s="8" t="str">
        <f t="shared" si="19"/>
        <v/>
      </c>
    </row>
    <row r="638" spans="4:5" x14ac:dyDescent="0.2">
      <c r="D638" s="8" t="str">
        <f t="shared" si="18"/>
        <v/>
      </c>
      <c r="E638" s="8" t="str">
        <f t="shared" si="19"/>
        <v/>
      </c>
    </row>
    <row r="639" spans="4:5" x14ac:dyDescent="0.2">
      <c r="D639" s="8" t="str">
        <f t="shared" si="18"/>
        <v/>
      </c>
      <c r="E639" s="8" t="str">
        <f t="shared" si="19"/>
        <v/>
      </c>
    </row>
    <row r="640" spans="4:5" x14ac:dyDescent="0.2">
      <c r="D640" s="8" t="str">
        <f t="shared" si="18"/>
        <v/>
      </c>
      <c r="E640" s="8" t="str">
        <f t="shared" si="19"/>
        <v/>
      </c>
    </row>
    <row r="641" spans="4:5" x14ac:dyDescent="0.2">
      <c r="D641" s="8" t="str">
        <f t="shared" si="18"/>
        <v/>
      </c>
      <c r="E641" s="8" t="str">
        <f t="shared" si="19"/>
        <v/>
      </c>
    </row>
    <row r="642" spans="4:5" x14ac:dyDescent="0.2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">
      <c r="D643" s="8" t="str">
        <f t="shared" si="20"/>
        <v/>
      </c>
      <c r="E643" s="8" t="str">
        <f t="shared" si="19"/>
        <v/>
      </c>
    </row>
    <row r="644" spans="4:5" x14ac:dyDescent="0.2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">
      <c r="D645" s="8" t="str">
        <f t="shared" si="20"/>
        <v/>
      </c>
      <c r="E645" s="8" t="str">
        <f t="shared" si="21"/>
        <v/>
      </c>
    </row>
    <row r="646" spans="4:5" x14ac:dyDescent="0.2">
      <c r="D646" s="8" t="str">
        <f t="shared" si="20"/>
        <v/>
      </c>
      <c r="E646" s="8" t="str">
        <f t="shared" si="21"/>
        <v/>
      </c>
    </row>
    <row r="647" spans="4:5" x14ac:dyDescent="0.2">
      <c r="D647" s="8" t="str">
        <f t="shared" si="20"/>
        <v/>
      </c>
      <c r="E647" s="8" t="str">
        <f t="shared" si="21"/>
        <v/>
      </c>
    </row>
    <row r="648" spans="4:5" x14ac:dyDescent="0.2">
      <c r="D648" s="8" t="str">
        <f t="shared" si="20"/>
        <v/>
      </c>
      <c r="E648" s="8" t="str">
        <f t="shared" si="21"/>
        <v/>
      </c>
    </row>
    <row r="649" spans="4:5" x14ac:dyDescent="0.2">
      <c r="D649" s="8" t="str">
        <f t="shared" si="20"/>
        <v/>
      </c>
      <c r="E649" s="8" t="str">
        <f t="shared" si="21"/>
        <v/>
      </c>
    </row>
    <row r="650" spans="4:5" x14ac:dyDescent="0.2">
      <c r="D650" s="8" t="str">
        <f t="shared" si="20"/>
        <v/>
      </c>
      <c r="E650" s="8" t="str">
        <f t="shared" si="21"/>
        <v/>
      </c>
    </row>
    <row r="651" spans="4:5" x14ac:dyDescent="0.2">
      <c r="D651" s="8" t="str">
        <f t="shared" si="20"/>
        <v/>
      </c>
      <c r="E651" s="8" t="str">
        <f t="shared" si="21"/>
        <v/>
      </c>
    </row>
    <row r="652" spans="4:5" x14ac:dyDescent="0.2">
      <c r="D652" s="8" t="str">
        <f t="shared" si="20"/>
        <v/>
      </c>
      <c r="E652" s="8" t="str">
        <f t="shared" si="21"/>
        <v/>
      </c>
    </row>
    <row r="653" spans="4:5" x14ac:dyDescent="0.2">
      <c r="D653" s="8" t="str">
        <f t="shared" si="20"/>
        <v/>
      </c>
      <c r="E653" s="8" t="str">
        <f t="shared" si="21"/>
        <v/>
      </c>
    </row>
    <row r="654" spans="4:5" x14ac:dyDescent="0.2">
      <c r="D654" s="8" t="str">
        <f t="shared" si="20"/>
        <v/>
      </c>
      <c r="E654" s="8" t="str">
        <f t="shared" si="21"/>
        <v/>
      </c>
    </row>
    <row r="655" spans="4:5" x14ac:dyDescent="0.2">
      <c r="D655" s="8" t="str">
        <f t="shared" si="20"/>
        <v/>
      </c>
      <c r="E655" s="8" t="str">
        <f t="shared" si="21"/>
        <v/>
      </c>
    </row>
    <row r="656" spans="4:5" x14ac:dyDescent="0.2">
      <c r="D656" s="8" t="str">
        <f t="shared" si="20"/>
        <v/>
      </c>
      <c r="E656" s="8" t="str">
        <f t="shared" si="21"/>
        <v/>
      </c>
    </row>
    <row r="657" spans="4:5" x14ac:dyDescent="0.2">
      <c r="D657" s="8" t="str">
        <f t="shared" si="20"/>
        <v/>
      </c>
      <c r="E657" s="8" t="str">
        <f t="shared" si="21"/>
        <v/>
      </c>
    </row>
    <row r="658" spans="4:5" x14ac:dyDescent="0.2">
      <c r="D658" s="8" t="str">
        <f t="shared" si="20"/>
        <v/>
      </c>
      <c r="E658" s="8" t="str">
        <f t="shared" si="21"/>
        <v/>
      </c>
    </row>
    <row r="659" spans="4:5" x14ac:dyDescent="0.2">
      <c r="D659" s="8" t="str">
        <f t="shared" si="20"/>
        <v/>
      </c>
      <c r="E659" s="8" t="str">
        <f t="shared" si="21"/>
        <v/>
      </c>
    </row>
    <row r="660" spans="4:5" x14ac:dyDescent="0.2">
      <c r="D660" s="8" t="str">
        <f t="shared" si="20"/>
        <v/>
      </c>
      <c r="E660" s="8" t="str">
        <f t="shared" si="21"/>
        <v/>
      </c>
    </row>
    <row r="661" spans="4:5" x14ac:dyDescent="0.2">
      <c r="D661" s="8" t="str">
        <f t="shared" si="20"/>
        <v/>
      </c>
      <c r="E661" s="8" t="str">
        <f t="shared" si="21"/>
        <v/>
      </c>
    </row>
    <row r="662" spans="4:5" x14ac:dyDescent="0.2">
      <c r="D662" s="8" t="str">
        <f t="shared" si="20"/>
        <v/>
      </c>
      <c r="E662" s="8" t="str">
        <f t="shared" si="21"/>
        <v/>
      </c>
    </row>
    <row r="663" spans="4:5" x14ac:dyDescent="0.2">
      <c r="D663" s="8" t="str">
        <f t="shared" si="20"/>
        <v/>
      </c>
      <c r="E663" s="8" t="str">
        <f t="shared" si="21"/>
        <v/>
      </c>
    </row>
    <row r="664" spans="4:5" x14ac:dyDescent="0.2">
      <c r="D664" s="8" t="str">
        <f t="shared" si="20"/>
        <v/>
      </c>
      <c r="E664" s="8" t="str">
        <f t="shared" si="21"/>
        <v/>
      </c>
    </row>
    <row r="665" spans="4:5" x14ac:dyDescent="0.2">
      <c r="D665" s="8" t="str">
        <f t="shared" si="20"/>
        <v/>
      </c>
      <c r="E665" s="8" t="str">
        <f t="shared" si="21"/>
        <v/>
      </c>
    </row>
    <row r="666" spans="4:5" x14ac:dyDescent="0.2">
      <c r="D666" s="8" t="str">
        <f t="shared" si="20"/>
        <v/>
      </c>
      <c r="E666" s="8" t="str">
        <f t="shared" si="21"/>
        <v/>
      </c>
    </row>
    <row r="667" spans="4:5" x14ac:dyDescent="0.2">
      <c r="D667" s="8" t="str">
        <f t="shared" si="20"/>
        <v/>
      </c>
      <c r="E667" s="8" t="str">
        <f t="shared" si="21"/>
        <v/>
      </c>
    </row>
    <row r="668" spans="4:5" x14ac:dyDescent="0.2">
      <c r="D668" s="8" t="str">
        <f t="shared" si="20"/>
        <v/>
      </c>
      <c r="E668" s="8" t="str">
        <f t="shared" si="21"/>
        <v/>
      </c>
    </row>
    <row r="669" spans="4:5" x14ac:dyDescent="0.2">
      <c r="D669" s="8" t="str">
        <f t="shared" si="20"/>
        <v/>
      </c>
      <c r="E669" s="8" t="str">
        <f t="shared" si="21"/>
        <v/>
      </c>
    </row>
    <row r="670" spans="4:5" x14ac:dyDescent="0.2">
      <c r="D670" s="8" t="str">
        <f t="shared" si="20"/>
        <v/>
      </c>
      <c r="E670" s="8" t="str">
        <f t="shared" si="21"/>
        <v/>
      </c>
    </row>
    <row r="671" spans="4:5" x14ac:dyDescent="0.2">
      <c r="D671" s="8" t="str">
        <f t="shared" si="20"/>
        <v/>
      </c>
      <c r="E671" s="8" t="str">
        <f t="shared" si="21"/>
        <v/>
      </c>
    </row>
    <row r="672" spans="4:5" x14ac:dyDescent="0.2">
      <c r="D672" s="8" t="str">
        <f t="shared" si="20"/>
        <v/>
      </c>
      <c r="E672" s="8" t="str">
        <f t="shared" si="21"/>
        <v/>
      </c>
    </row>
    <row r="673" spans="4:5" x14ac:dyDescent="0.2">
      <c r="D673" s="8" t="str">
        <f t="shared" si="20"/>
        <v/>
      </c>
      <c r="E673" s="8" t="str">
        <f t="shared" si="21"/>
        <v/>
      </c>
    </row>
    <row r="674" spans="4:5" x14ac:dyDescent="0.2">
      <c r="D674" s="8" t="str">
        <f t="shared" si="20"/>
        <v/>
      </c>
      <c r="E674" s="8" t="str">
        <f t="shared" si="21"/>
        <v/>
      </c>
    </row>
    <row r="675" spans="4:5" x14ac:dyDescent="0.2">
      <c r="D675" s="8" t="str">
        <f t="shared" si="20"/>
        <v/>
      </c>
      <c r="E675" s="8" t="str">
        <f t="shared" si="21"/>
        <v/>
      </c>
    </row>
    <row r="676" spans="4:5" x14ac:dyDescent="0.2">
      <c r="D676" s="8" t="str">
        <f t="shared" si="20"/>
        <v/>
      </c>
      <c r="E676" s="8" t="str">
        <f t="shared" si="21"/>
        <v/>
      </c>
    </row>
    <row r="677" spans="4:5" x14ac:dyDescent="0.2">
      <c r="D677" s="8" t="str">
        <f t="shared" si="20"/>
        <v/>
      </c>
      <c r="E677" s="8" t="str">
        <f t="shared" si="21"/>
        <v/>
      </c>
    </row>
    <row r="678" spans="4:5" x14ac:dyDescent="0.2">
      <c r="D678" s="8" t="str">
        <f t="shared" si="20"/>
        <v/>
      </c>
      <c r="E678" s="8" t="str">
        <f t="shared" si="21"/>
        <v/>
      </c>
    </row>
    <row r="679" spans="4:5" x14ac:dyDescent="0.2">
      <c r="D679" s="8" t="str">
        <f t="shared" si="20"/>
        <v/>
      </c>
      <c r="E679" s="8" t="str">
        <f t="shared" si="21"/>
        <v/>
      </c>
    </row>
    <row r="680" spans="4:5" x14ac:dyDescent="0.2">
      <c r="D680" s="8" t="str">
        <f t="shared" si="20"/>
        <v/>
      </c>
      <c r="E680" s="8" t="str">
        <f t="shared" si="21"/>
        <v/>
      </c>
    </row>
    <row r="681" spans="4:5" x14ac:dyDescent="0.2">
      <c r="D681" s="8" t="str">
        <f t="shared" si="20"/>
        <v/>
      </c>
      <c r="E681" s="8" t="str">
        <f t="shared" si="21"/>
        <v/>
      </c>
    </row>
    <row r="682" spans="4:5" x14ac:dyDescent="0.2">
      <c r="D682" s="8" t="str">
        <f t="shared" si="20"/>
        <v/>
      </c>
      <c r="E682" s="8" t="str">
        <f t="shared" si="21"/>
        <v/>
      </c>
    </row>
    <row r="683" spans="4:5" x14ac:dyDescent="0.2">
      <c r="D683" s="8" t="str">
        <f t="shared" si="20"/>
        <v/>
      </c>
      <c r="E683" s="8" t="str">
        <f t="shared" si="21"/>
        <v/>
      </c>
    </row>
    <row r="684" spans="4:5" x14ac:dyDescent="0.2">
      <c r="D684" s="8" t="str">
        <f t="shared" si="20"/>
        <v/>
      </c>
      <c r="E684" s="8" t="str">
        <f t="shared" si="21"/>
        <v/>
      </c>
    </row>
    <row r="685" spans="4:5" x14ac:dyDescent="0.2">
      <c r="D685" s="8" t="str">
        <f t="shared" si="20"/>
        <v/>
      </c>
      <c r="E685" s="8" t="str">
        <f t="shared" si="21"/>
        <v/>
      </c>
    </row>
    <row r="686" spans="4:5" x14ac:dyDescent="0.2">
      <c r="D686" s="8" t="str">
        <f t="shared" si="20"/>
        <v/>
      </c>
      <c r="E686" s="8" t="str">
        <f t="shared" si="21"/>
        <v/>
      </c>
    </row>
    <row r="687" spans="4:5" x14ac:dyDescent="0.2">
      <c r="D687" s="8" t="str">
        <f t="shared" si="20"/>
        <v/>
      </c>
      <c r="E687" s="8" t="str">
        <f t="shared" si="21"/>
        <v/>
      </c>
    </row>
    <row r="688" spans="4:5" x14ac:dyDescent="0.2">
      <c r="D688" s="8" t="str">
        <f t="shared" si="20"/>
        <v/>
      </c>
      <c r="E688" s="8" t="str">
        <f t="shared" si="21"/>
        <v/>
      </c>
    </row>
    <row r="689" spans="4:5" x14ac:dyDescent="0.2">
      <c r="D689" s="8" t="str">
        <f t="shared" si="20"/>
        <v/>
      </c>
      <c r="E689" s="8" t="str">
        <f t="shared" si="21"/>
        <v/>
      </c>
    </row>
    <row r="690" spans="4:5" x14ac:dyDescent="0.2">
      <c r="D690" s="8" t="str">
        <f t="shared" si="20"/>
        <v/>
      </c>
      <c r="E690" s="8" t="str">
        <f t="shared" si="21"/>
        <v/>
      </c>
    </row>
    <row r="691" spans="4:5" x14ac:dyDescent="0.2">
      <c r="D691" s="8" t="str">
        <f t="shared" si="20"/>
        <v/>
      </c>
      <c r="E691" s="8" t="str">
        <f t="shared" si="21"/>
        <v/>
      </c>
    </row>
    <row r="692" spans="4:5" x14ac:dyDescent="0.2">
      <c r="D692" s="8" t="str">
        <f t="shared" si="20"/>
        <v/>
      </c>
      <c r="E692" s="8" t="str">
        <f t="shared" si="21"/>
        <v/>
      </c>
    </row>
    <row r="693" spans="4:5" x14ac:dyDescent="0.2">
      <c r="D693" s="8" t="str">
        <f t="shared" si="20"/>
        <v/>
      </c>
      <c r="E693" s="8" t="str">
        <f t="shared" si="21"/>
        <v/>
      </c>
    </row>
    <row r="694" spans="4:5" x14ac:dyDescent="0.2">
      <c r="D694" s="8" t="str">
        <f t="shared" si="20"/>
        <v/>
      </c>
      <c r="E694" s="8" t="str">
        <f t="shared" si="21"/>
        <v/>
      </c>
    </row>
    <row r="695" spans="4:5" x14ac:dyDescent="0.2">
      <c r="D695" s="8" t="str">
        <f t="shared" si="20"/>
        <v/>
      </c>
      <c r="E695" s="8" t="str">
        <f t="shared" si="21"/>
        <v/>
      </c>
    </row>
    <row r="696" spans="4:5" x14ac:dyDescent="0.2">
      <c r="D696" s="8" t="str">
        <f t="shared" si="20"/>
        <v/>
      </c>
      <c r="E696" s="8" t="str">
        <f t="shared" si="21"/>
        <v/>
      </c>
    </row>
    <row r="697" spans="4:5" x14ac:dyDescent="0.2">
      <c r="D697" s="8" t="str">
        <f t="shared" si="20"/>
        <v/>
      </c>
      <c r="E697" s="8" t="str">
        <f t="shared" si="21"/>
        <v/>
      </c>
    </row>
    <row r="698" spans="4:5" x14ac:dyDescent="0.2">
      <c r="D698" s="8" t="str">
        <f t="shared" si="20"/>
        <v/>
      </c>
      <c r="E698" s="8" t="str">
        <f t="shared" si="21"/>
        <v/>
      </c>
    </row>
    <row r="699" spans="4:5" x14ac:dyDescent="0.2">
      <c r="D699" s="8" t="str">
        <f t="shared" si="20"/>
        <v/>
      </c>
      <c r="E699" s="8" t="str">
        <f t="shared" si="21"/>
        <v/>
      </c>
    </row>
    <row r="700" spans="4:5" x14ac:dyDescent="0.2">
      <c r="D700" s="8" t="str">
        <f t="shared" si="20"/>
        <v/>
      </c>
      <c r="E700" s="8" t="str">
        <f t="shared" si="21"/>
        <v/>
      </c>
    </row>
    <row r="701" spans="4:5" x14ac:dyDescent="0.2">
      <c r="D701" s="8" t="str">
        <f t="shared" si="20"/>
        <v/>
      </c>
      <c r="E701" s="8" t="str">
        <f t="shared" si="21"/>
        <v/>
      </c>
    </row>
    <row r="702" spans="4:5" x14ac:dyDescent="0.2">
      <c r="D702" s="8" t="str">
        <f t="shared" si="20"/>
        <v/>
      </c>
      <c r="E702" s="8" t="str">
        <f t="shared" si="21"/>
        <v/>
      </c>
    </row>
    <row r="703" spans="4:5" x14ac:dyDescent="0.2">
      <c r="D703" s="8" t="str">
        <f t="shared" si="20"/>
        <v/>
      </c>
      <c r="E703" s="8" t="str">
        <f t="shared" si="21"/>
        <v/>
      </c>
    </row>
    <row r="704" spans="4:5" x14ac:dyDescent="0.2">
      <c r="D704" s="8" t="str">
        <f t="shared" si="20"/>
        <v/>
      </c>
      <c r="E704" s="8" t="str">
        <f t="shared" si="21"/>
        <v/>
      </c>
    </row>
    <row r="705" spans="4:5" x14ac:dyDescent="0.2">
      <c r="D705" s="8" t="str">
        <f t="shared" si="20"/>
        <v/>
      </c>
      <c r="E705" s="8" t="str">
        <f t="shared" si="21"/>
        <v/>
      </c>
    </row>
    <row r="706" spans="4:5" x14ac:dyDescent="0.2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">
      <c r="D707" s="8" t="str">
        <f t="shared" si="22"/>
        <v/>
      </c>
      <c r="E707" s="8" t="str">
        <f t="shared" si="21"/>
        <v/>
      </c>
    </row>
    <row r="708" spans="4:5" x14ac:dyDescent="0.2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">
      <c r="D709" s="8" t="str">
        <f t="shared" si="22"/>
        <v/>
      </c>
      <c r="E709" s="8" t="str">
        <f t="shared" si="23"/>
        <v/>
      </c>
    </row>
    <row r="710" spans="4:5" x14ac:dyDescent="0.2">
      <c r="D710" s="8" t="str">
        <f t="shared" si="22"/>
        <v/>
      </c>
      <c r="E710" s="8" t="str">
        <f t="shared" si="23"/>
        <v/>
      </c>
    </row>
    <row r="711" spans="4:5" x14ac:dyDescent="0.2">
      <c r="D711" s="8" t="str">
        <f t="shared" si="22"/>
        <v/>
      </c>
      <c r="E711" s="8" t="str">
        <f t="shared" si="23"/>
        <v/>
      </c>
    </row>
    <row r="712" spans="4:5" x14ac:dyDescent="0.2">
      <c r="D712" s="8" t="str">
        <f t="shared" si="22"/>
        <v/>
      </c>
      <c r="E712" s="8" t="str">
        <f t="shared" si="23"/>
        <v/>
      </c>
    </row>
    <row r="713" spans="4:5" x14ac:dyDescent="0.2">
      <c r="D713" s="8" t="str">
        <f t="shared" si="22"/>
        <v/>
      </c>
      <c r="E713" s="8" t="str">
        <f t="shared" si="23"/>
        <v/>
      </c>
    </row>
    <row r="714" spans="4:5" x14ac:dyDescent="0.2">
      <c r="D714" s="8" t="str">
        <f t="shared" si="22"/>
        <v/>
      </c>
      <c r="E714" s="8" t="str">
        <f t="shared" si="23"/>
        <v/>
      </c>
    </row>
    <row r="715" spans="4:5" x14ac:dyDescent="0.2">
      <c r="D715" s="8" t="str">
        <f t="shared" si="22"/>
        <v/>
      </c>
      <c r="E715" s="8" t="str">
        <f t="shared" si="23"/>
        <v/>
      </c>
    </row>
    <row r="716" spans="4:5" x14ac:dyDescent="0.2">
      <c r="D716" s="8" t="str">
        <f t="shared" si="22"/>
        <v/>
      </c>
      <c r="E716" s="8" t="str">
        <f t="shared" si="23"/>
        <v/>
      </c>
    </row>
    <row r="717" spans="4:5" x14ac:dyDescent="0.2">
      <c r="D717" s="8" t="str">
        <f t="shared" si="22"/>
        <v/>
      </c>
      <c r="E717" s="8" t="str">
        <f t="shared" si="23"/>
        <v/>
      </c>
    </row>
    <row r="718" spans="4:5" x14ac:dyDescent="0.2">
      <c r="D718" s="8" t="str">
        <f t="shared" si="22"/>
        <v/>
      </c>
      <c r="E718" s="8" t="str">
        <f t="shared" si="23"/>
        <v/>
      </c>
    </row>
    <row r="719" spans="4:5" x14ac:dyDescent="0.2">
      <c r="D719" s="8" t="str">
        <f t="shared" si="22"/>
        <v/>
      </c>
      <c r="E719" s="8" t="str">
        <f t="shared" si="23"/>
        <v/>
      </c>
    </row>
    <row r="720" spans="4:5" x14ac:dyDescent="0.2">
      <c r="D720" s="8" t="str">
        <f t="shared" si="22"/>
        <v/>
      </c>
      <c r="E720" s="8" t="str">
        <f t="shared" si="23"/>
        <v/>
      </c>
    </row>
    <row r="721" spans="4:5" x14ac:dyDescent="0.2">
      <c r="D721" s="8" t="str">
        <f t="shared" si="22"/>
        <v/>
      </c>
      <c r="E721" s="8" t="str">
        <f t="shared" si="23"/>
        <v/>
      </c>
    </row>
    <row r="722" spans="4:5" x14ac:dyDescent="0.2">
      <c r="D722" s="8" t="str">
        <f t="shared" si="22"/>
        <v/>
      </c>
      <c r="E722" s="8" t="str">
        <f t="shared" si="23"/>
        <v/>
      </c>
    </row>
    <row r="723" spans="4:5" x14ac:dyDescent="0.2">
      <c r="D723" s="8" t="str">
        <f t="shared" si="22"/>
        <v/>
      </c>
      <c r="E723" s="8" t="str">
        <f t="shared" si="23"/>
        <v/>
      </c>
    </row>
    <row r="724" spans="4:5" x14ac:dyDescent="0.2">
      <c r="D724" s="8" t="str">
        <f t="shared" si="22"/>
        <v/>
      </c>
      <c r="E724" s="8" t="str">
        <f t="shared" si="23"/>
        <v/>
      </c>
    </row>
    <row r="725" spans="4:5" x14ac:dyDescent="0.2">
      <c r="D725" s="8" t="str">
        <f t="shared" si="22"/>
        <v/>
      </c>
      <c r="E725" s="8" t="str">
        <f t="shared" si="23"/>
        <v/>
      </c>
    </row>
    <row r="726" spans="4:5" x14ac:dyDescent="0.2">
      <c r="D726" s="8" t="str">
        <f t="shared" si="22"/>
        <v/>
      </c>
      <c r="E726" s="8" t="str">
        <f t="shared" si="23"/>
        <v/>
      </c>
    </row>
    <row r="727" spans="4:5" x14ac:dyDescent="0.2">
      <c r="D727" s="8" t="str">
        <f t="shared" si="22"/>
        <v/>
      </c>
      <c r="E727" s="8" t="str">
        <f t="shared" si="23"/>
        <v/>
      </c>
    </row>
    <row r="728" spans="4:5" x14ac:dyDescent="0.2">
      <c r="D728" s="8" t="str">
        <f t="shared" si="22"/>
        <v/>
      </c>
      <c r="E728" s="8" t="str">
        <f t="shared" si="23"/>
        <v/>
      </c>
    </row>
    <row r="729" spans="4:5" x14ac:dyDescent="0.2">
      <c r="D729" s="8" t="str">
        <f t="shared" si="22"/>
        <v/>
      </c>
      <c r="E729" s="8" t="str">
        <f t="shared" si="23"/>
        <v/>
      </c>
    </row>
    <row r="730" spans="4:5" x14ac:dyDescent="0.2">
      <c r="D730" s="8" t="str">
        <f t="shared" si="22"/>
        <v/>
      </c>
      <c r="E730" s="8" t="str">
        <f t="shared" si="23"/>
        <v/>
      </c>
    </row>
    <row r="731" spans="4:5" x14ac:dyDescent="0.2">
      <c r="D731" s="8" t="str">
        <f t="shared" si="22"/>
        <v/>
      </c>
      <c r="E731" s="8" t="str">
        <f t="shared" si="23"/>
        <v/>
      </c>
    </row>
    <row r="732" spans="4:5" x14ac:dyDescent="0.2">
      <c r="D732" s="8" t="str">
        <f t="shared" si="22"/>
        <v/>
      </c>
      <c r="E732" s="8" t="str">
        <f t="shared" si="23"/>
        <v/>
      </c>
    </row>
    <row r="733" spans="4:5" x14ac:dyDescent="0.2">
      <c r="D733" s="8" t="str">
        <f t="shared" si="22"/>
        <v/>
      </c>
      <c r="E733" s="8" t="str">
        <f t="shared" si="23"/>
        <v/>
      </c>
    </row>
    <row r="734" spans="4:5" x14ac:dyDescent="0.2">
      <c r="D734" s="8" t="str">
        <f t="shared" si="22"/>
        <v/>
      </c>
      <c r="E734" s="8" t="str">
        <f t="shared" si="23"/>
        <v/>
      </c>
    </row>
    <row r="735" spans="4:5" x14ac:dyDescent="0.2">
      <c r="D735" s="8" t="str">
        <f t="shared" si="22"/>
        <v/>
      </c>
      <c r="E735" s="8" t="str">
        <f t="shared" si="23"/>
        <v/>
      </c>
    </row>
    <row r="736" spans="4:5" x14ac:dyDescent="0.2">
      <c r="D736" s="8" t="str">
        <f t="shared" si="22"/>
        <v/>
      </c>
      <c r="E736" s="8" t="str">
        <f t="shared" si="23"/>
        <v/>
      </c>
    </row>
    <row r="737" spans="4:5" x14ac:dyDescent="0.2">
      <c r="D737" s="8" t="str">
        <f t="shared" si="22"/>
        <v/>
      </c>
      <c r="E737" s="8" t="str">
        <f t="shared" si="23"/>
        <v/>
      </c>
    </row>
    <row r="738" spans="4:5" x14ac:dyDescent="0.2">
      <c r="D738" s="8" t="str">
        <f t="shared" si="22"/>
        <v/>
      </c>
      <c r="E738" s="8" t="str">
        <f t="shared" si="23"/>
        <v/>
      </c>
    </row>
    <row r="739" spans="4:5" x14ac:dyDescent="0.2">
      <c r="D739" s="8" t="str">
        <f t="shared" si="22"/>
        <v/>
      </c>
      <c r="E739" s="8" t="str">
        <f t="shared" si="23"/>
        <v/>
      </c>
    </row>
    <row r="740" spans="4:5" x14ac:dyDescent="0.2">
      <c r="D740" s="8" t="str">
        <f t="shared" si="22"/>
        <v/>
      </c>
      <c r="E740" s="8" t="str">
        <f t="shared" si="23"/>
        <v/>
      </c>
    </row>
    <row r="741" spans="4:5" x14ac:dyDescent="0.2">
      <c r="D741" s="8" t="str">
        <f t="shared" si="22"/>
        <v/>
      </c>
      <c r="E741" s="8" t="str">
        <f t="shared" si="23"/>
        <v/>
      </c>
    </row>
    <row r="742" spans="4:5" x14ac:dyDescent="0.2">
      <c r="D742" s="8" t="str">
        <f t="shared" si="22"/>
        <v/>
      </c>
      <c r="E742" s="8" t="str">
        <f t="shared" si="23"/>
        <v/>
      </c>
    </row>
    <row r="743" spans="4:5" x14ac:dyDescent="0.2">
      <c r="D743" s="8" t="str">
        <f t="shared" si="22"/>
        <v/>
      </c>
      <c r="E743" s="8" t="str">
        <f t="shared" si="23"/>
        <v/>
      </c>
    </row>
    <row r="744" spans="4:5" x14ac:dyDescent="0.2">
      <c r="D744" s="8" t="str">
        <f t="shared" si="22"/>
        <v/>
      </c>
      <c r="E744" s="8" t="str">
        <f t="shared" si="23"/>
        <v/>
      </c>
    </row>
    <row r="745" spans="4:5" x14ac:dyDescent="0.2">
      <c r="D745" s="8" t="str">
        <f t="shared" si="22"/>
        <v/>
      </c>
      <c r="E745" s="8" t="str">
        <f t="shared" si="23"/>
        <v/>
      </c>
    </row>
    <row r="746" spans="4:5" x14ac:dyDescent="0.2">
      <c r="D746" s="8" t="str">
        <f t="shared" si="22"/>
        <v/>
      </c>
      <c r="E746" s="8" t="str">
        <f t="shared" si="23"/>
        <v/>
      </c>
    </row>
    <row r="747" spans="4:5" x14ac:dyDescent="0.2">
      <c r="D747" s="8" t="str">
        <f t="shared" si="22"/>
        <v/>
      </c>
      <c r="E747" s="8" t="str">
        <f t="shared" si="23"/>
        <v/>
      </c>
    </row>
    <row r="748" spans="4:5" x14ac:dyDescent="0.2">
      <c r="D748" s="8" t="str">
        <f t="shared" si="22"/>
        <v/>
      </c>
      <c r="E748" s="8" t="str">
        <f t="shared" si="23"/>
        <v/>
      </c>
    </row>
    <row r="749" spans="4:5" x14ac:dyDescent="0.2">
      <c r="D749" s="8" t="str">
        <f t="shared" si="22"/>
        <v/>
      </c>
      <c r="E749" s="8" t="str">
        <f t="shared" si="23"/>
        <v/>
      </c>
    </row>
    <row r="750" spans="4:5" x14ac:dyDescent="0.2">
      <c r="D750" s="8" t="str">
        <f t="shared" si="22"/>
        <v/>
      </c>
      <c r="E750" s="8" t="str">
        <f t="shared" si="23"/>
        <v/>
      </c>
    </row>
    <row r="751" spans="4:5" x14ac:dyDescent="0.2">
      <c r="D751" s="8" t="str">
        <f t="shared" si="22"/>
        <v/>
      </c>
      <c r="E751" s="8" t="str">
        <f t="shared" si="23"/>
        <v/>
      </c>
    </row>
    <row r="752" spans="4:5" x14ac:dyDescent="0.2">
      <c r="D752" s="8" t="str">
        <f t="shared" si="22"/>
        <v/>
      </c>
      <c r="E752" s="8" t="str">
        <f t="shared" si="23"/>
        <v/>
      </c>
    </row>
    <row r="753" spans="4:5" x14ac:dyDescent="0.2">
      <c r="D753" s="8" t="str">
        <f t="shared" si="22"/>
        <v/>
      </c>
      <c r="E753" s="8" t="str">
        <f t="shared" si="23"/>
        <v/>
      </c>
    </row>
    <row r="754" spans="4:5" x14ac:dyDescent="0.2">
      <c r="D754" s="8" t="str">
        <f t="shared" si="22"/>
        <v/>
      </c>
      <c r="E754" s="8" t="str">
        <f t="shared" si="23"/>
        <v/>
      </c>
    </row>
    <row r="755" spans="4:5" x14ac:dyDescent="0.2">
      <c r="D755" s="8" t="str">
        <f t="shared" si="22"/>
        <v/>
      </c>
      <c r="E755" s="8" t="str">
        <f t="shared" si="23"/>
        <v/>
      </c>
    </row>
    <row r="756" spans="4:5" x14ac:dyDescent="0.2">
      <c r="D756" s="8" t="str">
        <f t="shared" si="22"/>
        <v/>
      </c>
      <c r="E756" s="8" t="str">
        <f t="shared" si="23"/>
        <v/>
      </c>
    </row>
    <row r="757" spans="4:5" x14ac:dyDescent="0.2">
      <c r="D757" s="8" t="str">
        <f t="shared" si="22"/>
        <v/>
      </c>
      <c r="E757" s="8" t="str">
        <f t="shared" si="23"/>
        <v/>
      </c>
    </row>
    <row r="758" spans="4:5" x14ac:dyDescent="0.2">
      <c r="D758" s="8" t="str">
        <f t="shared" si="22"/>
        <v/>
      </c>
      <c r="E758" s="8" t="str">
        <f t="shared" si="23"/>
        <v/>
      </c>
    </row>
    <row r="759" spans="4:5" x14ac:dyDescent="0.2">
      <c r="D759" s="8" t="str">
        <f t="shared" si="22"/>
        <v/>
      </c>
      <c r="E759" s="8" t="str">
        <f t="shared" si="23"/>
        <v/>
      </c>
    </row>
    <row r="760" spans="4:5" x14ac:dyDescent="0.2">
      <c r="D760" s="8" t="str">
        <f t="shared" si="22"/>
        <v/>
      </c>
      <c r="E760" s="8" t="str">
        <f t="shared" si="23"/>
        <v/>
      </c>
    </row>
    <row r="761" spans="4:5" x14ac:dyDescent="0.2">
      <c r="D761" s="8" t="str">
        <f t="shared" si="22"/>
        <v/>
      </c>
      <c r="E761" s="8" t="str">
        <f t="shared" si="23"/>
        <v/>
      </c>
    </row>
    <row r="762" spans="4:5" x14ac:dyDescent="0.2">
      <c r="D762" s="8" t="str">
        <f t="shared" si="22"/>
        <v/>
      </c>
      <c r="E762" s="8" t="str">
        <f t="shared" si="23"/>
        <v/>
      </c>
    </row>
    <row r="763" spans="4:5" x14ac:dyDescent="0.2">
      <c r="D763" s="8" t="str">
        <f t="shared" si="22"/>
        <v/>
      </c>
      <c r="E763" s="8" t="str">
        <f t="shared" si="23"/>
        <v/>
      </c>
    </row>
    <row r="764" spans="4:5" x14ac:dyDescent="0.2">
      <c r="D764" s="8" t="str">
        <f t="shared" si="22"/>
        <v/>
      </c>
      <c r="E764" s="8" t="str">
        <f t="shared" si="23"/>
        <v/>
      </c>
    </row>
    <row r="765" spans="4:5" x14ac:dyDescent="0.2">
      <c r="D765" s="8" t="str">
        <f t="shared" si="22"/>
        <v/>
      </c>
      <c r="E765" s="8" t="str">
        <f t="shared" si="23"/>
        <v/>
      </c>
    </row>
    <row r="766" spans="4:5" x14ac:dyDescent="0.2">
      <c r="D766" s="8" t="str">
        <f t="shared" si="22"/>
        <v/>
      </c>
      <c r="E766" s="8" t="str">
        <f t="shared" si="23"/>
        <v/>
      </c>
    </row>
    <row r="767" spans="4:5" x14ac:dyDescent="0.2">
      <c r="D767" s="8" t="str">
        <f t="shared" si="22"/>
        <v/>
      </c>
      <c r="E767" s="8" t="str">
        <f t="shared" si="23"/>
        <v/>
      </c>
    </row>
    <row r="768" spans="4:5" x14ac:dyDescent="0.2">
      <c r="D768" s="8" t="str">
        <f t="shared" si="22"/>
        <v/>
      </c>
      <c r="E768" s="8" t="str">
        <f t="shared" si="23"/>
        <v/>
      </c>
    </row>
    <row r="769" spans="4:5" x14ac:dyDescent="0.2">
      <c r="D769" s="8" t="str">
        <f t="shared" si="22"/>
        <v/>
      </c>
      <c r="E769" s="8" t="str">
        <f t="shared" si="23"/>
        <v/>
      </c>
    </row>
    <row r="770" spans="4:5" x14ac:dyDescent="0.2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">
      <c r="D771" s="8" t="str">
        <f t="shared" si="24"/>
        <v/>
      </c>
      <c r="E771" s="8" t="str">
        <f t="shared" si="23"/>
        <v/>
      </c>
    </row>
    <row r="772" spans="4:5" x14ac:dyDescent="0.2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">
      <c r="D773" s="8" t="str">
        <f t="shared" si="24"/>
        <v/>
      </c>
      <c r="E773" s="8" t="str">
        <f t="shared" si="25"/>
        <v/>
      </c>
    </row>
    <row r="774" spans="4:5" x14ac:dyDescent="0.2">
      <c r="D774" s="8" t="str">
        <f t="shared" si="24"/>
        <v/>
      </c>
      <c r="E774" s="8" t="str">
        <f t="shared" si="25"/>
        <v/>
      </c>
    </row>
    <row r="775" spans="4:5" x14ac:dyDescent="0.2">
      <c r="D775" s="8" t="str">
        <f t="shared" si="24"/>
        <v/>
      </c>
      <c r="E775" s="8" t="str">
        <f t="shared" si="25"/>
        <v/>
      </c>
    </row>
    <row r="776" spans="4:5" x14ac:dyDescent="0.2">
      <c r="D776" s="8" t="str">
        <f t="shared" si="24"/>
        <v/>
      </c>
      <c r="E776" s="8" t="str">
        <f t="shared" si="25"/>
        <v/>
      </c>
    </row>
    <row r="777" spans="4:5" x14ac:dyDescent="0.2">
      <c r="D777" s="8" t="str">
        <f t="shared" si="24"/>
        <v/>
      </c>
      <c r="E777" s="8" t="str">
        <f t="shared" si="25"/>
        <v/>
      </c>
    </row>
    <row r="778" spans="4:5" x14ac:dyDescent="0.2">
      <c r="D778" s="8" t="str">
        <f t="shared" si="24"/>
        <v/>
      </c>
      <c r="E778" s="8" t="str">
        <f t="shared" si="25"/>
        <v/>
      </c>
    </row>
    <row r="779" spans="4:5" x14ac:dyDescent="0.2">
      <c r="D779" s="8" t="str">
        <f t="shared" si="24"/>
        <v/>
      </c>
      <c r="E779" s="8" t="str">
        <f t="shared" si="25"/>
        <v/>
      </c>
    </row>
    <row r="780" spans="4:5" x14ac:dyDescent="0.2">
      <c r="D780" s="8" t="str">
        <f t="shared" si="24"/>
        <v/>
      </c>
      <c r="E780" s="8" t="str">
        <f t="shared" si="25"/>
        <v/>
      </c>
    </row>
    <row r="781" spans="4:5" x14ac:dyDescent="0.2">
      <c r="D781" s="8" t="str">
        <f t="shared" si="24"/>
        <v/>
      </c>
      <c r="E781" s="8" t="str">
        <f t="shared" si="25"/>
        <v/>
      </c>
    </row>
    <row r="782" spans="4:5" x14ac:dyDescent="0.2">
      <c r="D782" s="8" t="str">
        <f t="shared" si="24"/>
        <v/>
      </c>
      <c r="E782" s="8" t="str">
        <f t="shared" si="25"/>
        <v/>
      </c>
    </row>
    <row r="783" spans="4:5" x14ac:dyDescent="0.2">
      <c r="D783" s="8" t="str">
        <f t="shared" si="24"/>
        <v/>
      </c>
      <c r="E783" s="8" t="str">
        <f t="shared" si="25"/>
        <v/>
      </c>
    </row>
    <row r="784" spans="4:5" x14ac:dyDescent="0.2">
      <c r="D784" s="8" t="str">
        <f t="shared" si="24"/>
        <v/>
      </c>
      <c r="E784" s="8" t="str">
        <f t="shared" si="25"/>
        <v/>
      </c>
    </row>
    <row r="785" spans="4:5" x14ac:dyDescent="0.2">
      <c r="D785" s="8" t="str">
        <f t="shared" si="24"/>
        <v/>
      </c>
      <c r="E785" s="8" t="str">
        <f t="shared" si="25"/>
        <v/>
      </c>
    </row>
    <row r="786" spans="4:5" x14ac:dyDescent="0.2">
      <c r="D786" s="8" t="str">
        <f t="shared" si="24"/>
        <v/>
      </c>
      <c r="E786" s="8" t="str">
        <f t="shared" si="25"/>
        <v/>
      </c>
    </row>
    <row r="787" spans="4:5" x14ac:dyDescent="0.2">
      <c r="D787" s="8" t="str">
        <f t="shared" si="24"/>
        <v/>
      </c>
      <c r="E787" s="8" t="str">
        <f t="shared" si="25"/>
        <v/>
      </c>
    </row>
    <row r="788" spans="4:5" x14ac:dyDescent="0.2">
      <c r="D788" s="8" t="str">
        <f t="shared" si="24"/>
        <v/>
      </c>
      <c r="E788" s="8" t="str">
        <f t="shared" si="25"/>
        <v/>
      </c>
    </row>
    <row r="789" spans="4:5" x14ac:dyDescent="0.2">
      <c r="D789" s="8" t="str">
        <f t="shared" si="24"/>
        <v/>
      </c>
      <c r="E789" s="8" t="str">
        <f t="shared" si="25"/>
        <v/>
      </c>
    </row>
    <row r="790" spans="4:5" x14ac:dyDescent="0.2">
      <c r="D790" s="8" t="str">
        <f t="shared" si="24"/>
        <v/>
      </c>
      <c r="E790" s="8" t="str">
        <f t="shared" si="25"/>
        <v/>
      </c>
    </row>
    <row r="791" spans="4:5" x14ac:dyDescent="0.2">
      <c r="D791" s="8" t="str">
        <f t="shared" si="24"/>
        <v/>
      </c>
      <c r="E791" s="8" t="str">
        <f t="shared" si="25"/>
        <v/>
      </c>
    </row>
    <row r="792" spans="4:5" x14ac:dyDescent="0.2">
      <c r="D792" s="8" t="str">
        <f t="shared" si="24"/>
        <v/>
      </c>
      <c r="E792" s="8" t="str">
        <f t="shared" si="25"/>
        <v/>
      </c>
    </row>
    <row r="793" spans="4:5" x14ac:dyDescent="0.2">
      <c r="D793" s="8" t="str">
        <f t="shared" si="24"/>
        <v/>
      </c>
      <c r="E793" s="8" t="str">
        <f t="shared" si="25"/>
        <v/>
      </c>
    </row>
    <row r="794" spans="4:5" x14ac:dyDescent="0.2">
      <c r="D794" s="8" t="str">
        <f t="shared" si="24"/>
        <v/>
      </c>
      <c r="E794" s="8" t="str">
        <f t="shared" si="25"/>
        <v/>
      </c>
    </row>
    <row r="795" spans="4:5" x14ac:dyDescent="0.2">
      <c r="D795" s="8" t="str">
        <f t="shared" si="24"/>
        <v/>
      </c>
      <c r="E795" s="8" t="str">
        <f t="shared" si="25"/>
        <v/>
      </c>
    </row>
    <row r="796" spans="4:5" x14ac:dyDescent="0.2">
      <c r="D796" s="8" t="str">
        <f t="shared" si="24"/>
        <v/>
      </c>
      <c r="E796" s="8" t="str">
        <f t="shared" si="25"/>
        <v/>
      </c>
    </row>
    <row r="797" spans="4:5" x14ac:dyDescent="0.2">
      <c r="D797" s="8" t="str">
        <f t="shared" si="24"/>
        <v/>
      </c>
      <c r="E797" s="8" t="str">
        <f t="shared" si="25"/>
        <v/>
      </c>
    </row>
    <row r="798" spans="4:5" x14ac:dyDescent="0.2">
      <c r="D798" s="8" t="str">
        <f t="shared" si="24"/>
        <v/>
      </c>
      <c r="E798" s="8" t="str">
        <f t="shared" si="25"/>
        <v/>
      </c>
    </row>
    <row r="799" spans="4:5" x14ac:dyDescent="0.2">
      <c r="D799" s="8" t="str">
        <f t="shared" si="24"/>
        <v/>
      </c>
      <c r="E799" s="8" t="str">
        <f t="shared" si="25"/>
        <v/>
      </c>
    </row>
    <row r="800" spans="4:5" x14ac:dyDescent="0.2">
      <c r="D800" s="8" t="str">
        <f t="shared" si="24"/>
        <v/>
      </c>
      <c r="E800" s="8" t="str">
        <f t="shared" si="25"/>
        <v/>
      </c>
    </row>
    <row r="801" spans="4:5" x14ac:dyDescent="0.2">
      <c r="D801" s="8" t="str">
        <f t="shared" si="24"/>
        <v/>
      </c>
      <c r="E801" s="8" t="str">
        <f t="shared" si="25"/>
        <v/>
      </c>
    </row>
    <row r="802" spans="4:5" x14ac:dyDescent="0.2">
      <c r="D802" s="8" t="str">
        <f t="shared" si="24"/>
        <v/>
      </c>
      <c r="E802" s="8" t="str">
        <f t="shared" si="25"/>
        <v/>
      </c>
    </row>
    <row r="803" spans="4:5" x14ac:dyDescent="0.2">
      <c r="D803" s="8" t="str">
        <f t="shared" si="24"/>
        <v/>
      </c>
      <c r="E803" s="8" t="str">
        <f t="shared" si="25"/>
        <v/>
      </c>
    </row>
    <row r="804" spans="4:5" x14ac:dyDescent="0.2">
      <c r="D804" s="8" t="str">
        <f t="shared" si="24"/>
        <v/>
      </c>
      <c r="E804" s="8" t="str">
        <f t="shared" si="25"/>
        <v/>
      </c>
    </row>
    <row r="805" spans="4:5" x14ac:dyDescent="0.2">
      <c r="D805" s="8" t="str">
        <f t="shared" si="24"/>
        <v/>
      </c>
      <c r="E805" s="8" t="str">
        <f t="shared" si="25"/>
        <v/>
      </c>
    </row>
    <row r="806" spans="4:5" x14ac:dyDescent="0.2">
      <c r="D806" s="8" t="str">
        <f t="shared" si="24"/>
        <v/>
      </c>
      <c r="E806" s="8" t="str">
        <f t="shared" si="25"/>
        <v/>
      </c>
    </row>
    <row r="807" spans="4:5" x14ac:dyDescent="0.2">
      <c r="D807" s="8" t="str">
        <f t="shared" si="24"/>
        <v/>
      </c>
      <c r="E807" s="8" t="str">
        <f t="shared" si="25"/>
        <v/>
      </c>
    </row>
    <row r="808" spans="4:5" x14ac:dyDescent="0.2">
      <c r="D808" s="8" t="str">
        <f t="shared" si="24"/>
        <v/>
      </c>
      <c r="E808" s="8" t="str">
        <f t="shared" si="25"/>
        <v/>
      </c>
    </row>
    <row r="809" spans="4:5" x14ac:dyDescent="0.2">
      <c r="D809" s="8" t="str">
        <f t="shared" si="24"/>
        <v/>
      </c>
      <c r="E809" s="8" t="str">
        <f t="shared" si="25"/>
        <v/>
      </c>
    </row>
    <row r="810" spans="4:5" x14ac:dyDescent="0.2">
      <c r="D810" s="8" t="str">
        <f t="shared" si="24"/>
        <v/>
      </c>
      <c r="E810" s="8" t="str">
        <f t="shared" si="25"/>
        <v/>
      </c>
    </row>
    <row r="811" spans="4:5" x14ac:dyDescent="0.2">
      <c r="D811" s="8" t="str">
        <f t="shared" si="24"/>
        <v/>
      </c>
      <c r="E811" s="8" t="str">
        <f t="shared" si="25"/>
        <v/>
      </c>
    </row>
    <row r="812" spans="4:5" x14ac:dyDescent="0.2">
      <c r="D812" s="8" t="str">
        <f t="shared" si="24"/>
        <v/>
      </c>
      <c r="E812" s="8" t="str">
        <f t="shared" si="25"/>
        <v/>
      </c>
    </row>
    <row r="813" spans="4:5" x14ac:dyDescent="0.2">
      <c r="D813" s="8" t="str">
        <f t="shared" si="24"/>
        <v/>
      </c>
      <c r="E813" s="8" t="str">
        <f t="shared" si="25"/>
        <v/>
      </c>
    </row>
    <row r="814" spans="4:5" x14ac:dyDescent="0.2">
      <c r="D814" s="8" t="str">
        <f t="shared" si="24"/>
        <v/>
      </c>
      <c r="E814" s="8" t="str">
        <f t="shared" si="25"/>
        <v/>
      </c>
    </row>
    <row r="815" spans="4:5" x14ac:dyDescent="0.2">
      <c r="D815" s="8" t="str">
        <f t="shared" si="24"/>
        <v/>
      </c>
      <c r="E815" s="8" t="str">
        <f t="shared" si="25"/>
        <v/>
      </c>
    </row>
    <row r="816" spans="4:5" x14ac:dyDescent="0.2">
      <c r="D816" s="8" t="str">
        <f t="shared" si="24"/>
        <v/>
      </c>
      <c r="E816" s="8" t="str">
        <f t="shared" si="25"/>
        <v/>
      </c>
    </row>
    <row r="817" spans="4:5" x14ac:dyDescent="0.2">
      <c r="D817" s="8" t="str">
        <f t="shared" si="24"/>
        <v/>
      </c>
      <c r="E817" s="8" t="str">
        <f t="shared" si="25"/>
        <v/>
      </c>
    </row>
    <row r="818" spans="4:5" x14ac:dyDescent="0.2">
      <c r="D818" s="8" t="str">
        <f t="shared" si="24"/>
        <v/>
      </c>
      <c r="E818" s="8" t="str">
        <f t="shared" si="25"/>
        <v/>
      </c>
    </row>
    <row r="819" spans="4:5" x14ac:dyDescent="0.2">
      <c r="D819" s="8" t="str">
        <f t="shared" si="24"/>
        <v/>
      </c>
      <c r="E819" s="8" t="str">
        <f t="shared" si="25"/>
        <v/>
      </c>
    </row>
    <row r="820" spans="4:5" x14ac:dyDescent="0.2">
      <c r="D820" s="8" t="str">
        <f t="shared" si="24"/>
        <v/>
      </c>
      <c r="E820" s="8" t="str">
        <f t="shared" si="25"/>
        <v/>
      </c>
    </row>
    <row r="821" spans="4:5" x14ac:dyDescent="0.2">
      <c r="D821" s="8" t="str">
        <f t="shared" si="24"/>
        <v/>
      </c>
      <c r="E821" s="8" t="str">
        <f t="shared" si="25"/>
        <v/>
      </c>
    </row>
    <row r="822" spans="4:5" x14ac:dyDescent="0.2">
      <c r="D822" s="8" t="str">
        <f t="shared" si="24"/>
        <v/>
      </c>
      <c r="E822" s="8" t="str">
        <f t="shared" si="25"/>
        <v/>
      </c>
    </row>
    <row r="823" spans="4:5" x14ac:dyDescent="0.2">
      <c r="D823" s="8" t="str">
        <f t="shared" si="24"/>
        <v/>
      </c>
      <c r="E823" s="8" t="str">
        <f t="shared" si="25"/>
        <v/>
      </c>
    </row>
    <row r="824" spans="4:5" x14ac:dyDescent="0.2">
      <c r="D824" s="8" t="str">
        <f t="shared" si="24"/>
        <v/>
      </c>
      <c r="E824" s="8" t="str">
        <f t="shared" si="25"/>
        <v/>
      </c>
    </row>
    <row r="825" spans="4:5" x14ac:dyDescent="0.2">
      <c r="D825" s="8" t="str">
        <f t="shared" si="24"/>
        <v/>
      </c>
      <c r="E825" s="8" t="str">
        <f t="shared" si="25"/>
        <v/>
      </c>
    </row>
    <row r="826" spans="4:5" x14ac:dyDescent="0.2">
      <c r="D826" s="8" t="str">
        <f t="shared" si="24"/>
        <v/>
      </c>
      <c r="E826" s="8" t="str">
        <f t="shared" si="25"/>
        <v/>
      </c>
    </row>
    <row r="827" spans="4:5" x14ac:dyDescent="0.2">
      <c r="D827" s="8" t="str">
        <f t="shared" si="24"/>
        <v/>
      </c>
      <c r="E827" s="8" t="str">
        <f t="shared" si="25"/>
        <v/>
      </c>
    </row>
    <row r="828" spans="4:5" x14ac:dyDescent="0.2">
      <c r="D828" s="8" t="str">
        <f t="shared" si="24"/>
        <v/>
      </c>
      <c r="E828" s="8" t="str">
        <f t="shared" si="25"/>
        <v/>
      </c>
    </row>
    <row r="829" spans="4:5" x14ac:dyDescent="0.2">
      <c r="D829" s="8" t="str">
        <f t="shared" si="24"/>
        <v/>
      </c>
      <c r="E829" s="8" t="str">
        <f t="shared" si="25"/>
        <v/>
      </c>
    </row>
    <row r="830" spans="4:5" x14ac:dyDescent="0.2">
      <c r="D830" s="8" t="str">
        <f t="shared" si="24"/>
        <v/>
      </c>
      <c r="E830" s="8" t="str">
        <f t="shared" si="25"/>
        <v/>
      </c>
    </row>
    <row r="831" spans="4:5" x14ac:dyDescent="0.2">
      <c r="D831" s="8" t="str">
        <f t="shared" si="24"/>
        <v/>
      </c>
      <c r="E831" s="8" t="str">
        <f t="shared" si="25"/>
        <v/>
      </c>
    </row>
    <row r="832" spans="4:5" x14ac:dyDescent="0.2">
      <c r="D832" s="8" t="str">
        <f t="shared" si="24"/>
        <v/>
      </c>
      <c r="E832" s="8" t="str">
        <f t="shared" si="25"/>
        <v/>
      </c>
    </row>
    <row r="833" spans="4:5" x14ac:dyDescent="0.2">
      <c r="D833" s="8" t="str">
        <f t="shared" si="24"/>
        <v/>
      </c>
      <c r="E833" s="8" t="str">
        <f t="shared" si="25"/>
        <v/>
      </c>
    </row>
    <row r="834" spans="4:5" x14ac:dyDescent="0.2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">
      <c r="D835" s="8" t="str">
        <f t="shared" si="26"/>
        <v/>
      </c>
      <c r="E835" s="8" t="str">
        <f t="shared" si="25"/>
        <v/>
      </c>
    </row>
    <row r="836" spans="4:5" x14ac:dyDescent="0.2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">
      <c r="D837" s="8" t="str">
        <f t="shared" si="26"/>
        <v/>
      </c>
      <c r="E837" s="8" t="str">
        <f t="shared" si="27"/>
        <v/>
      </c>
    </row>
    <row r="838" spans="4:5" x14ac:dyDescent="0.2">
      <c r="D838" s="8" t="str">
        <f t="shared" si="26"/>
        <v/>
      </c>
      <c r="E838" s="8" t="str">
        <f t="shared" si="27"/>
        <v/>
      </c>
    </row>
    <row r="839" spans="4:5" x14ac:dyDescent="0.2">
      <c r="D839" s="8" t="str">
        <f t="shared" si="26"/>
        <v/>
      </c>
      <c r="E839" s="8" t="str">
        <f t="shared" si="27"/>
        <v/>
      </c>
    </row>
    <row r="840" spans="4:5" x14ac:dyDescent="0.2">
      <c r="D840" s="8" t="str">
        <f t="shared" si="26"/>
        <v/>
      </c>
      <c r="E840" s="8" t="str">
        <f t="shared" si="27"/>
        <v/>
      </c>
    </row>
    <row r="841" spans="4:5" x14ac:dyDescent="0.2">
      <c r="D841" s="8" t="str">
        <f t="shared" si="26"/>
        <v/>
      </c>
      <c r="E841" s="8" t="str">
        <f t="shared" si="27"/>
        <v/>
      </c>
    </row>
    <row r="842" spans="4:5" x14ac:dyDescent="0.2">
      <c r="D842" s="8" t="str">
        <f t="shared" si="26"/>
        <v/>
      </c>
      <c r="E842" s="8" t="str">
        <f t="shared" si="27"/>
        <v/>
      </c>
    </row>
    <row r="843" spans="4:5" x14ac:dyDescent="0.2">
      <c r="D843" s="8" t="str">
        <f t="shared" si="26"/>
        <v/>
      </c>
      <c r="E843" s="8" t="str">
        <f t="shared" si="27"/>
        <v/>
      </c>
    </row>
    <row r="844" spans="4:5" x14ac:dyDescent="0.2">
      <c r="D844" s="8" t="str">
        <f t="shared" si="26"/>
        <v/>
      </c>
      <c r="E844" s="8" t="str">
        <f t="shared" si="27"/>
        <v/>
      </c>
    </row>
    <row r="845" spans="4:5" x14ac:dyDescent="0.2">
      <c r="D845" s="8" t="str">
        <f t="shared" si="26"/>
        <v/>
      </c>
      <c r="E845" s="8" t="str">
        <f t="shared" si="27"/>
        <v/>
      </c>
    </row>
    <row r="846" spans="4:5" x14ac:dyDescent="0.2">
      <c r="D846" s="8" t="str">
        <f t="shared" si="26"/>
        <v/>
      </c>
      <c r="E846" s="8" t="str">
        <f t="shared" si="27"/>
        <v/>
      </c>
    </row>
    <row r="847" spans="4:5" x14ac:dyDescent="0.2">
      <c r="D847" s="8" t="str">
        <f t="shared" si="26"/>
        <v/>
      </c>
      <c r="E847" s="8" t="str">
        <f t="shared" si="27"/>
        <v/>
      </c>
    </row>
    <row r="848" spans="4:5" x14ac:dyDescent="0.2">
      <c r="D848" s="8" t="str">
        <f t="shared" si="26"/>
        <v/>
      </c>
      <c r="E848" s="8" t="str">
        <f t="shared" si="27"/>
        <v/>
      </c>
    </row>
    <row r="849" spans="4:5" x14ac:dyDescent="0.2">
      <c r="D849" s="8" t="str">
        <f t="shared" si="26"/>
        <v/>
      </c>
      <c r="E849" s="8" t="str">
        <f t="shared" si="27"/>
        <v/>
      </c>
    </row>
    <row r="850" spans="4:5" x14ac:dyDescent="0.2">
      <c r="D850" s="8" t="str">
        <f t="shared" si="26"/>
        <v/>
      </c>
      <c r="E850" s="8" t="str">
        <f t="shared" si="27"/>
        <v/>
      </c>
    </row>
    <row r="851" spans="4:5" x14ac:dyDescent="0.2">
      <c r="D851" s="8" t="str">
        <f t="shared" si="26"/>
        <v/>
      </c>
      <c r="E851" s="8" t="str">
        <f t="shared" si="27"/>
        <v/>
      </c>
    </row>
    <row r="852" spans="4:5" x14ac:dyDescent="0.2">
      <c r="D852" s="8" t="str">
        <f t="shared" si="26"/>
        <v/>
      </c>
      <c r="E852" s="8" t="str">
        <f t="shared" si="27"/>
        <v/>
      </c>
    </row>
    <row r="853" spans="4:5" x14ac:dyDescent="0.2">
      <c r="D853" s="8" t="str">
        <f t="shared" si="26"/>
        <v/>
      </c>
      <c r="E853" s="8" t="str">
        <f t="shared" si="27"/>
        <v/>
      </c>
    </row>
    <row r="854" spans="4:5" x14ac:dyDescent="0.2">
      <c r="D854" s="8" t="str">
        <f t="shared" si="26"/>
        <v/>
      </c>
      <c r="E854" s="8" t="str">
        <f t="shared" si="27"/>
        <v/>
      </c>
    </row>
    <row r="855" spans="4:5" x14ac:dyDescent="0.2">
      <c r="D855" s="8" t="str">
        <f t="shared" si="26"/>
        <v/>
      </c>
      <c r="E855" s="8" t="str">
        <f t="shared" si="27"/>
        <v/>
      </c>
    </row>
    <row r="856" spans="4:5" x14ac:dyDescent="0.2">
      <c r="D856" s="8" t="str">
        <f t="shared" si="26"/>
        <v/>
      </c>
      <c r="E856" s="8" t="str">
        <f t="shared" si="27"/>
        <v/>
      </c>
    </row>
    <row r="857" spans="4:5" x14ac:dyDescent="0.2">
      <c r="D857" s="8" t="str">
        <f t="shared" si="26"/>
        <v/>
      </c>
      <c r="E857" s="8" t="str">
        <f t="shared" si="27"/>
        <v/>
      </c>
    </row>
    <row r="858" spans="4:5" x14ac:dyDescent="0.2">
      <c r="D858" s="8" t="str">
        <f t="shared" si="26"/>
        <v/>
      </c>
      <c r="E858" s="8" t="str">
        <f t="shared" si="27"/>
        <v/>
      </c>
    </row>
    <row r="859" spans="4:5" x14ac:dyDescent="0.2">
      <c r="D859" s="8" t="str">
        <f t="shared" si="26"/>
        <v/>
      </c>
      <c r="E859" s="8" t="str">
        <f t="shared" si="27"/>
        <v/>
      </c>
    </row>
    <row r="860" spans="4:5" x14ac:dyDescent="0.2">
      <c r="D860" s="8" t="str">
        <f t="shared" si="26"/>
        <v/>
      </c>
      <c r="E860" s="8" t="str">
        <f t="shared" si="27"/>
        <v/>
      </c>
    </row>
    <row r="861" spans="4:5" x14ac:dyDescent="0.2">
      <c r="D861" s="8" t="str">
        <f t="shared" si="26"/>
        <v/>
      </c>
      <c r="E861" s="8" t="str">
        <f t="shared" si="27"/>
        <v/>
      </c>
    </row>
    <row r="862" spans="4:5" x14ac:dyDescent="0.2">
      <c r="D862" s="8" t="str">
        <f t="shared" si="26"/>
        <v/>
      </c>
      <c r="E862" s="8" t="str">
        <f t="shared" si="27"/>
        <v/>
      </c>
    </row>
    <row r="863" spans="4:5" x14ac:dyDescent="0.2">
      <c r="D863" s="8" t="str">
        <f t="shared" si="26"/>
        <v/>
      </c>
      <c r="E863" s="8" t="str">
        <f t="shared" si="27"/>
        <v/>
      </c>
    </row>
    <row r="864" spans="4:5" x14ac:dyDescent="0.2">
      <c r="D864" s="8" t="str">
        <f t="shared" si="26"/>
        <v/>
      </c>
      <c r="E864" s="8" t="str">
        <f t="shared" si="27"/>
        <v/>
      </c>
    </row>
    <row r="865" spans="4:5" x14ac:dyDescent="0.2">
      <c r="D865" s="8" t="str">
        <f t="shared" si="26"/>
        <v/>
      </c>
      <c r="E865" s="8" t="str">
        <f t="shared" si="27"/>
        <v/>
      </c>
    </row>
    <row r="866" spans="4:5" x14ac:dyDescent="0.2">
      <c r="D866" s="8" t="str">
        <f t="shared" si="26"/>
        <v/>
      </c>
      <c r="E866" s="8" t="str">
        <f t="shared" si="27"/>
        <v/>
      </c>
    </row>
    <row r="867" spans="4:5" x14ac:dyDescent="0.2">
      <c r="D867" s="8" t="str">
        <f t="shared" si="26"/>
        <v/>
      </c>
      <c r="E867" s="8" t="str">
        <f t="shared" si="27"/>
        <v/>
      </c>
    </row>
    <row r="868" spans="4:5" x14ac:dyDescent="0.2">
      <c r="D868" s="8" t="str">
        <f t="shared" si="26"/>
        <v/>
      </c>
      <c r="E868" s="8" t="str">
        <f t="shared" si="27"/>
        <v/>
      </c>
    </row>
    <row r="869" spans="4:5" x14ac:dyDescent="0.2">
      <c r="D869" s="8" t="str">
        <f t="shared" si="26"/>
        <v/>
      </c>
      <c r="E869" s="8" t="str">
        <f t="shared" si="27"/>
        <v/>
      </c>
    </row>
    <row r="870" spans="4:5" x14ac:dyDescent="0.2">
      <c r="D870" s="8" t="str">
        <f t="shared" si="26"/>
        <v/>
      </c>
      <c r="E870" s="8" t="str">
        <f t="shared" si="27"/>
        <v/>
      </c>
    </row>
    <row r="871" spans="4:5" x14ac:dyDescent="0.2">
      <c r="D871" s="8" t="str">
        <f t="shared" si="26"/>
        <v/>
      </c>
      <c r="E871" s="8" t="str">
        <f t="shared" si="27"/>
        <v/>
      </c>
    </row>
    <row r="872" spans="4:5" x14ac:dyDescent="0.2">
      <c r="D872" s="8" t="str">
        <f t="shared" si="26"/>
        <v/>
      </c>
      <c r="E872" s="8" t="str">
        <f t="shared" si="27"/>
        <v/>
      </c>
    </row>
    <row r="873" spans="4:5" x14ac:dyDescent="0.2">
      <c r="D873" s="8" t="str">
        <f t="shared" si="26"/>
        <v/>
      </c>
      <c r="E873" s="8" t="str">
        <f t="shared" si="27"/>
        <v/>
      </c>
    </row>
    <row r="874" spans="4:5" x14ac:dyDescent="0.2">
      <c r="D874" s="8" t="str">
        <f t="shared" si="26"/>
        <v/>
      </c>
      <c r="E874" s="8" t="str">
        <f t="shared" si="27"/>
        <v/>
      </c>
    </row>
    <row r="875" spans="4:5" x14ac:dyDescent="0.2">
      <c r="D875" s="8" t="str">
        <f t="shared" si="26"/>
        <v/>
      </c>
      <c r="E875" s="8" t="str">
        <f t="shared" si="27"/>
        <v/>
      </c>
    </row>
    <row r="876" spans="4:5" x14ac:dyDescent="0.2">
      <c r="D876" s="8" t="str">
        <f t="shared" si="26"/>
        <v/>
      </c>
      <c r="E876" s="8" t="str">
        <f t="shared" si="27"/>
        <v/>
      </c>
    </row>
    <row r="877" spans="4:5" x14ac:dyDescent="0.2">
      <c r="D877" s="8" t="str">
        <f t="shared" si="26"/>
        <v/>
      </c>
      <c r="E877" s="8" t="str">
        <f t="shared" si="27"/>
        <v/>
      </c>
    </row>
    <row r="878" spans="4:5" x14ac:dyDescent="0.2">
      <c r="D878" s="8" t="str">
        <f t="shared" si="26"/>
        <v/>
      </c>
      <c r="E878" s="8" t="str">
        <f t="shared" si="27"/>
        <v/>
      </c>
    </row>
    <row r="879" spans="4:5" x14ac:dyDescent="0.2">
      <c r="D879" s="8" t="str">
        <f t="shared" si="26"/>
        <v/>
      </c>
      <c r="E879" s="8" t="str">
        <f t="shared" si="27"/>
        <v/>
      </c>
    </row>
    <row r="880" spans="4:5" x14ac:dyDescent="0.2">
      <c r="D880" s="8" t="str">
        <f t="shared" si="26"/>
        <v/>
      </c>
      <c r="E880" s="8" t="str">
        <f t="shared" si="27"/>
        <v/>
      </c>
    </row>
    <row r="881" spans="4:5" x14ac:dyDescent="0.2">
      <c r="D881" s="8" t="str">
        <f t="shared" si="26"/>
        <v/>
      </c>
      <c r="E881" s="8" t="str">
        <f t="shared" si="27"/>
        <v/>
      </c>
    </row>
    <row r="882" spans="4:5" x14ac:dyDescent="0.2">
      <c r="D882" s="8" t="str">
        <f t="shared" si="26"/>
        <v/>
      </c>
      <c r="E882" s="8" t="str">
        <f t="shared" si="27"/>
        <v/>
      </c>
    </row>
    <row r="883" spans="4:5" x14ac:dyDescent="0.2">
      <c r="D883" s="8" t="str">
        <f t="shared" si="26"/>
        <v/>
      </c>
      <c r="E883" s="8" t="str">
        <f t="shared" si="27"/>
        <v/>
      </c>
    </row>
    <row r="884" spans="4:5" x14ac:dyDescent="0.2">
      <c r="D884" s="8" t="str">
        <f t="shared" si="26"/>
        <v/>
      </c>
      <c r="E884" s="8" t="str">
        <f t="shared" si="27"/>
        <v/>
      </c>
    </row>
    <row r="885" spans="4:5" x14ac:dyDescent="0.2">
      <c r="D885" s="8" t="str">
        <f t="shared" si="26"/>
        <v/>
      </c>
      <c r="E885" s="8" t="str">
        <f t="shared" si="27"/>
        <v/>
      </c>
    </row>
    <row r="886" spans="4:5" x14ac:dyDescent="0.2">
      <c r="D886" s="8" t="str">
        <f t="shared" si="26"/>
        <v/>
      </c>
      <c r="E886" s="8" t="str">
        <f t="shared" si="27"/>
        <v/>
      </c>
    </row>
    <row r="887" spans="4:5" x14ac:dyDescent="0.2">
      <c r="D887" s="8" t="str">
        <f t="shared" si="26"/>
        <v/>
      </c>
      <c r="E887" s="8" t="str">
        <f t="shared" si="27"/>
        <v/>
      </c>
    </row>
    <row r="888" spans="4:5" x14ac:dyDescent="0.2">
      <c r="D888" s="8" t="str">
        <f t="shared" si="26"/>
        <v/>
      </c>
      <c r="E888" s="8" t="str">
        <f t="shared" si="27"/>
        <v/>
      </c>
    </row>
    <row r="889" spans="4:5" x14ac:dyDescent="0.2">
      <c r="D889" s="8" t="str">
        <f t="shared" si="26"/>
        <v/>
      </c>
      <c r="E889" s="8" t="str">
        <f t="shared" si="27"/>
        <v/>
      </c>
    </row>
    <row r="890" spans="4:5" x14ac:dyDescent="0.2">
      <c r="D890" s="8" t="str">
        <f t="shared" si="26"/>
        <v/>
      </c>
      <c r="E890" s="8" t="str">
        <f t="shared" si="27"/>
        <v/>
      </c>
    </row>
    <row r="891" spans="4:5" x14ac:dyDescent="0.2">
      <c r="D891" s="8" t="str">
        <f t="shared" si="26"/>
        <v/>
      </c>
      <c r="E891" s="8" t="str">
        <f t="shared" si="27"/>
        <v/>
      </c>
    </row>
    <row r="892" spans="4:5" x14ac:dyDescent="0.2">
      <c r="D892" s="8" t="str">
        <f t="shared" si="26"/>
        <v/>
      </c>
      <c r="E892" s="8" t="str">
        <f t="shared" si="27"/>
        <v/>
      </c>
    </row>
    <row r="893" spans="4:5" x14ac:dyDescent="0.2">
      <c r="D893" s="8" t="str">
        <f t="shared" si="26"/>
        <v/>
      </c>
      <c r="E893" s="8" t="str">
        <f t="shared" si="27"/>
        <v/>
      </c>
    </row>
    <row r="894" spans="4:5" x14ac:dyDescent="0.2">
      <c r="D894" s="8" t="str">
        <f t="shared" si="26"/>
        <v/>
      </c>
      <c r="E894" s="8" t="str">
        <f t="shared" si="27"/>
        <v/>
      </c>
    </row>
    <row r="895" spans="4:5" x14ac:dyDescent="0.2">
      <c r="D895" s="8" t="str">
        <f t="shared" si="26"/>
        <v/>
      </c>
      <c r="E895" s="8" t="str">
        <f t="shared" si="27"/>
        <v/>
      </c>
    </row>
    <row r="896" spans="4:5" x14ac:dyDescent="0.2">
      <c r="D896" s="8" t="str">
        <f t="shared" si="26"/>
        <v/>
      </c>
      <c r="E896" s="8" t="str">
        <f t="shared" si="27"/>
        <v/>
      </c>
    </row>
    <row r="897" spans="4:5" x14ac:dyDescent="0.2">
      <c r="D897" s="8" t="str">
        <f t="shared" si="26"/>
        <v/>
      </c>
      <c r="E897" s="8" t="str">
        <f t="shared" si="27"/>
        <v/>
      </c>
    </row>
    <row r="898" spans="4:5" x14ac:dyDescent="0.2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">
      <c r="D899" s="8" t="str">
        <f t="shared" si="28"/>
        <v/>
      </c>
      <c r="E899" s="8" t="str">
        <f t="shared" si="27"/>
        <v/>
      </c>
    </row>
    <row r="900" spans="4:5" x14ac:dyDescent="0.2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">
      <c r="D901" s="8" t="str">
        <f t="shared" si="28"/>
        <v/>
      </c>
      <c r="E901" s="8" t="str">
        <f t="shared" si="29"/>
        <v/>
      </c>
    </row>
    <row r="902" spans="4:5" x14ac:dyDescent="0.2">
      <c r="D902" s="8" t="str">
        <f t="shared" si="28"/>
        <v/>
      </c>
      <c r="E902" s="8" t="str">
        <f t="shared" si="29"/>
        <v/>
      </c>
    </row>
    <row r="903" spans="4:5" x14ac:dyDescent="0.2">
      <c r="D903" s="8" t="str">
        <f t="shared" si="28"/>
        <v/>
      </c>
      <c r="E903" s="8" t="str">
        <f t="shared" si="29"/>
        <v/>
      </c>
    </row>
    <row r="904" spans="4:5" x14ac:dyDescent="0.2">
      <c r="D904" s="8" t="str">
        <f t="shared" si="28"/>
        <v/>
      </c>
      <c r="E904" s="8" t="str">
        <f t="shared" si="29"/>
        <v/>
      </c>
    </row>
    <row r="905" spans="4:5" x14ac:dyDescent="0.2">
      <c r="D905" s="8" t="str">
        <f t="shared" si="28"/>
        <v/>
      </c>
      <c r="E905" s="8" t="str">
        <f t="shared" si="29"/>
        <v/>
      </c>
    </row>
    <row r="906" spans="4:5" x14ac:dyDescent="0.2">
      <c r="D906" s="8" t="str">
        <f t="shared" si="28"/>
        <v/>
      </c>
      <c r="E906" s="8" t="str">
        <f t="shared" si="29"/>
        <v/>
      </c>
    </row>
    <row r="907" spans="4:5" x14ac:dyDescent="0.2">
      <c r="D907" s="8" t="str">
        <f t="shared" si="28"/>
        <v/>
      </c>
      <c r="E907" s="8" t="str">
        <f t="shared" si="29"/>
        <v/>
      </c>
    </row>
    <row r="908" spans="4:5" x14ac:dyDescent="0.2">
      <c r="D908" s="8" t="str">
        <f t="shared" si="28"/>
        <v/>
      </c>
      <c r="E908" s="8" t="str">
        <f t="shared" si="29"/>
        <v/>
      </c>
    </row>
    <row r="909" spans="4:5" x14ac:dyDescent="0.2">
      <c r="D909" s="8" t="str">
        <f t="shared" si="28"/>
        <v/>
      </c>
      <c r="E909" s="8" t="str">
        <f t="shared" si="29"/>
        <v/>
      </c>
    </row>
    <row r="910" spans="4:5" x14ac:dyDescent="0.2">
      <c r="D910" s="8" t="str">
        <f t="shared" si="28"/>
        <v/>
      </c>
      <c r="E910" s="8" t="str">
        <f t="shared" si="29"/>
        <v/>
      </c>
    </row>
    <row r="911" spans="4:5" x14ac:dyDescent="0.2">
      <c r="D911" s="8" t="str">
        <f t="shared" si="28"/>
        <v/>
      </c>
      <c r="E911" s="8" t="str">
        <f t="shared" si="29"/>
        <v/>
      </c>
    </row>
    <row r="912" spans="4:5" x14ac:dyDescent="0.2">
      <c r="D912" s="8" t="str">
        <f t="shared" si="28"/>
        <v/>
      </c>
      <c r="E912" s="8" t="str">
        <f t="shared" si="29"/>
        <v/>
      </c>
    </row>
    <row r="913" spans="4:5" x14ac:dyDescent="0.2">
      <c r="D913" s="8" t="str">
        <f t="shared" si="28"/>
        <v/>
      </c>
      <c r="E913" s="8" t="str">
        <f t="shared" si="29"/>
        <v/>
      </c>
    </row>
    <row r="914" spans="4:5" x14ac:dyDescent="0.2">
      <c r="D914" s="8" t="str">
        <f t="shared" si="28"/>
        <v/>
      </c>
      <c r="E914" s="8" t="str">
        <f t="shared" si="29"/>
        <v/>
      </c>
    </row>
    <row r="915" spans="4:5" x14ac:dyDescent="0.2">
      <c r="D915" s="8" t="str">
        <f t="shared" si="28"/>
        <v/>
      </c>
      <c r="E915" s="8" t="str">
        <f t="shared" si="29"/>
        <v/>
      </c>
    </row>
    <row r="916" spans="4:5" x14ac:dyDescent="0.2">
      <c r="D916" s="8" t="str">
        <f t="shared" si="28"/>
        <v/>
      </c>
      <c r="E916" s="8" t="str">
        <f t="shared" si="29"/>
        <v/>
      </c>
    </row>
    <row r="917" spans="4:5" x14ac:dyDescent="0.2">
      <c r="D917" s="8" t="str">
        <f t="shared" si="28"/>
        <v/>
      </c>
      <c r="E917" s="8" t="str">
        <f t="shared" si="29"/>
        <v/>
      </c>
    </row>
    <row r="918" spans="4:5" x14ac:dyDescent="0.2">
      <c r="D918" s="8" t="str">
        <f t="shared" si="28"/>
        <v/>
      </c>
      <c r="E918" s="8" t="str">
        <f t="shared" si="29"/>
        <v/>
      </c>
    </row>
    <row r="919" spans="4:5" x14ac:dyDescent="0.2">
      <c r="D919" s="8" t="str">
        <f t="shared" si="28"/>
        <v/>
      </c>
      <c r="E919" s="8" t="str">
        <f t="shared" si="29"/>
        <v/>
      </c>
    </row>
    <row r="920" spans="4:5" x14ac:dyDescent="0.2">
      <c r="D920" s="8" t="str">
        <f t="shared" si="28"/>
        <v/>
      </c>
      <c r="E920" s="8" t="str">
        <f t="shared" si="29"/>
        <v/>
      </c>
    </row>
    <row r="921" spans="4:5" x14ac:dyDescent="0.2">
      <c r="D921" s="8" t="str">
        <f t="shared" si="28"/>
        <v/>
      </c>
      <c r="E921" s="8" t="str">
        <f t="shared" si="29"/>
        <v/>
      </c>
    </row>
    <row r="922" spans="4:5" x14ac:dyDescent="0.2">
      <c r="D922" s="8" t="str">
        <f t="shared" si="28"/>
        <v/>
      </c>
      <c r="E922" s="8" t="str">
        <f t="shared" si="29"/>
        <v/>
      </c>
    </row>
    <row r="923" spans="4:5" x14ac:dyDescent="0.2">
      <c r="D923" s="8" t="str">
        <f t="shared" si="28"/>
        <v/>
      </c>
      <c r="E923" s="8" t="str">
        <f t="shared" si="29"/>
        <v/>
      </c>
    </row>
    <row r="924" spans="4:5" x14ac:dyDescent="0.2">
      <c r="D924" s="8" t="str">
        <f t="shared" si="28"/>
        <v/>
      </c>
      <c r="E924" s="8" t="str">
        <f t="shared" si="29"/>
        <v/>
      </c>
    </row>
    <row r="925" spans="4:5" x14ac:dyDescent="0.2">
      <c r="D925" s="8" t="str">
        <f t="shared" si="28"/>
        <v/>
      </c>
      <c r="E925" s="8" t="str">
        <f t="shared" si="29"/>
        <v/>
      </c>
    </row>
    <row r="926" spans="4:5" x14ac:dyDescent="0.2">
      <c r="D926" s="8" t="str">
        <f t="shared" si="28"/>
        <v/>
      </c>
      <c r="E926" s="8" t="str">
        <f t="shared" si="29"/>
        <v/>
      </c>
    </row>
    <row r="927" spans="4:5" x14ac:dyDescent="0.2">
      <c r="D927" s="8" t="str">
        <f t="shared" si="28"/>
        <v/>
      </c>
      <c r="E927" s="8" t="str">
        <f t="shared" si="29"/>
        <v/>
      </c>
    </row>
    <row r="928" spans="4:5" x14ac:dyDescent="0.2">
      <c r="D928" s="8" t="str">
        <f t="shared" si="28"/>
        <v/>
      </c>
      <c r="E928" s="8" t="str">
        <f t="shared" si="29"/>
        <v/>
      </c>
    </row>
    <row r="929" spans="4:5" x14ac:dyDescent="0.2">
      <c r="D929" s="8" t="str">
        <f t="shared" si="28"/>
        <v/>
      </c>
      <c r="E929" s="8" t="str">
        <f t="shared" si="29"/>
        <v/>
      </c>
    </row>
    <row r="930" spans="4:5" x14ac:dyDescent="0.2">
      <c r="D930" s="8" t="str">
        <f t="shared" si="28"/>
        <v/>
      </c>
      <c r="E930" s="8" t="str">
        <f t="shared" si="29"/>
        <v/>
      </c>
    </row>
    <row r="931" spans="4:5" x14ac:dyDescent="0.2">
      <c r="D931" s="8" t="str">
        <f t="shared" si="28"/>
        <v/>
      </c>
      <c r="E931" s="8" t="str">
        <f t="shared" si="29"/>
        <v/>
      </c>
    </row>
    <row r="932" spans="4:5" x14ac:dyDescent="0.2">
      <c r="D932" s="8" t="str">
        <f t="shared" si="28"/>
        <v/>
      </c>
      <c r="E932" s="8" t="str">
        <f t="shared" si="29"/>
        <v/>
      </c>
    </row>
    <row r="933" spans="4:5" x14ac:dyDescent="0.2">
      <c r="D933" s="8" t="str">
        <f t="shared" si="28"/>
        <v/>
      </c>
      <c r="E933" s="8" t="str">
        <f t="shared" si="29"/>
        <v/>
      </c>
    </row>
    <row r="934" spans="4:5" x14ac:dyDescent="0.2">
      <c r="D934" s="8" t="str">
        <f t="shared" si="28"/>
        <v/>
      </c>
      <c r="E934" s="8" t="str">
        <f t="shared" si="29"/>
        <v/>
      </c>
    </row>
    <row r="935" spans="4:5" x14ac:dyDescent="0.2">
      <c r="D935" s="8" t="str">
        <f t="shared" si="28"/>
        <v/>
      </c>
      <c r="E935" s="8" t="str">
        <f t="shared" si="29"/>
        <v/>
      </c>
    </row>
    <row r="936" spans="4:5" x14ac:dyDescent="0.2">
      <c r="D936" s="8" t="str">
        <f t="shared" si="28"/>
        <v/>
      </c>
      <c r="E936" s="8" t="str">
        <f t="shared" si="29"/>
        <v/>
      </c>
    </row>
    <row r="937" spans="4:5" x14ac:dyDescent="0.2">
      <c r="D937" s="8" t="str">
        <f t="shared" si="28"/>
        <v/>
      </c>
      <c r="E937" s="8" t="str">
        <f t="shared" si="29"/>
        <v/>
      </c>
    </row>
    <row r="938" spans="4:5" x14ac:dyDescent="0.2">
      <c r="D938" s="8" t="str">
        <f t="shared" si="28"/>
        <v/>
      </c>
      <c r="E938" s="8" t="str">
        <f t="shared" si="29"/>
        <v/>
      </c>
    </row>
    <row r="939" spans="4:5" x14ac:dyDescent="0.2">
      <c r="D939" s="8" t="str">
        <f t="shared" si="28"/>
        <v/>
      </c>
      <c r="E939" s="8" t="str">
        <f t="shared" si="29"/>
        <v/>
      </c>
    </row>
    <row r="940" spans="4:5" x14ac:dyDescent="0.2">
      <c r="D940" s="8" t="str">
        <f t="shared" si="28"/>
        <v/>
      </c>
      <c r="E940" s="8" t="str">
        <f t="shared" si="29"/>
        <v/>
      </c>
    </row>
    <row r="941" spans="4:5" x14ac:dyDescent="0.2">
      <c r="D941" s="8" t="str">
        <f t="shared" si="28"/>
        <v/>
      </c>
      <c r="E941" s="8" t="str">
        <f t="shared" si="29"/>
        <v/>
      </c>
    </row>
    <row r="942" spans="4:5" x14ac:dyDescent="0.2">
      <c r="D942" s="8" t="str">
        <f t="shared" si="28"/>
        <v/>
      </c>
      <c r="E942" s="8" t="str">
        <f t="shared" si="29"/>
        <v/>
      </c>
    </row>
    <row r="943" spans="4:5" x14ac:dyDescent="0.2">
      <c r="D943" s="8" t="str">
        <f t="shared" si="28"/>
        <v/>
      </c>
      <c r="E943" s="8" t="str">
        <f t="shared" si="29"/>
        <v/>
      </c>
    </row>
    <row r="944" spans="4:5" x14ac:dyDescent="0.2">
      <c r="D944" s="8" t="str">
        <f t="shared" si="28"/>
        <v/>
      </c>
      <c r="E944" s="8" t="str">
        <f t="shared" si="29"/>
        <v/>
      </c>
    </row>
    <row r="945" spans="4:5" x14ac:dyDescent="0.2">
      <c r="D945" s="8" t="str">
        <f t="shared" si="28"/>
        <v/>
      </c>
      <c r="E945" s="8" t="str">
        <f t="shared" si="29"/>
        <v/>
      </c>
    </row>
    <row r="946" spans="4:5" x14ac:dyDescent="0.2">
      <c r="D946" s="8" t="str">
        <f t="shared" si="28"/>
        <v/>
      </c>
      <c r="E946" s="8" t="str">
        <f t="shared" si="29"/>
        <v/>
      </c>
    </row>
    <row r="947" spans="4:5" x14ac:dyDescent="0.2">
      <c r="D947" s="8" t="str">
        <f t="shared" si="28"/>
        <v/>
      </c>
      <c r="E947" s="8" t="str">
        <f t="shared" si="29"/>
        <v/>
      </c>
    </row>
    <row r="948" spans="4:5" x14ac:dyDescent="0.2">
      <c r="D948" s="8" t="str">
        <f t="shared" si="28"/>
        <v/>
      </c>
      <c r="E948" s="8" t="str">
        <f t="shared" si="29"/>
        <v/>
      </c>
    </row>
    <row r="949" spans="4:5" x14ac:dyDescent="0.2">
      <c r="D949" s="8" t="str">
        <f t="shared" si="28"/>
        <v/>
      </c>
      <c r="E949" s="8" t="str">
        <f t="shared" si="29"/>
        <v/>
      </c>
    </row>
    <row r="950" spans="4:5" x14ac:dyDescent="0.2">
      <c r="D950" s="8" t="str">
        <f t="shared" si="28"/>
        <v/>
      </c>
      <c r="E950" s="8" t="str">
        <f t="shared" si="29"/>
        <v/>
      </c>
    </row>
    <row r="951" spans="4:5" x14ac:dyDescent="0.2">
      <c r="D951" s="8" t="str">
        <f t="shared" si="28"/>
        <v/>
      </c>
      <c r="E951" s="8" t="str">
        <f t="shared" si="29"/>
        <v/>
      </c>
    </row>
    <row r="952" spans="4:5" x14ac:dyDescent="0.2">
      <c r="D952" s="8" t="str">
        <f t="shared" si="28"/>
        <v/>
      </c>
      <c r="E952" s="8" t="str">
        <f t="shared" si="29"/>
        <v/>
      </c>
    </row>
    <row r="953" spans="4:5" x14ac:dyDescent="0.2">
      <c r="D953" s="8" t="str">
        <f t="shared" si="28"/>
        <v/>
      </c>
      <c r="E953" s="8" t="str">
        <f t="shared" si="29"/>
        <v/>
      </c>
    </row>
    <row r="954" spans="4:5" x14ac:dyDescent="0.2">
      <c r="D954" s="8" t="str">
        <f t="shared" si="28"/>
        <v/>
      </c>
      <c r="E954" s="8" t="str">
        <f t="shared" si="29"/>
        <v/>
      </c>
    </row>
    <row r="955" spans="4:5" x14ac:dyDescent="0.2">
      <c r="D955" s="8" t="str">
        <f t="shared" si="28"/>
        <v/>
      </c>
      <c r="E955" s="8" t="str">
        <f t="shared" si="29"/>
        <v/>
      </c>
    </row>
    <row r="956" spans="4:5" x14ac:dyDescent="0.2">
      <c r="D956" s="8" t="str">
        <f t="shared" si="28"/>
        <v/>
      </c>
      <c r="E956" s="8" t="str">
        <f t="shared" si="29"/>
        <v/>
      </c>
    </row>
    <row r="957" spans="4:5" x14ac:dyDescent="0.2">
      <c r="D957" s="8" t="str">
        <f t="shared" si="28"/>
        <v/>
      </c>
      <c r="E957" s="8" t="str">
        <f t="shared" si="29"/>
        <v/>
      </c>
    </row>
    <row r="958" spans="4:5" x14ac:dyDescent="0.2">
      <c r="D958" s="8" t="str">
        <f t="shared" si="28"/>
        <v/>
      </c>
      <c r="E958" s="8" t="str">
        <f t="shared" si="29"/>
        <v/>
      </c>
    </row>
    <row r="959" spans="4:5" x14ac:dyDescent="0.2">
      <c r="D959" s="8" t="str">
        <f t="shared" si="28"/>
        <v/>
      </c>
      <c r="E959" s="8" t="str">
        <f t="shared" si="29"/>
        <v/>
      </c>
    </row>
    <row r="960" spans="4:5" x14ac:dyDescent="0.2">
      <c r="D960" s="8" t="str">
        <f t="shared" si="28"/>
        <v/>
      </c>
      <c r="E960" s="8" t="str">
        <f t="shared" si="29"/>
        <v/>
      </c>
    </row>
    <row r="961" spans="4:5" x14ac:dyDescent="0.2">
      <c r="D961" s="8" t="str">
        <f t="shared" si="28"/>
        <v/>
      </c>
      <c r="E961" s="8" t="str">
        <f t="shared" si="29"/>
        <v/>
      </c>
    </row>
    <row r="962" spans="4:5" x14ac:dyDescent="0.2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">
      <c r="D963" s="8" t="str">
        <f t="shared" si="30"/>
        <v/>
      </c>
      <c r="E963" s="8" t="str">
        <f t="shared" si="29"/>
        <v/>
      </c>
    </row>
    <row r="964" spans="4:5" x14ac:dyDescent="0.2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">
      <c r="D965" s="8" t="str">
        <f t="shared" si="30"/>
        <v/>
      </c>
      <c r="E965" s="8" t="str">
        <f t="shared" si="31"/>
        <v/>
      </c>
    </row>
    <row r="966" spans="4:5" x14ac:dyDescent="0.2">
      <c r="D966" s="8" t="str">
        <f t="shared" si="30"/>
        <v/>
      </c>
      <c r="E966" s="8" t="str">
        <f t="shared" si="31"/>
        <v/>
      </c>
    </row>
    <row r="967" spans="4:5" x14ac:dyDescent="0.2">
      <c r="D967" s="8" t="str">
        <f t="shared" si="30"/>
        <v/>
      </c>
      <c r="E967" s="8" t="str">
        <f t="shared" si="31"/>
        <v/>
      </c>
    </row>
    <row r="968" spans="4:5" x14ac:dyDescent="0.2">
      <c r="D968" s="8" t="str">
        <f t="shared" si="30"/>
        <v/>
      </c>
      <c r="E968" s="8" t="str">
        <f t="shared" si="31"/>
        <v/>
      </c>
    </row>
    <row r="969" spans="4:5" x14ac:dyDescent="0.2">
      <c r="D969" s="8" t="str">
        <f t="shared" si="30"/>
        <v/>
      </c>
      <c r="E969" s="8" t="str">
        <f t="shared" si="31"/>
        <v/>
      </c>
    </row>
    <row r="970" spans="4:5" x14ac:dyDescent="0.2">
      <c r="D970" s="8" t="str">
        <f t="shared" si="30"/>
        <v/>
      </c>
      <c r="E970" s="8" t="str">
        <f t="shared" si="31"/>
        <v/>
      </c>
    </row>
    <row r="971" spans="4:5" x14ac:dyDescent="0.2">
      <c r="D971" s="8" t="str">
        <f t="shared" si="30"/>
        <v/>
      </c>
      <c r="E971" s="8" t="str">
        <f t="shared" si="31"/>
        <v/>
      </c>
    </row>
    <row r="972" spans="4:5" x14ac:dyDescent="0.2">
      <c r="D972" s="8" t="str">
        <f t="shared" si="30"/>
        <v/>
      </c>
      <c r="E972" s="8" t="str">
        <f t="shared" si="31"/>
        <v/>
      </c>
    </row>
    <row r="973" spans="4:5" x14ac:dyDescent="0.2">
      <c r="D973" s="8" t="str">
        <f t="shared" si="30"/>
        <v/>
      </c>
      <c r="E973" s="8" t="str">
        <f t="shared" si="31"/>
        <v/>
      </c>
    </row>
    <row r="974" spans="4:5" x14ac:dyDescent="0.2">
      <c r="D974" s="8" t="str">
        <f t="shared" si="30"/>
        <v/>
      </c>
      <c r="E974" s="8" t="str">
        <f t="shared" si="31"/>
        <v/>
      </c>
    </row>
    <row r="975" spans="4:5" x14ac:dyDescent="0.2">
      <c r="D975" s="8" t="str">
        <f t="shared" si="30"/>
        <v/>
      </c>
      <c r="E975" s="8" t="str">
        <f t="shared" si="31"/>
        <v/>
      </c>
    </row>
    <row r="976" spans="4:5" x14ac:dyDescent="0.2">
      <c r="D976" s="8" t="str">
        <f t="shared" si="30"/>
        <v/>
      </c>
      <c r="E976" s="8" t="str">
        <f t="shared" si="31"/>
        <v/>
      </c>
    </row>
    <row r="977" spans="4:5" x14ac:dyDescent="0.2">
      <c r="D977" s="8" t="str">
        <f t="shared" si="30"/>
        <v/>
      </c>
      <c r="E977" s="8" t="str">
        <f t="shared" si="31"/>
        <v/>
      </c>
    </row>
    <row r="978" spans="4:5" x14ac:dyDescent="0.2">
      <c r="D978" s="8" t="str">
        <f t="shared" si="30"/>
        <v/>
      </c>
      <c r="E978" s="8" t="str">
        <f t="shared" si="31"/>
        <v/>
      </c>
    </row>
    <row r="979" spans="4:5" x14ac:dyDescent="0.2">
      <c r="D979" s="8" t="str">
        <f t="shared" si="30"/>
        <v/>
      </c>
      <c r="E979" s="8" t="str">
        <f t="shared" si="31"/>
        <v/>
      </c>
    </row>
    <row r="980" spans="4:5" x14ac:dyDescent="0.2">
      <c r="D980" s="8" t="str">
        <f t="shared" si="30"/>
        <v/>
      </c>
      <c r="E980" s="8" t="str">
        <f t="shared" si="31"/>
        <v/>
      </c>
    </row>
    <row r="981" spans="4:5" x14ac:dyDescent="0.2">
      <c r="D981" s="8" t="str">
        <f t="shared" si="30"/>
        <v/>
      </c>
      <c r="E981" s="8" t="str">
        <f t="shared" si="31"/>
        <v/>
      </c>
    </row>
    <row r="982" spans="4:5" x14ac:dyDescent="0.2">
      <c r="D982" s="8" t="str">
        <f t="shared" si="30"/>
        <v/>
      </c>
      <c r="E982" s="8" t="str">
        <f t="shared" si="31"/>
        <v/>
      </c>
    </row>
    <row r="983" spans="4:5" x14ac:dyDescent="0.2">
      <c r="D983" s="8" t="str">
        <f t="shared" si="30"/>
        <v/>
      </c>
      <c r="E983" s="8" t="str">
        <f t="shared" si="31"/>
        <v/>
      </c>
    </row>
    <row r="984" spans="4:5" x14ac:dyDescent="0.2">
      <c r="D984" s="8" t="str">
        <f t="shared" si="30"/>
        <v/>
      </c>
      <c r="E984" s="8" t="str">
        <f t="shared" si="31"/>
        <v/>
      </c>
    </row>
    <row r="985" spans="4:5" x14ac:dyDescent="0.2">
      <c r="D985" s="8" t="str">
        <f t="shared" si="30"/>
        <v/>
      </c>
      <c r="E985" s="8" t="str">
        <f t="shared" si="31"/>
        <v/>
      </c>
    </row>
    <row r="986" spans="4:5" x14ac:dyDescent="0.2">
      <c r="D986" s="8" t="str">
        <f t="shared" si="30"/>
        <v/>
      </c>
      <c r="E986" s="8" t="str">
        <f t="shared" si="31"/>
        <v/>
      </c>
    </row>
    <row r="987" spans="4:5" x14ac:dyDescent="0.2">
      <c r="D987" s="8" t="str">
        <f t="shared" si="30"/>
        <v/>
      </c>
      <c r="E987" s="8" t="str">
        <f t="shared" si="31"/>
        <v/>
      </c>
    </row>
    <row r="988" spans="4:5" x14ac:dyDescent="0.2">
      <c r="D988" s="8" t="str">
        <f t="shared" si="30"/>
        <v/>
      </c>
      <c r="E988" s="8" t="str">
        <f t="shared" si="31"/>
        <v/>
      </c>
    </row>
    <row r="989" spans="4:5" x14ac:dyDescent="0.2">
      <c r="D989" s="8" t="str">
        <f t="shared" si="30"/>
        <v/>
      </c>
      <c r="E989" s="8" t="str">
        <f t="shared" si="31"/>
        <v/>
      </c>
    </row>
    <row r="990" spans="4:5" x14ac:dyDescent="0.2">
      <c r="D990" s="8" t="str">
        <f t="shared" si="30"/>
        <v/>
      </c>
      <c r="E990" s="8" t="str">
        <f t="shared" si="31"/>
        <v/>
      </c>
    </row>
    <row r="991" spans="4:5" x14ac:dyDescent="0.2">
      <c r="D991" s="8" t="str">
        <f t="shared" si="30"/>
        <v/>
      </c>
      <c r="E991" s="8" t="str">
        <f t="shared" si="31"/>
        <v/>
      </c>
    </row>
    <row r="992" spans="4:5" x14ac:dyDescent="0.2">
      <c r="D992" s="8" t="str">
        <f t="shared" si="30"/>
        <v/>
      </c>
      <c r="E992" s="8" t="str">
        <f t="shared" si="31"/>
        <v/>
      </c>
    </row>
    <row r="993" spans="4:5" x14ac:dyDescent="0.2">
      <c r="D993" s="8" t="str">
        <f t="shared" si="30"/>
        <v/>
      </c>
      <c r="E993" s="8" t="str">
        <f t="shared" si="31"/>
        <v/>
      </c>
    </row>
    <row r="994" spans="4:5" x14ac:dyDescent="0.2">
      <c r="D994" s="8" t="str">
        <f t="shared" si="30"/>
        <v/>
      </c>
      <c r="E994" s="8" t="str">
        <f t="shared" si="31"/>
        <v/>
      </c>
    </row>
    <row r="995" spans="4:5" x14ac:dyDescent="0.2">
      <c r="D995" s="8" t="str">
        <f t="shared" si="30"/>
        <v/>
      </c>
      <c r="E995" s="8" t="str">
        <f t="shared" si="31"/>
        <v/>
      </c>
    </row>
    <row r="996" spans="4:5" x14ac:dyDescent="0.2">
      <c r="D996" s="8" t="str">
        <f t="shared" si="30"/>
        <v/>
      </c>
      <c r="E996" s="8" t="str">
        <f t="shared" si="31"/>
        <v/>
      </c>
    </row>
    <row r="997" spans="4:5" x14ac:dyDescent="0.2">
      <c r="D997" s="8" t="str">
        <f t="shared" si="30"/>
        <v/>
      </c>
      <c r="E997" s="8" t="str">
        <f t="shared" si="31"/>
        <v/>
      </c>
    </row>
    <row r="998" spans="4:5" x14ac:dyDescent="0.2">
      <c r="D998" s="8" t="str">
        <f t="shared" si="30"/>
        <v/>
      </c>
      <c r="E998" s="8" t="str">
        <f t="shared" si="31"/>
        <v/>
      </c>
    </row>
    <row r="999" spans="4:5" x14ac:dyDescent="0.2">
      <c r="D999" s="8" t="str">
        <f t="shared" si="30"/>
        <v/>
      </c>
      <c r="E999" s="8" t="str">
        <f t="shared" si="31"/>
        <v/>
      </c>
    </row>
    <row r="1000" spans="4:5" x14ac:dyDescent="0.2">
      <c r="D1000" s="8" t="str">
        <f t="shared" si="30"/>
        <v/>
      </c>
      <c r="E1000" s="8" t="str">
        <f t="shared" si="31"/>
        <v/>
      </c>
    </row>
    <row r="1001" spans="4:5" x14ac:dyDescent="0.2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baseColWidth="10" defaultColWidth="10.83203125" defaultRowHeight="16" x14ac:dyDescent="0.2"/>
  <cols>
    <col min="1" max="8" width="20.83203125" style="8" customWidth="1"/>
    <col min="9" max="11" width="10.83203125" style="12" customWidth="1"/>
    <col min="12" max="14" width="10.83203125" style="15" customWidth="1"/>
    <col min="15" max="18" width="10.83203125" style="14" customWidth="1"/>
    <col min="19" max="16384" width="10.83203125" style="11"/>
  </cols>
  <sheetData>
    <row r="1" spans="1:18" s="9" customFormat="1" x14ac:dyDescent="0.2">
      <c r="A1" s="9" t="s">
        <v>74</v>
      </c>
      <c r="B1" s="9" t="s">
        <v>91</v>
      </c>
      <c r="C1" s="9" t="s">
        <v>92</v>
      </c>
      <c r="D1" s="9" t="s">
        <v>9</v>
      </c>
      <c r="E1" s="9" t="s">
        <v>93</v>
      </c>
      <c r="F1" s="9" t="s">
        <v>94</v>
      </c>
      <c r="G1" s="9" t="s">
        <v>95</v>
      </c>
      <c r="H1" s="9" t="s">
        <v>81</v>
      </c>
      <c r="I1" s="9" t="s">
        <v>82</v>
      </c>
      <c r="J1" s="9" t="s">
        <v>29</v>
      </c>
      <c r="K1" s="9" t="s">
        <v>96</v>
      </c>
      <c r="L1" s="9" t="s">
        <v>97</v>
      </c>
      <c r="M1" s="9" t="s">
        <v>98</v>
      </c>
      <c r="N1" s="9" t="s">
        <v>99</v>
      </c>
      <c r="O1" s="9" t="s">
        <v>100</v>
      </c>
      <c r="P1" s="9" t="s">
        <v>101</v>
      </c>
      <c r="Q1" s="9" t="s">
        <v>102</v>
      </c>
      <c r="R1" s="9" t="s">
        <v>103</v>
      </c>
    </row>
    <row r="2" spans="1:18" x14ac:dyDescent="0.2">
      <c r="A2" s="8" t="s">
        <v>104</v>
      </c>
      <c r="B2" s="8" t="s">
        <v>89</v>
      </c>
      <c r="C2" s="8" t="s">
        <v>71</v>
      </c>
      <c r="D2" s="8" t="str">
        <f>IF(A2=0,"",VLOOKUP(VLOOKUP(B2,SecDB,3,FALSE),MatDB,2,FALSE))</f>
        <v>Concrete</v>
      </c>
      <c r="E2" s="8" t="s">
        <v>26</v>
      </c>
      <c r="F2" s="8" t="s">
        <v>27</v>
      </c>
      <c r="G2" s="8" t="s">
        <v>33</v>
      </c>
      <c r="H2" s="8" t="str">
        <f t="shared" ref="H2:H65" si="0">IF(A2=0,"","Fiber")</f>
        <v>Fiber</v>
      </c>
      <c r="I2" s="12">
        <f>IF(A2=0,"",VLOOKUP(B2,SecDB,6,FALSE))</f>
        <v>0.7</v>
      </c>
      <c r="J2" s="12">
        <f>IF(A2=0,"",VLOOKUP(B2,SecDB,7,FALSE))</f>
        <v>0.7</v>
      </c>
      <c r="K2" s="12">
        <f>40/1000</f>
        <v>0.04</v>
      </c>
      <c r="L2" s="15">
        <v>7</v>
      </c>
      <c r="M2" s="15">
        <v>7</v>
      </c>
      <c r="N2" s="15">
        <v>10</v>
      </c>
      <c r="O2" s="14">
        <f>13/1000</f>
        <v>1.2999999999999999E-2</v>
      </c>
      <c r="P2" s="14">
        <f>22/1000</f>
        <v>2.1999999999999999E-2</v>
      </c>
      <c r="Q2" s="14">
        <f>22/1000</f>
        <v>2.1999999999999999E-2</v>
      </c>
      <c r="R2" s="14">
        <f>22/1000</f>
        <v>2.1999999999999999E-2</v>
      </c>
    </row>
    <row r="3" spans="1:18" x14ac:dyDescent="0.2">
      <c r="H3" s="8" t="str">
        <f t="shared" si="0"/>
        <v/>
      </c>
    </row>
    <row r="4" spans="1:18" x14ac:dyDescent="0.2">
      <c r="H4" s="8" t="str">
        <f t="shared" si="0"/>
        <v/>
      </c>
    </row>
    <row r="5" spans="1:18" x14ac:dyDescent="0.2">
      <c r="H5" s="8" t="str">
        <f t="shared" si="0"/>
        <v/>
      </c>
    </row>
    <row r="6" spans="1:18" x14ac:dyDescent="0.2">
      <c r="H6" s="8" t="str">
        <f t="shared" si="0"/>
        <v/>
      </c>
    </row>
    <row r="7" spans="1:18" x14ac:dyDescent="0.2">
      <c r="H7" s="8" t="str">
        <f t="shared" si="0"/>
        <v/>
      </c>
    </row>
    <row r="8" spans="1:18" x14ac:dyDescent="0.2">
      <c r="H8" s="8" t="str">
        <f t="shared" si="0"/>
        <v/>
      </c>
    </row>
    <row r="9" spans="1:18" x14ac:dyDescent="0.2">
      <c r="H9" s="8" t="str">
        <f t="shared" si="0"/>
        <v/>
      </c>
    </row>
    <row r="10" spans="1:18" x14ac:dyDescent="0.2">
      <c r="H10" s="8" t="str">
        <f t="shared" si="0"/>
        <v/>
      </c>
    </row>
    <row r="11" spans="1:18" x14ac:dyDescent="0.2">
      <c r="H11" s="8" t="str">
        <f t="shared" si="0"/>
        <v/>
      </c>
    </row>
    <row r="12" spans="1:18" x14ac:dyDescent="0.2">
      <c r="H12" s="8" t="str">
        <f t="shared" si="0"/>
        <v/>
      </c>
    </row>
    <row r="13" spans="1:18" x14ac:dyDescent="0.2">
      <c r="H13" s="8" t="str">
        <f t="shared" si="0"/>
        <v/>
      </c>
    </row>
    <row r="14" spans="1:18" x14ac:dyDescent="0.2">
      <c r="H14" s="8" t="str">
        <f t="shared" si="0"/>
        <v/>
      </c>
    </row>
    <row r="15" spans="1:18" x14ac:dyDescent="0.2">
      <c r="H15" s="8" t="str">
        <f t="shared" si="0"/>
        <v/>
      </c>
    </row>
    <row r="16" spans="1:18" x14ac:dyDescent="0.2">
      <c r="H16" s="8" t="str">
        <f t="shared" si="0"/>
        <v/>
      </c>
    </row>
    <row r="17" spans="8:8" x14ac:dyDescent="0.2">
      <c r="H17" s="8" t="str">
        <f t="shared" si="0"/>
        <v/>
      </c>
    </row>
    <row r="18" spans="8:8" x14ac:dyDescent="0.2">
      <c r="H18" s="8" t="str">
        <f t="shared" si="0"/>
        <v/>
      </c>
    </row>
    <row r="19" spans="8:8" x14ac:dyDescent="0.2">
      <c r="H19" s="8" t="str">
        <f t="shared" si="0"/>
        <v/>
      </c>
    </row>
    <row r="20" spans="8:8" x14ac:dyDescent="0.2">
      <c r="H20" s="8" t="str">
        <f t="shared" si="0"/>
        <v/>
      </c>
    </row>
    <row r="21" spans="8:8" x14ac:dyDescent="0.2">
      <c r="H21" s="8" t="str">
        <f t="shared" si="0"/>
        <v/>
      </c>
    </row>
    <row r="22" spans="8:8" x14ac:dyDescent="0.2">
      <c r="H22" s="8" t="str">
        <f t="shared" si="0"/>
        <v/>
      </c>
    </row>
    <row r="23" spans="8:8" x14ac:dyDescent="0.2">
      <c r="H23" s="8" t="str">
        <f t="shared" si="0"/>
        <v/>
      </c>
    </row>
    <row r="24" spans="8:8" x14ac:dyDescent="0.2">
      <c r="H24" s="8" t="str">
        <f t="shared" si="0"/>
        <v/>
      </c>
    </row>
    <row r="25" spans="8:8" x14ac:dyDescent="0.2">
      <c r="H25" s="8" t="str">
        <f t="shared" si="0"/>
        <v/>
      </c>
    </row>
    <row r="26" spans="8:8" x14ac:dyDescent="0.2">
      <c r="H26" s="8" t="str">
        <f t="shared" si="0"/>
        <v/>
      </c>
    </row>
    <row r="27" spans="8:8" x14ac:dyDescent="0.2">
      <c r="H27" s="8" t="str">
        <f t="shared" si="0"/>
        <v/>
      </c>
    </row>
    <row r="28" spans="8:8" x14ac:dyDescent="0.2">
      <c r="H28" s="8" t="str">
        <f t="shared" si="0"/>
        <v/>
      </c>
    </row>
    <row r="29" spans="8:8" x14ac:dyDescent="0.2">
      <c r="H29" s="8" t="str">
        <f t="shared" si="0"/>
        <v/>
      </c>
    </row>
    <row r="30" spans="8:8" x14ac:dyDescent="0.2">
      <c r="H30" s="8" t="str">
        <f t="shared" si="0"/>
        <v/>
      </c>
    </row>
    <row r="31" spans="8:8" x14ac:dyDescent="0.2">
      <c r="H31" s="8" t="str">
        <f t="shared" si="0"/>
        <v/>
      </c>
    </row>
    <row r="32" spans="8:8" x14ac:dyDescent="0.2">
      <c r="H32" s="8" t="str">
        <f t="shared" si="0"/>
        <v/>
      </c>
    </row>
    <row r="33" spans="8:8" x14ac:dyDescent="0.2">
      <c r="H33" s="8" t="str">
        <f t="shared" si="0"/>
        <v/>
      </c>
    </row>
    <row r="34" spans="8:8" x14ac:dyDescent="0.2">
      <c r="H34" s="8" t="str">
        <f t="shared" si="0"/>
        <v/>
      </c>
    </row>
    <row r="35" spans="8:8" x14ac:dyDescent="0.2">
      <c r="H35" s="8" t="str">
        <f t="shared" si="0"/>
        <v/>
      </c>
    </row>
    <row r="36" spans="8:8" x14ac:dyDescent="0.2">
      <c r="H36" s="8" t="str">
        <f t="shared" si="0"/>
        <v/>
      </c>
    </row>
    <row r="37" spans="8:8" x14ac:dyDescent="0.2">
      <c r="H37" s="8" t="str">
        <f t="shared" si="0"/>
        <v/>
      </c>
    </row>
    <row r="38" spans="8:8" x14ac:dyDescent="0.2">
      <c r="H38" s="8" t="str">
        <f t="shared" si="0"/>
        <v/>
      </c>
    </row>
    <row r="39" spans="8:8" x14ac:dyDescent="0.2">
      <c r="H39" s="8" t="str">
        <f t="shared" si="0"/>
        <v/>
      </c>
    </row>
    <row r="40" spans="8:8" x14ac:dyDescent="0.2">
      <c r="H40" s="8" t="str">
        <f t="shared" si="0"/>
        <v/>
      </c>
    </row>
    <row r="41" spans="8:8" x14ac:dyDescent="0.2">
      <c r="H41" s="8" t="str">
        <f t="shared" si="0"/>
        <v/>
      </c>
    </row>
    <row r="42" spans="8:8" x14ac:dyDescent="0.2">
      <c r="H42" s="8" t="str">
        <f t="shared" si="0"/>
        <v/>
      </c>
    </row>
    <row r="43" spans="8:8" x14ac:dyDescent="0.2">
      <c r="H43" s="8" t="str">
        <f t="shared" si="0"/>
        <v/>
      </c>
    </row>
    <row r="44" spans="8:8" x14ac:dyDescent="0.2">
      <c r="H44" s="8" t="str">
        <f t="shared" si="0"/>
        <v/>
      </c>
    </row>
    <row r="45" spans="8:8" x14ac:dyDescent="0.2">
      <c r="H45" s="8" t="str">
        <f t="shared" si="0"/>
        <v/>
      </c>
    </row>
    <row r="46" spans="8:8" x14ac:dyDescent="0.2">
      <c r="H46" s="8" t="str">
        <f t="shared" si="0"/>
        <v/>
      </c>
    </row>
    <row r="47" spans="8:8" x14ac:dyDescent="0.2">
      <c r="H47" s="8" t="str">
        <f t="shared" si="0"/>
        <v/>
      </c>
    </row>
    <row r="48" spans="8:8" x14ac:dyDescent="0.2">
      <c r="H48" s="8" t="str">
        <f t="shared" si="0"/>
        <v/>
      </c>
    </row>
    <row r="49" spans="8:8" x14ac:dyDescent="0.2">
      <c r="H49" s="8" t="str">
        <f t="shared" si="0"/>
        <v/>
      </c>
    </row>
    <row r="50" spans="8:8" x14ac:dyDescent="0.2">
      <c r="H50" s="8" t="str">
        <f t="shared" si="0"/>
        <v/>
      </c>
    </row>
    <row r="51" spans="8:8" x14ac:dyDescent="0.2">
      <c r="H51" s="8" t="str">
        <f t="shared" si="0"/>
        <v/>
      </c>
    </row>
    <row r="52" spans="8:8" x14ac:dyDescent="0.2">
      <c r="H52" s="8" t="str">
        <f t="shared" si="0"/>
        <v/>
      </c>
    </row>
    <row r="53" spans="8:8" x14ac:dyDescent="0.2">
      <c r="H53" s="8" t="str">
        <f t="shared" si="0"/>
        <v/>
      </c>
    </row>
    <row r="54" spans="8:8" x14ac:dyDescent="0.2">
      <c r="H54" s="8" t="str">
        <f t="shared" si="0"/>
        <v/>
      </c>
    </row>
    <row r="55" spans="8:8" x14ac:dyDescent="0.2">
      <c r="H55" s="8" t="str">
        <f t="shared" si="0"/>
        <v/>
      </c>
    </row>
    <row r="56" spans="8:8" x14ac:dyDescent="0.2">
      <c r="H56" s="8" t="str">
        <f t="shared" si="0"/>
        <v/>
      </c>
    </row>
    <row r="57" spans="8:8" x14ac:dyDescent="0.2">
      <c r="H57" s="8" t="str">
        <f t="shared" si="0"/>
        <v/>
      </c>
    </row>
    <row r="58" spans="8:8" x14ac:dyDescent="0.2">
      <c r="H58" s="8" t="str">
        <f t="shared" si="0"/>
        <v/>
      </c>
    </row>
    <row r="59" spans="8:8" x14ac:dyDescent="0.2">
      <c r="H59" s="8" t="str">
        <f t="shared" si="0"/>
        <v/>
      </c>
    </row>
    <row r="60" spans="8:8" x14ac:dyDescent="0.2">
      <c r="H60" s="8" t="str">
        <f t="shared" si="0"/>
        <v/>
      </c>
    </row>
    <row r="61" spans="8:8" x14ac:dyDescent="0.2">
      <c r="H61" s="8" t="str">
        <f t="shared" si="0"/>
        <v/>
      </c>
    </row>
    <row r="62" spans="8:8" x14ac:dyDescent="0.2">
      <c r="H62" s="8" t="str">
        <f t="shared" si="0"/>
        <v/>
      </c>
    </row>
    <row r="63" spans="8:8" x14ac:dyDescent="0.2">
      <c r="H63" s="8" t="str">
        <f t="shared" si="0"/>
        <v/>
      </c>
    </row>
    <row r="64" spans="8:8" x14ac:dyDescent="0.2">
      <c r="H64" s="8" t="str">
        <f t="shared" si="0"/>
        <v/>
      </c>
    </row>
    <row r="65" spans="8:8" x14ac:dyDescent="0.2">
      <c r="H65" s="8" t="str">
        <f t="shared" si="0"/>
        <v/>
      </c>
    </row>
    <row r="66" spans="8:8" x14ac:dyDescent="0.2">
      <c r="H66" s="8" t="str">
        <f t="shared" ref="H66:H129" si="1">IF(A66=0,"","Fiber")</f>
        <v/>
      </c>
    </row>
    <row r="67" spans="8:8" x14ac:dyDescent="0.2">
      <c r="H67" s="8" t="str">
        <f t="shared" si="1"/>
        <v/>
      </c>
    </row>
    <row r="68" spans="8:8" x14ac:dyDescent="0.2">
      <c r="H68" s="8" t="str">
        <f t="shared" si="1"/>
        <v/>
      </c>
    </row>
    <row r="69" spans="8:8" x14ac:dyDescent="0.2">
      <c r="H69" s="8" t="str">
        <f t="shared" si="1"/>
        <v/>
      </c>
    </row>
    <row r="70" spans="8:8" x14ac:dyDescent="0.2">
      <c r="H70" s="8" t="str">
        <f t="shared" si="1"/>
        <v/>
      </c>
    </row>
    <row r="71" spans="8:8" x14ac:dyDescent="0.2">
      <c r="H71" s="8" t="str">
        <f t="shared" si="1"/>
        <v/>
      </c>
    </row>
    <row r="72" spans="8:8" x14ac:dyDescent="0.2">
      <c r="H72" s="8" t="str">
        <f t="shared" si="1"/>
        <v/>
      </c>
    </row>
    <row r="73" spans="8:8" x14ac:dyDescent="0.2">
      <c r="H73" s="8" t="str">
        <f t="shared" si="1"/>
        <v/>
      </c>
    </row>
    <row r="74" spans="8:8" x14ac:dyDescent="0.2">
      <c r="H74" s="8" t="str">
        <f t="shared" si="1"/>
        <v/>
      </c>
    </row>
    <row r="75" spans="8:8" x14ac:dyDescent="0.2">
      <c r="H75" s="8" t="str">
        <f t="shared" si="1"/>
        <v/>
      </c>
    </row>
    <row r="76" spans="8:8" x14ac:dyDescent="0.2">
      <c r="H76" s="8" t="str">
        <f t="shared" si="1"/>
        <v/>
      </c>
    </row>
    <row r="77" spans="8:8" x14ac:dyDescent="0.2">
      <c r="H77" s="8" t="str">
        <f t="shared" si="1"/>
        <v/>
      </c>
    </row>
    <row r="78" spans="8:8" x14ac:dyDescent="0.2">
      <c r="H78" s="8" t="str">
        <f t="shared" si="1"/>
        <v/>
      </c>
    </row>
    <row r="79" spans="8:8" x14ac:dyDescent="0.2">
      <c r="H79" s="8" t="str">
        <f t="shared" si="1"/>
        <v/>
      </c>
    </row>
    <row r="80" spans="8:8" x14ac:dyDescent="0.2">
      <c r="H80" s="8" t="str">
        <f t="shared" si="1"/>
        <v/>
      </c>
    </row>
    <row r="81" spans="8:8" x14ac:dyDescent="0.2">
      <c r="H81" s="8" t="str">
        <f t="shared" si="1"/>
        <v/>
      </c>
    </row>
    <row r="82" spans="8:8" x14ac:dyDescent="0.2">
      <c r="H82" s="8" t="str">
        <f t="shared" si="1"/>
        <v/>
      </c>
    </row>
    <row r="83" spans="8:8" x14ac:dyDescent="0.2">
      <c r="H83" s="8" t="str">
        <f t="shared" si="1"/>
        <v/>
      </c>
    </row>
    <row r="84" spans="8:8" x14ac:dyDescent="0.2">
      <c r="H84" s="8" t="str">
        <f t="shared" si="1"/>
        <v/>
      </c>
    </row>
    <row r="85" spans="8:8" x14ac:dyDescent="0.2">
      <c r="H85" s="8" t="str">
        <f t="shared" si="1"/>
        <v/>
      </c>
    </row>
    <row r="86" spans="8:8" x14ac:dyDescent="0.2">
      <c r="H86" s="8" t="str">
        <f t="shared" si="1"/>
        <v/>
      </c>
    </row>
    <row r="87" spans="8:8" x14ac:dyDescent="0.2">
      <c r="H87" s="8" t="str">
        <f t="shared" si="1"/>
        <v/>
      </c>
    </row>
    <row r="88" spans="8:8" x14ac:dyDescent="0.2">
      <c r="H88" s="8" t="str">
        <f t="shared" si="1"/>
        <v/>
      </c>
    </row>
    <row r="89" spans="8:8" x14ac:dyDescent="0.2">
      <c r="H89" s="8" t="str">
        <f t="shared" si="1"/>
        <v/>
      </c>
    </row>
    <row r="90" spans="8:8" x14ac:dyDescent="0.2">
      <c r="H90" s="8" t="str">
        <f t="shared" si="1"/>
        <v/>
      </c>
    </row>
    <row r="91" spans="8:8" x14ac:dyDescent="0.2">
      <c r="H91" s="8" t="str">
        <f t="shared" si="1"/>
        <v/>
      </c>
    </row>
    <row r="92" spans="8:8" x14ac:dyDescent="0.2">
      <c r="H92" s="8" t="str">
        <f t="shared" si="1"/>
        <v/>
      </c>
    </row>
    <row r="93" spans="8:8" x14ac:dyDescent="0.2">
      <c r="H93" s="8" t="str">
        <f t="shared" si="1"/>
        <v/>
      </c>
    </row>
    <row r="94" spans="8:8" x14ac:dyDescent="0.2">
      <c r="H94" s="8" t="str">
        <f t="shared" si="1"/>
        <v/>
      </c>
    </row>
    <row r="95" spans="8:8" x14ac:dyDescent="0.2">
      <c r="H95" s="8" t="str">
        <f t="shared" si="1"/>
        <v/>
      </c>
    </row>
    <row r="96" spans="8:8" x14ac:dyDescent="0.2">
      <c r="H96" s="8" t="str">
        <f t="shared" si="1"/>
        <v/>
      </c>
    </row>
    <row r="97" spans="8:8" x14ac:dyDescent="0.2">
      <c r="H97" s="8" t="str">
        <f t="shared" si="1"/>
        <v/>
      </c>
    </row>
    <row r="98" spans="8:8" x14ac:dyDescent="0.2">
      <c r="H98" s="8" t="str">
        <f t="shared" si="1"/>
        <v/>
      </c>
    </row>
    <row r="99" spans="8:8" x14ac:dyDescent="0.2">
      <c r="H99" s="8" t="str">
        <f t="shared" si="1"/>
        <v/>
      </c>
    </row>
    <row r="100" spans="8:8" x14ac:dyDescent="0.2">
      <c r="H100" s="8" t="str">
        <f t="shared" si="1"/>
        <v/>
      </c>
    </row>
    <row r="101" spans="8:8" x14ac:dyDescent="0.2">
      <c r="H101" s="8" t="str">
        <f t="shared" si="1"/>
        <v/>
      </c>
    </row>
    <row r="102" spans="8:8" x14ac:dyDescent="0.2">
      <c r="H102" s="8" t="str">
        <f t="shared" si="1"/>
        <v/>
      </c>
    </row>
    <row r="103" spans="8:8" x14ac:dyDescent="0.2">
      <c r="H103" s="8" t="str">
        <f t="shared" si="1"/>
        <v/>
      </c>
    </row>
    <row r="104" spans="8:8" x14ac:dyDescent="0.2">
      <c r="H104" s="8" t="str">
        <f t="shared" si="1"/>
        <v/>
      </c>
    </row>
    <row r="105" spans="8:8" x14ac:dyDescent="0.2">
      <c r="H105" s="8" t="str">
        <f t="shared" si="1"/>
        <v/>
      </c>
    </row>
    <row r="106" spans="8:8" x14ac:dyDescent="0.2">
      <c r="H106" s="8" t="str">
        <f t="shared" si="1"/>
        <v/>
      </c>
    </row>
    <row r="107" spans="8:8" x14ac:dyDescent="0.2">
      <c r="H107" s="8" t="str">
        <f t="shared" si="1"/>
        <v/>
      </c>
    </row>
    <row r="108" spans="8:8" x14ac:dyDescent="0.2">
      <c r="H108" s="8" t="str">
        <f t="shared" si="1"/>
        <v/>
      </c>
    </row>
    <row r="109" spans="8:8" x14ac:dyDescent="0.2">
      <c r="H109" s="8" t="str">
        <f t="shared" si="1"/>
        <v/>
      </c>
    </row>
    <row r="110" spans="8:8" x14ac:dyDescent="0.2">
      <c r="H110" s="8" t="str">
        <f t="shared" si="1"/>
        <v/>
      </c>
    </row>
    <row r="111" spans="8:8" x14ac:dyDescent="0.2">
      <c r="H111" s="8" t="str">
        <f t="shared" si="1"/>
        <v/>
      </c>
    </row>
    <row r="112" spans="8:8" x14ac:dyDescent="0.2">
      <c r="H112" s="8" t="str">
        <f t="shared" si="1"/>
        <v/>
      </c>
    </row>
    <row r="113" spans="8:8" x14ac:dyDescent="0.2">
      <c r="H113" s="8" t="str">
        <f t="shared" si="1"/>
        <v/>
      </c>
    </row>
    <row r="114" spans="8:8" x14ac:dyDescent="0.2">
      <c r="H114" s="8" t="str">
        <f t="shared" si="1"/>
        <v/>
      </c>
    </row>
    <row r="115" spans="8:8" x14ac:dyDescent="0.2">
      <c r="H115" s="8" t="str">
        <f t="shared" si="1"/>
        <v/>
      </c>
    </row>
    <row r="116" spans="8:8" x14ac:dyDescent="0.2">
      <c r="H116" s="8" t="str">
        <f t="shared" si="1"/>
        <v/>
      </c>
    </row>
    <row r="117" spans="8:8" x14ac:dyDescent="0.2">
      <c r="H117" s="8" t="str">
        <f t="shared" si="1"/>
        <v/>
      </c>
    </row>
    <row r="118" spans="8:8" x14ac:dyDescent="0.2">
      <c r="H118" s="8" t="str">
        <f t="shared" si="1"/>
        <v/>
      </c>
    </row>
    <row r="119" spans="8:8" x14ac:dyDescent="0.2">
      <c r="H119" s="8" t="str">
        <f t="shared" si="1"/>
        <v/>
      </c>
    </row>
    <row r="120" spans="8:8" x14ac:dyDescent="0.2">
      <c r="H120" s="8" t="str">
        <f t="shared" si="1"/>
        <v/>
      </c>
    </row>
    <row r="121" spans="8:8" x14ac:dyDescent="0.2">
      <c r="H121" s="8" t="str">
        <f t="shared" si="1"/>
        <v/>
      </c>
    </row>
    <row r="122" spans="8:8" x14ac:dyDescent="0.2">
      <c r="H122" s="8" t="str">
        <f t="shared" si="1"/>
        <v/>
      </c>
    </row>
    <row r="123" spans="8:8" x14ac:dyDescent="0.2">
      <c r="H123" s="8" t="str">
        <f t="shared" si="1"/>
        <v/>
      </c>
    </row>
    <row r="124" spans="8:8" x14ac:dyDescent="0.2">
      <c r="H124" s="8" t="str">
        <f t="shared" si="1"/>
        <v/>
      </c>
    </row>
    <row r="125" spans="8:8" x14ac:dyDescent="0.2">
      <c r="H125" s="8" t="str">
        <f t="shared" si="1"/>
        <v/>
      </c>
    </row>
    <row r="126" spans="8:8" x14ac:dyDescent="0.2">
      <c r="H126" s="8" t="str">
        <f t="shared" si="1"/>
        <v/>
      </c>
    </row>
    <row r="127" spans="8:8" x14ac:dyDescent="0.2">
      <c r="H127" s="8" t="str">
        <f t="shared" si="1"/>
        <v/>
      </c>
    </row>
    <row r="128" spans="8:8" x14ac:dyDescent="0.2">
      <c r="H128" s="8" t="str">
        <f t="shared" si="1"/>
        <v/>
      </c>
    </row>
    <row r="129" spans="8:8" x14ac:dyDescent="0.2">
      <c r="H129" s="8" t="str">
        <f t="shared" si="1"/>
        <v/>
      </c>
    </row>
    <row r="130" spans="8:8" x14ac:dyDescent="0.2">
      <c r="H130" s="8" t="str">
        <f t="shared" ref="H130:H193" si="2">IF(A130=0,"","Fiber")</f>
        <v/>
      </c>
    </row>
    <row r="131" spans="8:8" x14ac:dyDescent="0.2">
      <c r="H131" s="8" t="str">
        <f t="shared" si="2"/>
        <v/>
      </c>
    </row>
    <row r="132" spans="8:8" x14ac:dyDescent="0.2">
      <c r="H132" s="8" t="str">
        <f t="shared" si="2"/>
        <v/>
      </c>
    </row>
    <row r="133" spans="8:8" x14ac:dyDescent="0.2">
      <c r="H133" s="8" t="str">
        <f t="shared" si="2"/>
        <v/>
      </c>
    </row>
    <row r="134" spans="8:8" x14ac:dyDescent="0.2">
      <c r="H134" s="8" t="str">
        <f t="shared" si="2"/>
        <v/>
      </c>
    </row>
    <row r="135" spans="8:8" x14ac:dyDescent="0.2">
      <c r="H135" s="8" t="str">
        <f t="shared" si="2"/>
        <v/>
      </c>
    </row>
    <row r="136" spans="8:8" x14ac:dyDescent="0.2">
      <c r="H136" s="8" t="str">
        <f t="shared" si="2"/>
        <v/>
      </c>
    </row>
    <row r="137" spans="8:8" x14ac:dyDescent="0.2">
      <c r="H137" s="8" t="str">
        <f t="shared" si="2"/>
        <v/>
      </c>
    </row>
    <row r="138" spans="8:8" x14ac:dyDescent="0.2">
      <c r="H138" s="8" t="str">
        <f t="shared" si="2"/>
        <v/>
      </c>
    </row>
    <row r="139" spans="8:8" x14ac:dyDescent="0.2">
      <c r="H139" s="8" t="str">
        <f t="shared" si="2"/>
        <v/>
      </c>
    </row>
    <row r="140" spans="8:8" x14ac:dyDescent="0.2">
      <c r="H140" s="8" t="str">
        <f t="shared" si="2"/>
        <v/>
      </c>
    </row>
    <row r="141" spans="8:8" x14ac:dyDescent="0.2">
      <c r="H141" s="8" t="str">
        <f t="shared" si="2"/>
        <v/>
      </c>
    </row>
    <row r="142" spans="8:8" x14ac:dyDescent="0.2">
      <c r="H142" s="8" t="str">
        <f t="shared" si="2"/>
        <v/>
      </c>
    </row>
    <row r="143" spans="8:8" x14ac:dyDescent="0.2">
      <c r="H143" s="8" t="str">
        <f t="shared" si="2"/>
        <v/>
      </c>
    </row>
    <row r="144" spans="8:8" x14ac:dyDescent="0.2">
      <c r="H144" s="8" t="str">
        <f t="shared" si="2"/>
        <v/>
      </c>
    </row>
    <row r="145" spans="8:8" x14ac:dyDescent="0.2">
      <c r="H145" s="8" t="str">
        <f t="shared" si="2"/>
        <v/>
      </c>
    </row>
    <row r="146" spans="8:8" x14ac:dyDescent="0.2">
      <c r="H146" s="8" t="str">
        <f t="shared" si="2"/>
        <v/>
      </c>
    </row>
    <row r="147" spans="8:8" x14ac:dyDescent="0.2">
      <c r="H147" s="8" t="str">
        <f t="shared" si="2"/>
        <v/>
      </c>
    </row>
    <row r="148" spans="8:8" x14ac:dyDescent="0.2">
      <c r="H148" s="8" t="str">
        <f t="shared" si="2"/>
        <v/>
      </c>
    </row>
    <row r="149" spans="8:8" x14ac:dyDescent="0.2">
      <c r="H149" s="8" t="str">
        <f t="shared" si="2"/>
        <v/>
      </c>
    </row>
    <row r="150" spans="8:8" x14ac:dyDescent="0.2">
      <c r="H150" s="8" t="str">
        <f t="shared" si="2"/>
        <v/>
      </c>
    </row>
    <row r="151" spans="8:8" x14ac:dyDescent="0.2">
      <c r="H151" s="8" t="str">
        <f t="shared" si="2"/>
        <v/>
      </c>
    </row>
    <row r="152" spans="8:8" x14ac:dyDescent="0.2">
      <c r="H152" s="8" t="str">
        <f t="shared" si="2"/>
        <v/>
      </c>
    </row>
    <row r="153" spans="8:8" x14ac:dyDescent="0.2">
      <c r="H153" s="8" t="str">
        <f t="shared" si="2"/>
        <v/>
      </c>
    </row>
    <row r="154" spans="8:8" x14ac:dyDescent="0.2">
      <c r="H154" s="8" t="str">
        <f t="shared" si="2"/>
        <v/>
      </c>
    </row>
    <row r="155" spans="8:8" x14ac:dyDescent="0.2">
      <c r="H155" s="8" t="str">
        <f t="shared" si="2"/>
        <v/>
      </c>
    </row>
    <row r="156" spans="8:8" x14ac:dyDescent="0.2">
      <c r="H156" s="8" t="str">
        <f t="shared" si="2"/>
        <v/>
      </c>
    </row>
    <row r="157" spans="8:8" x14ac:dyDescent="0.2">
      <c r="H157" s="8" t="str">
        <f t="shared" si="2"/>
        <v/>
      </c>
    </row>
    <row r="158" spans="8:8" x14ac:dyDescent="0.2">
      <c r="H158" s="8" t="str">
        <f t="shared" si="2"/>
        <v/>
      </c>
    </row>
    <row r="159" spans="8:8" x14ac:dyDescent="0.2">
      <c r="H159" s="8" t="str">
        <f t="shared" si="2"/>
        <v/>
      </c>
    </row>
    <row r="160" spans="8:8" x14ac:dyDescent="0.2">
      <c r="H160" s="8" t="str">
        <f t="shared" si="2"/>
        <v/>
      </c>
    </row>
    <row r="161" spans="8:8" x14ac:dyDescent="0.2">
      <c r="H161" s="8" t="str">
        <f t="shared" si="2"/>
        <v/>
      </c>
    </row>
    <row r="162" spans="8:8" x14ac:dyDescent="0.2">
      <c r="H162" s="8" t="str">
        <f t="shared" si="2"/>
        <v/>
      </c>
    </row>
    <row r="163" spans="8:8" x14ac:dyDescent="0.2">
      <c r="H163" s="8" t="str">
        <f t="shared" si="2"/>
        <v/>
      </c>
    </row>
    <row r="164" spans="8:8" x14ac:dyDescent="0.2">
      <c r="H164" s="8" t="str">
        <f t="shared" si="2"/>
        <v/>
      </c>
    </row>
    <row r="165" spans="8:8" x14ac:dyDescent="0.2">
      <c r="H165" s="8" t="str">
        <f t="shared" si="2"/>
        <v/>
      </c>
    </row>
    <row r="166" spans="8:8" x14ac:dyDescent="0.2">
      <c r="H166" s="8" t="str">
        <f t="shared" si="2"/>
        <v/>
      </c>
    </row>
    <row r="167" spans="8:8" x14ac:dyDescent="0.2">
      <c r="H167" s="8" t="str">
        <f t="shared" si="2"/>
        <v/>
      </c>
    </row>
    <row r="168" spans="8:8" x14ac:dyDescent="0.2">
      <c r="H168" s="8" t="str">
        <f t="shared" si="2"/>
        <v/>
      </c>
    </row>
    <row r="169" spans="8:8" x14ac:dyDescent="0.2">
      <c r="H169" s="8" t="str">
        <f t="shared" si="2"/>
        <v/>
      </c>
    </row>
    <row r="170" spans="8:8" x14ac:dyDescent="0.2">
      <c r="H170" s="8" t="str">
        <f t="shared" si="2"/>
        <v/>
      </c>
    </row>
    <row r="171" spans="8:8" x14ac:dyDescent="0.2">
      <c r="H171" s="8" t="str">
        <f t="shared" si="2"/>
        <v/>
      </c>
    </row>
    <row r="172" spans="8:8" x14ac:dyDescent="0.2">
      <c r="H172" s="8" t="str">
        <f t="shared" si="2"/>
        <v/>
      </c>
    </row>
    <row r="173" spans="8:8" x14ac:dyDescent="0.2">
      <c r="H173" s="8" t="str">
        <f t="shared" si="2"/>
        <v/>
      </c>
    </row>
    <row r="174" spans="8:8" x14ac:dyDescent="0.2">
      <c r="H174" s="8" t="str">
        <f t="shared" si="2"/>
        <v/>
      </c>
    </row>
    <row r="175" spans="8:8" x14ac:dyDescent="0.2">
      <c r="H175" s="8" t="str">
        <f t="shared" si="2"/>
        <v/>
      </c>
    </row>
    <row r="176" spans="8:8" x14ac:dyDescent="0.2">
      <c r="H176" s="8" t="str">
        <f t="shared" si="2"/>
        <v/>
      </c>
    </row>
    <row r="177" spans="8:8" x14ac:dyDescent="0.2">
      <c r="H177" s="8" t="str">
        <f t="shared" si="2"/>
        <v/>
      </c>
    </row>
    <row r="178" spans="8:8" x14ac:dyDescent="0.2">
      <c r="H178" s="8" t="str">
        <f t="shared" si="2"/>
        <v/>
      </c>
    </row>
    <row r="179" spans="8:8" x14ac:dyDescent="0.2">
      <c r="H179" s="8" t="str">
        <f t="shared" si="2"/>
        <v/>
      </c>
    </row>
    <row r="180" spans="8:8" x14ac:dyDescent="0.2">
      <c r="H180" s="8" t="str">
        <f t="shared" si="2"/>
        <v/>
      </c>
    </row>
    <row r="181" spans="8:8" x14ac:dyDescent="0.2">
      <c r="H181" s="8" t="str">
        <f t="shared" si="2"/>
        <v/>
      </c>
    </row>
    <row r="182" spans="8:8" x14ac:dyDescent="0.2">
      <c r="H182" s="8" t="str">
        <f t="shared" si="2"/>
        <v/>
      </c>
    </row>
    <row r="183" spans="8:8" x14ac:dyDescent="0.2">
      <c r="H183" s="8" t="str">
        <f t="shared" si="2"/>
        <v/>
      </c>
    </row>
    <row r="184" spans="8:8" x14ac:dyDescent="0.2">
      <c r="H184" s="8" t="str">
        <f t="shared" si="2"/>
        <v/>
      </c>
    </row>
    <row r="185" spans="8:8" x14ac:dyDescent="0.2">
      <c r="H185" s="8" t="str">
        <f t="shared" si="2"/>
        <v/>
      </c>
    </row>
    <row r="186" spans="8:8" x14ac:dyDescent="0.2">
      <c r="H186" s="8" t="str">
        <f t="shared" si="2"/>
        <v/>
      </c>
    </row>
    <row r="187" spans="8:8" x14ac:dyDescent="0.2">
      <c r="H187" s="8" t="str">
        <f t="shared" si="2"/>
        <v/>
      </c>
    </row>
    <row r="188" spans="8:8" x14ac:dyDescent="0.2">
      <c r="H188" s="8" t="str">
        <f t="shared" si="2"/>
        <v/>
      </c>
    </row>
    <row r="189" spans="8:8" x14ac:dyDescent="0.2">
      <c r="H189" s="8" t="str">
        <f t="shared" si="2"/>
        <v/>
      </c>
    </row>
    <row r="190" spans="8:8" x14ac:dyDescent="0.2">
      <c r="H190" s="8" t="str">
        <f t="shared" si="2"/>
        <v/>
      </c>
    </row>
    <row r="191" spans="8:8" x14ac:dyDescent="0.2">
      <c r="H191" s="8" t="str">
        <f t="shared" si="2"/>
        <v/>
      </c>
    </row>
    <row r="192" spans="8:8" x14ac:dyDescent="0.2">
      <c r="H192" s="8" t="str">
        <f t="shared" si="2"/>
        <v/>
      </c>
    </row>
    <row r="193" spans="8:8" x14ac:dyDescent="0.2">
      <c r="H193" s="8" t="str">
        <f t="shared" si="2"/>
        <v/>
      </c>
    </row>
    <row r="194" spans="8:8" x14ac:dyDescent="0.2">
      <c r="H194" s="8" t="str">
        <f t="shared" ref="H194:H257" si="3">IF(A194=0,"","Fiber")</f>
        <v/>
      </c>
    </row>
    <row r="195" spans="8:8" x14ac:dyDescent="0.2">
      <c r="H195" s="8" t="str">
        <f t="shared" si="3"/>
        <v/>
      </c>
    </row>
    <row r="196" spans="8:8" x14ac:dyDescent="0.2">
      <c r="H196" s="8" t="str">
        <f t="shared" si="3"/>
        <v/>
      </c>
    </row>
    <row r="197" spans="8:8" x14ac:dyDescent="0.2">
      <c r="H197" s="8" t="str">
        <f t="shared" si="3"/>
        <v/>
      </c>
    </row>
    <row r="198" spans="8:8" x14ac:dyDescent="0.2">
      <c r="H198" s="8" t="str">
        <f t="shared" si="3"/>
        <v/>
      </c>
    </row>
    <row r="199" spans="8:8" x14ac:dyDescent="0.2">
      <c r="H199" s="8" t="str">
        <f t="shared" si="3"/>
        <v/>
      </c>
    </row>
    <row r="200" spans="8:8" x14ac:dyDescent="0.2">
      <c r="H200" s="8" t="str">
        <f t="shared" si="3"/>
        <v/>
      </c>
    </row>
    <row r="201" spans="8:8" x14ac:dyDescent="0.2">
      <c r="H201" s="8" t="str">
        <f t="shared" si="3"/>
        <v/>
      </c>
    </row>
    <row r="202" spans="8:8" x14ac:dyDescent="0.2">
      <c r="H202" s="8" t="str">
        <f t="shared" si="3"/>
        <v/>
      </c>
    </row>
    <row r="203" spans="8:8" x14ac:dyDescent="0.2">
      <c r="H203" s="8" t="str">
        <f t="shared" si="3"/>
        <v/>
      </c>
    </row>
    <row r="204" spans="8:8" x14ac:dyDescent="0.2">
      <c r="H204" s="8" t="str">
        <f t="shared" si="3"/>
        <v/>
      </c>
    </row>
    <row r="205" spans="8:8" x14ac:dyDescent="0.2">
      <c r="H205" s="8" t="str">
        <f t="shared" si="3"/>
        <v/>
      </c>
    </row>
    <row r="206" spans="8:8" x14ac:dyDescent="0.2">
      <c r="H206" s="8" t="str">
        <f t="shared" si="3"/>
        <v/>
      </c>
    </row>
    <row r="207" spans="8:8" x14ac:dyDescent="0.2">
      <c r="H207" s="8" t="str">
        <f t="shared" si="3"/>
        <v/>
      </c>
    </row>
    <row r="208" spans="8:8" x14ac:dyDescent="0.2">
      <c r="H208" s="8" t="str">
        <f t="shared" si="3"/>
        <v/>
      </c>
    </row>
    <row r="209" spans="8:8" x14ac:dyDescent="0.2">
      <c r="H209" s="8" t="str">
        <f t="shared" si="3"/>
        <v/>
      </c>
    </row>
    <row r="210" spans="8:8" x14ac:dyDescent="0.2">
      <c r="H210" s="8" t="str">
        <f t="shared" si="3"/>
        <v/>
      </c>
    </row>
    <row r="211" spans="8:8" x14ac:dyDescent="0.2">
      <c r="H211" s="8" t="str">
        <f t="shared" si="3"/>
        <v/>
      </c>
    </row>
    <row r="212" spans="8:8" x14ac:dyDescent="0.2">
      <c r="H212" s="8" t="str">
        <f t="shared" si="3"/>
        <v/>
      </c>
    </row>
    <row r="213" spans="8:8" x14ac:dyDescent="0.2">
      <c r="H213" s="8" t="str">
        <f t="shared" si="3"/>
        <v/>
      </c>
    </row>
    <row r="214" spans="8:8" x14ac:dyDescent="0.2">
      <c r="H214" s="8" t="str">
        <f t="shared" si="3"/>
        <v/>
      </c>
    </row>
    <row r="215" spans="8:8" x14ac:dyDescent="0.2">
      <c r="H215" s="8" t="str">
        <f t="shared" si="3"/>
        <v/>
      </c>
    </row>
    <row r="216" spans="8:8" x14ac:dyDescent="0.2">
      <c r="H216" s="8" t="str">
        <f t="shared" si="3"/>
        <v/>
      </c>
    </row>
    <row r="217" spans="8:8" x14ac:dyDescent="0.2">
      <c r="H217" s="8" t="str">
        <f t="shared" si="3"/>
        <v/>
      </c>
    </row>
    <row r="218" spans="8:8" x14ac:dyDescent="0.2">
      <c r="H218" s="8" t="str">
        <f t="shared" si="3"/>
        <v/>
      </c>
    </row>
    <row r="219" spans="8:8" x14ac:dyDescent="0.2">
      <c r="H219" s="8" t="str">
        <f t="shared" si="3"/>
        <v/>
      </c>
    </row>
    <row r="220" spans="8:8" x14ac:dyDescent="0.2">
      <c r="H220" s="8" t="str">
        <f t="shared" si="3"/>
        <v/>
      </c>
    </row>
    <row r="221" spans="8:8" x14ac:dyDescent="0.2">
      <c r="H221" s="8" t="str">
        <f t="shared" si="3"/>
        <v/>
      </c>
    </row>
    <row r="222" spans="8:8" x14ac:dyDescent="0.2">
      <c r="H222" s="8" t="str">
        <f t="shared" si="3"/>
        <v/>
      </c>
    </row>
    <row r="223" spans="8:8" x14ac:dyDescent="0.2">
      <c r="H223" s="8" t="str">
        <f t="shared" si="3"/>
        <v/>
      </c>
    </row>
    <row r="224" spans="8:8" x14ac:dyDescent="0.2">
      <c r="H224" s="8" t="str">
        <f t="shared" si="3"/>
        <v/>
      </c>
    </row>
    <row r="225" spans="8:8" x14ac:dyDescent="0.2">
      <c r="H225" s="8" t="str">
        <f t="shared" si="3"/>
        <v/>
      </c>
    </row>
    <row r="226" spans="8:8" x14ac:dyDescent="0.2">
      <c r="H226" s="8" t="str">
        <f t="shared" si="3"/>
        <v/>
      </c>
    </row>
    <row r="227" spans="8:8" x14ac:dyDescent="0.2">
      <c r="H227" s="8" t="str">
        <f t="shared" si="3"/>
        <v/>
      </c>
    </row>
    <row r="228" spans="8:8" x14ac:dyDescent="0.2">
      <c r="H228" s="8" t="str">
        <f t="shared" si="3"/>
        <v/>
      </c>
    </row>
    <row r="229" spans="8:8" x14ac:dyDescent="0.2">
      <c r="H229" s="8" t="str">
        <f t="shared" si="3"/>
        <v/>
      </c>
    </row>
    <row r="230" spans="8:8" x14ac:dyDescent="0.2">
      <c r="H230" s="8" t="str">
        <f t="shared" si="3"/>
        <v/>
      </c>
    </row>
    <row r="231" spans="8:8" x14ac:dyDescent="0.2">
      <c r="H231" s="8" t="str">
        <f t="shared" si="3"/>
        <v/>
      </c>
    </row>
    <row r="232" spans="8:8" x14ac:dyDescent="0.2">
      <c r="H232" s="8" t="str">
        <f t="shared" si="3"/>
        <v/>
      </c>
    </row>
    <row r="233" spans="8:8" x14ac:dyDescent="0.2">
      <c r="H233" s="8" t="str">
        <f t="shared" si="3"/>
        <v/>
      </c>
    </row>
    <row r="234" spans="8:8" x14ac:dyDescent="0.2">
      <c r="H234" s="8" t="str">
        <f t="shared" si="3"/>
        <v/>
      </c>
    </row>
    <row r="235" spans="8:8" x14ac:dyDescent="0.2">
      <c r="H235" s="8" t="str">
        <f t="shared" si="3"/>
        <v/>
      </c>
    </row>
    <row r="236" spans="8:8" x14ac:dyDescent="0.2">
      <c r="H236" s="8" t="str">
        <f t="shared" si="3"/>
        <v/>
      </c>
    </row>
    <row r="237" spans="8:8" x14ac:dyDescent="0.2">
      <c r="H237" s="8" t="str">
        <f t="shared" si="3"/>
        <v/>
      </c>
    </row>
    <row r="238" spans="8:8" x14ac:dyDescent="0.2">
      <c r="H238" s="8" t="str">
        <f t="shared" si="3"/>
        <v/>
      </c>
    </row>
    <row r="239" spans="8:8" x14ac:dyDescent="0.2">
      <c r="H239" s="8" t="str">
        <f t="shared" si="3"/>
        <v/>
      </c>
    </row>
    <row r="240" spans="8:8" x14ac:dyDescent="0.2">
      <c r="H240" s="8" t="str">
        <f t="shared" si="3"/>
        <v/>
      </c>
    </row>
    <row r="241" spans="8:8" x14ac:dyDescent="0.2">
      <c r="H241" s="8" t="str">
        <f t="shared" si="3"/>
        <v/>
      </c>
    </row>
    <row r="242" spans="8:8" x14ac:dyDescent="0.2">
      <c r="H242" s="8" t="str">
        <f t="shared" si="3"/>
        <v/>
      </c>
    </row>
    <row r="243" spans="8:8" x14ac:dyDescent="0.2">
      <c r="H243" s="8" t="str">
        <f t="shared" si="3"/>
        <v/>
      </c>
    </row>
    <row r="244" spans="8:8" x14ac:dyDescent="0.2">
      <c r="H244" s="8" t="str">
        <f t="shared" si="3"/>
        <v/>
      </c>
    </row>
    <row r="245" spans="8:8" x14ac:dyDescent="0.2">
      <c r="H245" s="8" t="str">
        <f t="shared" si="3"/>
        <v/>
      </c>
    </row>
    <row r="246" spans="8:8" x14ac:dyDescent="0.2">
      <c r="H246" s="8" t="str">
        <f t="shared" si="3"/>
        <v/>
      </c>
    </row>
    <row r="247" spans="8:8" x14ac:dyDescent="0.2">
      <c r="H247" s="8" t="str">
        <f t="shared" si="3"/>
        <v/>
      </c>
    </row>
    <row r="248" spans="8:8" x14ac:dyDescent="0.2">
      <c r="H248" s="8" t="str">
        <f t="shared" si="3"/>
        <v/>
      </c>
    </row>
    <row r="249" spans="8:8" x14ac:dyDescent="0.2">
      <c r="H249" s="8" t="str">
        <f t="shared" si="3"/>
        <v/>
      </c>
    </row>
    <row r="250" spans="8:8" x14ac:dyDescent="0.2">
      <c r="H250" s="8" t="str">
        <f t="shared" si="3"/>
        <v/>
      </c>
    </row>
    <row r="251" spans="8:8" x14ac:dyDescent="0.2">
      <c r="H251" s="8" t="str">
        <f t="shared" si="3"/>
        <v/>
      </c>
    </row>
    <row r="252" spans="8:8" x14ac:dyDescent="0.2">
      <c r="H252" s="8" t="str">
        <f t="shared" si="3"/>
        <v/>
      </c>
    </row>
    <row r="253" spans="8:8" x14ac:dyDescent="0.2">
      <c r="H253" s="8" t="str">
        <f t="shared" si="3"/>
        <v/>
      </c>
    </row>
    <row r="254" spans="8:8" x14ac:dyDescent="0.2">
      <c r="H254" s="8" t="str">
        <f t="shared" si="3"/>
        <v/>
      </c>
    </row>
    <row r="255" spans="8:8" x14ac:dyDescent="0.2">
      <c r="H255" s="8" t="str">
        <f t="shared" si="3"/>
        <v/>
      </c>
    </row>
    <row r="256" spans="8:8" x14ac:dyDescent="0.2">
      <c r="H256" s="8" t="str">
        <f t="shared" si="3"/>
        <v/>
      </c>
    </row>
    <row r="257" spans="8:8" x14ac:dyDescent="0.2">
      <c r="H257" s="8" t="str">
        <f t="shared" si="3"/>
        <v/>
      </c>
    </row>
    <row r="258" spans="8:8" x14ac:dyDescent="0.2">
      <c r="H258" s="8" t="str">
        <f t="shared" ref="H258:H321" si="4">IF(A258=0,"","Fiber")</f>
        <v/>
      </c>
    </row>
    <row r="259" spans="8:8" x14ac:dyDescent="0.2">
      <c r="H259" s="8" t="str">
        <f t="shared" si="4"/>
        <v/>
      </c>
    </row>
    <row r="260" spans="8:8" x14ac:dyDescent="0.2">
      <c r="H260" s="8" t="str">
        <f t="shared" si="4"/>
        <v/>
      </c>
    </row>
    <row r="261" spans="8:8" x14ac:dyDescent="0.2">
      <c r="H261" s="8" t="str">
        <f t="shared" si="4"/>
        <v/>
      </c>
    </row>
    <row r="262" spans="8:8" x14ac:dyDescent="0.2">
      <c r="H262" s="8" t="str">
        <f t="shared" si="4"/>
        <v/>
      </c>
    </row>
    <row r="263" spans="8:8" x14ac:dyDescent="0.2">
      <c r="H263" s="8" t="str">
        <f t="shared" si="4"/>
        <v/>
      </c>
    </row>
    <row r="264" spans="8:8" x14ac:dyDescent="0.2">
      <c r="H264" s="8" t="str">
        <f t="shared" si="4"/>
        <v/>
      </c>
    </row>
    <row r="265" spans="8:8" x14ac:dyDescent="0.2">
      <c r="H265" s="8" t="str">
        <f t="shared" si="4"/>
        <v/>
      </c>
    </row>
    <row r="266" spans="8:8" x14ac:dyDescent="0.2">
      <c r="H266" s="8" t="str">
        <f t="shared" si="4"/>
        <v/>
      </c>
    </row>
    <row r="267" spans="8:8" x14ac:dyDescent="0.2">
      <c r="H267" s="8" t="str">
        <f t="shared" si="4"/>
        <v/>
      </c>
    </row>
    <row r="268" spans="8:8" x14ac:dyDescent="0.2">
      <c r="H268" s="8" t="str">
        <f t="shared" si="4"/>
        <v/>
      </c>
    </row>
    <row r="269" spans="8:8" x14ac:dyDescent="0.2">
      <c r="H269" s="8" t="str">
        <f t="shared" si="4"/>
        <v/>
      </c>
    </row>
    <row r="270" spans="8:8" x14ac:dyDescent="0.2">
      <c r="H270" s="8" t="str">
        <f t="shared" si="4"/>
        <v/>
      </c>
    </row>
    <row r="271" spans="8:8" x14ac:dyDescent="0.2">
      <c r="H271" s="8" t="str">
        <f t="shared" si="4"/>
        <v/>
      </c>
    </row>
    <row r="272" spans="8:8" x14ac:dyDescent="0.2">
      <c r="H272" s="8" t="str">
        <f t="shared" si="4"/>
        <v/>
      </c>
    </row>
    <row r="273" spans="8:8" x14ac:dyDescent="0.2">
      <c r="H273" s="8" t="str">
        <f t="shared" si="4"/>
        <v/>
      </c>
    </row>
    <row r="274" spans="8:8" x14ac:dyDescent="0.2">
      <c r="H274" s="8" t="str">
        <f t="shared" si="4"/>
        <v/>
      </c>
    </row>
    <row r="275" spans="8:8" x14ac:dyDescent="0.2">
      <c r="H275" s="8" t="str">
        <f t="shared" si="4"/>
        <v/>
      </c>
    </row>
    <row r="276" spans="8:8" x14ac:dyDescent="0.2">
      <c r="H276" s="8" t="str">
        <f t="shared" si="4"/>
        <v/>
      </c>
    </row>
    <row r="277" spans="8:8" x14ac:dyDescent="0.2">
      <c r="H277" s="8" t="str">
        <f t="shared" si="4"/>
        <v/>
      </c>
    </row>
    <row r="278" spans="8:8" x14ac:dyDescent="0.2">
      <c r="H278" s="8" t="str">
        <f t="shared" si="4"/>
        <v/>
      </c>
    </row>
    <row r="279" spans="8:8" x14ac:dyDescent="0.2">
      <c r="H279" s="8" t="str">
        <f t="shared" si="4"/>
        <v/>
      </c>
    </row>
    <row r="280" spans="8:8" x14ac:dyDescent="0.2">
      <c r="H280" s="8" t="str">
        <f t="shared" si="4"/>
        <v/>
      </c>
    </row>
    <row r="281" spans="8:8" x14ac:dyDescent="0.2">
      <c r="H281" s="8" t="str">
        <f t="shared" si="4"/>
        <v/>
      </c>
    </row>
    <row r="282" spans="8:8" x14ac:dyDescent="0.2">
      <c r="H282" s="8" t="str">
        <f t="shared" si="4"/>
        <v/>
      </c>
    </row>
    <row r="283" spans="8:8" x14ac:dyDescent="0.2">
      <c r="H283" s="8" t="str">
        <f t="shared" si="4"/>
        <v/>
      </c>
    </row>
    <row r="284" spans="8:8" x14ac:dyDescent="0.2">
      <c r="H284" s="8" t="str">
        <f t="shared" si="4"/>
        <v/>
      </c>
    </row>
    <row r="285" spans="8:8" x14ac:dyDescent="0.2">
      <c r="H285" s="8" t="str">
        <f t="shared" si="4"/>
        <v/>
      </c>
    </row>
    <row r="286" spans="8:8" x14ac:dyDescent="0.2">
      <c r="H286" s="8" t="str">
        <f t="shared" si="4"/>
        <v/>
      </c>
    </row>
    <row r="287" spans="8:8" x14ac:dyDescent="0.2">
      <c r="H287" s="8" t="str">
        <f t="shared" si="4"/>
        <v/>
      </c>
    </row>
    <row r="288" spans="8:8" x14ac:dyDescent="0.2">
      <c r="H288" s="8" t="str">
        <f t="shared" si="4"/>
        <v/>
      </c>
    </row>
    <row r="289" spans="8:8" x14ac:dyDescent="0.2">
      <c r="H289" s="8" t="str">
        <f t="shared" si="4"/>
        <v/>
      </c>
    </row>
    <row r="290" spans="8:8" x14ac:dyDescent="0.2">
      <c r="H290" s="8" t="str">
        <f t="shared" si="4"/>
        <v/>
      </c>
    </row>
    <row r="291" spans="8:8" x14ac:dyDescent="0.2">
      <c r="H291" s="8" t="str">
        <f t="shared" si="4"/>
        <v/>
      </c>
    </row>
    <row r="292" spans="8:8" x14ac:dyDescent="0.2">
      <c r="H292" s="8" t="str">
        <f t="shared" si="4"/>
        <v/>
      </c>
    </row>
    <row r="293" spans="8:8" x14ac:dyDescent="0.2">
      <c r="H293" s="8" t="str">
        <f t="shared" si="4"/>
        <v/>
      </c>
    </row>
    <row r="294" spans="8:8" x14ac:dyDescent="0.2">
      <c r="H294" s="8" t="str">
        <f t="shared" si="4"/>
        <v/>
      </c>
    </row>
    <row r="295" spans="8:8" x14ac:dyDescent="0.2">
      <c r="H295" s="8" t="str">
        <f t="shared" si="4"/>
        <v/>
      </c>
    </row>
    <row r="296" spans="8:8" x14ac:dyDescent="0.2">
      <c r="H296" s="8" t="str">
        <f t="shared" si="4"/>
        <v/>
      </c>
    </row>
    <row r="297" spans="8:8" x14ac:dyDescent="0.2">
      <c r="H297" s="8" t="str">
        <f t="shared" si="4"/>
        <v/>
      </c>
    </row>
    <row r="298" spans="8:8" x14ac:dyDescent="0.2">
      <c r="H298" s="8" t="str">
        <f t="shared" si="4"/>
        <v/>
      </c>
    </row>
    <row r="299" spans="8:8" x14ac:dyDescent="0.2">
      <c r="H299" s="8" t="str">
        <f t="shared" si="4"/>
        <v/>
      </c>
    </row>
    <row r="300" spans="8:8" x14ac:dyDescent="0.2">
      <c r="H300" s="8" t="str">
        <f t="shared" si="4"/>
        <v/>
      </c>
    </row>
    <row r="301" spans="8:8" x14ac:dyDescent="0.2">
      <c r="H301" s="8" t="str">
        <f t="shared" si="4"/>
        <v/>
      </c>
    </row>
    <row r="302" spans="8:8" x14ac:dyDescent="0.2">
      <c r="H302" s="8" t="str">
        <f t="shared" si="4"/>
        <v/>
      </c>
    </row>
    <row r="303" spans="8:8" x14ac:dyDescent="0.2">
      <c r="H303" s="8" t="str">
        <f t="shared" si="4"/>
        <v/>
      </c>
    </row>
    <row r="304" spans="8:8" x14ac:dyDescent="0.2">
      <c r="H304" s="8" t="str">
        <f t="shared" si="4"/>
        <v/>
      </c>
    </row>
    <row r="305" spans="8:8" x14ac:dyDescent="0.2">
      <c r="H305" s="8" t="str">
        <f t="shared" si="4"/>
        <v/>
      </c>
    </row>
    <row r="306" spans="8:8" x14ac:dyDescent="0.2">
      <c r="H306" s="8" t="str">
        <f t="shared" si="4"/>
        <v/>
      </c>
    </row>
    <row r="307" spans="8:8" x14ac:dyDescent="0.2">
      <c r="H307" s="8" t="str">
        <f t="shared" si="4"/>
        <v/>
      </c>
    </row>
    <row r="308" spans="8:8" x14ac:dyDescent="0.2">
      <c r="H308" s="8" t="str">
        <f t="shared" si="4"/>
        <v/>
      </c>
    </row>
    <row r="309" spans="8:8" x14ac:dyDescent="0.2">
      <c r="H309" s="8" t="str">
        <f t="shared" si="4"/>
        <v/>
      </c>
    </row>
    <row r="310" spans="8:8" x14ac:dyDescent="0.2">
      <c r="H310" s="8" t="str">
        <f t="shared" si="4"/>
        <v/>
      </c>
    </row>
    <row r="311" spans="8:8" x14ac:dyDescent="0.2">
      <c r="H311" s="8" t="str">
        <f t="shared" si="4"/>
        <v/>
      </c>
    </row>
    <row r="312" spans="8:8" x14ac:dyDescent="0.2">
      <c r="H312" s="8" t="str">
        <f t="shared" si="4"/>
        <v/>
      </c>
    </row>
    <row r="313" spans="8:8" x14ac:dyDescent="0.2">
      <c r="H313" s="8" t="str">
        <f t="shared" si="4"/>
        <v/>
      </c>
    </row>
    <row r="314" spans="8:8" x14ac:dyDescent="0.2">
      <c r="H314" s="8" t="str">
        <f t="shared" si="4"/>
        <v/>
      </c>
    </row>
    <row r="315" spans="8:8" x14ac:dyDescent="0.2">
      <c r="H315" s="8" t="str">
        <f t="shared" si="4"/>
        <v/>
      </c>
    </row>
    <row r="316" spans="8:8" x14ac:dyDescent="0.2">
      <c r="H316" s="8" t="str">
        <f t="shared" si="4"/>
        <v/>
      </c>
    </row>
    <row r="317" spans="8:8" x14ac:dyDescent="0.2">
      <c r="H317" s="8" t="str">
        <f t="shared" si="4"/>
        <v/>
      </c>
    </row>
    <row r="318" spans="8:8" x14ac:dyDescent="0.2">
      <c r="H318" s="8" t="str">
        <f t="shared" si="4"/>
        <v/>
      </c>
    </row>
    <row r="319" spans="8:8" x14ac:dyDescent="0.2">
      <c r="H319" s="8" t="str">
        <f t="shared" si="4"/>
        <v/>
      </c>
    </row>
    <row r="320" spans="8:8" x14ac:dyDescent="0.2">
      <c r="H320" s="8" t="str">
        <f t="shared" si="4"/>
        <v/>
      </c>
    </row>
    <row r="321" spans="8:8" x14ac:dyDescent="0.2">
      <c r="H321" s="8" t="str">
        <f t="shared" si="4"/>
        <v/>
      </c>
    </row>
    <row r="322" spans="8:8" x14ac:dyDescent="0.2">
      <c r="H322" s="8" t="str">
        <f t="shared" ref="H322:H385" si="5">IF(A322=0,"","Fiber")</f>
        <v/>
      </c>
    </row>
    <row r="323" spans="8:8" x14ac:dyDescent="0.2">
      <c r="H323" s="8" t="str">
        <f t="shared" si="5"/>
        <v/>
      </c>
    </row>
    <row r="324" spans="8:8" x14ac:dyDescent="0.2">
      <c r="H324" s="8" t="str">
        <f t="shared" si="5"/>
        <v/>
      </c>
    </row>
    <row r="325" spans="8:8" x14ac:dyDescent="0.2">
      <c r="H325" s="8" t="str">
        <f t="shared" si="5"/>
        <v/>
      </c>
    </row>
    <row r="326" spans="8:8" x14ac:dyDescent="0.2">
      <c r="H326" s="8" t="str">
        <f t="shared" si="5"/>
        <v/>
      </c>
    </row>
    <row r="327" spans="8:8" x14ac:dyDescent="0.2">
      <c r="H327" s="8" t="str">
        <f t="shared" si="5"/>
        <v/>
      </c>
    </row>
    <row r="328" spans="8:8" x14ac:dyDescent="0.2">
      <c r="H328" s="8" t="str">
        <f t="shared" si="5"/>
        <v/>
      </c>
    </row>
    <row r="329" spans="8:8" x14ac:dyDescent="0.2">
      <c r="H329" s="8" t="str">
        <f t="shared" si="5"/>
        <v/>
      </c>
    </row>
    <row r="330" spans="8:8" x14ac:dyDescent="0.2">
      <c r="H330" s="8" t="str">
        <f t="shared" si="5"/>
        <v/>
      </c>
    </row>
    <row r="331" spans="8:8" x14ac:dyDescent="0.2">
      <c r="H331" s="8" t="str">
        <f t="shared" si="5"/>
        <v/>
      </c>
    </row>
    <row r="332" spans="8:8" x14ac:dyDescent="0.2">
      <c r="H332" s="8" t="str">
        <f t="shared" si="5"/>
        <v/>
      </c>
    </row>
    <row r="333" spans="8:8" x14ac:dyDescent="0.2">
      <c r="H333" s="8" t="str">
        <f t="shared" si="5"/>
        <v/>
      </c>
    </row>
    <row r="334" spans="8:8" x14ac:dyDescent="0.2">
      <c r="H334" s="8" t="str">
        <f t="shared" si="5"/>
        <v/>
      </c>
    </row>
    <row r="335" spans="8:8" x14ac:dyDescent="0.2">
      <c r="H335" s="8" t="str">
        <f t="shared" si="5"/>
        <v/>
      </c>
    </row>
    <row r="336" spans="8:8" x14ac:dyDescent="0.2">
      <c r="H336" s="8" t="str">
        <f t="shared" si="5"/>
        <v/>
      </c>
    </row>
    <row r="337" spans="8:8" x14ac:dyDescent="0.2">
      <c r="H337" s="8" t="str">
        <f t="shared" si="5"/>
        <v/>
      </c>
    </row>
    <row r="338" spans="8:8" x14ac:dyDescent="0.2">
      <c r="H338" s="8" t="str">
        <f t="shared" si="5"/>
        <v/>
      </c>
    </row>
    <row r="339" spans="8:8" x14ac:dyDescent="0.2">
      <c r="H339" s="8" t="str">
        <f t="shared" si="5"/>
        <v/>
      </c>
    </row>
    <row r="340" spans="8:8" x14ac:dyDescent="0.2">
      <c r="H340" s="8" t="str">
        <f t="shared" si="5"/>
        <v/>
      </c>
    </row>
    <row r="341" spans="8:8" x14ac:dyDescent="0.2">
      <c r="H341" s="8" t="str">
        <f t="shared" si="5"/>
        <v/>
      </c>
    </row>
    <row r="342" spans="8:8" x14ac:dyDescent="0.2">
      <c r="H342" s="8" t="str">
        <f t="shared" si="5"/>
        <v/>
      </c>
    </row>
    <row r="343" spans="8:8" x14ac:dyDescent="0.2">
      <c r="H343" s="8" t="str">
        <f t="shared" si="5"/>
        <v/>
      </c>
    </row>
    <row r="344" spans="8:8" x14ac:dyDescent="0.2">
      <c r="H344" s="8" t="str">
        <f t="shared" si="5"/>
        <v/>
      </c>
    </row>
    <row r="345" spans="8:8" x14ac:dyDescent="0.2">
      <c r="H345" s="8" t="str">
        <f t="shared" si="5"/>
        <v/>
      </c>
    </row>
    <row r="346" spans="8:8" x14ac:dyDescent="0.2">
      <c r="H346" s="8" t="str">
        <f t="shared" si="5"/>
        <v/>
      </c>
    </row>
    <row r="347" spans="8:8" x14ac:dyDescent="0.2">
      <c r="H347" s="8" t="str">
        <f t="shared" si="5"/>
        <v/>
      </c>
    </row>
    <row r="348" spans="8:8" x14ac:dyDescent="0.2">
      <c r="H348" s="8" t="str">
        <f t="shared" si="5"/>
        <v/>
      </c>
    </row>
    <row r="349" spans="8:8" x14ac:dyDescent="0.2">
      <c r="H349" s="8" t="str">
        <f t="shared" si="5"/>
        <v/>
      </c>
    </row>
    <row r="350" spans="8:8" x14ac:dyDescent="0.2">
      <c r="H350" s="8" t="str">
        <f t="shared" si="5"/>
        <v/>
      </c>
    </row>
    <row r="351" spans="8:8" x14ac:dyDescent="0.2">
      <c r="H351" s="8" t="str">
        <f t="shared" si="5"/>
        <v/>
      </c>
    </row>
    <row r="352" spans="8:8" x14ac:dyDescent="0.2">
      <c r="H352" s="8" t="str">
        <f t="shared" si="5"/>
        <v/>
      </c>
    </row>
    <row r="353" spans="8:8" x14ac:dyDescent="0.2">
      <c r="H353" s="8" t="str">
        <f t="shared" si="5"/>
        <v/>
      </c>
    </row>
    <row r="354" spans="8:8" x14ac:dyDescent="0.2">
      <c r="H354" s="8" t="str">
        <f t="shared" si="5"/>
        <v/>
      </c>
    </row>
    <row r="355" spans="8:8" x14ac:dyDescent="0.2">
      <c r="H355" s="8" t="str">
        <f t="shared" si="5"/>
        <v/>
      </c>
    </row>
    <row r="356" spans="8:8" x14ac:dyDescent="0.2">
      <c r="H356" s="8" t="str">
        <f t="shared" si="5"/>
        <v/>
      </c>
    </row>
    <row r="357" spans="8:8" x14ac:dyDescent="0.2">
      <c r="H357" s="8" t="str">
        <f t="shared" si="5"/>
        <v/>
      </c>
    </row>
    <row r="358" spans="8:8" x14ac:dyDescent="0.2">
      <c r="H358" s="8" t="str">
        <f t="shared" si="5"/>
        <v/>
      </c>
    </row>
    <row r="359" spans="8:8" x14ac:dyDescent="0.2">
      <c r="H359" s="8" t="str">
        <f t="shared" si="5"/>
        <v/>
      </c>
    </row>
    <row r="360" spans="8:8" x14ac:dyDescent="0.2">
      <c r="H360" s="8" t="str">
        <f t="shared" si="5"/>
        <v/>
      </c>
    </row>
    <row r="361" spans="8:8" x14ac:dyDescent="0.2">
      <c r="H361" s="8" t="str">
        <f t="shared" si="5"/>
        <v/>
      </c>
    </row>
    <row r="362" spans="8:8" x14ac:dyDescent="0.2">
      <c r="H362" s="8" t="str">
        <f t="shared" si="5"/>
        <v/>
      </c>
    </row>
    <row r="363" spans="8:8" x14ac:dyDescent="0.2">
      <c r="H363" s="8" t="str">
        <f t="shared" si="5"/>
        <v/>
      </c>
    </row>
    <row r="364" spans="8:8" x14ac:dyDescent="0.2">
      <c r="H364" s="8" t="str">
        <f t="shared" si="5"/>
        <v/>
      </c>
    </row>
    <row r="365" spans="8:8" x14ac:dyDescent="0.2">
      <c r="H365" s="8" t="str">
        <f t="shared" si="5"/>
        <v/>
      </c>
    </row>
    <row r="366" spans="8:8" x14ac:dyDescent="0.2">
      <c r="H366" s="8" t="str">
        <f t="shared" si="5"/>
        <v/>
      </c>
    </row>
    <row r="367" spans="8:8" x14ac:dyDescent="0.2">
      <c r="H367" s="8" t="str">
        <f t="shared" si="5"/>
        <v/>
      </c>
    </row>
    <row r="368" spans="8:8" x14ac:dyDescent="0.2">
      <c r="H368" s="8" t="str">
        <f t="shared" si="5"/>
        <v/>
      </c>
    </row>
    <row r="369" spans="8:8" x14ac:dyDescent="0.2">
      <c r="H369" s="8" t="str">
        <f t="shared" si="5"/>
        <v/>
      </c>
    </row>
    <row r="370" spans="8:8" x14ac:dyDescent="0.2">
      <c r="H370" s="8" t="str">
        <f t="shared" si="5"/>
        <v/>
      </c>
    </row>
    <row r="371" spans="8:8" x14ac:dyDescent="0.2">
      <c r="H371" s="8" t="str">
        <f t="shared" si="5"/>
        <v/>
      </c>
    </row>
    <row r="372" spans="8:8" x14ac:dyDescent="0.2">
      <c r="H372" s="8" t="str">
        <f t="shared" si="5"/>
        <v/>
      </c>
    </row>
    <row r="373" spans="8:8" x14ac:dyDescent="0.2">
      <c r="H373" s="8" t="str">
        <f t="shared" si="5"/>
        <v/>
      </c>
    </row>
    <row r="374" spans="8:8" x14ac:dyDescent="0.2">
      <c r="H374" s="8" t="str">
        <f t="shared" si="5"/>
        <v/>
      </c>
    </row>
    <row r="375" spans="8:8" x14ac:dyDescent="0.2">
      <c r="H375" s="8" t="str">
        <f t="shared" si="5"/>
        <v/>
      </c>
    </row>
    <row r="376" spans="8:8" x14ac:dyDescent="0.2">
      <c r="H376" s="8" t="str">
        <f t="shared" si="5"/>
        <v/>
      </c>
    </row>
    <row r="377" spans="8:8" x14ac:dyDescent="0.2">
      <c r="H377" s="8" t="str">
        <f t="shared" si="5"/>
        <v/>
      </c>
    </row>
    <row r="378" spans="8:8" x14ac:dyDescent="0.2">
      <c r="H378" s="8" t="str">
        <f t="shared" si="5"/>
        <v/>
      </c>
    </row>
    <row r="379" spans="8:8" x14ac:dyDescent="0.2">
      <c r="H379" s="8" t="str">
        <f t="shared" si="5"/>
        <v/>
      </c>
    </row>
    <row r="380" spans="8:8" x14ac:dyDescent="0.2">
      <c r="H380" s="8" t="str">
        <f t="shared" si="5"/>
        <v/>
      </c>
    </row>
    <row r="381" spans="8:8" x14ac:dyDescent="0.2">
      <c r="H381" s="8" t="str">
        <f t="shared" si="5"/>
        <v/>
      </c>
    </row>
    <row r="382" spans="8:8" x14ac:dyDescent="0.2">
      <c r="H382" s="8" t="str">
        <f t="shared" si="5"/>
        <v/>
      </c>
    </row>
    <row r="383" spans="8:8" x14ac:dyDescent="0.2">
      <c r="H383" s="8" t="str">
        <f t="shared" si="5"/>
        <v/>
      </c>
    </row>
    <row r="384" spans="8:8" x14ac:dyDescent="0.2">
      <c r="H384" s="8" t="str">
        <f t="shared" si="5"/>
        <v/>
      </c>
    </row>
    <row r="385" spans="8:8" x14ac:dyDescent="0.2">
      <c r="H385" s="8" t="str">
        <f t="shared" si="5"/>
        <v/>
      </c>
    </row>
    <row r="386" spans="8:8" x14ac:dyDescent="0.2">
      <c r="H386" s="8" t="str">
        <f t="shared" ref="H386:H449" si="6">IF(A386=0,"","Fiber")</f>
        <v/>
      </c>
    </row>
    <row r="387" spans="8:8" x14ac:dyDescent="0.2">
      <c r="H387" s="8" t="str">
        <f t="shared" si="6"/>
        <v/>
      </c>
    </row>
    <row r="388" spans="8:8" x14ac:dyDescent="0.2">
      <c r="H388" s="8" t="str">
        <f t="shared" si="6"/>
        <v/>
      </c>
    </row>
    <row r="389" spans="8:8" x14ac:dyDescent="0.2">
      <c r="H389" s="8" t="str">
        <f t="shared" si="6"/>
        <v/>
      </c>
    </row>
    <row r="390" spans="8:8" x14ac:dyDescent="0.2">
      <c r="H390" s="8" t="str">
        <f t="shared" si="6"/>
        <v/>
      </c>
    </row>
    <row r="391" spans="8:8" x14ac:dyDescent="0.2">
      <c r="H391" s="8" t="str">
        <f t="shared" si="6"/>
        <v/>
      </c>
    </row>
    <row r="392" spans="8:8" x14ac:dyDescent="0.2">
      <c r="H392" s="8" t="str">
        <f t="shared" si="6"/>
        <v/>
      </c>
    </row>
    <row r="393" spans="8:8" x14ac:dyDescent="0.2">
      <c r="H393" s="8" t="str">
        <f t="shared" si="6"/>
        <v/>
      </c>
    </row>
    <row r="394" spans="8:8" x14ac:dyDescent="0.2">
      <c r="H394" s="8" t="str">
        <f t="shared" si="6"/>
        <v/>
      </c>
    </row>
    <row r="395" spans="8:8" x14ac:dyDescent="0.2">
      <c r="H395" s="8" t="str">
        <f t="shared" si="6"/>
        <v/>
      </c>
    </row>
    <row r="396" spans="8:8" x14ac:dyDescent="0.2">
      <c r="H396" s="8" t="str">
        <f t="shared" si="6"/>
        <v/>
      </c>
    </row>
    <row r="397" spans="8:8" x14ac:dyDescent="0.2">
      <c r="H397" s="8" t="str">
        <f t="shared" si="6"/>
        <v/>
      </c>
    </row>
    <row r="398" spans="8:8" x14ac:dyDescent="0.2">
      <c r="H398" s="8" t="str">
        <f t="shared" si="6"/>
        <v/>
      </c>
    </row>
    <row r="399" spans="8:8" x14ac:dyDescent="0.2">
      <c r="H399" s="8" t="str">
        <f t="shared" si="6"/>
        <v/>
      </c>
    </row>
    <row r="400" spans="8:8" x14ac:dyDescent="0.2">
      <c r="H400" s="8" t="str">
        <f t="shared" si="6"/>
        <v/>
      </c>
    </row>
    <row r="401" spans="8:8" x14ac:dyDescent="0.2">
      <c r="H401" s="8" t="str">
        <f t="shared" si="6"/>
        <v/>
      </c>
    </row>
    <row r="402" spans="8:8" x14ac:dyDescent="0.2">
      <c r="H402" s="8" t="str">
        <f t="shared" si="6"/>
        <v/>
      </c>
    </row>
    <row r="403" spans="8:8" x14ac:dyDescent="0.2">
      <c r="H403" s="8" t="str">
        <f t="shared" si="6"/>
        <v/>
      </c>
    </row>
    <row r="404" spans="8:8" x14ac:dyDescent="0.2">
      <c r="H404" s="8" t="str">
        <f t="shared" si="6"/>
        <v/>
      </c>
    </row>
    <row r="405" spans="8:8" x14ac:dyDescent="0.2">
      <c r="H405" s="8" t="str">
        <f t="shared" si="6"/>
        <v/>
      </c>
    </row>
    <row r="406" spans="8:8" x14ac:dyDescent="0.2">
      <c r="H406" s="8" t="str">
        <f t="shared" si="6"/>
        <v/>
      </c>
    </row>
    <row r="407" spans="8:8" x14ac:dyDescent="0.2">
      <c r="H407" s="8" t="str">
        <f t="shared" si="6"/>
        <v/>
      </c>
    </row>
    <row r="408" spans="8:8" x14ac:dyDescent="0.2">
      <c r="H408" s="8" t="str">
        <f t="shared" si="6"/>
        <v/>
      </c>
    </row>
    <row r="409" spans="8:8" x14ac:dyDescent="0.2">
      <c r="H409" s="8" t="str">
        <f t="shared" si="6"/>
        <v/>
      </c>
    </row>
    <row r="410" spans="8:8" x14ac:dyDescent="0.2">
      <c r="H410" s="8" t="str">
        <f t="shared" si="6"/>
        <v/>
      </c>
    </row>
    <row r="411" spans="8:8" x14ac:dyDescent="0.2">
      <c r="H411" s="8" t="str">
        <f t="shared" si="6"/>
        <v/>
      </c>
    </row>
    <row r="412" spans="8:8" x14ac:dyDescent="0.2">
      <c r="H412" s="8" t="str">
        <f t="shared" si="6"/>
        <v/>
      </c>
    </row>
    <row r="413" spans="8:8" x14ac:dyDescent="0.2">
      <c r="H413" s="8" t="str">
        <f t="shared" si="6"/>
        <v/>
      </c>
    </row>
    <row r="414" spans="8:8" x14ac:dyDescent="0.2">
      <c r="H414" s="8" t="str">
        <f t="shared" si="6"/>
        <v/>
      </c>
    </row>
    <row r="415" spans="8:8" x14ac:dyDescent="0.2">
      <c r="H415" s="8" t="str">
        <f t="shared" si="6"/>
        <v/>
      </c>
    </row>
    <row r="416" spans="8:8" x14ac:dyDescent="0.2">
      <c r="H416" s="8" t="str">
        <f t="shared" si="6"/>
        <v/>
      </c>
    </row>
    <row r="417" spans="8:8" x14ac:dyDescent="0.2">
      <c r="H417" s="8" t="str">
        <f t="shared" si="6"/>
        <v/>
      </c>
    </row>
    <row r="418" spans="8:8" x14ac:dyDescent="0.2">
      <c r="H418" s="8" t="str">
        <f t="shared" si="6"/>
        <v/>
      </c>
    </row>
    <row r="419" spans="8:8" x14ac:dyDescent="0.2">
      <c r="H419" s="8" t="str">
        <f t="shared" si="6"/>
        <v/>
      </c>
    </row>
    <row r="420" spans="8:8" x14ac:dyDescent="0.2">
      <c r="H420" s="8" t="str">
        <f t="shared" si="6"/>
        <v/>
      </c>
    </row>
    <row r="421" spans="8:8" x14ac:dyDescent="0.2">
      <c r="H421" s="8" t="str">
        <f t="shared" si="6"/>
        <v/>
      </c>
    </row>
    <row r="422" spans="8:8" x14ac:dyDescent="0.2">
      <c r="H422" s="8" t="str">
        <f t="shared" si="6"/>
        <v/>
      </c>
    </row>
    <row r="423" spans="8:8" x14ac:dyDescent="0.2">
      <c r="H423" s="8" t="str">
        <f t="shared" si="6"/>
        <v/>
      </c>
    </row>
    <row r="424" spans="8:8" x14ac:dyDescent="0.2">
      <c r="H424" s="8" t="str">
        <f t="shared" si="6"/>
        <v/>
      </c>
    </row>
    <row r="425" spans="8:8" x14ac:dyDescent="0.2">
      <c r="H425" s="8" t="str">
        <f t="shared" si="6"/>
        <v/>
      </c>
    </row>
    <row r="426" spans="8:8" x14ac:dyDescent="0.2">
      <c r="H426" s="8" t="str">
        <f t="shared" si="6"/>
        <v/>
      </c>
    </row>
    <row r="427" spans="8:8" x14ac:dyDescent="0.2">
      <c r="H427" s="8" t="str">
        <f t="shared" si="6"/>
        <v/>
      </c>
    </row>
    <row r="428" spans="8:8" x14ac:dyDescent="0.2">
      <c r="H428" s="8" t="str">
        <f t="shared" si="6"/>
        <v/>
      </c>
    </row>
    <row r="429" spans="8:8" x14ac:dyDescent="0.2">
      <c r="H429" s="8" t="str">
        <f t="shared" si="6"/>
        <v/>
      </c>
    </row>
    <row r="430" spans="8:8" x14ac:dyDescent="0.2">
      <c r="H430" s="8" t="str">
        <f t="shared" si="6"/>
        <v/>
      </c>
    </row>
    <row r="431" spans="8:8" x14ac:dyDescent="0.2">
      <c r="H431" s="8" t="str">
        <f t="shared" si="6"/>
        <v/>
      </c>
    </row>
    <row r="432" spans="8:8" x14ac:dyDescent="0.2">
      <c r="H432" s="8" t="str">
        <f t="shared" si="6"/>
        <v/>
      </c>
    </row>
    <row r="433" spans="8:8" x14ac:dyDescent="0.2">
      <c r="H433" s="8" t="str">
        <f t="shared" si="6"/>
        <v/>
      </c>
    </row>
    <row r="434" spans="8:8" x14ac:dyDescent="0.2">
      <c r="H434" s="8" t="str">
        <f t="shared" si="6"/>
        <v/>
      </c>
    </row>
    <row r="435" spans="8:8" x14ac:dyDescent="0.2">
      <c r="H435" s="8" t="str">
        <f t="shared" si="6"/>
        <v/>
      </c>
    </row>
    <row r="436" spans="8:8" x14ac:dyDescent="0.2">
      <c r="H436" s="8" t="str">
        <f t="shared" si="6"/>
        <v/>
      </c>
    </row>
    <row r="437" spans="8:8" x14ac:dyDescent="0.2">
      <c r="H437" s="8" t="str">
        <f t="shared" si="6"/>
        <v/>
      </c>
    </row>
    <row r="438" spans="8:8" x14ac:dyDescent="0.2">
      <c r="H438" s="8" t="str">
        <f t="shared" si="6"/>
        <v/>
      </c>
    </row>
    <row r="439" spans="8:8" x14ac:dyDescent="0.2">
      <c r="H439" s="8" t="str">
        <f t="shared" si="6"/>
        <v/>
      </c>
    </row>
    <row r="440" spans="8:8" x14ac:dyDescent="0.2">
      <c r="H440" s="8" t="str">
        <f t="shared" si="6"/>
        <v/>
      </c>
    </row>
    <row r="441" spans="8:8" x14ac:dyDescent="0.2">
      <c r="H441" s="8" t="str">
        <f t="shared" si="6"/>
        <v/>
      </c>
    </row>
    <row r="442" spans="8:8" x14ac:dyDescent="0.2">
      <c r="H442" s="8" t="str">
        <f t="shared" si="6"/>
        <v/>
      </c>
    </row>
    <row r="443" spans="8:8" x14ac:dyDescent="0.2">
      <c r="H443" s="8" t="str">
        <f t="shared" si="6"/>
        <v/>
      </c>
    </row>
    <row r="444" spans="8:8" x14ac:dyDescent="0.2">
      <c r="H444" s="8" t="str">
        <f t="shared" si="6"/>
        <v/>
      </c>
    </row>
    <row r="445" spans="8:8" x14ac:dyDescent="0.2">
      <c r="H445" s="8" t="str">
        <f t="shared" si="6"/>
        <v/>
      </c>
    </row>
    <row r="446" spans="8:8" x14ac:dyDescent="0.2">
      <c r="H446" s="8" t="str">
        <f t="shared" si="6"/>
        <v/>
      </c>
    </row>
    <row r="447" spans="8:8" x14ac:dyDescent="0.2">
      <c r="H447" s="8" t="str">
        <f t="shared" si="6"/>
        <v/>
      </c>
    </row>
    <row r="448" spans="8:8" x14ac:dyDescent="0.2">
      <c r="H448" s="8" t="str">
        <f t="shared" si="6"/>
        <v/>
      </c>
    </row>
    <row r="449" spans="8:8" x14ac:dyDescent="0.2">
      <c r="H449" s="8" t="str">
        <f t="shared" si="6"/>
        <v/>
      </c>
    </row>
    <row r="450" spans="8:8" x14ac:dyDescent="0.2">
      <c r="H450" s="8" t="str">
        <f t="shared" ref="H450:H513" si="7">IF(A450=0,"","Fiber")</f>
        <v/>
      </c>
    </row>
    <row r="451" spans="8:8" x14ac:dyDescent="0.2">
      <c r="H451" s="8" t="str">
        <f t="shared" si="7"/>
        <v/>
      </c>
    </row>
    <row r="452" spans="8:8" x14ac:dyDescent="0.2">
      <c r="H452" s="8" t="str">
        <f t="shared" si="7"/>
        <v/>
      </c>
    </row>
    <row r="453" spans="8:8" x14ac:dyDescent="0.2">
      <c r="H453" s="8" t="str">
        <f t="shared" si="7"/>
        <v/>
      </c>
    </row>
    <row r="454" spans="8:8" x14ac:dyDescent="0.2">
      <c r="H454" s="8" t="str">
        <f t="shared" si="7"/>
        <v/>
      </c>
    </row>
    <row r="455" spans="8:8" x14ac:dyDescent="0.2">
      <c r="H455" s="8" t="str">
        <f t="shared" si="7"/>
        <v/>
      </c>
    </row>
    <row r="456" spans="8:8" x14ac:dyDescent="0.2">
      <c r="H456" s="8" t="str">
        <f t="shared" si="7"/>
        <v/>
      </c>
    </row>
    <row r="457" spans="8:8" x14ac:dyDescent="0.2">
      <c r="H457" s="8" t="str">
        <f t="shared" si="7"/>
        <v/>
      </c>
    </row>
    <row r="458" spans="8:8" x14ac:dyDescent="0.2">
      <c r="H458" s="8" t="str">
        <f t="shared" si="7"/>
        <v/>
      </c>
    </row>
    <row r="459" spans="8:8" x14ac:dyDescent="0.2">
      <c r="H459" s="8" t="str">
        <f t="shared" si="7"/>
        <v/>
      </c>
    </row>
    <row r="460" spans="8:8" x14ac:dyDescent="0.2">
      <c r="H460" s="8" t="str">
        <f t="shared" si="7"/>
        <v/>
      </c>
    </row>
    <row r="461" spans="8:8" x14ac:dyDescent="0.2">
      <c r="H461" s="8" t="str">
        <f t="shared" si="7"/>
        <v/>
      </c>
    </row>
    <row r="462" spans="8:8" x14ac:dyDescent="0.2">
      <c r="H462" s="8" t="str">
        <f t="shared" si="7"/>
        <v/>
      </c>
    </row>
    <row r="463" spans="8:8" x14ac:dyDescent="0.2">
      <c r="H463" s="8" t="str">
        <f t="shared" si="7"/>
        <v/>
      </c>
    </row>
    <row r="464" spans="8:8" x14ac:dyDescent="0.2">
      <c r="H464" s="8" t="str">
        <f t="shared" si="7"/>
        <v/>
      </c>
    </row>
    <row r="465" spans="8:8" x14ac:dyDescent="0.2">
      <c r="H465" s="8" t="str">
        <f t="shared" si="7"/>
        <v/>
      </c>
    </row>
    <row r="466" spans="8:8" x14ac:dyDescent="0.2">
      <c r="H466" s="8" t="str">
        <f t="shared" si="7"/>
        <v/>
      </c>
    </row>
    <row r="467" spans="8:8" x14ac:dyDescent="0.2">
      <c r="H467" s="8" t="str">
        <f t="shared" si="7"/>
        <v/>
      </c>
    </row>
    <row r="468" spans="8:8" x14ac:dyDescent="0.2">
      <c r="H468" s="8" t="str">
        <f t="shared" si="7"/>
        <v/>
      </c>
    </row>
    <row r="469" spans="8:8" x14ac:dyDescent="0.2">
      <c r="H469" s="8" t="str">
        <f t="shared" si="7"/>
        <v/>
      </c>
    </row>
    <row r="470" spans="8:8" x14ac:dyDescent="0.2">
      <c r="H470" s="8" t="str">
        <f t="shared" si="7"/>
        <v/>
      </c>
    </row>
    <row r="471" spans="8:8" x14ac:dyDescent="0.2">
      <c r="H471" s="8" t="str">
        <f t="shared" si="7"/>
        <v/>
      </c>
    </row>
    <row r="472" spans="8:8" x14ac:dyDescent="0.2">
      <c r="H472" s="8" t="str">
        <f t="shared" si="7"/>
        <v/>
      </c>
    </row>
    <row r="473" spans="8:8" x14ac:dyDescent="0.2">
      <c r="H473" s="8" t="str">
        <f t="shared" si="7"/>
        <v/>
      </c>
    </row>
    <row r="474" spans="8:8" x14ac:dyDescent="0.2">
      <c r="H474" s="8" t="str">
        <f t="shared" si="7"/>
        <v/>
      </c>
    </row>
    <row r="475" spans="8:8" x14ac:dyDescent="0.2">
      <c r="H475" s="8" t="str">
        <f t="shared" si="7"/>
        <v/>
      </c>
    </row>
    <row r="476" spans="8:8" x14ac:dyDescent="0.2">
      <c r="H476" s="8" t="str">
        <f t="shared" si="7"/>
        <v/>
      </c>
    </row>
    <row r="477" spans="8:8" x14ac:dyDescent="0.2">
      <c r="H477" s="8" t="str">
        <f t="shared" si="7"/>
        <v/>
      </c>
    </row>
    <row r="478" spans="8:8" x14ac:dyDescent="0.2">
      <c r="H478" s="8" t="str">
        <f t="shared" si="7"/>
        <v/>
      </c>
    </row>
    <row r="479" spans="8:8" x14ac:dyDescent="0.2">
      <c r="H479" s="8" t="str">
        <f t="shared" si="7"/>
        <v/>
      </c>
    </row>
    <row r="480" spans="8:8" x14ac:dyDescent="0.2">
      <c r="H480" s="8" t="str">
        <f t="shared" si="7"/>
        <v/>
      </c>
    </row>
    <row r="481" spans="8:8" x14ac:dyDescent="0.2">
      <c r="H481" s="8" t="str">
        <f t="shared" si="7"/>
        <v/>
      </c>
    </row>
    <row r="482" spans="8:8" x14ac:dyDescent="0.2">
      <c r="H482" s="8" t="str">
        <f t="shared" si="7"/>
        <v/>
      </c>
    </row>
    <row r="483" spans="8:8" x14ac:dyDescent="0.2">
      <c r="H483" s="8" t="str">
        <f t="shared" si="7"/>
        <v/>
      </c>
    </row>
    <row r="484" spans="8:8" x14ac:dyDescent="0.2">
      <c r="H484" s="8" t="str">
        <f t="shared" si="7"/>
        <v/>
      </c>
    </row>
    <row r="485" spans="8:8" x14ac:dyDescent="0.2">
      <c r="H485" s="8" t="str">
        <f t="shared" si="7"/>
        <v/>
      </c>
    </row>
    <row r="486" spans="8:8" x14ac:dyDescent="0.2">
      <c r="H486" s="8" t="str">
        <f t="shared" si="7"/>
        <v/>
      </c>
    </row>
    <row r="487" spans="8:8" x14ac:dyDescent="0.2">
      <c r="H487" s="8" t="str">
        <f t="shared" si="7"/>
        <v/>
      </c>
    </row>
    <row r="488" spans="8:8" x14ac:dyDescent="0.2">
      <c r="H488" s="8" t="str">
        <f t="shared" si="7"/>
        <v/>
      </c>
    </row>
    <row r="489" spans="8:8" x14ac:dyDescent="0.2">
      <c r="H489" s="8" t="str">
        <f t="shared" si="7"/>
        <v/>
      </c>
    </row>
    <row r="490" spans="8:8" x14ac:dyDescent="0.2">
      <c r="H490" s="8" t="str">
        <f t="shared" si="7"/>
        <v/>
      </c>
    </row>
    <row r="491" spans="8:8" x14ac:dyDescent="0.2">
      <c r="H491" s="8" t="str">
        <f t="shared" si="7"/>
        <v/>
      </c>
    </row>
    <row r="492" spans="8:8" x14ac:dyDescent="0.2">
      <c r="H492" s="8" t="str">
        <f t="shared" si="7"/>
        <v/>
      </c>
    </row>
    <row r="493" spans="8:8" x14ac:dyDescent="0.2">
      <c r="H493" s="8" t="str">
        <f t="shared" si="7"/>
        <v/>
      </c>
    </row>
    <row r="494" spans="8:8" x14ac:dyDescent="0.2">
      <c r="H494" s="8" t="str">
        <f t="shared" si="7"/>
        <v/>
      </c>
    </row>
    <row r="495" spans="8:8" x14ac:dyDescent="0.2">
      <c r="H495" s="8" t="str">
        <f t="shared" si="7"/>
        <v/>
      </c>
    </row>
    <row r="496" spans="8:8" x14ac:dyDescent="0.2">
      <c r="H496" s="8" t="str">
        <f t="shared" si="7"/>
        <v/>
      </c>
    </row>
    <row r="497" spans="8:8" x14ac:dyDescent="0.2">
      <c r="H497" s="8" t="str">
        <f t="shared" si="7"/>
        <v/>
      </c>
    </row>
    <row r="498" spans="8:8" x14ac:dyDescent="0.2">
      <c r="H498" s="8" t="str">
        <f t="shared" si="7"/>
        <v/>
      </c>
    </row>
    <row r="499" spans="8:8" x14ac:dyDescent="0.2">
      <c r="H499" s="8" t="str">
        <f t="shared" si="7"/>
        <v/>
      </c>
    </row>
    <row r="500" spans="8:8" x14ac:dyDescent="0.2">
      <c r="H500" s="8" t="str">
        <f t="shared" si="7"/>
        <v/>
      </c>
    </row>
    <row r="501" spans="8:8" x14ac:dyDescent="0.2">
      <c r="H501" s="8" t="str">
        <f t="shared" si="7"/>
        <v/>
      </c>
    </row>
    <row r="502" spans="8:8" x14ac:dyDescent="0.2">
      <c r="H502" s="8" t="str">
        <f t="shared" si="7"/>
        <v/>
      </c>
    </row>
    <row r="503" spans="8:8" x14ac:dyDescent="0.2">
      <c r="H503" s="8" t="str">
        <f t="shared" si="7"/>
        <v/>
      </c>
    </row>
    <row r="504" spans="8:8" x14ac:dyDescent="0.2">
      <c r="H504" s="8" t="str">
        <f t="shared" si="7"/>
        <v/>
      </c>
    </row>
    <row r="505" spans="8:8" x14ac:dyDescent="0.2">
      <c r="H505" s="8" t="str">
        <f t="shared" si="7"/>
        <v/>
      </c>
    </row>
    <row r="506" spans="8:8" x14ac:dyDescent="0.2">
      <c r="H506" s="8" t="str">
        <f t="shared" si="7"/>
        <v/>
      </c>
    </row>
    <row r="507" spans="8:8" x14ac:dyDescent="0.2">
      <c r="H507" s="8" t="str">
        <f t="shared" si="7"/>
        <v/>
      </c>
    </row>
    <row r="508" spans="8:8" x14ac:dyDescent="0.2">
      <c r="H508" s="8" t="str">
        <f t="shared" si="7"/>
        <v/>
      </c>
    </row>
    <row r="509" spans="8:8" x14ac:dyDescent="0.2">
      <c r="H509" s="8" t="str">
        <f t="shared" si="7"/>
        <v/>
      </c>
    </row>
    <row r="510" spans="8:8" x14ac:dyDescent="0.2">
      <c r="H510" s="8" t="str">
        <f t="shared" si="7"/>
        <v/>
      </c>
    </row>
    <row r="511" spans="8:8" x14ac:dyDescent="0.2">
      <c r="H511" s="8" t="str">
        <f t="shared" si="7"/>
        <v/>
      </c>
    </row>
    <row r="512" spans="8:8" x14ac:dyDescent="0.2">
      <c r="H512" s="8" t="str">
        <f t="shared" si="7"/>
        <v/>
      </c>
    </row>
    <row r="513" spans="8:8" x14ac:dyDescent="0.2">
      <c r="H513" s="8" t="str">
        <f t="shared" si="7"/>
        <v/>
      </c>
    </row>
    <row r="514" spans="8:8" x14ac:dyDescent="0.2">
      <c r="H514" s="8" t="str">
        <f t="shared" ref="H514:H577" si="8">IF(A514=0,"","Fiber")</f>
        <v/>
      </c>
    </row>
    <row r="515" spans="8:8" x14ac:dyDescent="0.2">
      <c r="H515" s="8" t="str">
        <f t="shared" si="8"/>
        <v/>
      </c>
    </row>
    <row r="516" spans="8:8" x14ac:dyDescent="0.2">
      <c r="H516" s="8" t="str">
        <f t="shared" si="8"/>
        <v/>
      </c>
    </row>
    <row r="517" spans="8:8" x14ac:dyDescent="0.2">
      <c r="H517" s="8" t="str">
        <f t="shared" si="8"/>
        <v/>
      </c>
    </row>
    <row r="518" spans="8:8" x14ac:dyDescent="0.2">
      <c r="H518" s="8" t="str">
        <f t="shared" si="8"/>
        <v/>
      </c>
    </row>
    <row r="519" spans="8:8" x14ac:dyDescent="0.2">
      <c r="H519" s="8" t="str">
        <f t="shared" si="8"/>
        <v/>
      </c>
    </row>
    <row r="520" spans="8:8" x14ac:dyDescent="0.2">
      <c r="H520" s="8" t="str">
        <f t="shared" si="8"/>
        <v/>
      </c>
    </row>
    <row r="521" spans="8:8" x14ac:dyDescent="0.2">
      <c r="H521" s="8" t="str">
        <f t="shared" si="8"/>
        <v/>
      </c>
    </row>
    <row r="522" spans="8:8" x14ac:dyDescent="0.2">
      <c r="H522" s="8" t="str">
        <f t="shared" si="8"/>
        <v/>
      </c>
    </row>
    <row r="523" spans="8:8" x14ac:dyDescent="0.2">
      <c r="H523" s="8" t="str">
        <f t="shared" si="8"/>
        <v/>
      </c>
    </row>
    <row r="524" spans="8:8" x14ac:dyDescent="0.2">
      <c r="H524" s="8" t="str">
        <f t="shared" si="8"/>
        <v/>
      </c>
    </row>
    <row r="525" spans="8:8" x14ac:dyDescent="0.2">
      <c r="H525" s="8" t="str">
        <f t="shared" si="8"/>
        <v/>
      </c>
    </row>
    <row r="526" spans="8:8" x14ac:dyDescent="0.2">
      <c r="H526" s="8" t="str">
        <f t="shared" si="8"/>
        <v/>
      </c>
    </row>
    <row r="527" spans="8:8" x14ac:dyDescent="0.2">
      <c r="H527" s="8" t="str">
        <f t="shared" si="8"/>
        <v/>
      </c>
    </row>
    <row r="528" spans="8:8" x14ac:dyDescent="0.2">
      <c r="H528" s="8" t="str">
        <f t="shared" si="8"/>
        <v/>
      </c>
    </row>
    <row r="529" spans="8:8" x14ac:dyDescent="0.2">
      <c r="H529" s="8" t="str">
        <f t="shared" si="8"/>
        <v/>
      </c>
    </row>
    <row r="530" spans="8:8" x14ac:dyDescent="0.2">
      <c r="H530" s="8" t="str">
        <f t="shared" si="8"/>
        <v/>
      </c>
    </row>
    <row r="531" spans="8:8" x14ac:dyDescent="0.2">
      <c r="H531" s="8" t="str">
        <f t="shared" si="8"/>
        <v/>
      </c>
    </row>
    <row r="532" spans="8:8" x14ac:dyDescent="0.2">
      <c r="H532" s="8" t="str">
        <f t="shared" si="8"/>
        <v/>
      </c>
    </row>
    <row r="533" spans="8:8" x14ac:dyDescent="0.2">
      <c r="H533" s="8" t="str">
        <f t="shared" si="8"/>
        <v/>
      </c>
    </row>
    <row r="534" spans="8:8" x14ac:dyDescent="0.2">
      <c r="H534" s="8" t="str">
        <f t="shared" si="8"/>
        <v/>
      </c>
    </row>
    <row r="535" spans="8:8" x14ac:dyDescent="0.2">
      <c r="H535" s="8" t="str">
        <f t="shared" si="8"/>
        <v/>
      </c>
    </row>
    <row r="536" spans="8:8" x14ac:dyDescent="0.2">
      <c r="H536" s="8" t="str">
        <f t="shared" si="8"/>
        <v/>
      </c>
    </row>
    <row r="537" spans="8:8" x14ac:dyDescent="0.2">
      <c r="H537" s="8" t="str">
        <f t="shared" si="8"/>
        <v/>
      </c>
    </row>
    <row r="538" spans="8:8" x14ac:dyDescent="0.2">
      <c r="H538" s="8" t="str">
        <f t="shared" si="8"/>
        <v/>
      </c>
    </row>
    <row r="539" spans="8:8" x14ac:dyDescent="0.2">
      <c r="H539" s="8" t="str">
        <f t="shared" si="8"/>
        <v/>
      </c>
    </row>
    <row r="540" spans="8:8" x14ac:dyDescent="0.2">
      <c r="H540" s="8" t="str">
        <f t="shared" si="8"/>
        <v/>
      </c>
    </row>
    <row r="541" spans="8:8" x14ac:dyDescent="0.2">
      <c r="H541" s="8" t="str">
        <f t="shared" si="8"/>
        <v/>
      </c>
    </row>
    <row r="542" spans="8:8" x14ac:dyDescent="0.2">
      <c r="H542" s="8" t="str">
        <f t="shared" si="8"/>
        <v/>
      </c>
    </row>
    <row r="543" spans="8:8" x14ac:dyDescent="0.2">
      <c r="H543" s="8" t="str">
        <f t="shared" si="8"/>
        <v/>
      </c>
    </row>
    <row r="544" spans="8:8" x14ac:dyDescent="0.2">
      <c r="H544" s="8" t="str">
        <f t="shared" si="8"/>
        <v/>
      </c>
    </row>
    <row r="545" spans="8:8" x14ac:dyDescent="0.2">
      <c r="H545" s="8" t="str">
        <f t="shared" si="8"/>
        <v/>
      </c>
    </row>
    <row r="546" spans="8:8" x14ac:dyDescent="0.2">
      <c r="H546" s="8" t="str">
        <f t="shared" si="8"/>
        <v/>
      </c>
    </row>
    <row r="547" spans="8:8" x14ac:dyDescent="0.2">
      <c r="H547" s="8" t="str">
        <f t="shared" si="8"/>
        <v/>
      </c>
    </row>
    <row r="548" spans="8:8" x14ac:dyDescent="0.2">
      <c r="H548" s="8" t="str">
        <f t="shared" si="8"/>
        <v/>
      </c>
    </row>
    <row r="549" spans="8:8" x14ac:dyDescent="0.2">
      <c r="H549" s="8" t="str">
        <f t="shared" si="8"/>
        <v/>
      </c>
    </row>
    <row r="550" spans="8:8" x14ac:dyDescent="0.2">
      <c r="H550" s="8" t="str">
        <f t="shared" si="8"/>
        <v/>
      </c>
    </row>
    <row r="551" spans="8:8" x14ac:dyDescent="0.2">
      <c r="H551" s="8" t="str">
        <f t="shared" si="8"/>
        <v/>
      </c>
    </row>
    <row r="552" spans="8:8" x14ac:dyDescent="0.2">
      <c r="H552" s="8" t="str">
        <f t="shared" si="8"/>
        <v/>
      </c>
    </row>
    <row r="553" spans="8:8" x14ac:dyDescent="0.2">
      <c r="H553" s="8" t="str">
        <f t="shared" si="8"/>
        <v/>
      </c>
    </row>
    <row r="554" spans="8:8" x14ac:dyDescent="0.2">
      <c r="H554" s="8" t="str">
        <f t="shared" si="8"/>
        <v/>
      </c>
    </row>
    <row r="555" spans="8:8" x14ac:dyDescent="0.2">
      <c r="H555" s="8" t="str">
        <f t="shared" si="8"/>
        <v/>
      </c>
    </row>
    <row r="556" spans="8:8" x14ac:dyDescent="0.2">
      <c r="H556" s="8" t="str">
        <f t="shared" si="8"/>
        <v/>
      </c>
    </row>
    <row r="557" spans="8:8" x14ac:dyDescent="0.2">
      <c r="H557" s="8" t="str">
        <f t="shared" si="8"/>
        <v/>
      </c>
    </row>
    <row r="558" spans="8:8" x14ac:dyDescent="0.2">
      <c r="H558" s="8" t="str">
        <f t="shared" si="8"/>
        <v/>
      </c>
    </row>
    <row r="559" spans="8:8" x14ac:dyDescent="0.2">
      <c r="H559" s="8" t="str">
        <f t="shared" si="8"/>
        <v/>
      </c>
    </row>
    <row r="560" spans="8:8" x14ac:dyDescent="0.2">
      <c r="H560" s="8" t="str">
        <f t="shared" si="8"/>
        <v/>
      </c>
    </row>
    <row r="561" spans="8:8" x14ac:dyDescent="0.2">
      <c r="H561" s="8" t="str">
        <f t="shared" si="8"/>
        <v/>
      </c>
    </row>
    <row r="562" spans="8:8" x14ac:dyDescent="0.2">
      <c r="H562" s="8" t="str">
        <f t="shared" si="8"/>
        <v/>
      </c>
    </row>
    <row r="563" spans="8:8" x14ac:dyDescent="0.2">
      <c r="H563" s="8" t="str">
        <f t="shared" si="8"/>
        <v/>
      </c>
    </row>
    <row r="564" spans="8:8" x14ac:dyDescent="0.2">
      <c r="H564" s="8" t="str">
        <f t="shared" si="8"/>
        <v/>
      </c>
    </row>
    <row r="565" spans="8:8" x14ac:dyDescent="0.2">
      <c r="H565" s="8" t="str">
        <f t="shared" si="8"/>
        <v/>
      </c>
    </row>
    <row r="566" spans="8:8" x14ac:dyDescent="0.2">
      <c r="H566" s="8" t="str">
        <f t="shared" si="8"/>
        <v/>
      </c>
    </row>
    <row r="567" spans="8:8" x14ac:dyDescent="0.2">
      <c r="H567" s="8" t="str">
        <f t="shared" si="8"/>
        <v/>
      </c>
    </row>
    <row r="568" spans="8:8" x14ac:dyDescent="0.2">
      <c r="H568" s="8" t="str">
        <f t="shared" si="8"/>
        <v/>
      </c>
    </row>
    <row r="569" spans="8:8" x14ac:dyDescent="0.2">
      <c r="H569" s="8" t="str">
        <f t="shared" si="8"/>
        <v/>
      </c>
    </row>
    <row r="570" spans="8:8" x14ac:dyDescent="0.2">
      <c r="H570" s="8" t="str">
        <f t="shared" si="8"/>
        <v/>
      </c>
    </row>
    <row r="571" spans="8:8" x14ac:dyDescent="0.2">
      <c r="H571" s="8" t="str">
        <f t="shared" si="8"/>
        <v/>
      </c>
    </row>
    <row r="572" spans="8:8" x14ac:dyDescent="0.2">
      <c r="H572" s="8" t="str">
        <f t="shared" si="8"/>
        <v/>
      </c>
    </row>
    <row r="573" spans="8:8" x14ac:dyDescent="0.2">
      <c r="H573" s="8" t="str">
        <f t="shared" si="8"/>
        <v/>
      </c>
    </row>
    <row r="574" spans="8:8" x14ac:dyDescent="0.2">
      <c r="H574" s="8" t="str">
        <f t="shared" si="8"/>
        <v/>
      </c>
    </row>
    <row r="575" spans="8:8" x14ac:dyDescent="0.2">
      <c r="H575" s="8" t="str">
        <f t="shared" si="8"/>
        <v/>
      </c>
    </row>
    <row r="576" spans="8:8" x14ac:dyDescent="0.2">
      <c r="H576" s="8" t="str">
        <f t="shared" si="8"/>
        <v/>
      </c>
    </row>
    <row r="577" spans="8:8" x14ac:dyDescent="0.2">
      <c r="H577" s="8" t="str">
        <f t="shared" si="8"/>
        <v/>
      </c>
    </row>
    <row r="578" spans="8:8" x14ac:dyDescent="0.2">
      <c r="H578" s="8" t="str">
        <f t="shared" ref="H578:H641" si="9">IF(A578=0,"","Fiber")</f>
        <v/>
      </c>
    </row>
    <row r="579" spans="8:8" x14ac:dyDescent="0.2">
      <c r="H579" s="8" t="str">
        <f t="shared" si="9"/>
        <v/>
      </c>
    </row>
    <row r="580" spans="8:8" x14ac:dyDescent="0.2">
      <c r="H580" s="8" t="str">
        <f t="shared" si="9"/>
        <v/>
      </c>
    </row>
    <row r="581" spans="8:8" x14ac:dyDescent="0.2">
      <c r="H581" s="8" t="str">
        <f t="shared" si="9"/>
        <v/>
      </c>
    </row>
    <row r="582" spans="8:8" x14ac:dyDescent="0.2">
      <c r="H582" s="8" t="str">
        <f t="shared" si="9"/>
        <v/>
      </c>
    </row>
    <row r="583" spans="8:8" x14ac:dyDescent="0.2">
      <c r="H583" s="8" t="str">
        <f t="shared" si="9"/>
        <v/>
      </c>
    </row>
    <row r="584" spans="8:8" x14ac:dyDescent="0.2">
      <c r="H584" s="8" t="str">
        <f t="shared" si="9"/>
        <v/>
      </c>
    </row>
    <row r="585" spans="8:8" x14ac:dyDescent="0.2">
      <c r="H585" s="8" t="str">
        <f t="shared" si="9"/>
        <v/>
      </c>
    </row>
    <row r="586" spans="8:8" x14ac:dyDescent="0.2">
      <c r="H586" s="8" t="str">
        <f t="shared" si="9"/>
        <v/>
      </c>
    </row>
    <row r="587" spans="8:8" x14ac:dyDescent="0.2">
      <c r="H587" s="8" t="str">
        <f t="shared" si="9"/>
        <v/>
      </c>
    </row>
    <row r="588" spans="8:8" x14ac:dyDescent="0.2">
      <c r="H588" s="8" t="str">
        <f t="shared" si="9"/>
        <v/>
      </c>
    </row>
    <row r="589" spans="8:8" x14ac:dyDescent="0.2">
      <c r="H589" s="8" t="str">
        <f t="shared" si="9"/>
        <v/>
      </c>
    </row>
    <row r="590" spans="8:8" x14ac:dyDescent="0.2">
      <c r="H590" s="8" t="str">
        <f t="shared" si="9"/>
        <v/>
      </c>
    </row>
    <row r="591" spans="8:8" x14ac:dyDescent="0.2">
      <c r="H591" s="8" t="str">
        <f t="shared" si="9"/>
        <v/>
      </c>
    </row>
    <row r="592" spans="8:8" x14ac:dyDescent="0.2">
      <c r="H592" s="8" t="str">
        <f t="shared" si="9"/>
        <v/>
      </c>
    </row>
    <row r="593" spans="8:8" x14ac:dyDescent="0.2">
      <c r="H593" s="8" t="str">
        <f t="shared" si="9"/>
        <v/>
      </c>
    </row>
    <row r="594" spans="8:8" x14ac:dyDescent="0.2">
      <c r="H594" s="8" t="str">
        <f t="shared" si="9"/>
        <v/>
      </c>
    </row>
    <row r="595" spans="8:8" x14ac:dyDescent="0.2">
      <c r="H595" s="8" t="str">
        <f t="shared" si="9"/>
        <v/>
      </c>
    </row>
    <row r="596" spans="8:8" x14ac:dyDescent="0.2">
      <c r="H596" s="8" t="str">
        <f t="shared" si="9"/>
        <v/>
      </c>
    </row>
    <row r="597" spans="8:8" x14ac:dyDescent="0.2">
      <c r="H597" s="8" t="str">
        <f t="shared" si="9"/>
        <v/>
      </c>
    </row>
    <row r="598" spans="8:8" x14ac:dyDescent="0.2">
      <c r="H598" s="8" t="str">
        <f t="shared" si="9"/>
        <v/>
      </c>
    </row>
    <row r="599" spans="8:8" x14ac:dyDescent="0.2">
      <c r="H599" s="8" t="str">
        <f t="shared" si="9"/>
        <v/>
      </c>
    </row>
    <row r="600" spans="8:8" x14ac:dyDescent="0.2">
      <c r="H600" s="8" t="str">
        <f t="shared" si="9"/>
        <v/>
      </c>
    </row>
    <row r="601" spans="8:8" x14ac:dyDescent="0.2">
      <c r="H601" s="8" t="str">
        <f t="shared" si="9"/>
        <v/>
      </c>
    </row>
    <row r="602" spans="8:8" x14ac:dyDescent="0.2">
      <c r="H602" s="8" t="str">
        <f t="shared" si="9"/>
        <v/>
      </c>
    </row>
    <row r="603" spans="8:8" x14ac:dyDescent="0.2">
      <c r="H603" s="8" t="str">
        <f t="shared" si="9"/>
        <v/>
      </c>
    </row>
    <row r="604" spans="8:8" x14ac:dyDescent="0.2">
      <c r="H604" s="8" t="str">
        <f t="shared" si="9"/>
        <v/>
      </c>
    </row>
    <row r="605" spans="8:8" x14ac:dyDescent="0.2">
      <c r="H605" s="8" t="str">
        <f t="shared" si="9"/>
        <v/>
      </c>
    </row>
    <row r="606" spans="8:8" x14ac:dyDescent="0.2">
      <c r="H606" s="8" t="str">
        <f t="shared" si="9"/>
        <v/>
      </c>
    </row>
    <row r="607" spans="8:8" x14ac:dyDescent="0.2">
      <c r="H607" s="8" t="str">
        <f t="shared" si="9"/>
        <v/>
      </c>
    </row>
    <row r="608" spans="8:8" x14ac:dyDescent="0.2">
      <c r="H608" s="8" t="str">
        <f t="shared" si="9"/>
        <v/>
      </c>
    </row>
    <row r="609" spans="8:8" x14ac:dyDescent="0.2">
      <c r="H609" s="8" t="str">
        <f t="shared" si="9"/>
        <v/>
      </c>
    </row>
    <row r="610" spans="8:8" x14ac:dyDescent="0.2">
      <c r="H610" s="8" t="str">
        <f t="shared" si="9"/>
        <v/>
      </c>
    </row>
    <row r="611" spans="8:8" x14ac:dyDescent="0.2">
      <c r="H611" s="8" t="str">
        <f t="shared" si="9"/>
        <v/>
      </c>
    </row>
    <row r="612" spans="8:8" x14ac:dyDescent="0.2">
      <c r="H612" s="8" t="str">
        <f t="shared" si="9"/>
        <v/>
      </c>
    </row>
    <row r="613" spans="8:8" x14ac:dyDescent="0.2">
      <c r="H613" s="8" t="str">
        <f t="shared" si="9"/>
        <v/>
      </c>
    </row>
    <row r="614" spans="8:8" x14ac:dyDescent="0.2">
      <c r="H614" s="8" t="str">
        <f t="shared" si="9"/>
        <v/>
      </c>
    </row>
    <row r="615" spans="8:8" x14ac:dyDescent="0.2">
      <c r="H615" s="8" t="str">
        <f t="shared" si="9"/>
        <v/>
      </c>
    </row>
    <row r="616" spans="8:8" x14ac:dyDescent="0.2">
      <c r="H616" s="8" t="str">
        <f t="shared" si="9"/>
        <v/>
      </c>
    </row>
    <row r="617" spans="8:8" x14ac:dyDescent="0.2">
      <c r="H617" s="8" t="str">
        <f t="shared" si="9"/>
        <v/>
      </c>
    </row>
    <row r="618" spans="8:8" x14ac:dyDescent="0.2">
      <c r="H618" s="8" t="str">
        <f t="shared" si="9"/>
        <v/>
      </c>
    </row>
    <row r="619" spans="8:8" x14ac:dyDescent="0.2">
      <c r="H619" s="8" t="str">
        <f t="shared" si="9"/>
        <v/>
      </c>
    </row>
    <row r="620" spans="8:8" x14ac:dyDescent="0.2">
      <c r="H620" s="8" t="str">
        <f t="shared" si="9"/>
        <v/>
      </c>
    </row>
    <row r="621" spans="8:8" x14ac:dyDescent="0.2">
      <c r="H621" s="8" t="str">
        <f t="shared" si="9"/>
        <v/>
      </c>
    </row>
    <row r="622" spans="8:8" x14ac:dyDescent="0.2">
      <c r="H622" s="8" t="str">
        <f t="shared" si="9"/>
        <v/>
      </c>
    </row>
    <row r="623" spans="8:8" x14ac:dyDescent="0.2">
      <c r="H623" s="8" t="str">
        <f t="shared" si="9"/>
        <v/>
      </c>
    </row>
    <row r="624" spans="8:8" x14ac:dyDescent="0.2">
      <c r="H624" s="8" t="str">
        <f t="shared" si="9"/>
        <v/>
      </c>
    </row>
    <row r="625" spans="8:8" x14ac:dyDescent="0.2">
      <c r="H625" s="8" t="str">
        <f t="shared" si="9"/>
        <v/>
      </c>
    </row>
    <row r="626" spans="8:8" x14ac:dyDescent="0.2">
      <c r="H626" s="8" t="str">
        <f t="shared" si="9"/>
        <v/>
      </c>
    </row>
    <row r="627" spans="8:8" x14ac:dyDescent="0.2">
      <c r="H627" s="8" t="str">
        <f t="shared" si="9"/>
        <v/>
      </c>
    </row>
    <row r="628" spans="8:8" x14ac:dyDescent="0.2">
      <c r="H628" s="8" t="str">
        <f t="shared" si="9"/>
        <v/>
      </c>
    </row>
    <row r="629" spans="8:8" x14ac:dyDescent="0.2">
      <c r="H629" s="8" t="str">
        <f t="shared" si="9"/>
        <v/>
      </c>
    </row>
    <row r="630" spans="8:8" x14ac:dyDescent="0.2">
      <c r="H630" s="8" t="str">
        <f t="shared" si="9"/>
        <v/>
      </c>
    </row>
    <row r="631" spans="8:8" x14ac:dyDescent="0.2">
      <c r="H631" s="8" t="str">
        <f t="shared" si="9"/>
        <v/>
      </c>
    </row>
    <row r="632" spans="8:8" x14ac:dyDescent="0.2">
      <c r="H632" s="8" t="str">
        <f t="shared" si="9"/>
        <v/>
      </c>
    </row>
    <row r="633" spans="8:8" x14ac:dyDescent="0.2">
      <c r="H633" s="8" t="str">
        <f t="shared" si="9"/>
        <v/>
      </c>
    </row>
    <row r="634" spans="8:8" x14ac:dyDescent="0.2">
      <c r="H634" s="8" t="str">
        <f t="shared" si="9"/>
        <v/>
      </c>
    </row>
    <row r="635" spans="8:8" x14ac:dyDescent="0.2">
      <c r="H635" s="8" t="str">
        <f t="shared" si="9"/>
        <v/>
      </c>
    </row>
    <row r="636" spans="8:8" x14ac:dyDescent="0.2">
      <c r="H636" s="8" t="str">
        <f t="shared" si="9"/>
        <v/>
      </c>
    </row>
    <row r="637" spans="8:8" x14ac:dyDescent="0.2">
      <c r="H637" s="8" t="str">
        <f t="shared" si="9"/>
        <v/>
      </c>
    </row>
    <row r="638" spans="8:8" x14ac:dyDescent="0.2">
      <c r="H638" s="8" t="str">
        <f t="shared" si="9"/>
        <v/>
      </c>
    </row>
    <row r="639" spans="8:8" x14ac:dyDescent="0.2">
      <c r="H639" s="8" t="str">
        <f t="shared" si="9"/>
        <v/>
      </c>
    </row>
    <row r="640" spans="8:8" x14ac:dyDescent="0.2">
      <c r="H640" s="8" t="str">
        <f t="shared" si="9"/>
        <v/>
      </c>
    </row>
    <row r="641" spans="8:8" x14ac:dyDescent="0.2">
      <c r="H641" s="8" t="str">
        <f t="shared" si="9"/>
        <v/>
      </c>
    </row>
    <row r="642" spans="8:8" x14ac:dyDescent="0.2">
      <c r="H642" s="8" t="str">
        <f t="shared" ref="H642:H705" si="10">IF(A642=0,"","Fiber")</f>
        <v/>
      </c>
    </row>
    <row r="643" spans="8:8" x14ac:dyDescent="0.2">
      <c r="H643" s="8" t="str">
        <f t="shared" si="10"/>
        <v/>
      </c>
    </row>
    <row r="644" spans="8:8" x14ac:dyDescent="0.2">
      <c r="H644" s="8" t="str">
        <f t="shared" si="10"/>
        <v/>
      </c>
    </row>
    <row r="645" spans="8:8" x14ac:dyDescent="0.2">
      <c r="H645" s="8" t="str">
        <f t="shared" si="10"/>
        <v/>
      </c>
    </row>
    <row r="646" spans="8:8" x14ac:dyDescent="0.2">
      <c r="H646" s="8" t="str">
        <f t="shared" si="10"/>
        <v/>
      </c>
    </row>
    <row r="647" spans="8:8" x14ac:dyDescent="0.2">
      <c r="H647" s="8" t="str">
        <f t="shared" si="10"/>
        <v/>
      </c>
    </row>
    <row r="648" spans="8:8" x14ac:dyDescent="0.2">
      <c r="H648" s="8" t="str">
        <f t="shared" si="10"/>
        <v/>
      </c>
    </row>
    <row r="649" spans="8:8" x14ac:dyDescent="0.2">
      <c r="H649" s="8" t="str">
        <f t="shared" si="10"/>
        <v/>
      </c>
    </row>
    <row r="650" spans="8:8" x14ac:dyDescent="0.2">
      <c r="H650" s="8" t="str">
        <f t="shared" si="10"/>
        <v/>
      </c>
    </row>
    <row r="651" spans="8:8" x14ac:dyDescent="0.2">
      <c r="H651" s="8" t="str">
        <f t="shared" si="10"/>
        <v/>
      </c>
    </row>
    <row r="652" spans="8:8" x14ac:dyDescent="0.2">
      <c r="H652" s="8" t="str">
        <f t="shared" si="10"/>
        <v/>
      </c>
    </row>
    <row r="653" spans="8:8" x14ac:dyDescent="0.2">
      <c r="H653" s="8" t="str">
        <f t="shared" si="10"/>
        <v/>
      </c>
    </row>
    <row r="654" spans="8:8" x14ac:dyDescent="0.2">
      <c r="H654" s="8" t="str">
        <f t="shared" si="10"/>
        <v/>
      </c>
    </row>
    <row r="655" spans="8:8" x14ac:dyDescent="0.2">
      <c r="H655" s="8" t="str">
        <f t="shared" si="10"/>
        <v/>
      </c>
    </row>
    <row r="656" spans="8:8" x14ac:dyDescent="0.2">
      <c r="H656" s="8" t="str">
        <f t="shared" si="10"/>
        <v/>
      </c>
    </row>
    <row r="657" spans="8:8" x14ac:dyDescent="0.2">
      <c r="H657" s="8" t="str">
        <f t="shared" si="10"/>
        <v/>
      </c>
    </row>
    <row r="658" spans="8:8" x14ac:dyDescent="0.2">
      <c r="H658" s="8" t="str">
        <f t="shared" si="10"/>
        <v/>
      </c>
    </row>
    <row r="659" spans="8:8" x14ac:dyDescent="0.2">
      <c r="H659" s="8" t="str">
        <f t="shared" si="10"/>
        <v/>
      </c>
    </row>
    <row r="660" spans="8:8" x14ac:dyDescent="0.2">
      <c r="H660" s="8" t="str">
        <f t="shared" si="10"/>
        <v/>
      </c>
    </row>
    <row r="661" spans="8:8" x14ac:dyDescent="0.2">
      <c r="H661" s="8" t="str">
        <f t="shared" si="10"/>
        <v/>
      </c>
    </row>
    <row r="662" spans="8:8" x14ac:dyDescent="0.2">
      <c r="H662" s="8" t="str">
        <f t="shared" si="10"/>
        <v/>
      </c>
    </row>
    <row r="663" spans="8:8" x14ac:dyDescent="0.2">
      <c r="H663" s="8" t="str">
        <f t="shared" si="10"/>
        <v/>
      </c>
    </row>
    <row r="664" spans="8:8" x14ac:dyDescent="0.2">
      <c r="H664" s="8" t="str">
        <f t="shared" si="10"/>
        <v/>
      </c>
    </row>
    <row r="665" spans="8:8" x14ac:dyDescent="0.2">
      <c r="H665" s="8" t="str">
        <f t="shared" si="10"/>
        <v/>
      </c>
    </row>
    <row r="666" spans="8:8" x14ac:dyDescent="0.2">
      <c r="H666" s="8" t="str">
        <f t="shared" si="10"/>
        <v/>
      </c>
    </row>
    <row r="667" spans="8:8" x14ac:dyDescent="0.2">
      <c r="H667" s="8" t="str">
        <f t="shared" si="10"/>
        <v/>
      </c>
    </row>
    <row r="668" spans="8:8" x14ac:dyDescent="0.2">
      <c r="H668" s="8" t="str">
        <f t="shared" si="10"/>
        <v/>
      </c>
    </row>
    <row r="669" spans="8:8" x14ac:dyDescent="0.2">
      <c r="H669" s="8" t="str">
        <f t="shared" si="10"/>
        <v/>
      </c>
    </row>
    <row r="670" spans="8:8" x14ac:dyDescent="0.2">
      <c r="H670" s="8" t="str">
        <f t="shared" si="10"/>
        <v/>
      </c>
    </row>
    <row r="671" spans="8:8" x14ac:dyDescent="0.2">
      <c r="H671" s="8" t="str">
        <f t="shared" si="10"/>
        <v/>
      </c>
    </row>
    <row r="672" spans="8:8" x14ac:dyDescent="0.2">
      <c r="H672" s="8" t="str">
        <f t="shared" si="10"/>
        <v/>
      </c>
    </row>
    <row r="673" spans="8:8" x14ac:dyDescent="0.2">
      <c r="H673" s="8" t="str">
        <f t="shared" si="10"/>
        <v/>
      </c>
    </row>
    <row r="674" spans="8:8" x14ac:dyDescent="0.2">
      <c r="H674" s="8" t="str">
        <f t="shared" si="10"/>
        <v/>
      </c>
    </row>
    <row r="675" spans="8:8" x14ac:dyDescent="0.2">
      <c r="H675" s="8" t="str">
        <f t="shared" si="10"/>
        <v/>
      </c>
    </row>
    <row r="676" spans="8:8" x14ac:dyDescent="0.2">
      <c r="H676" s="8" t="str">
        <f t="shared" si="10"/>
        <v/>
      </c>
    </row>
    <row r="677" spans="8:8" x14ac:dyDescent="0.2">
      <c r="H677" s="8" t="str">
        <f t="shared" si="10"/>
        <v/>
      </c>
    </row>
    <row r="678" spans="8:8" x14ac:dyDescent="0.2">
      <c r="H678" s="8" t="str">
        <f t="shared" si="10"/>
        <v/>
      </c>
    </row>
    <row r="679" spans="8:8" x14ac:dyDescent="0.2">
      <c r="H679" s="8" t="str">
        <f t="shared" si="10"/>
        <v/>
      </c>
    </row>
    <row r="680" spans="8:8" x14ac:dyDescent="0.2">
      <c r="H680" s="8" t="str">
        <f t="shared" si="10"/>
        <v/>
      </c>
    </row>
    <row r="681" spans="8:8" x14ac:dyDescent="0.2">
      <c r="H681" s="8" t="str">
        <f t="shared" si="10"/>
        <v/>
      </c>
    </row>
    <row r="682" spans="8:8" x14ac:dyDescent="0.2">
      <c r="H682" s="8" t="str">
        <f t="shared" si="10"/>
        <v/>
      </c>
    </row>
    <row r="683" spans="8:8" x14ac:dyDescent="0.2">
      <c r="H683" s="8" t="str">
        <f t="shared" si="10"/>
        <v/>
      </c>
    </row>
    <row r="684" spans="8:8" x14ac:dyDescent="0.2">
      <c r="H684" s="8" t="str">
        <f t="shared" si="10"/>
        <v/>
      </c>
    </row>
    <row r="685" spans="8:8" x14ac:dyDescent="0.2">
      <c r="H685" s="8" t="str">
        <f t="shared" si="10"/>
        <v/>
      </c>
    </row>
    <row r="686" spans="8:8" x14ac:dyDescent="0.2">
      <c r="H686" s="8" t="str">
        <f t="shared" si="10"/>
        <v/>
      </c>
    </row>
    <row r="687" spans="8:8" x14ac:dyDescent="0.2">
      <c r="H687" s="8" t="str">
        <f t="shared" si="10"/>
        <v/>
      </c>
    </row>
    <row r="688" spans="8:8" x14ac:dyDescent="0.2">
      <c r="H688" s="8" t="str">
        <f t="shared" si="10"/>
        <v/>
      </c>
    </row>
    <row r="689" spans="8:8" x14ac:dyDescent="0.2">
      <c r="H689" s="8" t="str">
        <f t="shared" si="10"/>
        <v/>
      </c>
    </row>
    <row r="690" spans="8:8" x14ac:dyDescent="0.2">
      <c r="H690" s="8" t="str">
        <f t="shared" si="10"/>
        <v/>
      </c>
    </row>
    <row r="691" spans="8:8" x14ac:dyDescent="0.2">
      <c r="H691" s="8" t="str">
        <f t="shared" si="10"/>
        <v/>
      </c>
    </row>
    <row r="692" spans="8:8" x14ac:dyDescent="0.2">
      <c r="H692" s="8" t="str">
        <f t="shared" si="10"/>
        <v/>
      </c>
    </row>
    <row r="693" spans="8:8" x14ac:dyDescent="0.2">
      <c r="H693" s="8" t="str">
        <f t="shared" si="10"/>
        <v/>
      </c>
    </row>
    <row r="694" spans="8:8" x14ac:dyDescent="0.2">
      <c r="H694" s="8" t="str">
        <f t="shared" si="10"/>
        <v/>
      </c>
    </row>
    <row r="695" spans="8:8" x14ac:dyDescent="0.2">
      <c r="H695" s="8" t="str">
        <f t="shared" si="10"/>
        <v/>
      </c>
    </row>
    <row r="696" spans="8:8" x14ac:dyDescent="0.2">
      <c r="H696" s="8" t="str">
        <f t="shared" si="10"/>
        <v/>
      </c>
    </row>
    <row r="697" spans="8:8" x14ac:dyDescent="0.2">
      <c r="H697" s="8" t="str">
        <f t="shared" si="10"/>
        <v/>
      </c>
    </row>
    <row r="698" spans="8:8" x14ac:dyDescent="0.2">
      <c r="H698" s="8" t="str">
        <f t="shared" si="10"/>
        <v/>
      </c>
    </row>
    <row r="699" spans="8:8" x14ac:dyDescent="0.2">
      <c r="H699" s="8" t="str">
        <f t="shared" si="10"/>
        <v/>
      </c>
    </row>
    <row r="700" spans="8:8" x14ac:dyDescent="0.2">
      <c r="H700" s="8" t="str">
        <f t="shared" si="10"/>
        <v/>
      </c>
    </row>
    <row r="701" spans="8:8" x14ac:dyDescent="0.2">
      <c r="H701" s="8" t="str">
        <f t="shared" si="10"/>
        <v/>
      </c>
    </row>
    <row r="702" spans="8:8" x14ac:dyDescent="0.2">
      <c r="H702" s="8" t="str">
        <f t="shared" si="10"/>
        <v/>
      </c>
    </row>
    <row r="703" spans="8:8" x14ac:dyDescent="0.2">
      <c r="H703" s="8" t="str">
        <f t="shared" si="10"/>
        <v/>
      </c>
    </row>
    <row r="704" spans="8:8" x14ac:dyDescent="0.2">
      <c r="H704" s="8" t="str">
        <f t="shared" si="10"/>
        <v/>
      </c>
    </row>
    <row r="705" spans="8:8" x14ac:dyDescent="0.2">
      <c r="H705" s="8" t="str">
        <f t="shared" si="10"/>
        <v/>
      </c>
    </row>
    <row r="706" spans="8:8" x14ac:dyDescent="0.2">
      <c r="H706" s="8" t="str">
        <f t="shared" ref="H706:H769" si="11">IF(A706=0,"","Fiber")</f>
        <v/>
      </c>
    </row>
    <row r="707" spans="8:8" x14ac:dyDescent="0.2">
      <c r="H707" s="8" t="str">
        <f t="shared" si="11"/>
        <v/>
      </c>
    </row>
    <row r="708" spans="8:8" x14ac:dyDescent="0.2">
      <c r="H708" s="8" t="str">
        <f t="shared" si="11"/>
        <v/>
      </c>
    </row>
    <row r="709" spans="8:8" x14ac:dyDescent="0.2">
      <c r="H709" s="8" t="str">
        <f t="shared" si="11"/>
        <v/>
      </c>
    </row>
    <row r="710" spans="8:8" x14ac:dyDescent="0.2">
      <c r="H710" s="8" t="str">
        <f t="shared" si="11"/>
        <v/>
      </c>
    </row>
    <row r="711" spans="8:8" x14ac:dyDescent="0.2">
      <c r="H711" s="8" t="str">
        <f t="shared" si="11"/>
        <v/>
      </c>
    </row>
    <row r="712" spans="8:8" x14ac:dyDescent="0.2">
      <c r="H712" s="8" t="str">
        <f t="shared" si="11"/>
        <v/>
      </c>
    </row>
    <row r="713" spans="8:8" x14ac:dyDescent="0.2">
      <c r="H713" s="8" t="str">
        <f t="shared" si="11"/>
        <v/>
      </c>
    </row>
    <row r="714" spans="8:8" x14ac:dyDescent="0.2">
      <c r="H714" s="8" t="str">
        <f t="shared" si="11"/>
        <v/>
      </c>
    </row>
    <row r="715" spans="8:8" x14ac:dyDescent="0.2">
      <c r="H715" s="8" t="str">
        <f t="shared" si="11"/>
        <v/>
      </c>
    </row>
    <row r="716" spans="8:8" x14ac:dyDescent="0.2">
      <c r="H716" s="8" t="str">
        <f t="shared" si="11"/>
        <v/>
      </c>
    </row>
    <row r="717" spans="8:8" x14ac:dyDescent="0.2">
      <c r="H717" s="8" t="str">
        <f t="shared" si="11"/>
        <v/>
      </c>
    </row>
    <row r="718" spans="8:8" x14ac:dyDescent="0.2">
      <c r="H718" s="8" t="str">
        <f t="shared" si="11"/>
        <v/>
      </c>
    </row>
    <row r="719" spans="8:8" x14ac:dyDescent="0.2">
      <c r="H719" s="8" t="str">
        <f t="shared" si="11"/>
        <v/>
      </c>
    </row>
    <row r="720" spans="8:8" x14ac:dyDescent="0.2">
      <c r="H720" s="8" t="str">
        <f t="shared" si="11"/>
        <v/>
      </c>
    </row>
    <row r="721" spans="8:8" x14ac:dyDescent="0.2">
      <c r="H721" s="8" t="str">
        <f t="shared" si="11"/>
        <v/>
      </c>
    </row>
    <row r="722" spans="8:8" x14ac:dyDescent="0.2">
      <c r="H722" s="8" t="str">
        <f t="shared" si="11"/>
        <v/>
      </c>
    </row>
    <row r="723" spans="8:8" x14ac:dyDescent="0.2">
      <c r="H723" s="8" t="str">
        <f t="shared" si="11"/>
        <v/>
      </c>
    </row>
    <row r="724" spans="8:8" x14ac:dyDescent="0.2">
      <c r="H724" s="8" t="str">
        <f t="shared" si="11"/>
        <v/>
      </c>
    </row>
    <row r="725" spans="8:8" x14ac:dyDescent="0.2">
      <c r="H725" s="8" t="str">
        <f t="shared" si="11"/>
        <v/>
      </c>
    </row>
    <row r="726" spans="8:8" x14ac:dyDescent="0.2">
      <c r="H726" s="8" t="str">
        <f t="shared" si="11"/>
        <v/>
      </c>
    </row>
    <row r="727" spans="8:8" x14ac:dyDescent="0.2">
      <c r="H727" s="8" t="str">
        <f t="shared" si="11"/>
        <v/>
      </c>
    </row>
    <row r="728" spans="8:8" x14ac:dyDescent="0.2">
      <c r="H728" s="8" t="str">
        <f t="shared" si="11"/>
        <v/>
      </c>
    </row>
    <row r="729" spans="8:8" x14ac:dyDescent="0.2">
      <c r="H729" s="8" t="str">
        <f t="shared" si="11"/>
        <v/>
      </c>
    </row>
    <row r="730" spans="8:8" x14ac:dyDescent="0.2">
      <c r="H730" s="8" t="str">
        <f t="shared" si="11"/>
        <v/>
      </c>
    </row>
    <row r="731" spans="8:8" x14ac:dyDescent="0.2">
      <c r="H731" s="8" t="str">
        <f t="shared" si="11"/>
        <v/>
      </c>
    </row>
    <row r="732" spans="8:8" x14ac:dyDescent="0.2">
      <c r="H732" s="8" t="str">
        <f t="shared" si="11"/>
        <v/>
      </c>
    </row>
    <row r="733" spans="8:8" x14ac:dyDescent="0.2">
      <c r="H733" s="8" t="str">
        <f t="shared" si="11"/>
        <v/>
      </c>
    </row>
    <row r="734" spans="8:8" x14ac:dyDescent="0.2">
      <c r="H734" s="8" t="str">
        <f t="shared" si="11"/>
        <v/>
      </c>
    </row>
    <row r="735" spans="8:8" x14ac:dyDescent="0.2">
      <c r="H735" s="8" t="str">
        <f t="shared" si="11"/>
        <v/>
      </c>
    </row>
    <row r="736" spans="8:8" x14ac:dyDescent="0.2">
      <c r="H736" s="8" t="str">
        <f t="shared" si="11"/>
        <v/>
      </c>
    </row>
    <row r="737" spans="8:8" x14ac:dyDescent="0.2">
      <c r="H737" s="8" t="str">
        <f t="shared" si="11"/>
        <v/>
      </c>
    </row>
    <row r="738" spans="8:8" x14ac:dyDescent="0.2">
      <c r="H738" s="8" t="str">
        <f t="shared" si="11"/>
        <v/>
      </c>
    </row>
    <row r="739" spans="8:8" x14ac:dyDescent="0.2">
      <c r="H739" s="8" t="str">
        <f t="shared" si="11"/>
        <v/>
      </c>
    </row>
    <row r="740" spans="8:8" x14ac:dyDescent="0.2">
      <c r="H740" s="8" t="str">
        <f t="shared" si="11"/>
        <v/>
      </c>
    </row>
    <row r="741" spans="8:8" x14ac:dyDescent="0.2">
      <c r="H741" s="8" t="str">
        <f t="shared" si="11"/>
        <v/>
      </c>
    </row>
    <row r="742" spans="8:8" x14ac:dyDescent="0.2">
      <c r="H742" s="8" t="str">
        <f t="shared" si="11"/>
        <v/>
      </c>
    </row>
    <row r="743" spans="8:8" x14ac:dyDescent="0.2">
      <c r="H743" s="8" t="str">
        <f t="shared" si="11"/>
        <v/>
      </c>
    </row>
    <row r="744" spans="8:8" x14ac:dyDescent="0.2">
      <c r="H744" s="8" t="str">
        <f t="shared" si="11"/>
        <v/>
      </c>
    </row>
    <row r="745" spans="8:8" x14ac:dyDescent="0.2">
      <c r="H745" s="8" t="str">
        <f t="shared" si="11"/>
        <v/>
      </c>
    </row>
    <row r="746" spans="8:8" x14ac:dyDescent="0.2">
      <c r="H746" s="8" t="str">
        <f t="shared" si="11"/>
        <v/>
      </c>
    </row>
    <row r="747" spans="8:8" x14ac:dyDescent="0.2">
      <c r="H747" s="8" t="str">
        <f t="shared" si="11"/>
        <v/>
      </c>
    </row>
    <row r="748" spans="8:8" x14ac:dyDescent="0.2">
      <c r="H748" s="8" t="str">
        <f t="shared" si="11"/>
        <v/>
      </c>
    </row>
    <row r="749" spans="8:8" x14ac:dyDescent="0.2">
      <c r="H749" s="8" t="str">
        <f t="shared" si="11"/>
        <v/>
      </c>
    </row>
    <row r="750" spans="8:8" x14ac:dyDescent="0.2">
      <c r="H750" s="8" t="str">
        <f t="shared" si="11"/>
        <v/>
      </c>
    </row>
    <row r="751" spans="8:8" x14ac:dyDescent="0.2">
      <c r="H751" s="8" t="str">
        <f t="shared" si="11"/>
        <v/>
      </c>
    </row>
    <row r="752" spans="8:8" x14ac:dyDescent="0.2">
      <c r="H752" s="8" t="str">
        <f t="shared" si="11"/>
        <v/>
      </c>
    </row>
    <row r="753" spans="8:8" x14ac:dyDescent="0.2">
      <c r="H753" s="8" t="str">
        <f t="shared" si="11"/>
        <v/>
      </c>
    </row>
    <row r="754" spans="8:8" x14ac:dyDescent="0.2">
      <c r="H754" s="8" t="str">
        <f t="shared" si="11"/>
        <v/>
      </c>
    </row>
    <row r="755" spans="8:8" x14ac:dyDescent="0.2">
      <c r="H755" s="8" t="str">
        <f t="shared" si="11"/>
        <v/>
      </c>
    </row>
    <row r="756" spans="8:8" x14ac:dyDescent="0.2">
      <c r="H756" s="8" t="str">
        <f t="shared" si="11"/>
        <v/>
      </c>
    </row>
    <row r="757" spans="8:8" x14ac:dyDescent="0.2">
      <c r="H757" s="8" t="str">
        <f t="shared" si="11"/>
        <v/>
      </c>
    </row>
    <row r="758" spans="8:8" x14ac:dyDescent="0.2">
      <c r="H758" s="8" t="str">
        <f t="shared" si="11"/>
        <v/>
      </c>
    </row>
    <row r="759" spans="8:8" x14ac:dyDescent="0.2">
      <c r="H759" s="8" t="str">
        <f t="shared" si="11"/>
        <v/>
      </c>
    </row>
    <row r="760" spans="8:8" x14ac:dyDescent="0.2">
      <c r="H760" s="8" t="str">
        <f t="shared" si="11"/>
        <v/>
      </c>
    </row>
    <row r="761" spans="8:8" x14ac:dyDescent="0.2">
      <c r="H761" s="8" t="str">
        <f t="shared" si="11"/>
        <v/>
      </c>
    </row>
    <row r="762" spans="8:8" x14ac:dyDescent="0.2">
      <c r="H762" s="8" t="str">
        <f t="shared" si="11"/>
        <v/>
      </c>
    </row>
    <row r="763" spans="8:8" x14ac:dyDescent="0.2">
      <c r="H763" s="8" t="str">
        <f t="shared" si="11"/>
        <v/>
      </c>
    </row>
    <row r="764" spans="8:8" x14ac:dyDescent="0.2">
      <c r="H764" s="8" t="str">
        <f t="shared" si="11"/>
        <v/>
      </c>
    </row>
    <row r="765" spans="8:8" x14ac:dyDescent="0.2">
      <c r="H765" s="8" t="str">
        <f t="shared" si="11"/>
        <v/>
      </c>
    </row>
    <row r="766" spans="8:8" x14ac:dyDescent="0.2">
      <c r="H766" s="8" t="str">
        <f t="shared" si="11"/>
        <v/>
      </c>
    </row>
    <row r="767" spans="8:8" x14ac:dyDescent="0.2">
      <c r="H767" s="8" t="str">
        <f t="shared" si="11"/>
        <v/>
      </c>
    </row>
    <row r="768" spans="8:8" x14ac:dyDescent="0.2">
      <c r="H768" s="8" t="str">
        <f t="shared" si="11"/>
        <v/>
      </c>
    </row>
    <row r="769" spans="8:8" x14ac:dyDescent="0.2">
      <c r="H769" s="8" t="str">
        <f t="shared" si="11"/>
        <v/>
      </c>
    </row>
    <row r="770" spans="8:8" x14ac:dyDescent="0.2">
      <c r="H770" s="8" t="str">
        <f t="shared" ref="H770:H833" si="12">IF(A770=0,"","Fiber")</f>
        <v/>
      </c>
    </row>
    <row r="771" spans="8:8" x14ac:dyDescent="0.2">
      <c r="H771" s="8" t="str">
        <f t="shared" si="12"/>
        <v/>
      </c>
    </row>
    <row r="772" spans="8:8" x14ac:dyDescent="0.2">
      <c r="H772" s="8" t="str">
        <f t="shared" si="12"/>
        <v/>
      </c>
    </row>
    <row r="773" spans="8:8" x14ac:dyDescent="0.2">
      <c r="H773" s="8" t="str">
        <f t="shared" si="12"/>
        <v/>
      </c>
    </row>
    <row r="774" spans="8:8" x14ac:dyDescent="0.2">
      <c r="H774" s="8" t="str">
        <f t="shared" si="12"/>
        <v/>
      </c>
    </row>
    <row r="775" spans="8:8" x14ac:dyDescent="0.2">
      <c r="H775" s="8" t="str">
        <f t="shared" si="12"/>
        <v/>
      </c>
    </row>
    <row r="776" spans="8:8" x14ac:dyDescent="0.2">
      <c r="H776" s="8" t="str">
        <f t="shared" si="12"/>
        <v/>
      </c>
    </row>
    <row r="777" spans="8:8" x14ac:dyDescent="0.2">
      <c r="H777" s="8" t="str">
        <f t="shared" si="12"/>
        <v/>
      </c>
    </row>
    <row r="778" spans="8:8" x14ac:dyDescent="0.2">
      <c r="H778" s="8" t="str">
        <f t="shared" si="12"/>
        <v/>
      </c>
    </row>
    <row r="779" spans="8:8" x14ac:dyDescent="0.2">
      <c r="H779" s="8" t="str">
        <f t="shared" si="12"/>
        <v/>
      </c>
    </row>
    <row r="780" spans="8:8" x14ac:dyDescent="0.2">
      <c r="H780" s="8" t="str">
        <f t="shared" si="12"/>
        <v/>
      </c>
    </row>
    <row r="781" spans="8:8" x14ac:dyDescent="0.2">
      <c r="H781" s="8" t="str">
        <f t="shared" si="12"/>
        <v/>
      </c>
    </row>
    <row r="782" spans="8:8" x14ac:dyDescent="0.2">
      <c r="H782" s="8" t="str">
        <f t="shared" si="12"/>
        <v/>
      </c>
    </row>
    <row r="783" spans="8:8" x14ac:dyDescent="0.2">
      <c r="H783" s="8" t="str">
        <f t="shared" si="12"/>
        <v/>
      </c>
    </row>
    <row r="784" spans="8:8" x14ac:dyDescent="0.2">
      <c r="H784" s="8" t="str">
        <f t="shared" si="12"/>
        <v/>
      </c>
    </row>
    <row r="785" spans="8:8" x14ac:dyDescent="0.2">
      <c r="H785" s="8" t="str">
        <f t="shared" si="12"/>
        <v/>
      </c>
    </row>
    <row r="786" spans="8:8" x14ac:dyDescent="0.2">
      <c r="H786" s="8" t="str">
        <f t="shared" si="12"/>
        <v/>
      </c>
    </row>
    <row r="787" spans="8:8" x14ac:dyDescent="0.2">
      <c r="H787" s="8" t="str">
        <f t="shared" si="12"/>
        <v/>
      </c>
    </row>
    <row r="788" spans="8:8" x14ac:dyDescent="0.2">
      <c r="H788" s="8" t="str">
        <f t="shared" si="12"/>
        <v/>
      </c>
    </row>
    <row r="789" spans="8:8" x14ac:dyDescent="0.2">
      <c r="H789" s="8" t="str">
        <f t="shared" si="12"/>
        <v/>
      </c>
    </row>
    <row r="790" spans="8:8" x14ac:dyDescent="0.2">
      <c r="H790" s="8" t="str">
        <f t="shared" si="12"/>
        <v/>
      </c>
    </row>
    <row r="791" spans="8:8" x14ac:dyDescent="0.2">
      <c r="H791" s="8" t="str">
        <f t="shared" si="12"/>
        <v/>
      </c>
    </row>
    <row r="792" spans="8:8" x14ac:dyDescent="0.2">
      <c r="H792" s="8" t="str">
        <f t="shared" si="12"/>
        <v/>
      </c>
    </row>
    <row r="793" spans="8:8" x14ac:dyDescent="0.2">
      <c r="H793" s="8" t="str">
        <f t="shared" si="12"/>
        <v/>
      </c>
    </row>
    <row r="794" spans="8:8" x14ac:dyDescent="0.2">
      <c r="H794" s="8" t="str">
        <f t="shared" si="12"/>
        <v/>
      </c>
    </row>
    <row r="795" spans="8:8" x14ac:dyDescent="0.2">
      <c r="H795" s="8" t="str">
        <f t="shared" si="12"/>
        <v/>
      </c>
    </row>
    <row r="796" spans="8:8" x14ac:dyDescent="0.2">
      <c r="H796" s="8" t="str">
        <f t="shared" si="12"/>
        <v/>
      </c>
    </row>
    <row r="797" spans="8:8" x14ac:dyDescent="0.2">
      <c r="H797" s="8" t="str">
        <f t="shared" si="12"/>
        <v/>
      </c>
    </row>
    <row r="798" spans="8:8" x14ac:dyDescent="0.2">
      <c r="H798" s="8" t="str">
        <f t="shared" si="12"/>
        <v/>
      </c>
    </row>
    <row r="799" spans="8:8" x14ac:dyDescent="0.2">
      <c r="H799" s="8" t="str">
        <f t="shared" si="12"/>
        <v/>
      </c>
    </row>
    <row r="800" spans="8:8" x14ac:dyDescent="0.2">
      <c r="H800" s="8" t="str">
        <f t="shared" si="12"/>
        <v/>
      </c>
    </row>
    <row r="801" spans="8:8" x14ac:dyDescent="0.2">
      <c r="H801" s="8" t="str">
        <f t="shared" si="12"/>
        <v/>
      </c>
    </row>
    <row r="802" spans="8:8" x14ac:dyDescent="0.2">
      <c r="H802" s="8" t="str">
        <f t="shared" si="12"/>
        <v/>
      </c>
    </row>
    <row r="803" spans="8:8" x14ac:dyDescent="0.2">
      <c r="H803" s="8" t="str">
        <f t="shared" si="12"/>
        <v/>
      </c>
    </row>
    <row r="804" spans="8:8" x14ac:dyDescent="0.2">
      <c r="H804" s="8" t="str">
        <f t="shared" si="12"/>
        <v/>
      </c>
    </row>
    <row r="805" spans="8:8" x14ac:dyDescent="0.2">
      <c r="H805" s="8" t="str">
        <f t="shared" si="12"/>
        <v/>
      </c>
    </row>
    <row r="806" spans="8:8" x14ac:dyDescent="0.2">
      <c r="H806" s="8" t="str">
        <f t="shared" si="12"/>
        <v/>
      </c>
    </row>
    <row r="807" spans="8:8" x14ac:dyDescent="0.2">
      <c r="H807" s="8" t="str">
        <f t="shared" si="12"/>
        <v/>
      </c>
    </row>
    <row r="808" spans="8:8" x14ac:dyDescent="0.2">
      <c r="H808" s="8" t="str">
        <f t="shared" si="12"/>
        <v/>
      </c>
    </row>
    <row r="809" spans="8:8" x14ac:dyDescent="0.2">
      <c r="H809" s="8" t="str">
        <f t="shared" si="12"/>
        <v/>
      </c>
    </row>
    <row r="810" spans="8:8" x14ac:dyDescent="0.2">
      <c r="H810" s="8" t="str">
        <f t="shared" si="12"/>
        <v/>
      </c>
    </row>
    <row r="811" spans="8:8" x14ac:dyDescent="0.2">
      <c r="H811" s="8" t="str">
        <f t="shared" si="12"/>
        <v/>
      </c>
    </row>
    <row r="812" spans="8:8" x14ac:dyDescent="0.2">
      <c r="H812" s="8" t="str">
        <f t="shared" si="12"/>
        <v/>
      </c>
    </row>
    <row r="813" spans="8:8" x14ac:dyDescent="0.2">
      <c r="H813" s="8" t="str">
        <f t="shared" si="12"/>
        <v/>
      </c>
    </row>
    <row r="814" spans="8:8" x14ac:dyDescent="0.2">
      <c r="H814" s="8" t="str">
        <f t="shared" si="12"/>
        <v/>
      </c>
    </row>
    <row r="815" spans="8:8" x14ac:dyDescent="0.2">
      <c r="H815" s="8" t="str">
        <f t="shared" si="12"/>
        <v/>
      </c>
    </row>
    <row r="816" spans="8:8" x14ac:dyDescent="0.2">
      <c r="H816" s="8" t="str">
        <f t="shared" si="12"/>
        <v/>
      </c>
    </row>
    <row r="817" spans="8:8" x14ac:dyDescent="0.2">
      <c r="H817" s="8" t="str">
        <f t="shared" si="12"/>
        <v/>
      </c>
    </row>
    <row r="818" spans="8:8" x14ac:dyDescent="0.2">
      <c r="H818" s="8" t="str">
        <f t="shared" si="12"/>
        <v/>
      </c>
    </row>
    <row r="819" spans="8:8" x14ac:dyDescent="0.2">
      <c r="H819" s="8" t="str">
        <f t="shared" si="12"/>
        <v/>
      </c>
    </row>
    <row r="820" spans="8:8" x14ac:dyDescent="0.2">
      <c r="H820" s="8" t="str">
        <f t="shared" si="12"/>
        <v/>
      </c>
    </row>
    <row r="821" spans="8:8" x14ac:dyDescent="0.2">
      <c r="H821" s="8" t="str">
        <f t="shared" si="12"/>
        <v/>
      </c>
    </row>
    <row r="822" spans="8:8" x14ac:dyDescent="0.2">
      <c r="H822" s="8" t="str">
        <f t="shared" si="12"/>
        <v/>
      </c>
    </row>
    <row r="823" spans="8:8" x14ac:dyDescent="0.2">
      <c r="H823" s="8" t="str">
        <f t="shared" si="12"/>
        <v/>
      </c>
    </row>
    <row r="824" spans="8:8" x14ac:dyDescent="0.2">
      <c r="H824" s="8" t="str">
        <f t="shared" si="12"/>
        <v/>
      </c>
    </row>
    <row r="825" spans="8:8" x14ac:dyDescent="0.2">
      <c r="H825" s="8" t="str">
        <f t="shared" si="12"/>
        <v/>
      </c>
    </row>
    <row r="826" spans="8:8" x14ac:dyDescent="0.2">
      <c r="H826" s="8" t="str">
        <f t="shared" si="12"/>
        <v/>
      </c>
    </row>
    <row r="827" spans="8:8" x14ac:dyDescent="0.2">
      <c r="H827" s="8" t="str">
        <f t="shared" si="12"/>
        <v/>
      </c>
    </row>
    <row r="828" spans="8:8" x14ac:dyDescent="0.2">
      <c r="H828" s="8" t="str">
        <f t="shared" si="12"/>
        <v/>
      </c>
    </row>
    <row r="829" spans="8:8" x14ac:dyDescent="0.2">
      <c r="H829" s="8" t="str">
        <f t="shared" si="12"/>
        <v/>
      </c>
    </row>
    <row r="830" spans="8:8" x14ac:dyDescent="0.2">
      <c r="H830" s="8" t="str">
        <f t="shared" si="12"/>
        <v/>
      </c>
    </row>
    <row r="831" spans="8:8" x14ac:dyDescent="0.2">
      <c r="H831" s="8" t="str">
        <f t="shared" si="12"/>
        <v/>
      </c>
    </row>
    <row r="832" spans="8:8" x14ac:dyDescent="0.2">
      <c r="H832" s="8" t="str">
        <f t="shared" si="12"/>
        <v/>
      </c>
    </row>
    <row r="833" spans="8:8" x14ac:dyDescent="0.2">
      <c r="H833" s="8" t="str">
        <f t="shared" si="12"/>
        <v/>
      </c>
    </row>
    <row r="834" spans="8:8" x14ac:dyDescent="0.2">
      <c r="H834" s="8" t="str">
        <f t="shared" ref="H834:H897" si="13">IF(A834=0,"","Fiber")</f>
        <v/>
      </c>
    </row>
    <row r="835" spans="8:8" x14ac:dyDescent="0.2">
      <c r="H835" s="8" t="str">
        <f t="shared" si="13"/>
        <v/>
      </c>
    </row>
    <row r="836" spans="8:8" x14ac:dyDescent="0.2">
      <c r="H836" s="8" t="str">
        <f t="shared" si="13"/>
        <v/>
      </c>
    </row>
    <row r="837" spans="8:8" x14ac:dyDescent="0.2">
      <c r="H837" s="8" t="str">
        <f t="shared" si="13"/>
        <v/>
      </c>
    </row>
    <row r="838" spans="8:8" x14ac:dyDescent="0.2">
      <c r="H838" s="8" t="str">
        <f t="shared" si="13"/>
        <v/>
      </c>
    </row>
    <row r="839" spans="8:8" x14ac:dyDescent="0.2">
      <c r="H839" s="8" t="str">
        <f t="shared" si="13"/>
        <v/>
      </c>
    </row>
    <row r="840" spans="8:8" x14ac:dyDescent="0.2">
      <c r="H840" s="8" t="str">
        <f t="shared" si="13"/>
        <v/>
      </c>
    </row>
    <row r="841" spans="8:8" x14ac:dyDescent="0.2">
      <c r="H841" s="8" t="str">
        <f t="shared" si="13"/>
        <v/>
      </c>
    </row>
    <row r="842" spans="8:8" x14ac:dyDescent="0.2">
      <c r="H842" s="8" t="str">
        <f t="shared" si="13"/>
        <v/>
      </c>
    </row>
    <row r="843" spans="8:8" x14ac:dyDescent="0.2">
      <c r="H843" s="8" t="str">
        <f t="shared" si="13"/>
        <v/>
      </c>
    </row>
    <row r="844" spans="8:8" x14ac:dyDescent="0.2">
      <c r="H844" s="8" t="str">
        <f t="shared" si="13"/>
        <v/>
      </c>
    </row>
    <row r="845" spans="8:8" x14ac:dyDescent="0.2">
      <c r="H845" s="8" t="str">
        <f t="shared" si="13"/>
        <v/>
      </c>
    </row>
    <row r="846" spans="8:8" x14ac:dyDescent="0.2">
      <c r="H846" s="8" t="str">
        <f t="shared" si="13"/>
        <v/>
      </c>
    </row>
    <row r="847" spans="8:8" x14ac:dyDescent="0.2">
      <c r="H847" s="8" t="str">
        <f t="shared" si="13"/>
        <v/>
      </c>
    </row>
    <row r="848" spans="8:8" x14ac:dyDescent="0.2">
      <c r="H848" s="8" t="str">
        <f t="shared" si="13"/>
        <v/>
      </c>
    </row>
    <row r="849" spans="8:8" x14ac:dyDescent="0.2">
      <c r="H849" s="8" t="str">
        <f t="shared" si="13"/>
        <v/>
      </c>
    </row>
    <row r="850" spans="8:8" x14ac:dyDescent="0.2">
      <c r="H850" s="8" t="str">
        <f t="shared" si="13"/>
        <v/>
      </c>
    </row>
    <row r="851" spans="8:8" x14ac:dyDescent="0.2">
      <c r="H851" s="8" t="str">
        <f t="shared" si="13"/>
        <v/>
      </c>
    </row>
    <row r="852" spans="8:8" x14ac:dyDescent="0.2">
      <c r="H852" s="8" t="str">
        <f t="shared" si="13"/>
        <v/>
      </c>
    </row>
    <row r="853" spans="8:8" x14ac:dyDescent="0.2">
      <c r="H853" s="8" t="str">
        <f t="shared" si="13"/>
        <v/>
      </c>
    </row>
    <row r="854" spans="8:8" x14ac:dyDescent="0.2">
      <c r="H854" s="8" t="str">
        <f t="shared" si="13"/>
        <v/>
      </c>
    </row>
    <row r="855" spans="8:8" x14ac:dyDescent="0.2">
      <c r="H855" s="8" t="str">
        <f t="shared" si="13"/>
        <v/>
      </c>
    </row>
    <row r="856" spans="8:8" x14ac:dyDescent="0.2">
      <c r="H856" s="8" t="str">
        <f t="shared" si="13"/>
        <v/>
      </c>
    </row>
    <row r="857" spans="8:8" x14ac:dyDescent="0.2">
      <c r="H857" s="8" t="str">
        <f t="shared" si="13"/>
        <v/>
      </c>
    </row>
    <row r="858" spans="8:8" x14ac:dyDescent="0.2">
      <c r="H858" s="8" t="str">
        <f t="shared" si="13"/>
        <v/>
      </c>
    </row>
    <row r="859" spans="8:8" x14ac:dyDescent="0.2">
      <c r="H859" s="8" t="str">
        <f t="shared" si="13"/>
        <v/>
      </c>
    </row>
    <row r="860" spans="8:8" x14ac:dyDescent="0.2">
      <c r="H860" s="8" t="str">
        <f t="shared" si="13"/>
        <v/>
      </c>
    </row>
    <row r="861" spans="8:8" x14ac:dyDescent="0.2">
      <c r="H861" s="8" t="str">
        <f t="shared" si="13"/>
        <v/>
      </c>
    </row>
    <row r="862" spans="8:8" x14ac:dyDescent="0.2">
      <c r="H862" s="8" t="str">
        <f t="shared" si="13"/>
        <v/>
      </c>
    </row>
    <row r="863" spans="8:8" x14ac:dyDescent="0.2">
      <c r="H863" s="8" t="str">
        <f t="shared" si="13"/>
        <v/>
      </c>
    </row>
    <row r="864" spans="8:8" x14ac:dyDescent="0.2">
      <c r="H864" s="8" t="str">
        <f t="shared" si="13"/>
        <v/>
      </c>
    </row>
    <row r="865" spans="8:8" x14ac:dyDescent="0.2">
      <c r="H865" s="8" t="str">
        <f t="shared" si="13"/>
        <v/>
      </c>
    </row>
    <row r="866" spans="8:8" x14ac:dyDescent="0.2">
      <c r="H866" s="8" t="str">
        <f t="shared" si="13"/>
        <v/>
      </c>
    </row>
    <row r="867" spans="8:8" x14ac:dyDescent="0.2">
      <c r="H867" s="8" t="str">
        <f t="shared" si="13"/>
        <v/>
      </c>
    </row>
    <row r="868" spans="8:8" x14ac:dyDescent="0.2">
      <c r="H868" s="8" t="str">
        <f t="shared" si="13"/>
        <v/>
      </c>
    </row>
    <row r="869" spans="8:8" x14ac:dyDescent="0.2">
      <c r="H869" s="8" t="str">
        <f t="shared" si="13"/>
        <v/>
      </c>
    </row>
    <row r="870" spans="8:8" x14ac:dyDescent="0.2">
      <c r="H870" s="8" t="str">
        <f t="shared" si="13"/>
        <v/>
      </c>
    </row>
    <row r="871" spans="8:8" x14ac:dyDescent="0.2">
      <c r="H871" s="8" t="str">
        <f t="shared" si="13"/>
        <v/>
      </c>
    </row>
    <row r="872" spans="8:8" x14ac:dyDescent="0.2">
      <c r="H872" s="8" t="str">
        <f t="shared" si="13"/>
        <v/>
      </c>
    </row>
    <row r="873" spans="8:8" x14ac:dyDescent="0.2">
      <c r="H873" s="8" t="str">
        <f t="shared" si="13"/>
        <v/>
      </c>
    </row>
    <row r="874" spans="8:8" x14ac:dyDescent="0.2">
      <c r="H874" s="8" t="str">
        <f t="shared" si="13"/>
        <v/>
      </c>
    </row>
    <row r="875" spans="8:8" x14ac:dyDescent="0.2">
      <c r="H875" s="8" t="str">
        <f t="shared" si="13"/>
        <v/>
      </c>
    </row>
    <row r="876" spans="8:8" x14ac:dyDescent="0.2">
      <c r="H876" s="8" t="str">
        <f t="shared" si="13"/>
        <v/>
      </c>
    </row>
    <row r="877" spans="8:8" x14ac:dyDescent="0.2">
      <c r="H877" s="8" t="str">
        <f t="shared" si="13"/>
        <v/>
      </c>
    </row>
    <row r="878" spans="8:8" x14ac:dyDescent="0.2">
      <c r="H878" s="8" t="str">
        <f t="shared" si="13"/>
        <v/>
      </c>
    </row>
    <row r="879" spans="8:8" x14ac:dyDescent="0.2">
      <c r="H879" s="8" t="str">
        <f t="shared" si="13"/>
        <v/>
      </c>
    </row>
    <row r="880" spans="8:8" x14ac:dyDescent="0.2">
      <c r="H880" s="8" t="str">
        <f t="shared" si="13"/>
        <v/>
      </c>
    </row>
    <row r="881" spans="8:8" x14ac:dyDescent="0.2">
      <c r="H881" s="8" t="str">
        <f t="shared" si="13"/>
        <v/>
      </c>
    </row>
    <row r="882" spans="8:8" x14ac:dyDescent="0.2">
      <c r="H882" s="8" t="str">
        <f t="shared" si="13"/>
        <v/>
      </c>
    </row>
    <row r="883" spans="8:8" x14ac:dyDescent="0.2">
      <c r="H883" s="8" t="str">
        <f t="shared" si="13"/>
        <v/>
      </c>
    </row>
    <row r="884" spans="8:8" x14ac:dyDescent="0.2">
      <c r="H884" s="8" t="str">
        <f t="shared" si="13"/>
        <v/>
      </c>
    </row>
    <row r="885" spans="8:8" x14ac:dyDescent="0.2">
      <c r="H885" s="8" t="str">
        <f t="shared" si="13"/>
        <v/>
      </c>
    </row>
    <row r="886" spans="8:8" x14ac:dyDescent="0.2">
      <c r="H886" s="8" t="str">
        <f t="shared" si="13"/>
        <v/>
      </c>
    </row>
    <row r="887" spans="8:8" x14ac:dyDescent="0.2">
      <c r="H887" s="8" t="str">
        <f t="shared" si="13"/>
        <v/>
      </c>
    </row>
    <row r="888" spans="8:8" x14ac:dyDescent="0.2">
      <c r="H888" s="8" t="str">
        <f t="shared" si="13"/>
        <v/>
      </c>
    </row>
    <row r="889" spans="8:8" x14ac:dyDescent="0.2">
      <c r="H889" s="8" t="str">
        <f t="shared" si="13"/>
        <v/>
      </c>
    </row>
    <row r="890" spans="8:8" x14ac:dyDescent="0.2">
      <c r="H890" s="8" t="str">
        <f t="shared" si="13"/>
        <v/>
      </c>
    </row>
    <row r="891" spans="8:8" x14ac:dyDescent="0.2">
      <c r="H891" s="8" t="str">
        <f t="shared" si="13"/>
        <v/>
      </c>
    </row>
    <row r="892" spans="8:8" x14ac:dyDescent="0.2">
      <c r="H892" s="8" t="str">
        <f t="shared" si="13"/>
        <v/>
      </c>
    </row>
    <row r="893" spans="8:8" x14ac:dyDescent="0.2">
      <c r="H893" s="8" t="str">
        <f t="shared" si="13"/>
        <v/>
      </c>
    </row>
    <row r="894" spans="8:8" x14ac:dyDescent="0.2">
      <c r="H894" s="8" t="str">
        <f t="shared" si="13"/>
        <v/>
      </c>
    </row>
    <row r="895" spans="8:8" x14ac:dyDescent="0.2">
      <c r="H895" s="8" t="str">
        <f t="shared" si="13"/>
        <v/>
      </c>
    </row>
    <row r="896" spans="8:8" x14ac:dyDescent="0.2">
      <c r="H896" s="8" t="str">
        <f t="shared" si="13"/>
        <v/>
      </c>
    </row>
    <row r="897" spans="8:8" x14ac:dyDescent="0.2">
      <c r="H897" s="8" t="str">
        <f t="shared" si="13"/>
        <v/>
      </c>
    </row>
    <row r="898" spans="8:8" x14ac:dyDescent="0.2">
      <c r="H898" s="8" t="str">
        <f t="shared" ref="H898:H961" si="14">IF(A898=0,"","Fiber")</f>
        <v/>
      </c>
    </row>
    <row r="899" spans="8:8" x14ac:dyDescent="0.2">
      <c r="H899" s="8" t="str">
        <f t="shared" si="14"/>
        <v/>
      </c>
    </row>
    <row r="900" spans="8:8" x14ac:dyDescent="0.2">
      <c r="H900" s="8" t="str">
        <f t="shared" si="14"/>
        <v/>
      </c>
    </row>
    <row r="901" spans="8:8" x14ac:dyDescent="0.2">
      <c r="H901" s="8" t="str">
        <f t="shared" si="14"/>
        <v/>
      </c>
    </row>
    <row r="902" spans="8:8" x14ac:dyDescent="0.2">
      <c r="H902" s="8" t="str">
        <f t="shared" si="14"/>
        <v/>
      </c>
    </row>
    <row r="903" spans="8:8" x14ac:dyDescent="0.2">
      <c r="H903" s="8" t="str">
        <f t="shared" si="14"/>
        <v/>
      </c>
    </row>
    <row r="904" spans="8:8" x14ac:dyDescent="0.2">
      <c r="H904" s="8" t="str">
        <f t="shared" si="14"/>
        <v/>
      </c>
    </row>
    <row r="905" spans="8:8" x14ac:dyDescent="0.2">
      <c r="H905" s="8" t="str">
        <f t="shared" si="14"/>
        <v/>
      </c>
    </row>
    <row r="906" spans="8:8" x14ac:dyDescent="0.2">
      <c r="H906" s="8" t="str">
        <f t="shared" si="14"/>
        <v/>
      </c>
    </row>
    <row r="907" spans="8:8" x14ac:dyDescent="0.2">
      <c r="H907" s="8" t="str">
        <f t="shared" si="14"/>
        <v/>
      </c>
    </row>
    <row r="908" spans="8:8" x14ac:dyDescent="0.2">
      <c r="H908" s="8" t="str">
        <f t="shared" si="14"/>
        <v/>
      </c>
    </row>
    <row r="909" spans="8:8" x14ac:dyDescent="0.2">
      <c r="H909" s="8" t="str">
        <f t="shared" si="14"/>
        <v/>
      </c>
    </row>
    <row r="910" spans="8:8" x14ac:dyDescent="0.2">
      <c r="H910" s="8" t="str">
        <f t="shared" si="14"/>
        <v/>
      </c>
    </row>
    <row r="911" spans="8:8" x14ac:dyDescent="0.2">
      <c r="H911" s="8" t="str">
        <f t="shared" si="14"/>
        <v/>
      </c>
    </row>
    <row r="912" spans="8:8" x14ac:dyDescent="0.2">
      <c r="H912" s="8" t="str">
        <f t="shared" si="14"/>
        <v/>
      </c>
    </row>
    <row r="913" spans="8:8" x14ac:dyDescent="0.2">
      <c r="H913" s="8" t="str">
        <f t="shared" si="14"/>
        <v/>
      </c>
    </row>
    <row r="914" spans="8:8" x14ac:dyDescent="0.2">
      <c r="H914" s="8" t="str">
        <f t="shared" si="14"/>
        <v/>
      </c>
    </row>
    <row r="915" spans="8:8" x14ac:dyDescent="0.2">
      <c r="H915" s="8" t="str">
        <f t="shared" si="14"/>
        <v/>
      </c>
    </row>
    <row r="916" spans="8:8" x14ac:dyDescent="0.2">
      <c r="H916" s="8" t="str">
        <f t="shared" si="14"/>
        <v/>
      </c>
    </row>
    <row r="917" spans="8:8" x14ac:dyDescent="0.2">
      <c r="H917" s="8" t="str">
        <f t="shared" si="14"/>
        <v/>
      </c>
    </row>
    <row r="918" spans="8:8" x14ac:dyDescent="0.2">
      <c r="H918" s="8" t="str">
        <f t="shared" si="14"/>
        <v/>
      </c>
    </row>
    <row r="919" spans="8:8" x14ac:dyDescent="0.2">
      <c r="H919" s="8" t="str">
        <f t="shared" si="14"/>
        <v/>
      </c>
    </row>
    <row r="920" spans="8:8" x14ac:dyDescent="0.2">
      <c r="H920" s="8" t="str">
        <f t="shared" si="14"/>
        <v/>
      </c>
    </row>
    <row r="921" spans="8:8" x14ac:dyDescent="0.2">
      <c r="H921" s="8" t="str">
        <f t="shared" si="14"/>
        <v/>
      </c>
    </row>
    <row r="922" spans="8:8" x14ac:dyDescent="0.2">
      <c r="H922" s="8" t="str">
        <f t="shared" si="14"/>
        <v/>
      </c>
    </row>
    <row r="923" spans="8:8" x14ac:dyDescent="0.2">
      <c r="H923" s="8" t="str">
        <f t="shared" si="14"/>
        <v/>
      </c>
    </row>
    <row r="924" spans="8:8" x14ac:dyDescent="0.2">
      <c r="H924" s="8" t="str">
        <f t="shared" si="14"/>
        <v/>
      </c>
    </row>
    <row r="925" spans="8:8" x14ac:dyDescent="0.2">
      <c r="H925" s="8" t="str">
        <f t="shared" si="14"/>
        <v/>
      </c>
    </row>
    <row r="926" spans="8:8" x14ac:dyDescent="0.2">
      <c r="H926" s="8" t="str">
        <f t="shared" si="14"/>
        <v/>
      </c>
    </row>
    <row r="927" spans="8:8" x14ac:dyDescent="0.2">
      <c r="H927" s="8" t="str">
        <f t="shared" si="14"/>
        <v/>
      </c>
    </row>
    <row r="928" spans="8:8" x14ac:dyDescent="0.2">
      <c r="H928" s="8" t="str">
        <f t="shared" si="14"/>
        <v/>
      </c>
    </row>
    <row r="929" spans="8:8" x14ac:dyDescent="0.2">
      <c r="H929" s="8" t="str">
        <f t="shared" si="14"/>
        <v/>
      </c>
    </row>
    <row r="930" spans="8:8" x14ac:dyDescent="0.2">
      <c r="H930" s="8" t="str">
        <f t="shared" si="14"/>
        <v/>
      </c>
    </row>
    <row r="931" spans="8:8" x14ac:dyDescent="0.2">
      <c r="H931" s="8" t="str">
        <f t="shared" si="14"/>
        <v/>
      </c>
    </row>
    <row r="932" spans="8:8" x14ac:dyDescent="0.2">
      <c r="H932" s="8" t="str">
        <f t="shared" si="14"/>
        <v/>
      </c>
    </row>
    <row r="933" spans="8:8" x14ac:dyDescent="0.2">
      <c r="H933" s="8" t="str">
        <f t="shared" si="14"/>
        <v/>
      </c>
    </row>
    <row r="934" spans="8:8" x14ac:dyDescent="0.2">
      <c r="H934" s="8" t="str">
        <f t="shared" si="14"/>
        <v/>
      </c>
    </row>
    <row r="935" spans="8:8" x14ac:dyDescent="0.2">
      <c r="H935" s="8" t="str">
        <f t="shared" si="14"/>
        <v/>
      </c>
    </row>
    <row r="936" spans="8:8" x14ac:dyDescent="0.2">
      <c r="H936" s="8" t="str">
        <f t="shared" si="14"/>
        <v/>
      </c>
    </row>
    <row r="937" spans="8:8" x14ac:dyDescent="0.2">
      <c r="H937" s="8" t="str">
        <f t="shared" si="14"/>
        <v/>
      </c>
    </row>
    <row r="938" spans="8:8" x14ac:dyDescent="0.2">
      <c r="H938" s="8" t="str">
        <f t="shared" si="14"/>
        <v/>
      </c>
    </row>
    <row r="939" spans="8:8" x14ac:dyDescent="0.2">
      <c r="H939" s="8" t="str">
        <f t="shared" si="14"/>
        <v/>
      </c>
    </row>
    <row r="940" spans="8:8" x14ac:dyDescent="0.2">
      <c r="H940" s="8" t="str">
        <f t="shared" si="14"/>
        <v/>
      </c>
    </row>
    <row r="941" spans="8:8" x14ac:dyDescent="0.2">
      <c r="H941" s="8" t="str">
        <f t="shared" si="14"/>
        <v/>
      </c>
    </row>
    <row r="942" spans="8:8" x14ac:dyDescent="0.2">
      <c r="H942" s="8" t="str">
        <f t="shared" si="14"/>
        <v/>
      </c>
    </row>
    <row r="943" spans="8:8" x14ac:dyDescent="0.2">
      <c r="H943" s="8" t="str">
        <f t="shared" si="14"/>
        <v/>
      </c>
    </row>
    <row r="944" spans="8:8" x14ac:dyDescent="0.2">
      <c r="H944" s="8" t="str">
        <f t="shared" si="14"/>
        <v/>
      </c>
    </row>
    <row r="945" spans="8:8" x14ac:dyDescent="0.2">
      <c r="H945" s="8" t="str">
        <f t="shared" si="14"/>
        <v/>
      </c>
    </row>
    <row r="946" spans="8:8" x14ac:dyDescent="0.2">
      <c r="H946" s="8" t="str">
        <f t="shared" si="14"/>
        <v/>
      </c>
    </row>
    <row r="947" spans="8:8" x14ac:dyDescent="0.2">
      <c r="H947" s="8" t="str">
        <f t="shared" si="14"/>
        <v/>
      </c>
    </row>
    <row r="948" spans="8:8" x14ac:dyDescent="0.2">
      <c r="H948" s="8" t="str">
        <f t="shared" si="14"/>
        <v/>
      </c>
    </row>
    <row r="949" spans="8:8" x14ac:dyDescent="0.2">
      <c r="H949" s="8" t="str">
        <f t="shared" si="14"/>
        <v/>
      </c>
    </row>
    <row r="950" spans="8:8" x14ac:dyDescent="0.2">
      <c r="H950" s="8" t="str">
        <f t="shared" si="14"/>
        <v/>
      </c>
    </row>
    <row r="951" spans="8:8" x14ac:dyDescent="0.2">
      <c r="H951" s="8" t="str">
        <f t="shared" si="14"/>
        <v/>
      </c>
    </row>
    <row r="952" spans="8:8" x14ac:dyDescent="0.2">
      <c r="H952" s="8" t="str">
        <f t="shared" si="14"/>
        <v/>
      </c>
    </row>
    <row r="953" spans="8:8" x14ac:dyDescent="0.2">
      <c r="H953" s="8" t="str">
        <f t="shared" si="14"/>
        <v/>
      </c>
    </row>
    <row r="954" spans="8:8" x14ac:dyDescent="0.2">
      <c r="H954" s="8" t="str">
        <f t="shared" si="14"/>
        <v/>
      </c>
    </row>
    <row r="955" spans="8:8" x14ac:dyDescent="0.2">
      <c r="H955" s="8" t="str">
        <f t="shared" si="14"/>
        <v/>
      </c>
    </row>
    <row r="956" spans="8:8" x14ac:dyDescent="0.2">
      <c r="H956" s="8" t="str">
        <f t="shared" si="14"/>
        <v/>
      </c>
    </row>
    <row r="957" spans="8:8" x14ac:dyDescent="0.2">
      <c r="H957" s="8" t="str">
        <f t="shared" si="14"/>
        <v/>
      </c>
    </row>
    <row r="958" spans="8:8" x14ac:dyDescent="0.2">
      <c r="H958" s="8" t="str">
        <f t="shared" si="14"/>
        <v/>
      </c>
    </row>
    <row r="959" spans="8:8" x14ac:dyDescent="0.2">
      <c r="H959" s="8" t="str">
        <f t="shared" si="14"/>
        <v/>
      </c>
    </row>
    <row r="960" spans="8:8" x14ac:dyDescent="0.2">
      <c r="H960" s="8" t="str">
        <f t="shared" si="14"/>
        <v/>
      </c>
    </row>
    <row r="961" spans="8:8" x14ac:dyDescent="0.2">
      <c r="H961" s="8" t="str">
        <f t="shared" si="14"/>
        <v/>
      </c>
    </row>
    <row r="962" spans="8:8" x14ac:dyDescent="0.2">
      <c r="H962" s="8" t="str">
        <f t="shared" ref="H962:H1001" si="15">IF(A962=0,"","Fiber")</f>
        <v/>
      </c>
    </row>
    <row r="963" spans="8:8" x14ac:dyDescent="0.2">
      <c r="H963" s="8" t="str">
        <f t="shared" si="15"/>
        <v/>
      </c>
    </row>
    <row r="964" spans="8:8" x14ac:dyDescent="0.2">
      <c r="H964" s="8" t="str">
        <f t="shared" si="15"/>
        <v/>
      </c>
    </row>
    <row r="965" spans="8:8" x14ac:dyDescent="0.2">
      <c r="H965" s="8" t="str">
        <f t="shared" si="15"/>
        <v/>
      </c>
    </row>
    <row r="966" spans="8:8" x14ac:dyDescent="0.2">
      <c r="H966" s="8" t="str">
        <f t="shared" si="15"/>
        <v/>
      </c>
    </row>
    <row r="967" spans="8:8" x14ac:dyDescent="0.2">
      <c r="H967" s="8" t="str">
        <f t="shared" si="15"/>
        <v/>
      </c>
    </row>
    <row r="968" spans="8:8" x14ac:dyDescent="0.2">
      <c r="H968" s="8" t="str">
        <f t="shared" si="15"/>
        <v/>
      </c>
    </row>
    <row r="969" spans="8:8" x14ac:dyDescent="0.2">
      <c r="H969" s="8" t="str">
        <f t="shared" si="15"/>
        <v/>
      </c>
    </row>
    <row r="970" spans="8:8" x14ac:dyDescent="0.2">
      <c r="H970" s="8" t="str">
        <f t="shared" si="15"/>
        <v/>
      </c>
    </row>
    <row r="971" spans="8:8" x14ac:dyDescent="0.2">
      <c r="H971" s="8" t="str">
        <f t="shared" si="15"/>
        <v/>
      </c>
    </row>
    <row r="972" spans="8:8" x14ac:dyDescent="0.2">
      <c r="H972" s="8" t="str">
        <f t="shared" si="15"/>
        <v/>
      </c>
    </row>
    <row r="973" spans="8:8" x14ac:dyDescent="0.2">
      <c r="H973" s="8" t="str">
        <f t="shared" si="15"/>
        <v/>
      </c>
    </row>
    <row r="974" spans="8:8" x14ac:dyDescent="0.2">
      <c r="H974" s="8" t="str">
        <f t="shared" si="15"/>
        <v/>
      </c>
    </row>
    <row r="975" spans="8:8" x14ac:dyDescent="0.2">
      <c r="H975" s="8" t="str">
        <f t="shared" si="15"/>
        <v/>
      </c>
    </row>
    <row r="976" spans="8:8" x14ac:dyDescent="0.2">
      <c r="H976" s="8" t="str">
        <f t="shared" si="15"/>
        <v/>
      </c>
    </row>
    <row r="977" spans="8:8" x14ac:dyDescent="0.2">
      <c r="H977" s="8" t="str">
        <f t="shared" si="15"/>
        <v/>
      </c>
    </row>
    <row r="978" spans="8:8" x14ac:dyDescent="0.2">
      <c r="H978" s="8" t="str">
        <f t="shared" si="15"/>
        <v/>
      </c>
    </row>
    <row r="979" spans="8:8" x14ac:dyDescent="0.2">
      <c r="H979" s="8" t="str">
        <f t="shared" si="15"/>
        <v/>
      </c>
    </row>
    <row r="980" spans="8:8" x14ac:dyDescent="0.2">
      <c r="H980" s="8" t="str">
        <f t="shared" si="15"/>
        <v/>
      </c>
    </row>
    <row r="981" spans="8:8" x14ac:dyDescent="0.2">
      <c r="H981" s="8" t="str">
        <f t="shared" si="15"/>
        <v/>
      </c>
    </row>
    <row r="982" spans="8:8" x14ac:dyDescent="0.2">
      <c r="H982" s="8" t="str">
        <f t="shared" si="15"/>
        <v/>
      </c>
    </row>
    <row r="983" spans="8:8" x14ac:dyDescent="0.2">
      <c r="H983" s="8" t="str">
        <f t="shared" si="15"/>
        <v/>
      </c>
    </row>
    <row r="984" spans="8:8" x14ac:dyDescent="0.2">
      <c r="H984" s="8" t="str">
        <f t="shared" si="15"/>
        <v/>
      </c>
    </row>
    <row r="985" spans="8:8" x14ac:dyDescent="0.2">
      <c r="H985" s="8" t="str">
        <f t="shared" si="15"/>
        <v/>
      </c>
    </row>
    <row r="986" spans="8:8" x14ac:dyDescent="0.2">
      <c r="H986" s="8" t="str">
        <f t="shared" si="15"/>
        <v/>
      </c>
    </row>
    <row r="987" spans="8:8" x14ac:dyDescent="0.2">
      <c r="H987" s="8" t="str">
        <f t="shared" si="15"/>
        <v/>
      </c>
    </row>
    <row r="988" spans="8:8" x14ac:dyDescent="0.2">
      <c r="H988" s="8" t="str">
        <f t="shared" si="15"/>
        <v/>
      </c>
    </row>
    <row r="989" spans="8:8" x14ac:dyDescent="0.2">
      <c r="H989" s="8" t="str">
        <f t="shared" si="15"/>
        <v/>
      </c>
    </row>
    <row r="990" spans="8:8" x14ac:dyDescent="0.2">
      <c r="H990" s="8" t="str">
        <f t="shared" si="15"/>
        <v/>
      </c>
    </row>
    <row r="991" spans="8:8" x14ac:dyDescent="0.2">
      <c r="H991" s="8" t="str">
        <f t="shared" si="15"/>
        <v/>
      </c>
    </row>
    <row r="992" spans="8:8" x14ac:dyDescent="0.2">
      <c r="H992" s="8" t="str">
        <f t="shared" si="15"/>
        <v/>
      </c>
    </row>
    <row r="993" spans="8:8" x14ac:dyDescent="0.2">
      <c r="H993" s="8" t="str">
        <f t="shared" si="15"/>
        <v/>
      </c>
    </row>
    <row r="994" spans="8:8" x14ac:dyDescent="0.2">
      <c r="H994" s="8" t="str">
        <f t="shared" si="15"/>
        <v/>
      </c>
    </row>
    <row r="995" spans="8:8" x14ac:dyDescent="0.2">
      <c r="H995" s="8" t="str">
        <f t="shared" si="15"/>
        <v/>
      </c>
    </row>
    <row r="996" spans="8:8" x14ac:dyDescent="0.2">
      <c r="H996" s="8" t="str">
        <f t="shared" si="15"/>
        <v/>
      </c>
    </row>
    <row r="997" spans="8:8" x14ac:dyDescent="0.2">
      <c r="H997" s="8" t="str">
        <f t="shared" si="15"/>
        <v/>
      </c>
    </row>
    <row r="998" spans="8:8" x14ac:dyDescent="0.2">
      <c r="H998" s="8" t="str">
        <f t="shared" si="15"/>
        <v/>
      </c>
    </row>
    <row r="999" spans="8:8" x14ac:dyDescent="0.2">
      <c r="H999" s="8" t="str">
        <f t="shared" si="15"/>
        <v/>
      </c>
    </row>
    <row r="1000" spans="8:8" x14ac:dyDescent="0.2">
      <c r="H1000" s="8" t="str">
        <f t="shared" si="15"/>
        <v/>
      </c>
    </row>
    <row r="1001" spans="8:8" x14ac:dyDescent="0.2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baseColWidth="10" defaultColWidth="10.83203125" defaultRowHeight="16" x14ac:dyDescent="0.2"/>
  <cols>
    <col min="1" max="5" width="20.83203125" style="8" customWidth="1"/>
    <col min="6" max="16384" width="10.83203125" style="11"/>
  </cols>
  <sheetData>
    <row r="1" spans="1:5" s="9" customFormat="1" x14ac:dyDescent="0.2">
      <c r="A1" s="9" t="s">
        <v>74</v>
      </c>
      <c r="B1" s="9" t="s">
        <v>105</v>
      </c>
      <c r="C1" s="9" t="s">
        <v>19</v>
      </c>
      <c r="D1" s="9" t="s">
        <v>81</v>
      </c>
      <c r="E1" s="9" t="s">
        <v>106</v>
      </c>
    </row>
    <row r="2" spans="1:5" x14ac:dyDescent="0.2">
      <c r="A2" s="8" t="s">
        <v>107</v>
      </c>
      <c r="B2" s="8" t="s">
        <v>104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108</v>
      </c>
    </row>
    <row r="3" spans="1:5" x14ac:dyDescent="0.2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baseColWidth="10" defaultColWidth="10.83203125" defaultRowHeight="16" x14ac:dyDescent="0.2"/>
  <cols>
    <col min="1" max="2" width="20.83203125" style="8" customWidth="1"/>
    <col min="3" max="3" width="10.83203125" style="12"/>
    <col min="4" max="16384" width="10.83203125" style="11"/>
  </cols>
  <sheetData>
    <row r="1" spans="1:3" s="17" customFormat="1" x14ac:dyDescent="0.2">
      <c r="A1" s="17" t="s">
        <v>74</v>
      </c>
      <c r="B1" s="17" t="s">
        <v>19</v>
      </c>
      <c r="C1" s="17" t="s">
        <v>109</v>
      </c>
    </row>
    <row r="2" spans="1:3" x14ac:dyDescent="0.2">
      <c r="A2" s="8" t="s">
        <v>110</v>
      </c>
      <c r="B2" s="8" t="s">
        <v>17</v>
      </c>
      <c r="C2" s="12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A8" sqref="A8"/>
    </sheetView>
  </sheetViews>
  <sheetFormatPr baseColWidth="10" defaultColWidth="10.83203125" defaultRowHeight="16" x14ac:dyDescent="0.2"/>
  <cols>
    <col min="1" max="2" width="15.83203125" style="18" customWidth="1"/>
    <col min="3" max="4" width="15.83203125" style="20" customWidth="1"/>
    <col min="5" max="16384" width="10.83203125" style="19"/>
  </cols>
  <sheetData>
    <row r="1" spans="1:4" s="17" customFormat="1" x14ac:dyDescent="0.2">
      <c r="A1" s="17" t="s">
        <v>91</v>
      </c>
      <c r="B1" s="17" t="s">
        <v>117</v>
      </c>
      <c r="C1" s="17" t="s">
        <v>120</v>
      </c>
      <c r="D1" s="17" t="s">
        <v>121</v>
      </c>
    </row>
    <row r="2" spans="1:4" x14ac:dyDescent="0.2">
      <c r="A2" s="18" t="str">
        <f>IF('Frame Sections'!A2=0,"",'Frame Sections'!A2)</f>
        <v>C1</v>
      </c>
      <c r="B2" s="18" t="str">
        <f t="shared" ref="B2:B65" si="0">IF(OR(A2=0,A2=""),"",VLOOKUP(A2,SecDB,5,FALSE))</f>
        <v>Column</v>
      </c>
      <c r="C2" s="20">
        <v>0</v>
      </c>
      <c r="D2" s="20">
        <v>0.6</v>
      </c>
    </row>
    <row r="3" spans="1:4" x14ac:dyDescent="0.2">
      <c r="A3" s="18" t="str">
        <f>IF('Frame Sections'!A3=0,"",'Frame Sections'!A3)</f>
        <v>B1</v>
      </c>
      <c r="B3" s="18" t="str">
        <f t="shared" si="0"/>
        <v>Beam</v>
      </c>
      <c r="C3" s="20">
        <v>0</v>
      </c>
      <c r="D3" s="20">
        <v>0</v>
      </c>
    </row>
    <row r="4" spans="1:4" x14ac:dyDescent="0.2">
      <c r="A4" s="18" t="str">
        <f>IF('Frame Sections'!A4=0,"",'Frame Sections'!A4)</f>
        <v/>
      </c>
      <c r="B4" s="18" t="str">
        <f t="shared" si="0"/>
        <v/>
      </c>
    </row>
    <row r="5" spans="1:4" x14ac:dyDescent="0.2">
      <c r="A5" s="18" t="str">
        <f>IF('Frame Sections'!A5=0,"",'Frame Sections'!A5)</f>
        <v/>
      </c>
      <c r="B5" s="18" t="str">
        <f t="shared" si="0"/>
        <v/>
      </c>
    </row>
    <row r="6" spans="1:4" x14ac:dyDescent="0.2">
      <c r="A6" s="18" t="str">
        <f>IF('Frame Sections'!A6=0,"",'Frame Sections'!A6)</f>
        <v/>
      </c>
      <c r="B6" s="18" t="str">
        <f t="shared" si="0"/>
        <v/>
      </c>
    </row>
    <row r="7" spans="1:4" x14ac:dyDescent="0.2">
      <c r="A7" s="18" t="str">
        <f>IF('Frame Sections'!A7=0,"",'Frame Sections'!A7)</f>
        <v/>
      </c>
      <c r="B7" s="18" t="str">
        <f t="shared" si="0"/>
        <v/>
      </c>
    </row>
    <row r="8" spans="1:4" x14ac:dyDescent="0.2">
      <c r="A8" s="18" t="str">
        <f>IF('Frame Sections'!A8=0,"",'Frame Sections'!A8)</f>
        <v/>
      </c>
      <c r="B8" s="18" t="str">
        <f t="shared" si="0"/>
        <v/>
      </c>
    </row>
    <row r="9" spans="1:4" x14ac:dyDescent="0.2">
      <c r="A9" s="18" t="str">
        <f>IF('Frame Sections'!A9=0,"",'Frame Sections'!A9)</f>
        <v/>
      </c>
      <c r="B9" s="18" t="str">
        <f t="shared" si="0"/>
        <v/>
      </c>
    </row>
    <row r="10" spans="1:4" x14ac:dyDescent="0.2">
      <c r="A10" s="18" t="str">
        <f>IF('Frame Sections'!A10=0,"",'Frame Sections'!A10)</f>
        <v/>
      </c>
      <c r="B10" s="18" t="str">
        <f t="shared" si="0"/>
        <v/>
      </c>
    </row>
    <row r="11" spans="1:4" x14ac:dyDescent="0.2">
      <c r="A11" s="18" t="str">
        <f>IF('Frame Sections'!A11=0,"",'Frame Sections'!A11)</f>
        <v/>
      </c>
      <c r="B11" s="18" t="str">
        <f t="shared" si="0"/>
        <v/>
      </c>
    </row>
    <row r="12" spans="1:4" x14ac:dyDescent="0.2">
      <c r="A12" s="18" t="str">
        <f>IF('Frame Sections'!A12=0,"",'Frame Sections'!A12)</f>
        <v/>
      </c>
      <c r="B12" s="18" t="str">
        <f t="shared" si="0"/>
        <v/>
      </c>
    </row>
    <row r="13" spans="1:4" x14ac:dyDescent="0.2">
      <c r="A13" s="18" t="str">
        <f>IF('Frame Sections'!A13=0,"",'Frame Sections'!A13)</f>
        <v/>
      </c>
      <c r="B13" s="18" t="str">
        <f t="shared" si="0"/>
        <v/>
      </c>
    </row>
    <row r="14" spans="1:4" x14ac:dyDescent="0.2">
      <c r="A14" s="18" t="str">
        <f>IF('Frame Sections'!A14=0,"",'Frame Sections'!A14)</f>
        <v/>
      </c>
      <c r="B14" s="18" t="str">
        <f t="shared" si="0"/>
        <v/>
      </c>
    </row>
    <row r="15" spans="1:4" x14ac:dyDescent="0.2">
      <c r="A15" s="18" t="str">
        <f>IF('Frame Sections'!A15=0,"",'Frame Sections'!A15)</f>
        <v/>
      </c>
      <c r="B15" s="18" t="str">
        <f t="shared" si="0"/>
        <v/>
      </c>
    </row>
    <row r="16" spans="1:4" x14ac:dyDescent="0.2">
      <c r="A16" s="18" t="str">
        <f>IF('Frame Sections'!A16=0,"",'Frame Sections'!A16)</f>
        <v/>
      </c>
      <c r="B16" s="18" t="str">
        <f t="shared" si="0"/>
        <v/>
      </c>
    </row>
    <row r="17" spans="1:2" x14ac:dyDescent="0.2">
      <c r="A17" s="18" t="str">
        <f>IF('Frame Sections'!A17=0,"",'Frame Sections'!A17)</f>
        <v/>
      </c>
      <c r="B17" s="18" t="str">
        <f t="shared" si="0"/>
        <v/>
      </c>
    </row>
    <row r="18" spans="1:2" x14ac:dyDescent="0.2">
      <c r="A18" s="18" t="str">
        <f>IF('Frame Sections'!A18=0,"",'Frame Sections'!A18)</f>
        <v/>
      </c>
      <c r="B18" s="18" t="str">
        <f t="shared" si="0"/>
        <v/>
      </c>
    </row>
    <row r="19" spans="1:2" x14ac:dyDescent="0.2">
      <c r="A19" s="18" t="str">
        <f>IF('Frame Sections'!A19=0,"",'Frame Sections'!A19)</f>
        <v/>
      </c>
      <c r="B19" s="18" t="str">
        <f t="shared" si="0"/>
        <v/>
      </c>
    </row>
    <row r="20" spans="1:2" x14ac:dyDescent="0.2">
      <c r="A20" s="18" t="str">
        <f>IF('Frame Sections'!A20=0,"",'Frame Sections'!A20)</f>
        <v/>
      </c>
      <c r="B20" s="18" t="str">
        <f t="shared" si="0"/>
        <v/>
      </c>
    </row>
    <row r="21" spans="1:2" x14ac:dyDescent="0.2">
      <c r="A21" s="18" t="str">
        <f>IF('Frame Sections'!A21=0,"",'Frame Sections'!A21)</f>
        <v/>
      </c>
      <c r="B21" s="18" t="str">
        <f t="shared" si="0"/>
        <v/>
      </c>
    </row>
    <row r="22" spans="1:2" x14ac:dyDescent="0.2">
      <c r="A22" s="18" t="str">
        <f>IF('Frame Sections'!A22=0,"",'Frame Sections'!A22)</f>
        <v/>
      </c>
      <c r="B22" s="18" t="str">
        <f t="shared" si="0"/>
        <v/>
      </c>
    </row>
    <row r="23" spans="1:2" x14ac:dyDescent="0.2">
      <c r="A23" s="18" t="str">
        <f>IF('Frame Sections'!A23=0,"",'Frame Sections'!A23)</f>
        <v/>
      </c>
      <c r="B23" s="18" t="str">
        <f t="shared" si="0"/>
        <v/>
      </c>
    </row>
    <row r="24" spans="1:2" x14ac:dyDescent="0.2">
      <c r="A24" s="18" t="str">
        <f>IF('Frame Sections'!A24=0,"",'Frame Sections'!A24)</f>
        <v/>
      </c>
      <c r="B24" s="18" t="str">
        <f t="shared" si="0"/>
        <v/>
      </c>
    </row>
    <row r="25" spans="1:2" x14ac:dyDescent="0.2">
      <c r="A25" s="18" t="str">
        <f>IF('Frame Sections'!A25=0,"",'Frame Sections'!A25)</f>
        <v/>
      </c>
      <c r="B25" s="18" t="str">
        <f t="shared" si="0"/>
        <v/>
      </c>
    </row>
    <row r="26" spans="1:2" x14ac:dyDescent="0.2">
      <c r="A26" s="18" t="str">
        <f>IF('Frame Sections'!A26=0,"",'Frame Sections'!A26)</f>
        <v/>
      </c>
      <c r="B26" s="18" t="str">
        <f t="shared" si="0"/>
        <v/>
      </c>
    </row>
    <row r="27" spans="1:2" x14ac:dyDescent="0.2">
      <c r="A27" s="18" t="str">
        <f>IF('Frame Sections'!A27=0,"",'Frame Sections'!A27)</f>
        <v/>
      </c>
      <c r="B27" s="18" t="str">
        <f t="shared" si="0"/>
        <v/>
      </c>
    </row>
    <row r="28" spans="1:2" x14ac:dyDescent="0.2">
      <c r="A28" s="18" t="str">
        <f>IF('Frame Sections'!A28=0,"",'Frame Sections'!A28)</f>
        <v/>
      </c>
      <c r="B28" s="18" t="str">
        <f t="shared" si="0"/>
        <v/>
      </c>
    </row>
    <row r="29" spans="1:2" x14ac:dyDescent="0.2">
      <c r="A29" s="18" t="str">
        <f>IF('Frame Sections'!A29=0,"",'Frame Sections'!A29)</f>
        <v/>
      </c>
      <c r="B29" s="18" t="str">
        <f t="shared" si="0"/>
        <v/>
      </c>
    </row>
    <row r="30" spans="1:2" x14ac:dyDescent="0.2">
      <c r="A30" s="18" t="str">
        <f>IF('Frame Sections'!A30=0,"",'Frame Sections'!A30)</f>
        <v/>
      </c>
      <c r="B30" s="18" t="str">
        <f t="shared" si="0"/>
        <v/>
      </c>
    </row>
    <row r="31" spans="1:2" x14ac:dyDescent="0.2">
      <c r="A31" s="18" t="str">
        <f>IF('Frame Sections'!A31=0,"",'Frame Sections'!A31)</f>
        <v/>
      </c>
      <c r="B31" s="18" t="str">
        <f t="shared" si="0"/>
        <v/>
      </c>
    </row>
    <row r="32" spans="1:2" x14ac:dyDescent="0.2">
      <c r="A32" s="18" t="str">
        <f>IF('Frame Sections'!A32=0,"",'Frame Sections'!A32)</f>
        <v/>
      </c>
      <c r="B32" s="18" t="str">
        <f t="shared" si="0"/>
        <v/>
      </c>
    </row>
    <row r="33" spans="1:2" x14ac:dyDescent="0.2">
      <c r="A33" s="18" t="str">
        <f>IF('Frame Sections'!A33=0,"",'Frame Sections'!A33)</f>
        <v/>
      </c>
      <c r="B33" s="18" t="str">
        <f t="shared" si="0"/>
        <v/>
      </c>
    </row>
    <row r="34" spans="1:2" x14ac:dyDescent="0.2">
      <c r="A34" s="18" t="str">
        <f>IF('Frame Sections'!A34=0,"",'Frame Sections'!A34)</f>
        <v/>
      </c>
      <c r="B34" s="18" t="str">
        <f t="shared" si="0"/>
        <v/>
      </c>
    </row>
    <row r="35" spans="1:2" x14ac:dyDescent="0.2">
      <c r="A35" s="18" t="str">
        <f>IF('Frame Sections'!A35=0,"",'Frame Sections'!A35)</f>
        <v/>
      </c>
      <c r="B35" s="18" t="str">
        <f t="shared" si="0"/>
        <v/>
      </c>
    </row>
    <row r="36" spans="1:2" x14ac:dyDescent="0.2">
      <c r="A36" s="18" t="str">
        <f>IF('Frame Sections'!A36=0,"",'Frame Sections'!A36)</f>
        <v/>
      </c>
      <c r="B36" s="18" t="str">
        <f t="shared" si="0"/>
        <v/>
      </c>
    </row>
    <row r="37" spans="1:2" x14ac:dyDescent="0.2">
      <c r="A37" s="18" t="str">
        <f>IF('Frame Sections'!A37=0,"",'Frame Sections'!A37)</f>
        <v/>
      </c>
      <c r="B37" s="18" t="str">
        <f t="shared" si="0"/>
        <v/>
      </c>
    </row>
    <row r="38" spans="1:2" x14ac:dyDescent="0.2">
      <c r="A38" s="18" t="str">
        <f>IF('Frame Sections'!A38=0,"",'Frame Sections'!A38)</f>
        <v/>
      </c>
      <c r="B38" s="18" t="str">
        <f t="shared" si="0"/>
        <v/>
      </c>
    </row>
    <row r="39" spans="1:2" x14ac:dyDescent="0.2">
      <c r="A39" s="18" t="str">
        <f>IF('Frame Sections'!A39=0,"",'Frame Sections'!A39)</f>
        <v/>
      </c>
      <c r="B39" s="18" t="str">
        <f t="shared" si="0"/>
        <v/>
      </c>
    </row>
    <row r="40" spans="1:2" x14ac:dyDescent="0.2">
      <c r="A40" s="18" t="str">
        <f>IF('Frame Sections'!A40=0,"",'Frame Sections'!A40)</f>
        <v/>
      </c>
      <c r="B40" s="18" t="str">
        <f t="shared" si="0"/>
        <v/>
      </c>
    </row>
    <row r="41" spans="1:2" x14ac:dyDescent="0.2">
      <c r="A41" s="18" t="str">
        <f>IF('Frame Sections'!A41=0,"",'Frame Sections'!A41)</f>
        <v/>
      </c>
      <c r="B41" s="18" t="str">
        <f t="shared" si="0"/>
        <v/>
      </c>
    </row>
    <row r="42" spans="1:2" x14ac:dyDescent="0.2">
      <c r="A42" s="18" t="str">
        <f>IF('Frame Sections'!A42=0,"",'Frame Sections'!A42)</f>
        <v/>
      </c>
      <c r="B42" s="18" t="str">
        <f t="shared" si="0"/>
        <v/>
      </c>
    </row>
    <row r="43" spans="1:2" x14ac:dyDescent="0.2">
      <c r="A43" s="18" t="str">
        <f>IF('Frame Sections'!A43=0,"",'Frame Sections'!A43)</f>
        <v/>
      </c>
      <c r="B43" s="18" t="str">
        <f t="shared" si="0"/>
        <v/>
      </c>
    </row>
    <row r="44" spans="1:2" x14ac:dyDescent="0.2">
      <c r="A44" s="18" t="str">
        <f>IF('Frame Sections'!A44=0,"",'Frame Sections'!A44)</f>
        <v/>
      </c>
      <c r="B44" s="18" t="str">
        <f t="shared" si="0"/>
        <v/>
      </c>
    </row>
    <row r="45" spans="1:2" x14ac:dyDescent="0.2">
      <c r="A45" s="18" t="str">
        <f>IF('Frame Sections'!A45=0,"",'Frame Sections'!A45)</f>
        <v/>
      </c>
      <c r="B45" s="18" t="str">
        <f t="shared" si="0"/>
        <v/>
      </c>
    </row>
    <row r="46" spans="1:2" x14ac:dyDescent="0.2">
      <c r="A46" s="18" t="str">
        <f>IF('Frame Sections'!A46=0,"",'Frame Sections'!A46)</f>
        <v/>
      </c>
      <c r="B46" s="18" t="str">
        <f t="shared" si="0"/>
        <v/>
      </c>
    </row>
    <row r="47" spans="1:2" x14ac:dyDescent="0.2">
      <c r="A47" s="18" t="str">
        <f>IF('Frame Sections'!A47=0,"",'Frame Sections'!A47)</f>
        <v/>
      </c>
      <c r="B47" s="18" t="str">
        <f t="shared" si="0"/>
        <v/>
      </c>
    </row>
    <row r="48" spans="1:2" x14ac:dyDescent="0.2">
      <c r="A48" s="18" t="str">
        <f>IF('Frame Sections'!A48=0,"",'Frame Sections'!A48)</f>
        <v/>
      </c>
      <c r="B48" s="18" t="str">
        <f t="shared" si="0"/>
        <v/>
      </c>
    </row>
    <row r="49" spans="1:2" x14ac:dyDescent="0.2">
      <c r="A49" s="18" t="str">
        <f>IF('Frame Sections'!A49=0,"",'Frame Sections'!A49)</f>
        <v/>
      </c>
      <c r="B49" s="18" t="str">
        <f t="shared" si="0"/>
        <v/>
      </c>
    </row>
    <row r="50" spans="1:2" x14ac:dyDescent="0.2">
      <c r="A50" s="18" t="str">
        <f>IF('Frame Sections'!A50=0,"",'Frame Sections'!A50)</f>
        <v/>
      </c>
      <c r="B50" s="18" t="str">
        <f t="shared" si="0"/>
        <v/>
      </c>
    </row>
    <row r="51" spans="1:2" x14ac:dyDescent="0.2">
      <c r="A51" s="18" t="str">
        <f>IF('Frame Sections'!A51=0,"",'Frame Sections'!A51)</f>
        <v/>
      </c>
      <c r="B51" s="18" t="str">
        <f t="shared" si="0"/>
        <v/>
      </c>
    </row>
    <row r="52" spans="1:2" x14ac:dyDescent="0.2">
      <c r="A52" s="18" t="str">
        <f>IF('Frame Sections'!A52=0,"",'Frame Sections'!A52)</f>
        <v/>
      </c>
      <c r="B52" s="18" t="str">
        <f t="shared" si="0"/>
        <v/>
      </c>
    </row>
    <row r="53" spans="1:2" x14ac:dyDescent="0.2">
      <c r="A53" s="18" t="str">
        <f>IF('Frame Sections'!A53=0,"",'Frame Sections'!A53)</f>
        <v/>
      </c>
      <c r="B53" s="18" t="str">
        <f t="shared" si="0"/>
        <v/>
      </c>
    </row>
    <row r="54" spans="1:2" x14ac:dyDescent="0.2">
      <c r="A54" s="18" t="str">
        <f>IF('Frame Sections'!A54=0,"",'Frame Sections'!A54)</f>
        <v/>
      </c>
      <c r="B54" s="18" t="str">
        <f t="shared" si="0"/>
        <v/>
      </c>
    </row>
    <row r="55" spans="1:2" x14ac:dyDescent="0.2">
      <c r="A55" s="18" t="str">
        <f>IF('Frame Sections'!A55=0,"",'Frame Sections'!A55)</f>
        <v/>
      </c>
      <c r="B55" s="18" t="str">
        <f t="shared" si="0"/>
        <v/>
      </c>
    </row>
    <row r="56" spans="1:2" x14ac:dyDescent="0.2">
      <c r="A56" s="18" t="str">
        <f>IF('Frame Sections'!A56=0,"",'Frame Sections'!A56)</f>
        <v/>
      </c>
      <c r="B56" s="18" t="str">
        <f t="shared" si="0"/>
        <v/>
      </c>
    </row>
    <row r="57" spans="1:2" x14ac:dyDescent="0.2">
      <c r="A57" s="18" t="str">
        <f>IF('Frame Sections'!A57=0,"",'Frame Sections'!A57)</f>
        <v/>
      </c>
      <c r="B57" s="18" t="str">
        <f t="shared" si="0"/>
        <v/>
      </c>
    </row>
    <row r="58" spans="1:2" x14ac:dyDescent="0.2">
      <c r="A58" s="18" t="str">
        <f>IF('Frame Sections'!A58=0,"",'Frame Sections'!A58)</f>
        <v/>
      </c>
      <c r="B58" s="18" t="str">
        <f t="shared" si="0"/>
        <v/>
      </c>
    </row>
    <row r="59" spans="1:2" x14ac:dyDescent="0.2">
      <c r="A59" s="18" t="str">
        <f>IF('Frame Sections'!A59=0,"",'Frame Sections'!A59)</f>
        <v/>
      </c>
      <c r="B59" s="18" t="str">
        <f t="shared" si="0"/>
        <v/>
      </c>
    </row>
    <row r="60" spans="1:2" x14ac:dyDescent="0.2">
      <c r="A60" s="18" t="str">
        <f>IF('Frame Sections'!A60=0,"",'Frame Sections'!A60)</f>
        <v/>
      </c>
      <c r="B60" s="18" t="str">
        <f t="shared" si="0"/>
        <v/>
      </c>
    </row>
    <row r="61" spans="1:2" x14ac:dyDescent="0.2">
      <c r="A61" s="18" t="str">
        <f>IF('Frame Sections'!A61=0,"",'Frame Sections'!A61)</f>
        <v/>
      </c>
      <c r="B61" s="18" t="str">
        <f t="shared" si="0"/>
        <v/>
      </c>
    </row>
    <row r="62" spans="1:2" x14ac:dyDescent="0.2">
      <c r="A62" s="18" t="str">
        <f>IF('Frame Sections'!A62=0,"",'Frame Sections'!A62)</f>
        <v/>
      </c>
      <c r="B62" s="18" t="str">
        <f t="shared" si="0"/>
        <v/>
      </c>
    </row>
    <row r="63" spans="1:2" x14ac:dyDescent="0.2">
      <c r="A63" s="18" t="str">
        <f>IF('Frame Sections'!A63=0,"",'Frame Sections'!A63)</f>
        <v/>
      </c>
      <c r="B63" s="18" t="str">
        <f t="shared" si="0"/>
        <v/>
      </c>
    </row>
    <row r="64" spans="1:2" x14ac:dyDescent="0.2">
      <c r="A64" s="18" t="str">
        <f>IF('Frame Sections'!A64=0,"",'Frame Sections'!A64)</f>
        <v/>
      </c>
      <c r="B64" s="18" t="str">
        <f t="shared" si="0"/>
        <v/>
      </c>
    </row>
    <row r="65" spans="1:2" x14ac:dyDescent="0.2">
      <c r="A65" s="18" t="str">
        <f>IF('Frame Sections'!A65=0,"",'Frame Sections'!A65)</f>
        <v/>
      </c>
      <c r="B65" s="18" t="str">
        <f t="shared" si="0"/>
        <v/>
      </c>
    </row>
    <row r="66" spans="1:2" x14ac:dyDescent="0.2">
      <c r="A66" s="18" t="str">
        <f>IF('Frame Sections'!A66=0,"",'Frame Sections'!A66)</f>
        <v/>
      </c>
      <c r="B66" s="18" t="str">
        <f t="shared" ref="B66:B129" si="1">IF(OR(A66=0,A66=""),"",VLOOKUP(A66,SecDB,5,FALSE))</f>
        <v/>
      </c>
    </row>
    <row r="67" spans="1:2" x14ac:dyDescent="0.2">
      <c r="A67" s="18" t="str">
        <f>IF('Frame Sections'!A67=0,"",'Frame Sections'!A67)</f>
        <v/>
      </c>
      <c r="B67" s="18" t="str">
        <f t="shared" si="1"/>
        <v/>
      </c>
    </row>
    <row r="68" spans="1:2" x14ac:dyDescent="0.2">
      <c r="A68" s="18" t="str">
        <f>IF('Frame Sections'!A68=0,"",'Frame Sections'!A68)</f>
        <v/>
      </c>
      <c r="B68" s="18" t="str">
        <f t="shared" si="1"/>
        <v/>
      </c>
    </row>
    <row r="69" spans="1:2" x14ac:dyDescent="0.2">
      <c r="A69" s="18" t="str">
        <f>IF('Frame Sections'!A69=0,"",'Frame Sections'!A69)</f>
        <v/>
      </c>
      <c r="B69" s="18" t="str">
        <f t="shared" si="1"/>
        <v/>
      </c>
    </row>
    <row r="70" spans="1:2" x14ac:dyDescent="0.2">
      <c r="A70" s="18" t="str">
        <f>IF('Frame Sections'!A70=0,"",'Frame Sections'!A70)</f>
        <v/>
      </c>
      <c r="B70" s="18" t="str">
        <f t="shared" si="1"/>
        <v/>
      </c>
    </row>
    <row r="71" spans="1:2" x14ac:dyDescent="0.2">
      <c r="A71" s="18" t="str">
        <f>IF('Frame Sections'!A71=0,"",'Frame Sections'!A71)</f>
        <v/>
      </c>
      <c r="B71" s="18" t="str">
        <f t="shared" si="1"/>
        <v/>
      </c>
    </row>
    <row r="72" spans="1:2" x14ac:dyDescent="0.2">
      <c r="A72" s="18" t="str">
        <f>IF('Frame Sections'!A72=0,"",'Frame Sections'!A72)</f>
        <v/>
      </c>
      <c r="B72" s="18" t="str">
        <f t="shared" si="1"/>
        <v/>
      </c>
    </row>
    <row r="73" spans="1:2" x14ac:dyDescent="0.2">
      <c r="A73" s="18" t="str">
        <f>IF('Frame Sections'!A73=0,"",'Frame Sections'!A73)</f>
        <v/>
      </c>
      <c r="B73" s="18" t="str">
        <f t="shared" si="1"/>
        <v/>
      </c>
    </row>
    <row r="74" spans="1:2" x14ac:dyDescent="0.2">
      <c r="A74" s="18" t="str">
        <f>IF('Frame Sections'!A74=0,"",'Frame Sections'!A74)</f>
        <v/>
      </c>
      <c r="B74" s="18" t="str">
        <f t="shared" si="1"/>
        <v/>
      </c>
    </row>
    <row r="75" spans="1:2" x14ac:dyDescent="0.2">
      <c r="A75" s="18" t="str">
        <f>IF('Frame Sections'!A75=0,"",'Frame Sections'!A75)</f>
        <v/>
      </c>
      <c r="B75" s="18" t="str">
        <f t="shared" si="1"/>
        <v/>
      </c>
    </row>
    <row r="76" spans="1:2" x14ac:dyDescent="0.2">
      <c r="A76" s="18" t="str">
        <f>IF('Frame Sections'!A76=0,"",'Frame Sections'!A76)</f>
        <v/>
      </c>
      <c r="B76" s="18" t="str">
        <f t="shared" si="1"/>
        <v/>
      </c>
    </row>
    <row r="77" spans="1:2" x14ac:dyDescent="0.2">
      <c r="A77" s="18" t="str">
        <f>IF('Frame Sections'!A77=0,"",'Frame Sections'!A77)</f>
        <v/>
      </c>
      <c r="B77" s="18" t="str">
        <f t="shared" si="1"/>
        <v/>
      </c>
    </row>
    <row r="78" spans="1:2" x14ac:dyDescent="0.2">
      <c r="A78" s="18" t="str">
        <f>IF('Frame Sections'!A78=0,"",'Frame Sections'!A78)</f>
        <v/>
      </c>
      <c r="B78" s="18" t="str">
        <f t="shared" si="1"/>
        <v/>
      </c>
    </row>
    <row r="79" spans="1:2" x14ac:dyDescent="0.2">
      <c r="A79" s="18" t="str">
        <f>IF('Frame Sections'!A79=0,"",'Frame Sections'!A79)</f>
        <v/>
      </c>
      <c r="B79" s="18" t="str">
        <f t="shared" si="1"/>
        <v/>
      </c>
    </row>
    <row r="80" spans="1:2" x14ac:dyDescent="0.2">
      <c r="A80" s="18" t="str">
        <f>IF('Frame Sections'!A80=0,"",'Frame Sections'!A80)</f>
        <v/>
      </c>
      <c r="B80" s="18" t="str">
        <f t="shared" si="1"/>
        <v/>
      </c>
    </row>
    <row r="81" spans="1:2" x14ac:dyDescent="0.2">
      <c r="A81" s="18" t="str">
        <f>IF('Frame Sections'!A81=0,"",'Frame Sections'!A81)</f>
        <v/>
      </c>
      <c r="B81" s="18" t="str">
        <f t="shared" si="1"/>
        <v/>
      </c>
    </row>
    <row r="82" spans="1:2" x14ac:dyDescent="0.2">
      <c r="A82" s="18" t="str">
        <f>IF('Frame Sections'!A82=0,"",'Frame Sections'!A82)</f>
        <v/>
      </c>
      <c r="B82" s="18" t="str">
        <f t="shared" si="1"/>
        <v/>
      </c>
    </row>
    <row r="83" spans="1:2" x14ac:dyDescent="0.2">
      <c r="A83" s="18" t="str">
        <f>IF('Frame Sections'!A83=0,"",'Frame Sections'!A83)</f>
        <v/>
      </c>
      <c r="B83" s="18" t="str">
        <f t="shared" si="1"/>
        <v/>
      </c>
    </row>
    <row r="84" spans="1:2" x14ac:dyDescent="0.2">
      <c r="A84" s="18" t="str">
        <f>IF('Frame Sections'!A84=0,"",'Frame Sections'!A84)</f>
        <v/>
      </c>
      <c r="B84" s="18" t="str">
        <f t="shared" si="1"/>
        <v/>
      </c>
    </row>
    <row r="85" spans="1:2" x14ac:dyDescent="0.2">
      <c r="A85" s="18" t="str">
        <f>IF('Frame Sections'!A85=0,"",'Frame Sections'!A85)</f>
        <v/>
      </c>
      <c r="B85" s="18" t="str">
        <f t="shared" si="1"/>
        <v/>
      </c>
    </row>
    <row r="86" spans="1:2" x14ac:dyDescent="0.2">
      <c r="A86" s="18" t="str">
        <f>IF('Frame Sections'!A86=0,"",'Frame Sections'!A86)</f>
        <v/>
      </c>
      <c r="B86" s="18" t="str">
        <f t="shared" si="1"/>
        <v/>
      </c>
    </row>
    <row r="87" spans="1:2" x14ac:dyDescent="0.2">
      <c r="A87" s="18" t="str">
        <f>IF('Frame Sections'!A87=0,"",'Frame Sections'!A87)</f>
        <v/>
      </c>
      <c r="B87" s="18" t="str">
        <f t="shared" si="1"/>
        <v/>
      </c>
    </row>
    <row r="88" spans="1:2" x14ac:dyDescent="0.2">
      <c r="A88" s="18" t="str">
        <f>IF('Frame Sections'!A88=0,"",'Frame Sections'!A88)</f>
        <v/>
      </c>
      <c r="B88" s="18" t="str">
        <f t="shared" si="1"/>
        <v/>
      </c>
    </row>
    <row r="89" spans="1:2" x14ac:dyDescent="0.2">
      <c r="A89" s="18" t="str">
        <f>IF('Frame Sections'!A89=0,"",'Frame Sections'!A89)</f>
        <v/>
      </c>
      <c r="B89" s="18" t="str">
        <f t="shared" si="1"/>
        <v/>
      </c>
    </row>
    <row r="90" spans="1:2" x14ac:dyDescent="0.2">
      <c r="A90" s="18" t="str">
        <f>IF('Frame Sections'!A90=0,"",'Frame Sections'!A90)</f>
        <v/>
      </c>
      <c r="B90" s="18" t="str">
        <f t="shared" si="1"/>
        <v/>
      </c>
    </row>
    <row r="91" spans="1:2" x14ac:dyDescent="0.2">
      <c r="A91" s="18" t="str">
        <f>IF('Frame Sections'!A91=0,"",'Frame Sections'!A91)</f>
        <v/>
      </c>
      <c r="B91" s="18" t="str">
        <f t="shared" si="1"/>
        <v/>
      </c>
    </row>
    <row r="92" spans="1:2" x14ac:dyDescent="0.2">
      <c r="A92" s="18" t="str">
        <f>IF('Frame Sections'!A92=0,"",'Frame Sections'!A92)</f>
        <v/>
      </c>
      <c r="B92" s="18" t="str">
        <f t="shared" si="1"/>
        <v/>
      </c>
    </row>
    <row r="93" spans="1:2" x14ac:dyDescent="0.2">
      <c r="A93" s="18" t="str">
        <f>IF('Frame Sections'!A93=0,"",'Frame Sections'!A93)</f>
        <v/>
      </c>
      <c r="B93" s="18" t="str">
        <f t="shared" si="1"/>
        <v/>
      </c>
    </row>
    <row r="94" spans="1:2" x14ac:dyDescent="0.2">
      <c r="A94" s="18" t="str">
        <f>IF('Frame Sections'!A94=0,"",'Frame Sections'!A94)</f>
        <v/>
      </c>
      <c r="B94" s="18" t="str">
        <f t="shared" si="1"/>
        <v/>
      </c>
    </row>
    <row r="95" spans="1:2" x14ac:dyDescent="0.2">
      <c r="A95" s="18" t="str">
        <f>IF('Frame Sections'!A95=0,"",'Frame Sections'!A95)</f>
        <v/>
      </c>
      <c r="B95" s="18" t="str">
        <f t="shared" si="1"/>
        <v/>
      </c>
    </row>
    <row r="96" spans="1:2" x14ac:dyDescent="0.2">
      <c r="A96" s="18" t="str">
        <f>IF('Frame Sections'!A96=0,"",'Frame Sections'!A96)</f>
        <v/>
      </c>
      <c r="B96" s="18" t="str">
        <f t="shared" si="1"/>
        <v/>
      </c>
    </row>
    <row r="97" spans="1:2" x14ac:dyDescent="0.2">
      <c r="A97" s="18" t="str">
        <f>IF('Frame Sections'!A97=0,"",'Frame Sections'!A97)</f>
        <v/>
      </c>
      <c r="B97" s="18" t="str">
        <f t="shared" si="1"/>
        <v/>
      </c>
    </row>
    <row r="98" spans="1:2" x14ac:dyDescent="0.2">
      <c r="A98" s="18" t="str">
        <f>IF('Frame Sections'!A98=0,"",'Frame Sections'!A98)</f>
        <v/>
      </c>
      <c r="B98" s="18" t="str">
        <f t="shared" si="1"/>
        <v/>
      </c>
    </row>
    <row r="99" spans="1:2" x14ac:dyDescent="0.2">
      <c r="A99" s="18" t="str">
        <f>IF('Frame Sections'!A99=0,"",'Frame Sections'!A99)</f>
        <v/>
      </c>
      <c r="B99" s="18" t="str">
        <f t="shared" si="1"/>
        <v/>
      </c>
    </row>
    <row r="100" spans="1:2" x14ac:dyDescent="0.2">
      <c r="A100" s="18" t="str">
        <f>IF('Frame Sections'!A100=0,"",'Frame Sections'!A100)</f>
        <v/>
      </c>
      <c r="B100" s="18" t="str">
        <f t="shared" si="1"/>
        <v/>
      </c>
    </row>
    <row r="101" spans="1:2" x14ac:dyDescent="0.2">
      <c r="A101" s="18" t="str">
        <f>IF('Frame Sections'!A101=0,"",'Frame Sections'!A101)</f>
        <v/>
      </c>
      <c r="B101" s="18" t="str">
        <f t="shared" si="1"/>
        <v/>
      </c>
    </row>
    <row r="102" spans="1:2" x14ac:dyDescent="0.2">
      <c r="A102" s="18" t="str">
        <f>IF('Frame Sections'!A102=0,"",'Frame Sections'!A102)</f>
        <v/>
      </c>
      <c r="B102" s="18" t="str">
        <f t="shared" si="1"/>
        <v/>
      </c>
    </row>
    <row r="103" spans="1:2" x14ac:dyDescent="0.2">
      <c r="A103" s="18" t="str">
        <f>IF('Frame Sections'!A103=0,"",'Frame Sections'!A103)</f>
        <v/>
      </c>
      <c r="B103" s="18" t="str">
        <f t="shared" si="1"/>
        <v/>
      </c>
    </row>
    <row r="104" spans="1:2" x14ac:dyDescent="0.2">
      <c r="A104" s="18" t="str">
        <f>IF('Frame Sections'!A104=0,"",'Frame Sections'!A104)</f>
        <v/>
      </c>
      <c r="B104" s="18" t="str">
        <f t="shared" si="1"/>
        <v/>
      </c>
    </row>
    <row r="105" spans="1:2" x14ac:dyDescent="0.2">
      <c r="A105" s="18" t="str">
        <f>IF('Frame Sections'!A105=0,"",'Frame Sections'!A105)</f>
        <v/>
      </c>
      <c r="B105" s="18" t="str">
        <f t="shared" si="1"/>
        <v/>
      </c>
    </row>
    <row r="106" spans="1:2" x14ac:dyDescent="0.2">
      <c r="A106" s="18" t="str">
        <f>IF('Frame Sections'!A106=0,"",'Frame Sections'!A106)</f>
        <v/>
      </c>
      <c r="B106" s="18" t="str">
        <f t="shared" si="1"/>
        <v/>
      </c>
    </row>
    <row r="107" spans="1:2" x14ac:dyDescent="0.2">
      <c r="A107" s="18" t="str">
        <f>IF('Frame Sections'!A107=0,"",'Frame Sections'!A107)</f>
        <v/>
      </c>
      <c r="B107" s="18" t="str">
        <f t="shared" si="1"/>
        <v/>
      </c>
    </row>
    <row r="108" spans="1:2" x14ac:dyDescent="0.2">
      <c r="A108" s="18" t="str">
        <f>IF('Frame Sections'!A108=0,"",'Frame Sections'!A108)</f>
        <v/>
      </c>
      <c r="B108" s="18" t="str">
        <f t="shared" si="1"/>
        <v/>
      </c>
    </row>
    <row r="109" spans="1:2" x14ac:dyDescent="0.2">
      <c r="A109" s="18" t="str">
        <f>IF('Frame Sections'!A109=0,"",'Frame Sections'!A109)</f>
        <v/>
      </c>
      <c r="B109" s="18" t="str">
        <f t="shared" si="1"/>
        <v/>
      </c>
    </row>
    <row r="110" spans="1:2" x14ac:dyDescent="0.2">
      <c r="A110" s="18" t="str">
        <f>IF('Frame Sections'!A110=0,"",'Frame Sections'!A110)</f>
        <v/>
      </c>
      <c r="B110" s="18" t="str">
        <f t="shared" si="1"/>
        <v/>
      </c>
    </row>
    <row r="111" spans="1:2" x14ac:dyDescent="0.2">
      <c r="A111" s="18" t="str">
        <f>IF('Frame Sections'!A111=0,"",'Frame Sections'!A111)</f>
        <v/>
      </c>
      <c r="B111" s="18" t="str">
        <f t="shared" si="1"/>
        <v/>
      </c>
    </row>
    <row r="112" spans="1:2" x14ac:dyDescent="0.2">
      <c r="A112" s="18" t="str">
        <f>IF('Frame Sections'!A112=0,"",'Frame Sections'!A112)</f>
        <v/>
      </c>
      <c r="B112" s="18" t="str">
        <f t="shared" si="1"/>
        <v/>
      </c>
    </row>
    <row r="113" spans="1:2" x14ac:dyDescent="0.2">
      <c r="A113" s="18" t="str">
        <f>IF('Frame Sections'!A113=0,"",'Frame Sections'!A113)</f>
        <v/>
      </c>
      <c r="B113" s="18" t="str">
        <f t="shared" si="1"/>
        <v/>
      </c>
    </row>
    <row r="114" spans="1:2" x14ac:dyDescent="0.2">
      <c r="A114" s="18" t="str">
        <f>IF('Frame Sections'!A114=0,"",'Frame Sections'!A114)</f>
        <v/>
      </c>
      <c r="B114" s="18" t="str">
        <f t="shared" si="1"/>
        <v/>
      </c>
    </row>
    <row r="115" spans="1:2" x14ac:dyDescent="0.2">
      <c r="A115" s="18" t="str">
        <f>IF('Frame Sections'!A115=0,"",'Frame Sections'!A115)</f>
        <v/>
      </c>
      <c r="B115" s="18" t="str">
        <f t="shared" si="1"/>
        <v/>
      </c>
    </row>
    <row r="116" spans="1:2" x14ac:dyDescent="0.2">
      <c r="A116" s="18" t="str">
        <f>IF('Frame Sections'!A116=0,"",'Frame Sections'!A116)</f>
        <v/>
      </c>
      <c r="B116" s="18" t="str">
        <f t="shared" si="1"/>
        <v/>
      </c>
    </row>
    <row r="117" spans="1:2" x14ac:dyDescent="0.2">
      <c r="A117" s="18" t="str">
        <f>IF('Frame Sections'!A117=0,"",'Frame Sections'!A117)</f>
        <v/>
      </c>
      <c r="B117" s="18" t="str">
        <f t="shared" si="1"/>
        <v/>
      </c>
    </row>
    <row r="118" spans="1:2" x14ac:dyDescent="0.2">
      <c r="A118" s="18" t="str">
        <f>IF('Frame Sections'!A118=0,"",'Frame Sections'!A118)</f>
        <v/>
      </c>
      <c r="B118" s="18" t="str">
        <f t="shared" si="1"/>
        <v/>
      </c>
    </row>
    <row r="119" spans="1:2" x14ac:dyDescent="0.2">
      <c r="A119" s="18" t="str">
        <f>IF('Frame Sections'!A119=0,"",'Frame Sections'!A119)</f>
        <v/>
      </c>
      <c r="B119" s="18" t="str">
        <f t="shared" si="1"/>
        <v/>
      </c>
    </row>
    <row r="120" spans="1:2" x14ac:dyDescent="0.2">
      <c r="A120" s="18" t="str">
        <f>IF('Frame Sections'!A120=0,"",'Frame Sections'!A120)</f>
        <v/>
      </c>
      <c r="B120" s="18" t="str">
        <f t="shared" si="1"/>
        <v/>
      </c>
    </row>
    <row r="121" spans="1:2" x14ac:dyDescent="0.2">
      <c r="A121" s="18" t="str">
        <f>IF('Frame Sections'!A121=0,"",'Frame Sections'!A121)</f>
        <v/>
      </c>
      <c r="B121" s="18" t="str">
        <f t="shared" si="1"/>
        <v/>
      </c>
    </row>
    <row r="122" spans="1:2" x14ac:dyDescent="0.2">
      <c r="A122" s="18" t="str">
        <f>IF('Frame Sections'!A122=0,"",'Frame Sections'!A122)</f>
        <v/>
      </c>
      <c r="B122" s="18" t="str">
        <f t="shared" si="1"/>
        <v/>
      </c>
    </row>
    <row r="123" spans="1:2" x14ac:dyDescent="0.2">
      <c r="A123" s="18" t="str">
        <f>IF('Frame Sections'!A123=0,"",'Frame Sections'!A123)</f>
        <v/>
      </c>
      <c r="B123" s="18" t="str">
        <f t="shared" si="1"/>
        <v/>
      </c>
    </row>
    <row r="124" spans="1:2" x14ac:dyDescent="0.2">
      <c r="A124" s="18" t="str">
        <f>IF('Frame Sections'!A124=0,"",'Frame Sections'!A124)</f>
        <v/>
      </c>
      <c r="B124" s="18" t="str">
        <f t="shared" si="1"/>
        <v/>
      </c>
    </row>
    <row r="125" spans="1:2" x14ac:dyDescent="0.2">
      <c r="A125" s="18" t="str">
        <f>IF('Frame Sections'!A125=0,"",'Frame Sections'!A125)</f>
        <v/>
      </c>
      <c r="B125" s="18" t="str">
        <f t="shared" si="1"/>
        <v/>
      </c>
    </row>
    <row r="126" spans="1:2" x14ac:dyDescent="0.2">
      <c r="A126" s="18" t="str">
        <f>IF('Frame Sections'!A126=0,"",'Frame Sections'!A126)</f>
        <v/>
      </c>
      <c r="B126" s="18" t="str">
        <f t="shared" si="1"/>
        <v/>
      </c>
    </row>
    <row r="127" spans="1:2" x14ac:dyDescent="0.2">
      <c r="A127" s="18" t="str">
        <f>IF('Frame Sections'!A127=0,"",'Frame Sections'!A127)</f>
        <v/>
      </c>
      <c r="B127" s="18" t="str">
        <f t="shared" si="1"/>
        <v/>
      </c>
    </row>
    <row r="128" spans="1:2" x14ac:dyDescent="0.2">
      <c r="A128" s="18" t="str">
        <f>IF('Frame Sections'!A128=0,"",'Frame Sections'!A128)</f>
        <v/>
      </c>
      <c r="B128" s="18" t="str">
        <f t="shared" si="1"/>
        <v/>
      </c>
    </row>
    <row r="129" spans="1:2" x14ac:dyDescent="0.2">
      <c r="A129" s="18" t="str">
        <f>IF('Frame Sections'!A129=0,"",'Frame Sections'!A129)</f>
        <v/>
      </c>
      <c r="B129" s="18" t="str">
        <f t="shared" si="1"/>
        <v/>
      </c>
    </row>
    <row r="130" spans="1:2" x14ac:dyDescent="0.2">
      <c r="A130" s="18" t="str">
        <f>IF('Frame Sections'!A130=0,"",'Frame Sections'!A130)</f>
        <v/>
      </c>
      <c r="B130" s="18" t="str">
        <f t="shared" ref="B130:B193" si="2">IF(OR(A130=0,A130=""),"",VLOOKUP(A130,SecDB,5,FALSE))</f>
        <v/>
      </c>
    </row>
    <row r="131" spans="1:2" x14ac:dyDescent="0.2">
      <c r="A131" s="18" t="str">
        <f>IF('Frame Sections'!A131=0,"",'Frame Sections'!A131)</f>
        <v/>
      </c>
      <c r="B131" s="18" t="str">
        <f t="shared" si="2"/>
        <v/>
      </c>
    </row>
    <row r="132" spans="1:2" x14ac:dyDescent="0.2">
      <c r="A132" s="18" t="str">
        <f>IF('Frame Sections'!A132=0,"",'Frame Sections'!A132)</f>
        <v/>
      </c>
      <c r="B132" s="18" t="str">
        <f t="shared" si="2"/>
        <v/>
      </c>
    </row>
    <row r="133" spans="1:2" x14ac:dyDescent="0.2">
      <c r="A133" s="18" t="str">
        <f>IF('Frame Sections'!A133=0,"",'Frame Sections'!A133)</f>
        <v/>
      </c>
      <c r="B133" s="18" t="str">
        <f t="shared" si="2"/>
        <v/>
      </c>
    </row>
    <row r="134" spans="1:2" x14ac:dyDescent="0.2">
      <c r="A134" s="18" t="str">
        <f>IF('Frame Sections'!A134=0,"",'Frame Sections'!A134)</f>
        <v/>
      </c>
      <c r="B134" s="18" t="str">
        <f t="shared" si="2"/>
        <v/>
      </c>
    </row>
    <row r="135" spans="1:2" x14ac:dyDescent="0.2">
      <c r="A135" s="18" t="str">
        <f>IF('Frame Sections'!A135=0,"",'Frame Sections'!A135)</f>
        <v/>
      </c>
      <c r="B135" s="18" t="str">
        <f t="shared" si="2"/>
        <v/>
      </c>
    </row>
    <row r="136" spans="1:2" x14ac:dyDescent="0.2">
      <c r="A136" s="18" t="str">
        <f>IF('Frame Sections'!A136=0,"",'Frame Sections'!A136)</f>
        <v/>
      </c>
      <c r="B136" s="18" t="str">
        <f t="shared" si="2"/>
        <v/>
      </c>
    </row>
    <row r="137" spans="1:2" x14ac:dyDescent="0.2">
      <c r="A137" s="18" t="str">
        <f>IF('Frame Sections'!A137=0,"",'Frame Sections'!A137)</f>
        <v/>
      </c>
      <c r="B137" s="18" t="str">
        <f t="shared" si="2"/>
        <v/>
      </c>
    </row>
    <row r="138" spans="1:2" x14ac:dyDescent="0.2">
      <c r="A138" s="18" t="str">
        <f>IF('Frame Sections'!A138=0,"",'Frame Sections'!A138)</f>
        <v/>
      </c>
      <c r="B138" s="18" t="str">
        <f t="shared" si="2"/>
        <v/>
      </c>
    </row>
    <row r="139" spans="1:2" x14ac:dyDescent="0.2">
      <c r="A139" s="18" t="str">
        <f>IF('Frame Sections'!A139=0,"",'Frame Sections'!A139)</f>
        <v/>
      </c>
      <c r="B139" s="18" t="str">
        <f t="shared" si="2"/>
        <v/>
      </c>
    </row>
    <row r="140" spans="1:2" x14ac:dyDescent="0.2">
      <c r="A140" s="18" t="str">
        <f>IF('Frame Sections'!A140=0,"",'Frame Sections'!A140)</f>
        <v/>
      </c>
      <c r="B140" s="18" t="str">
        <f t="shared" si="2"/>
        <v/>
      </c>
    </row>
    <row r="141" spans="1:2" x14ac:dyDescent="0.2">
      <c r="A141" s="18" t="str">
        <f>IF('Frame Sections'!A141=0,"",'Frame Sections'!A141)</f>
        <v/>
      </c>
      <c r="B141" s="18" t="str">
        <f t="shared" si="2"/>
        <v/>
      </c>
    </row>
    <row r="142" spans="1:2" x14ac:dyDescent="0.2">
      <c r="A142" s="18" t="str">
        <f>IF('Frame Sections'!A142=0,"",'Frame Sections'!A142)</f>
        <v/>
      </c>
      <c r="B142" s="18" t="str">
        <f t="shared" si="2"/>
        <v/>
      </c>
    </row>
    <row r="143" spans="1:2" x14ac:dyDescent="0.2">
      <c r="A143" s="18" t="str">
        <f>IF('Frame Sections'!A143=0,"",'Frame Sections'!A143)</f>
        <v/>
      </c>
      <c r="B143" s="18" t="str">
        <f t="shared" si="2"/>
        <v/>
      </c>
    </row>
    <row r="144" spans="1:2" x14ac:dyDescent="0.2">
      <c r="A144" s="18" t="str">
        <f>IF('Frame Sections'!A144=0,"",'Frame Sections'!A144)</f>
        <v/>
      </c>
      <c r="B144" s="18" t="str">
        <f t="shared" si="2"/>
        <v/>
      </c>
    </row>
    <row r="145" spans="1:2" x14ac:dyDescent="0.2">
      <c r="A145" s="18" t="str">
        <f>IF('Frame Sections'!A145=0,"",'Frame Sections'!A145)</f>
        <v/>
      </c>
      <c r="B145" s="18" t="str">
        <f t="shared" si="2"/>
        <v/>
      </c>
    </row>
    <row r="146" spans="1:2" x14ac:dyDescent="0.2">
      <c r="A146" s="18" t="str">
        <f>IF('Frame Sections'!A146=0,"",'Frame Sections'!A146)</f>
        <v/>
      </c>
      <c r="B146" s="18" t="str">
        <f t="shared" si="2"/>
        <v/>
      </c>
    </row>
    <row r="147" spans="1:2" x14ac:dyDescent="0.2">
      <c r="A147" s="18" t="str">
        <f>IF('Frame Sections'!A147=0,"",'Frame Sections'!A147)</f>
        <v/>
      </c>
      <c r="B147" s="18" t="str">
        <f t="shared" si="2"/>
        <v/>
      </c>
    </row>
    <row r="148" spans="1:2" x14ac:dyDescent="0.2">
      <c r="A148" s="18" t="str">
        <f>IF('Frame Sections'!A148=0,"",'Frame Sections'!A148)</f>
        <v/>
      </c>
      <c r="B148" s="18" t="str">
        <f t="shared" si="2"/>
        <v/>
      </c>
    </row>
    <row r="149" spans="1:2" x14ac:dyDescent="0.2">
      <c r="A149" s="18" t="str">
        <f>IF('Frame Sections'!A149=0,"",'Frame Sections'!A149)</f>
        <v/>
      </c>
      <c r="B149" s="18" t="str">
        <f t="shared" si="2"/>
        <v/>
      </c>
    </row>
    <row r="150" spans="1:2" x14ac:dyDescent="0.2">
      <c r="A150" s="18" t="str">
        <f>IF('Frame Sections'!A150=0,"",'Frame Sections'!A150)</f>
        <v/>
      </c>
      <c r="B150" s="18" t="str">
        <f t="shared" si="2"/>
        <v/>
      </c>
    </row>
    <row r="151" spans="1:2" x14ac:dyDescent="0.2">
      <c r="A151" s="18" t="str">
        <f>IF('Frame Sections'!A151=0,"",'Frame Sections'!A151)</f>
        <v/>
      </c>
      <c r="B151" s="18" t="str">
        <f t="shared" si="2"/>
        <v/>
      </c>
    </row>
    <row r="152" spans="1:2" x14ac:dyDescent="0.2">
      <c r="A152" s="18" t="str">
        <f>IF('Frame Sections'!A152=0,"",'Frame Sections'!A152)</f>
        <v/>
      </c>
      <c r="B152" s="18" t="str">
        <f t="shared" si="2"/>
        <v/>
      </c>
    </row>
    <row r="153" spans="1:2" x14ac:dyDescent="0.2">
      <c r="A153" s="18" t="str">
        <f>IF('Frame Sections'!A153=0,"",'Frame Sections'!A153)</f>
        <v/>
      </c>
      <c r="B153" s="18" t="str">
        <f t="shared" si="2"/>
        <v/>
      </c>
    </row>
    <row r="154" spans="1:2" x14ac:dyDescent="0.2">
      <c r="A154" s="18" t="str">
        <f>IF('Frame Sections'!A154=0,"",'Frame Sections'!A154)</f>
        <v/>
      </c>
      <c r="B154" s="18" t="str">
        <f t="shared" si="2"/>
        <v/>
      </c>
    </row>
    <row r="155" spans="1:2" x14ac:dyDescent="0.2">
      <c r="A155" s="18" t="str">
        <f>IF('Frame Sections'!A155=0,"",'Frame Sections'!A155)</f>
        <v/>
      </c>
      <c r="B155" s="18" t="str">
        <f t="shared" si="2"/>
        <v/>
      </c>
    </row>
    <row r="156" spans="1:2" x14ac:dyDescent="0.2">
      <c r="A156" s="18" t="str">
        <f>IF('Frame Sections'!A156=0,"",'Frame Sections'!A156)</f>
        <v/>
      </c>
      <c r="B156" s="18" t="str">
        <f t="shared" si="2"/>
        <v/>
      </c>
    </row>
    <row r="157" spans="1:2" x14ac:dyDescent="0.2">
      <c r="A157" s="18" t="str">
        <f>IF('Frame Sections'!A157=0,"",'Frame Sections'!A157)</f>
        <v/>
      </c>
      <c r="B157" s="18" t="str">
        <f t="shared" si="2"/>
        <v/>
      </c>
    </row>
    <row r="158" spans="1:2" x14ac:dyDescent="0.2">
      <c r="A158" s="18" t="str">
        <f>IF('Frame Sections'!A158=0,"",'Frame Sections'!A158)</f>
        <v/>
      </c>
      <c r="B158" s="18" t="str">
        <f t="shared" si="2"/>
        <v/>
      </c>
    </row>
    <row r="159" spans="1:2" x14ac:dyDescent="0.2">
      <c r="A159" s="18" t="str">
        <f>IF('Frame Sections'!A159=0,"",'Frame Sections'!A159)</f>
        <v/>
      </c>
      <c r="B159" s="18" t="str">
        <f t="shared" si="2"/>
        <v/>
      </c>
    </row>
    <row r="160" spans="1:2" x14ac:dyDescent="0.2">
      <c r="A160" s="18" t="str">
        <f>IF('Frame Sections'!A160=0,"",'Frame Sections'!A160)</f>
        <v/>
      </c>
      <c r="B160" s="18" t="str">
        <f t="shared" si="2"/>
        <v/>
      </c>
    </row>
    <row r="161" spans="1:2" x14ac:dyDescent="0.2">
      <c r="A161" s="18" t="str">
        <f>IF('Frame Sections'!A161=0,"",'Frame Sections'!A161)</f>
        <v/>
      </c>
      <c r="B161" s="18" t="str">
        <f t="shared" si="2"/>
        <v/>
      </c>
    </row>
    <row r="162" spans="1:2" x14ac:dyDescent="0.2">
      <c r="A162" s="18" t="str">
        <f>IF('Frame Sections'!A162=0,"",'Frame Sections'!A162)</f>
        <v/>
      </c>
      <c r="B162" s="18" t="str">
        <f t="shared" si="2"/>
        <v/>
      </c>
    </row>
    <row r="163" spans="1:2" x14ac:dyDescent="0.2">
      <c r="A163" s="18" t="str">
        <f>IF('Frame Sections'!A163=0,"",'Frame Sections'!A163)</f>
        <v/>
      </c>
      <c r="B163" s="18" t="str">
        <f t="shared" si="2"/>
        <v/>
      </c>
    </row>
    <row r="164" spans="1:2" x14ac:dyDescent="0.2">
      <c r="A164" s="18" t="str">
        <f>IF('Frame Sections'!A164=0,"",'Frame Sections'!A164)</f>
        <v/>
      </c>
      <c r="B164" s="18" t="str">
        <f t="shared" si="2"/>
        <v/>
      </c>
    </row>
    <row r="165" spans="1:2" x14ac:dyDescent="0.2">
      <c r="A165" s="18" t="str">
        <f>IF('Frame Sections'!A165=0,"",'Frame Sections'!A165)</f>
        <v/>
      </c>
      <c r="B165" s="18" t="str">
        <f t="shared" si="2"/>
        <v/>
      </c>
    </row>
    <row r="166" spans="1:2" x14ac:dyDescent="0.2">
      <c r="A166" s="18" t="str">
        <f>IF('Frame Sections'!A166=0,"",'Frame Sections'!A166)</f>
        <v/>
      </c>
      <c r="B166" s="18" t="str">
        <f t="shared" si="2"/>
        <v/>
      </c>
    </row>
    <row r="167" spans="1:2" x14ac:dyDescent="0.2">
      <c r="A167" s="18" t="str">
        <f>IF('Frame Sections'!A167=0,"",'Frame Sections'!A167)</f>
        <v/>
      </c>
      <c r="B167" s="18" t="str">
        <f t="shared" si="2"/>
        <v/>
      </c>
    </row>
    <row r="168" spans="1:2" x14ac:dyDescent="0.2">
      <c r="A168" s="18" t="str">
        <f>IF('Frame Sections'!A168=0,"",'Frame Sections'!A168)</f>
        <v/>
      </c>
      <c r="B168" s="18" t="str">
        <f t="shared" si="2"/>
        <v/>
      </c>
    </row>
    <row r="169" spans="1:2" x14ac:dyDescent="0.2">
      <c r="A169" s="18" t="str">
        <f>IF('Frame Sections'!A169=0,"",'Frame Sections'!A169)</f>
        <v/>
      </c>
      <c r="B169" s="18" t="str">
        <f t="shared" si="2"/>
        <v/>
      </c>
    </row>
    <row r="170" spans="1:2" x14ac:dyDescent="0.2">
      <c r="A170" s="18" t="str">
        <f>IF('Frame Sections'!A170=0,"",'Frame Sections'!A170)</f>
        <v/>
      </c>
      <c r="B170" s="18" t="str">
        <f t="shared" si="2"/>
        <v/>
      </c>
    </row>
    <row r="171" spans="1:2" x14ac:dyDescent="0.2">
      <c r="A171" s="18" t="str">
        <f>IF('Frame Sections'!A171=0,"",'Frame Sections'!A171)</f>
        <v/>
      </c>
      <c r="B171" s="18" t="str">
        <f t="shared" si="2"/>
        <v/>
      </c>
    </row>
    <row r="172" spans="1:2" x14ac:dyDescent="0.2">
      <c r="A172" s="18" t="str">
        <f>IF('Frame Sections'!A172=0,"",'Frame Sections'!A172)</f>
        <v/>
      </c>
      <c r="B172" s="18" t="str">
        <f t="shared" si="2"/>
        <v/>
      </c>
    </row>
    <row r="173" spans="1:2" x14ac:dyDescent="0.2">
      <c r="A173" s="18" t="str">
        <f>IF('Frame Sections'!A173=0,"",'Frame Sections'!A173)</f>
        <v/>
      </c>
      <c r="B173" s="18" t="str">
        <f t="shared" si="2"/>
        <v/>
      </c>
    </row>
    <row r="174" spans="1:2" x14ac:dyDescent="0.2">
      <c r="A174" s="18" t="str">
        <f>IF('Frame Sections'!A174=0,"",'Frame Sections'!A174)</f>
        <v/>
      </c>
      <c r="B174" s="18" t="str">
        <f t="shared" si="2"/>
        <v/>
      </c>
    </row>
    <row r="175" spans="1:2" x14ac:dyDescent="0.2">
      <c r="A175" s="18" t="str">
        <f>IF('Frame Sections'!A175=0,"",'Frame Sections'!A175)</f>
        <v/>
      </c>
      <c r="B175" s="18" t="str">
        <f t="shared" si="2"/>
        <v/>
      </c>
    </row>
    <row r="176" spans="1:2" x14ac:dyDescent="0.2">
      <c r="A176" s="18" t="str">
        <f>IF('Frame Sections'!A176=0,"",'Frame Sections'!A176)</f>
        <v/>
      </c>
      <c r="B176" s="18" t="str">
        <f t="shared" si="2"/>
        <v/>
      </c>
    </row>
    <row r="177" spans="1:2" x14ac:dyDescent="0.2">
      <c r="A177" s="18" t="str">
        <f>IF('Frame Sections'!A177=0,"",'Frame Sections'!A177)</f>
        <v/>
      </c>
      <c r="B177" s="18" t="str">
        <f t="shared" si="2"/>
        <v/>
      </c>
    </row>
    <row r="178" spans="1:2" x14ac:dyDescent="0.2">
      <c r="A178" s="18" t="str">
        <f>IF('Frame Sections'!A178=0,"",'Frame Sections'!A178)</f>
        <v/>
      </c>
      <c r="B178" s="18" t="str">
        <f t="shared" si="2"/>
        <v/>
      </c>
    </row>
    <row r="179" spans="1:2" x14ac:dyDescent="0.2">
      <c r="A179" s="18" t="str">
        <f>IF('Frame Sections'!A179=0,"",'Frame Sections'!A179)</f>
        <v/>
      </c>
      <c r="B179" s="18" t="str">
        <f t="shared" si="2"/>
        <v/>
      </c>
    </row>
    <row r="180" spans="1:2" x14ac:dyDescent="0.2">
      <c r="A180" s="18" t="str">
        <f>IF('Frame Sections'!A180=0,"",'Frame Sections'!A180)</f>
        <v/>
      </c>
      <c r="B180" s="18" t="str">
        <f t="shared" si="2"/>
        <v/>
      </c>
    </row>
    <row r="181" spans="1:2" x14ac:dyDescent="0.2">
      <c r="A181" s="18" t="str">
        <f>IF('Frame Sections'!A181=0,"",'Frame Sections'!A181)</f>
        <v/>
      </c>
      <c r="B181" s="18" t="str">
        <f t="shared" si="2"/>
        <v/>
      </c>
    </row>
    <row r="182" spans="1:2" x14ac:dyDescent="0.2">
      <c r="A182" s="18" t="str">
        <f>IF('Frame Sections'!A182=0,"",'Frame Sections'!A182)</f>
        <v/>
      </c>
      <c r="B182" s="18" t="str">
        <f t="shared" si="2"/>
        <v/>
      </c>
    </row>
    <row r="183" spans="1:2" x14ac:dyDescent="0.2">
      <c r="A183" s="18" t="str">
        <f>IF('Frame Sections'!A183=0,"",'Frame Sections'!A183)</f>
        <v/>
      </c>
      <c r="B183" s="18" t="str">
        <f t="shared" si="2"/>
        <v/>
      </c>
    </row>
    <row r="184" spans="1:2" x14ac:dyDescent="0.2">
      <c r="A184" s="18" t="str">
        <f>IF('Frame Sections'!A184=0,"",'Frame Sections'!A184)</f>
        <v/>
      </c>
      <c r="B184" s="18" t="str">
        <f t="shared" si="2"/>
        <v/>
      </c>
    </row>
    <row r="185" spans="1:2" x14ac:dyDescent="0.2">
      <c r="A185" s="18" t="str">
        <f>IF('Frame Sections'!A185=0,"",'Frame Sections'!A185)</f>
        <v/>
      </c>
      <c r="B185" s="18" t="str">
        <f t="shared" si="2"/>
        <v/>
      </c>
    </row>
    <row r="186" spans="1:2" x14ac:dyDescent="0.2">
      <c r="A186" s="18" t="str">
        <f>IF('Frame Sections'!A186=0,"",'Frame Sections'!A186)</f>
        <v/>
      </c>
      <c r="B186" s="18" t="str">
        <f t="shared" si="2"/>
        <v/>
      </c>
    </row>
    <row r="187" spans="1:2" x14ac:dyDescent="0.2">
      <c r="A187" s="18" t="str">
        <f>IF('Frame Sections'!A187=0,"",'Frame Sections'!A187)</f>
        <v/>
      </c>
      <c r="B187" s="18" t="str">
        <f t="shared" si="2"/>
        <v/>
      </c>
    </row>
    <row r="188" spans="1:2" x14ac:dyDescent="0.2">
      <c r="A188" s="18" t="str">
        <f>IF('Frame Sections'!A188=0,"",'Frame Sections'!A188)</f>
        <v/>
      </c>
      <c r="B188" s="18" t="str">
        <f t="shared" si="2"/>
        <v/>
      </c>
    </row>
    <row r="189" spans="1:2" x14ac:dyDescent="0.2">
      <c r="A189" s="18" t="str">
        <f>IF('Frame Sections'!A189=0,"",'Frame Sections'!A189)</f>
        <v/>
      </c>
      <c r="B189" s="18" t="str">
        <f t="shared" si="2"/>
        <v/>
      </c>
    </row>
    <row r="190" spans="1:2" x14ac:dyDescent="0.2">
      <c r="A190" s="18" t="str">
        <f>IF('Frame Sections'!A190=0,"",'Frame Sections'!A190)</f>
        <v/>
      </c>
      <c r="B190" s="18" t="str">
        <f t="shared" si="2"/>
        <v/>
      </c>
    </row>
    <row r="191" spans="1:2" x14ac:dyDescent="0.2">
      <c r="A191" s="18" t="str">
        <f>IF('Frame Sections'!A191=0,"",'Frame Sections'!A191)</f>
        <v/>
      </c>
      <c r="B191" s="18" t="str">
        <f t="shared" si="2"/>
        <v/>
      </c>
    </row>
    <row r="192" spans="1:2" x14ac:dyDescent="0.2">
      <c r="A192" s="18" t="str">
        <f>IF('Frame Sections'!A192=0,"",'Frame Sections'!A192)</f>
        <v/>
      </c>
      <c r="B192" s="18" t="str">
        <f t="shared" si="2"/>
        <v/>
      </c>
    </row>
    <row r="193" spans="1:2" x14ac:dyDescent="0.2">
      <c r="A193" s="18" t="str">
        <f>IF('Frame Sections'!A193=0,"",'Frame Sections'!A193)</f>
        <v/>
      </c>
      <c r="B193" s="18" t="str">
        <f t="shared" si="2"/>
        <v/>
      </c>
    </row>
    <row r="194" spans="1:2" x14ac:dyDescent="0.2">
      <c r="A194" s="18" t="str">
        <f>IF('Frame Sections'!A194=0,"",'Frame Sections'!A194)</f>
        <v/>
      </c>
      <c r="B194" s="18" t="str">
        <f t="shared" ref="B194:B257" si="3">IF(OR(A194=0,A194=""),"",VLOOKUP(A194,SecDB,5,FALSE))</f>
        <v/>
      </c>
    </row>
    <row r="195" spans="1:2" x14ac:dyDescent="0.2">
      <c r="A195" s="18" t="str">
        <f>IF('Frame Sections'!A195=0,"",'Frame Sections'!A195)</f>
        <v/>
      </c>
      <c r="B195" s="18" t="str">
        <f t="shared" si="3"/>
        <v/>
      </c>
    </row>
    <row r="196" spans="1:2" x14ac:dyDescent="0.2">
      <c r="A196" s="18" t="str">
        <f>IF('Frame Sections'!A196=0,"",'Frame Sections'!A196)</f>
        <v/>
      </c>
      <c r="B196" s="18" t="str">
        <f t="shared" si="3"/>
        <v/>
      </c>
    </row>
    <row r="197" spans="1:2" x14ac:dyDescent="0.2">
      <c r="A197" s="18" t="str">
        <f>IF('Frame Sections'!A197=0,"",'Frame Sections'!A197)</f>
        <v/>
      </c>
      <c r="B197" s="18" t="str">
        <f t="shared" si="3"/>
        <v/>
      </c>
    </row>
    <row r="198" spans="1:2" x14ac:dyDescent="0.2">
      <c r="A198" s="18" t="str">
        <f>IF('Frame Sections'!A198=0,"",'Frame Sections'!A198)</f>
        <v/>
      </c>
      <c r="B198" s="18" t="str">
        <f t="shared" si="3"/>
        <v/>
      </c>
    </row>
    <row r="199" spans="1:2" x14ac:dyDescent="0.2">
      <c r="A199" s="18" t="str">
        <f>IF('Frame Sections'!A199=0,"",'Frame Sections'!A199)</f>
        <v/>
      </c>
      <c r="B199" s="18" t="str">
        <f t="shared" si="3"/>
        <v/>
      </c>
    </row>
    <row r="200" spans="1:2" x14ac:dyDescent="0.2">
      <c r="A200" s="18" t="str">
        <f>IF('Frame Sections'!A200=0,"",'Frame Sections'!A200)</f>
        <v/>
      </c>
      <c r="B200" s="18" t="str">
        <f t="shared" si="3"/>
        <v/>
      </c>
    </row>
    <row r="201" spans="1:2" x14ac:dyDescent="0.2">
      <c r="A201" s="18" t="str">
        <f>IF('Frame Sections'!A201=0,"",'Frame Sections'!A201)</f>
        <v/>
      </c>
      <c r="B201" s="18" t="str">
        <f t="shared" si="3"/>
        <v/>
      </c>
    </row>
    <row r="202" spans="1:2" x14ac:dyDescent="0.2">
      <c r="A202" s="18" t="str">
        <f>IF('Frame Sections'!A202=0,"",'Frame Sections'!A202)</f>
        <v/>
      </c>
      <c r="B202" s="18" t="str">
        <f t="shared" si="3"/>
        <v/>
      </c>
    </row>
    <row r="203" spans="1:2" x14ac:dyDescent="0.2">
      <c r="A203" s="18" t="str">
        <f>IF('Frame Sections'!A203=0,"",'Frame Sections'!A203)</f>
        <v/>
      </c>
      <c r="B203" s="18" t="str">
        <f t="shared" si="3"/>
        <v/>
      </c>
    </row>
    <row r="204" spans="1:2" x14ac:dyDescent="0.2">
      <c r="A204" s="18" t="str">
        <f>IF('Frame Sections'!A204=0,"",'Frame Sections'!A204)</f>
        <v/>
      </c>
      <c r="B204" s="18" t="str">
        <f t="shared" si="3"/>
        <v/>
      </c>
    </row>
    <row r="205" spans="1:2" x14ac:dyDescent="0.2">
      <c r="A205" s="18" t="str">
        <f>IF('Frame Sections'!A205=0,"",'Frame Sections'!A205)</f>
        <v/>
      </c>
      <c r="B205" s="18" t="str">
        <f t="shared" si="3"/>
        <v/>
      </c>
    </row>
    <row r="206" spans="1:2" x14ac:dyDescent="0.2">
      <c r="A206" s="18" t="str">
        <f>IF('Frame Sections'!A206=0,"",'Frame Sections'!A206)</f>
        <v/>
      </c>
      <c r="B206" s="18" t="str">
        <f t="shared" si="3"/>
        <v/>
      </c>
    </row>
    <row r="207" spans="1:2" x14ac:dyDescent="0.2">
      <c r="A207" s="18" t="str">
        <f>IF('Frame Sections'!A207=0,"",'Frame Sections'!A207)</f>
        <v/>
      </c>
      <c r="B207" s="18" t="str">
        <f t="shared" si="3"/>
        <v/>
      </c>
    </row>
    <row r="208" spans="1:2" x14ac:dyDescent="0.2">
      <c r="A208" s="18" t="str">
        <f>IF('Frame Sections'!A208=0,"",'Frame Sections'!A208)</f>
        <v/>
      </c>
      <c r="B208" s="18" t="str">
        <f t="shared" si="3"/>
        <v/>
      </c>
    </row>
    <row r="209" spans="1:2" x14ac:dyDescent="0.2">
      <c r="A209" s="18" t="str">
        <f>IF('Frame Sections'!A209=0,"",'Frame Sections'!A209)</f>
        <v/>
      </c>
      <c r="B209" s="18" t="str">
        <f t="shared" si="3"/>
        <v/>
      </c>
    </row>
    <row r="210" spans="1:2" x14ac:dyDescent="0.2">
      <c r="A210" s="18" t="str">
        <f>IF('Frame Sections'!A210=0,"",'Frame Sections'!A210)</f>
        <v/>
      </c>
      <c r="B210" s="18" t="str">
        <f t="shared" si="3"/>
        <v/>
      </c>
    </row>
    <row r="211" spans="1:2" x14ac:dyDescent="0.2">
      <c r="A211" s="18" t="str">
        <f>IF('Frame Sections'!A211=0,"",'Frame Sections'!A211)</f>
        <v/>
      </c>
      <c r="B211" s="18" t="str">
        <f t="shared" si="3"/>
        <v/>
      </c>
    </row>
    <row r="212" spans="1:2" x14ac:dyDescent="0.2">
      <c r="A212" s="18" t="str">
        <f>IF('Frame Sections'!A212=0,"",'Frame Sections'!A212)</f>
        <v/>
      </c>
      <c r="B212" s="18" t="str">
        <f t="shared" si="3"/>
        <v/>
      </c>
    </row>
    <row r="213" spans="1:2" x14ac:dyDescent="0.2">
      <c r="A213" s="18" t="str">
        <f>IF('Frame Sections'!A213=0,"",'Frame Sections'!A213)</f>
        <v/>
      </c>
      <c r="B213" s="18" t="str">
        <f t="shared" si="3"/>
        <v/>
      </c>
    </row>
    <row r="214" spans="1:2" x14ac:dyDescent="0.2">
      <c r="A214" s="18" t="str">
        <f>IF('Frame Sections'!A214=0,"",'Frame Sections'!A214)</f>
        <v/>
      </c>
      <c r="B214" s="18" t="str">
        <f t="shared" si="3"/>
        <v/>
      </c>
    </row>
    <row r="215" spans="1:2" x14ac:dyDescent="0.2">
      <c r="A215" s="18" t="str">
        <f>IF('Frame Sections'!A215=0,"",'Frame Sections'!A215)</f>
        <v/>
      </c>
      <c r="B215" s="18" t="str">
        <f t="shared" si="3"/>
        <v/>
      </c>
    </row>
    <row r="216" spans="1:2" x14ac:dyDescent="0.2">
      <c r="A216" s="18" t="str">
        <f>IF('Frame Sections'!A216=0,"",'Frame Sections'!A216)</f>
        <v/>
      </c>
      <c r="B216" s="18" t="str">
        <f t="shared" si="3"/>
        <v/>
      </c>
    </row>
    <row r="217" spans="1:2" x14ac:dyDescent="0.2">
      <c r="A217" s="18" t="str">
        <f>IF('Frame Sections'!A217=0,"",'Frame Sections'!A217)</f>
        <v/>
      </c>
      <c r="B217" s="18" t="str">
        <f t="shared" si="3"/>
        <v/>
      </c>
    </row>
    <row r="218" spans="1:2" x14ac:dyDescent="0.2">
      <c r="A218" s="18" t="str">
        <f>IF('Frame Sections'!A218=0,"",'Frame Sections'!A218)</f>
        <v/>
      </c>
      <c r="B218" s="18" t="str">
        <f t="shared" si="3"/>
        <v/>
      </c>
    </row>
    <row r="219" spans="1:2" x14ac:dyDescent="0.2">
      <c r="A219" s="18" t="str">
        <f>IF('Frame Sections'!A219=0,"",'Frame Sections'!A219)</f>
        <v/>
      </c>
      <c r="B219" s="18" t="str">
        <f t="shared" si="3"/>
        <v/>
      </c>
    </row>
    <row r="220" spans="1:2" x14ac:dyDescent="0.2">
      <c r="A220" s="18" t="str">
        <f>IF('Frame Sections'!A220=0,"",'Frame Sections'!A220)</f>
        <v/>
      </c>
      <c r="B220" s="18" t="str">
        <f t="shared" si="3"/>
        <v/>
      </c>
    </row>
    <row r="221" spans="1:2" x14ac:dyDescent="0.2">
      <c r="A221" s="18" t="str">
        <f>IF('Frame Sections'!A221=0,"",'Frame Sections'!A221)</f>
        <v/>
      </c>
      <c r="B221" s="18" t="str">
        <f t="shared" si="3"/>
        <v/>
      </c>
    </row>
    <row r="222" spans="1:2" x14ac:dyDescent="0.2">
      <c r="A222" s="18" t="str">
        <f>IF('Frame Sections'!A222=0,"",'Frame Sections'!A222)</f>
        <v/>
      </c>
      <c r="B222" s="18" t="str">
        <f t="shared" si="3"/>
        <v/>
      </c>
    </row>
    <row r="223" spans="1:2" x14ac:dyDescent="0.2">
      <c r="A223" s="18" t="str">
        <f>IF('Frame Sections'!A223=0,"",'Frame Sections'!A223)</f>
        <v/>
      </c>
      <c r="B223" s="18" t="str">
        <f t="shared" si="3"/>
        <v/>
      </c>
    </row>
    <row r="224" spans="1:2" x14ac:dyDescent="0.2">
      <c r="A224" s="18" t="str">
        <f>IF('Frame Sections'!A224=0,"",'Frame Sections'!A224)</f>
        <v/>
      </c>
      <c r="B224" s="18" t="str">
        <f t="shared" si="3"/>
        <v/>
      </c>
    </row>
    <row r="225" spans="1:2" x14ac:dyDescent="0.2">
      <c r="A225" s="18" t="str">
        <f>IF('Frame Sections'!A225=0,"",'Frame Sections'!A225)</f>
        <v/>
      </c>
      <c r="B225" s="18" t="str">
        <f t="shared" si="3"/>
        <v/>
      </c>
    </row>
    <row r="226" spans="1:2" x14ac:dyDescent="0.2">
      <c r="A226" s="18" t="str">
        <f>IF('Frame Sections'!A226=0,"",'Frame Sections'!A226)</f>
        <v/>
      </c>
      <c r="B226" s="18" t="str">
        <f t="shared" si="3"/>
        <v/>
      </c>
    </row>
    <row r="227" spans="1:2" x14ac:dyDescent="0.2">
      <c r="A227" s="18" t="str">
        <f>IF('Frame Sections'!A227=0,"",'Frame Sections'!A227)</f>
        <v/>
      </c>
      <c r="B227" s="18" t="str">
        <f t="shared" si="3"/>
        <v/>
      </c>
    </row>
    <row r="228" spans="1:2" x14ac:dyDescent="0.2">
      <c r="A228" s="18" t="str">
        <f>IF('Frame Sections'!A228=0,"",'Frame Sections'!A228)</f>
        <v/>
      </c>
      <c r="B228" s="18" t="str">
        <f t="shared" si="3"/>
        <v/>
      </c>
    </row>
    <row r="229" spans="1:2" x14ac:dyDescent="0.2">
      <c r="A229" s="18" t="str">
        <f>IF('Frame Sections'!A229=0,"",'Frame Sections'!A229)</f>
        <v/>
      </c>
      <c r="B229" s="18" t="str">
        <f t="shared" si="3"/>
        <v/>
      </c>
    </row>
    <row r="230" spans="1:2" x14ac:dyDescent="0.2">
      <c r="A230" s="18" t="str">
        <f>IF('Frame Sections'!A230=0,"",'Frame Sections'!A230)</f>
        <v/>
      </c>
      <c r="B230" s="18" t="str">
        <f t="shared" si="3"/>
        <v/>
      </c>
    </row>
    <row r="231" spans="1:2" x14ac:dyDescent="0.2">
      <c r="A231" s="18" t="str">
        <f>IF('Frame Sections'!A231=0,"",'Frame Sections'!A231)</f>
        <v/>
      </c>
      <c r="B231" s="18" t="str">
        <f t="shared" si="3"/>
        <v/>
      </c>
    </row>
    <row r="232" spans="1:2" x14ac:dyDescent="0.2">
      <c r="A232" s="18" t="str">
        <f>IF('Frame Sections'!A232=0,"",'Frame Sections'!A232)</f>
        <v/>
      </c>
      <c r="B232" s="18" t="str">
        <f t="shared" si="3"/>
        <v/>
      </c>
    </row>
    <row r="233" spans="1:2" x14ac:dyDescent="0.2">
      <c r="A233" s="18" t="str">
        <f>IF('Frame Sections'!A233=0,"",'Frame Sections'!A233)</f>
        <v/>
      </c>
      <c r="B233" s="18" t="str">
        <f t="shared" si="3"/>
        <v/>
      </c>
    </row>
    <row r="234" spans="1:2" x14ac:dyDescent="0.2">
      <c r="A234" s="18" t="str">
        <f>IF('Frame Sections'!A234=0,"",'Frame Sections'!A234)</f>
        <v/>
      </c>
      <c r="B234" s="18" t="str">
        <f t="shared" si="3"/>
        <v/>
      </c>
    </row>
    <row r="235" spans="1:2" x14ac:dyDescent="0.2">
      <c r="A235" s="18" t="str">
        <f>IF('Frame Sections'!A235=0,"",'Frame Sections'!A235)</f>
        <v/>
      </c>
      <c r="B235" s="18" t="str">
        <f t="shared" si="3"/>
        <v/>
      </c>
    </row>
    <row r="236" spans="1:2" x14ac:dyDescent="0.2">
      <c r="A236" s="18" t="str">
        <f>IF('Frame Sections'!A236=0,"",'Frame Sections'!A236)</f>
        <v/>
      </c>
      <c r="B236" s="18" t="str">
        <f t="shared" si="3"/>
        <v/>
      </c>
    </row>
    <row r="237" spans="1:2" x14ac:dyDescent="0.2">
      <c r="A237" s="18" t="str">
        <f>IF('Frame Sections'!A237=0,"",'Frame Sections'!A237)</f>
        <v/>
      </c>
      <c r="B237" s="18" t="str">
        <f t="shared" si="3"/>
        <v/>
      </c>
    </row>
    <row r="238" spans="1:2" x14ac:dyDescent="0.2">
      <c r="A238" s="18" t="str">
        <f>IF('Frame Sections'!A238=0,"",'Frame Sections'!A238)</f>
        <v/>
      </c>
      <c r="B238" s="18" t="str">
        <f t="shared" si="3"/>
        <v/>
      </c>
    </row>
    <row r="239" spans="1:2" x14ac:dyDescent="0.2">
      <c r="A239" s="18" t="str">
        <f>IF('Frame Sections'!A239=0,"",'Frame Sections'!A239)</f>
        <v/>
      </c>
      <c r="B239" s="18" t="str">
        <f t="shared" si="3"/>
        <v/>
      </c>
    </row>
    <row r="240" spans="1:2" x14ac:dyDescent="0.2">
      <c r="A240" s="18" t="str">
        <f>IF('Frame Sections'!A240=0,"",'Frame Sections'!A240)</f>
        <v/>
      </c>
      <c r="B240" s="18" t="str">
        <f t="shared" si="3"/>
        <v/>
      </c>
    </row>
    <row r="241" spans="1:2" x14ac:dyDescent="0.2">
      <c r="A241" s="18" t="str">
        <f>IF('Frame Sections'!A241=0,"",'Frame Sections'!A241)</f>
        <v/>
      </c>
      <c r="B241" s="18" t="str">
        <f t="shared" si="3"/>
        <v/>
      </c>
    </row>
    <row r="242" spans="1:2" x14ac:dyDescent="0.2">
      <c r="A242" s="18" t="str">
        <f>IF('Frame Sections'!A242=0,"",'Frame Sections'!A242)</f>
        <v/>
      </c>
      <c r="B242" s="18" t="str">
        <f t="shared" si="3"/>
        <v/>
      </c>
    </row>
    <row r="243" spans="1:2" x14ac:dyDescent="0.2">
      <c r="A243" s="18" t="str">
        <f>IF('Frame Sections'!A243=0,"",'Frame Sections'!A243)</f>
        <v/>
      </c>
      <c r="B243" s="18" t="str">
        <f t="shared" si="3"/>
        <v/>
      </c>
    </row>
    <row r="244" spans="1:2" x14ac:dyDescent="0.2">
      <c r="A244" s="18" t="str">
        <f>IF('Frame Sections'!A244=0,"",'Frame Sections'!A244)</f>
        <v/>
      </c>
      <c r="B244" s="18" t="str">
        <f t="shared" si="3"/>
        <v/>
      </c>
    </row>
    <row r="245" spans="1:2" x14ac:dyDescent="0.2">
      <c r="A245" s="18" t="str">
        <f>IF('Frame Sections'!A245=0,"",'Frame Sections'!A245)</f>
        <v/>
      </c>
      <c r="B245" s="18" t="str">
        <f t="shared" si="3"/>
        <v/>
      </c>
    </row>
    <row r="246" spans="1:2" x14ac:dyDescent="0.2">
      <c r="A246" s="18" t="str">
        <f>IF('Frame Sections'!A246=0,"",'Frame Sections'!A246)</f>
        <v/>
      </c>
      <c r="B246" s="18" t="str">
        <f t="shared" si="3"/>
        <v/>
      </c>
    </row>
    <row r="247" spans="1:2" x14ac:dyDescent="0.2">
      <c r="A247" s="18" t="str">
        <f>IF('Frame Sections'!A247=0,"",'Frame Sections'!A247)</f>
        <v/>
      </c>
      <c r="B247" s="18" t="str">
        <f t="shared" si="3"/>
        <v/>
      </c>
    </row>
    <row r="248" spans="1:2" x14ac:dyDescent="0.2">
      <c r="A248" s="18" t="str">
        <f>IF('Frame Sections'!A248=0,"",'Frame Sections'!A248)</f>
        <v/>
      </c>
      <c r="B248" s="18" t="str">
        <f t="shared" si="3"/>
        <v/>
      </c>
    </row>
    <row r="249" spans="1:2" x14ac:dyDescent="0.2">
      <c r="A249" s="18" t="str">
        <f>IF('Frame Sections'!A249=0,"",'Frame Sections'!A249)</f>
        <v/>
      </c>
      <c r="B249" s="18" t="str">
        <f t="shared" si="3"/>
        <v/>
      </c>
    </row>
    <row r="250" spans="1:2" x14ac:dyDescent="0.2">
      <c r="A250" s="18" t="str">
        <f>IF('Frame Sections'!A250=0,"",'Frame Sections'!A250)</f>
        <v/>
      </c>
      <c r="B250" s="18" t="str">
        <f t="shared" si="3"/>
        <v/>
      </c>
    </row>
    <row r="251" spans="1:2" x14ac:dyDescent="0.2">
      <c r="A251" s="18" t="str">
        <f>IF('Frame Sections'!A251=0,"",'Frame Sections'!A251)</f>
        <v/>
      </c>
      <c r="B251" s="18" t="str">
        <f t="shared" si="3"/>
        <v/>
      </c>
    </row>
    <row r="252" spans="1:2" x14ac:dyDescent="0.2">
      <c r="A252" s="18" t="str">
        <f>IF('Frame Sections'!A252=0,"",'Frame Sections'!A252)</f>
        <v/>
      </c>
      <c r="B252" s="18" t="str">
        <f t="shared" si="3"/>
        <v/>
      </c>
    </row>
    <row r="253" spans="1:2" x14ac:dyDescent="0.2">
      <c r="A253" s="18" t="str">
        <f>IF('Frame Sections'!A253=0,"",'Frame Sections'!A253)</f>
        <v/>
      </c>
      <c r="B253" s="18" t="str">
        <f t="shared" si="3"/>
        <v/>
      </c>
    </row>
    <row r="254" spans="1:2" x14ac:dyDescent="0.2">
      <c r="A254" s="18" t="str">
        <f>IF('Frame Sections'!A254=0,"",'Frame Sections'!A254)</f>
        <v/>
      </c>
      <c r="B254" s="18" t="str">
        <f t="shared" si="3"/>
        <v/>
      </c>
    </row>
    <row r="255" spans="1:2" x14ac:dyDescent="0.2">
      <c r="A255" s="18" t="str">
        <f>IF('Frame Sections'!A255=0,"",'Frame Sections'!A255)</f>
        <v/>
      </c>
      <c r="B255" s="18" t="str">
        <f t="shared" si="3"/>
        <v/>
      </c>
    </row>
    <row r="256" spans="1:2" x14ac:dyDescent="0.2">
      <c r="A256" s="18" t="str">
        <f>IF('Frame Sections'!A256=0,"",'Frame Sections'!A256)</f>
        <v/>
      </c>
      <c r="B256" s="18" t="str">
        <f t="shared" si="3"/>
        <v/>
      </c>
    </row>
    <row r="257" spans="1:2" x14ac:dyDescent="0.2">
      <c r="A257" s="18" t="str">
        <f>IF('Frame Sections'!A257=0,"",'Frame Sections'!A257)</f>
        <v/>
      </c>
      <c r="B257" s="18" t="str">
        <f t="shared" si="3"/>
        <v/>
      </c>
    </row>
    <row r="258" spans="1:2" x14ac:dyDescent="0.2">
      <c r="A258" s="18" t="str">
        <f>IF('Frame Sections'!A258=0,"",'Frame Sections'!A258)</f>
        <v/>
      </c>
      <c r="B258" s="18" t="str">
        <f t="shared" ref="B258:B321" si="4">IF(OR(A258=0,A258=""),"",VLOOKUP(A258,SecDB,5,FALSE))</f>
        <v/>
      </c>
    </row>
    <row r="259" spans="1:2" x14ac:dyDescent="0.2">
      <c r="A259" s="18" t="str">
        <f>IF('Frame Sections'!A259=0,"",'Frame Sections'!A259)</f>
        <v/>
      </c>
      <c r="B259" s="18" t="str">
        <f t="shared" si="4"/>
        <v/>
      </c>
    </row>
    <row r="260" spans="1:2" x14ac:dyDescent="0.2">
      <c r="A260" s="18" t="str">
        <f>IF('Frame Sections'!A260=0,"",'Frame Sections'!A260)</f>
        <v/>
      </c>
      <c r="B260" s="18" t="str">
        <f t="shared" si="4"/>
        <v/>
      </c>
    </row>
    <row r="261" spans="1:2" x14ac:dyDescent="0.2">
      <c r="A261" s="18" t="str">
        <f>IF('Frame Sections'!A261=0,"",'Frame Sections'!A261)</f>
        <v/>
      </c>
      <c r="B261" s="18" t="str">
        <f t="shared" si="4"/>
        <v/>
      </c>
    </row>
    <row r="262" spans="1:2" x14ac:dyDescent="0.2">
      <c r="A262" s="18" t="str">
        <f>IF('Frame Sections'!A262=0,"",'Frame Sections'!A262)</f>
        <v/>
      </c>
      <c r="B262" s="18" t="str">
        <f t="shared" si="4"/>
        <v/>
      </c>
    </row>
    <row r="263" spans="1:2" x14ac:dyDescent="0.2">
      <c r="A263" s="18" t="str">
        <f>IF('Frame Sections'!A263=0,"",'Frame Sections'!A263)</f>
        <v/>
      </c>
      <c r="B263" s="18" t="str">
        <f t="shared" si="4"/>
        <v/>
      </c>
    </row>
    <row r="264" spans="1:2" x14ac:dyDescent="0.2">
      <c r="A264" s="18" t="str">
        <f>IF('Frame Sections'!A264=0,"",'Frame Sections'!A264)</f>
        <v/>
      </c>
      <c r="B264" s="18" t="str">
        <f t="shared" si="4"/>
        <v/>
      </c>
    </row>
    <row r="265" spans="1:2" x14ac:dyDescent="0.2">
      <c r="A265" s="18" t="str">
        <f>IF('Frame Sections'!A265=0,"",'Frame Sections'!A265)</f>
        <v/>
      </c>
      <c r="B265" s="18" t="str">
        <f t="shared" si="4"/>
        <v/>
      </c>
    </row>
    <row r="266" spans="1:2" x14ac:dyDescent="0.2">
      <c r="A266" s="18" t="str">
        <f>IF('Frame Sections'!A266=0,"",'Frame Sections'!A266)</f>
        <v/>
      </c>
      <c r="B266" s="18" t="str">
        <f t="shared" si="4"/>
        <v/>
      </c>
    </row>
    <row r="267" spans="1:2" x14ac:dyDescent="0.2">
      <c r="A267" s="18" t="str">
        <f>IF('Frame Sections'!A267=0,"",'Frame Sections'!A267)</f>
        <v/>
      </c>
      <c r="B267" s="18" t="str">
        <f t="shared" si="4"/>
        <v/>
      </c>
    </row>
    <row r="268" spans="1:2" x14ac:dyDescent="0.2">
      <c r="A268" s="18" t="str">
        <f>IF('Frame Sections'!A268=0,"",'Frame Sections'!A268)</f>
        <v/>
      </c>
      <c r="B268" s="18" t="str">
        <f t="shared" si="4"/>
        <v/>
      </c>
    </row>
    <row r="269" spans="1:2" x14ac:dyDescent="0.2">
      <c r="A269" s="18" t="str">
        <f>IF('Frame Sections'!A269=0,"",'Frame Sections'!A269)</f>
        <v/>
      </c>
      <c r="B269" s="18" t="str">
        <f t="shared" si="4"/>
        <v/>
      </c>
    </row>
    <row r="270" spans="1:2" x14ac:dyDescent="0.2">
      <c r="A270" s="18" t="str">
        <f>IF('Frame Sections'!A270=0,"",'Frame Sections'!A270)</f>
        <v/>
      </c>
      <c r="B270" s="18" t="str">
        <f t="shared" si="4"/>
        <v/>
      </c>
    </row>
    <row r="271" spans="1:2" x14ac:dyDescent="0.2">
      <c r="A271" s="18" t="str">
        <f>IF('Frame Sections'!A271=0,"",'Frame Sections'!A271)</f>
        <v/>
      </c>
      <c r="B271" s="18" t="str">
        <f t="shared" si="4"/>
        <v/>
      </c>
    </row>
    <row r="272" spans="1:2" x14ac:dyDescent="0.2">
      <c r="A272" s="18" t="str">
        <f>IF('Frame Sections'!A272=0,"",'Frame Sections'!A272)</f>
        <v/>
      </c>
      <c r="B272" s="18" t="str">
        <f t="shared" si="4"/>
        <v/>
      </c>
    </row>
    <row r="273" spans="1:2" x14ac:dyDescent="0.2">
      <c r="A273" s="18" t="str">
        <f>IF('Frame Sections'!A273=0,"",'Frame Sections'!A273)</f>
        <v/>
      </c>
      <c r="B273" s="18" t="str">
        <f t="shared" si="4"/>
        <v/>
      </c>
    </row>
    <row r="274" spans="1:2" x14ac:dyDescent="0.2">
      <c r="A274" s="18" t="str">
        <f>IF('Frame Sections'!A274=0,"",'Frame Sections'!A274)</f>
        <v/>
      </c>
      <c r="B274" s="18" t="str">
        <f t="shared" si="4"/>
        <v/>
      </c>
    </row>
    <row r="275" spans="1:2" x14ac:dyDescent="0.2">
      <c r="A275" s="18" t="str">
        <f>IF('Frame Sections'!A275=0,"",'Frame Sections'!A275)</f>
        <v/>
      </c>
      <c r="B275" s="18" t="str">
        <f t="shared" si="4"/>
        <v/>
      </c>
    </row>
    <row r="276" spans="1:2" x14ac:dyDescent="0.2">
      <c r="A276" s="18" t="str">
        <f>IF('Frame Sections'!A276=0,"",'Frame Sections'!A276)</f>
        <v/>
      </c>
      <c r="B276" s="18" t="str">
        <f t="shared" si="4"/>
        <v/>
      </c>
    </row>
    <row r="277" spans="1:2" x14ac:dyDescent="0.2">
      <c r="A277" s="18" t="str">
        <f>IF('Frame Sections'!A277=0,"",'Frame Sections'!A277)</f>
        <v/>
      </c>
      <c r="B277" s="18" t="str">
        <f t="shared" si="4"/>
        <v/>
      </c>
    </row>
    <row r="278" spans="1:2" x14ac:dyDescent="0.2">
      <c r="A278" s="18" t="str">
        <f>IF('Frame Sections'!A278=0,"",'Frame Sections'!A278)</f>
        <v/>
      </c>
      <c r="B278" s="18" t="str">
        <f t="shared" si="4"/>
        <v/>
      </c>
    </row>
    <row r="279" spans="1:2" x14ac:dyDescent="0.2">
      <c r="A279" s="18" t="str">
        <f>IF('Frame Sections'!A279=0,"",'Frame Sections'!A279)</f>
        <v/>
      </c>
      <c r="B279" s="18" t="str">
        <f t="shared" si="4"/>
        <v/>
      </c>
    </row>
    <row r="280" spans="1:2" x14ac:dyDescent="0.2">
      <c r="A280" s="18" t="str">
        <f>IF('Frame Sections'!A280=0,"",'Frame Sections'!A280)</f>
        <v/>
      </c>
      <c r="B280" s="18" t="str">
        <f t="shared" si="4"/>
        <v/>
      </c>
    </row>
    <row r="281" spans="1:2" x14ac:dyDescent="0.2">
      <c r="A281" s="18" t="str">
        <f>IF('Frame Sections'!A281=0,"",'Frame Sections'!A281)</f>
        <v/>
      </c>
      <c r="B281" s="18" t="str">
        <f t="shared" si="4"/>
        <v/>
      </c>
    </row>
    <row r="282" spans="1:2" x14ac:dyDescent="0.2">
      <c r="A282" s="18" t="str">
        <f>IF('Frame Sections'!A282=0,"",'Frame Sections'!A282)</f>
        <v/>
      </c>
      <c r="B282" s="18" t="str">
        <f t="shared" si="4"/>
        <v/>
      </c>
    </row>
    <row r="283" spans="1:2" x14ac:dyDescent="0.2">
      <c r="A283" s="18" t="str">
        <f>IF('Frame Sections'!A283=0,"",'Frame Sections'!A283)</f>
        <v/>
      </c>
      <c r="B283" s="18" t="str">
        <f t="shared" si="4"/>
        <v/>
      </c>
    </row>
    <row r="284" spans="1:2" x14ac:dyDescent="0.2">
      <c r="A284" s="18" t="str">
        <f>IF('Frame Sections'!A284=0,"",'Frame Sections'!A284)</f>
        <v/>
      </c>
      <c r="B284" s="18" t="str">
        <f t="shared" si="4"/>
        <v/>
      </c>
    </row>
    <row r="285" spans="1:2" x14ac:dyDescent="0.2">
      <c r="A285" s="18" t="str">
        <f>IF('Frame Sections'!A285=0,"",'Frame Sections'!A285)</f>
        <v/>
      </c>
      <c r="B285" s="18" t="str">
        <f t="shared" si="4"/>
        <v/>
      </c>
    </row>
    <row r="286" spans="1:2" x14ac:dyDescent="0.2">
      <c r="A286" s="18" t="str">
        <f>IF('Frame Sections'!A286=0,"",'Frame Sections'!A286)</f>
        <v/>
      </c>
      <c r="B286" s="18" t="str">
        <f t="shared" si="4"/>
        <v/>
      </c>
    </row>
    <row r="287" spans="1:2" x14ac:dyDescent="0.2">
      <c r="A287" s="18" t="str">
        <f>IF('Frame Sections'!A287=0,"",'Frame Sections'!A287)</f>
        <v/>
      </c>
      <c r="B287" s="18" t="str">
        <f t="shared" si="4"/>
        <v/>
      </c>
    </row>
    <row r="288" spans="1:2" x14ac:dyDescent="0.2">
      <c r="A288" s="18" t="str">
        <f>IF('Frame Sections'!A288=0,"",'Frame Sections'!A288)</f>
        <v/>
      </c>
      <c r="B288" s="18" t="str">
        <f t="shared" si="4"/>
        <v/>
      </c>
    </row>
    <row r="289" spans="1:2" x14ac:dyDescent="0.2">
      <c r="A289" s="18" t="str">
        <f>IF('Frame Sections'!A289=0,"",'Frame Sections'!A289)</f>
        <v/>
      </c>
      <c r="B289" s="18" t="str">
        <f t="shared" si="4"/>
        <v/>
      </c>
    </row>
    <row r="290" spans="1:2" x14ac:dyDescent="0.2">
      <c r="A290" s="18" t="str">
        <f>IF('Frame Sections'!A290=0,"",'Frame Sections'!A290)</f>
        <v/>
      </c>
      <c r="B290" s="18" t="str">
        <f t="shared" si="4"/>
        <v/>
      </c>
    </row>
    <row r="291" spans="1:2" x14ac:dyDescent="0.2">
      <c r="A291" s="18" t="str">
        <f>IF('Frame Sections'!A291=0,"",'Frame Sections'!A291)</f>
        <v/>
      </c>
      <c r="B291" s="18" t="str">
        <f t="shared" si="4"/>
        <v/>
      </c>
    </row>
    <row r="292" spans="1:2" x14ac:dyDescent="0.2">
      <c r="A292" s="18" t="str">
        <f>IF('Frame Sections'!A292=0,"",'Frame Sections'!A292)</f>
        <v/>
      </c>
      <c r="B292" s="18" t="str">
        <f t="shared" si="4"/>
        <v/>
      </c>
    </row>
    <row r="293" spans="1:2" x14ac:dyDescent="0.2">
      <c r="A293" s="18" t="str">
        <f>IF('Frame Sections'!A293=0,"",'Frame Sections'!A293)</f>
        <v/>
      </c>
      <c r="B293" s="18" t="str">
        <f t="shared" si="4"/>
        <v/>
      </c>
    </row>
    <row r="294" spans="1:2" x14ac:dyDescent="0.2">
      <c r="A294" s="18" t="str">
        <f>IF('Frame Sections'!A294=0,"",'Frame Sections'!A294)</f>
        <v/>
      </c>
      <c r="B294" s="18" t="str">
        <f t="shared" si="4"/>
        <v/>
      </c>
    </row>
    <row r="295" spans="1:2" x14ac:dyDescent="0.2">
      <c r="A295" s="18" t="str">
        <f>IF('Frame Sections'!A295=0,"",'Frame Sections'!A295)</f>
        <v/>
      </c>
      <c r="B295" s="18" t="str">
        <f t="shared" si="4"/>
        <v/>
      </c>
    </row>
    <row r="296" spans="1:2" x14ac:dyDescent="0.2">
      <c r="A296" s="18" t="str">
        <f>IF('Frame Sections'!A296=0,"",'Frame Sections'!A296)</f>
        <v/>
      </c>
      <c r="B296" s="18" t="str">
        <f t="shared" si="4"/>
        <v/>
      </c>
    </row>
    <row r="297" spans="1:2" x14ac:dyDescent="0.2">
      <c r="A297" s="18" t="str">
        <f>IF('Frame Sections'!A297=0,"",'Frame Sections'!A297)</f>
        <v/>
      </c>
      <c r="B297" s="18" t="str">
        <f t="shared" si="4"/>
        <v/>
      </c>
    </row>
    <row r="298" spans="1:2" x14ac:dyDescent="0.2">
      <c r="A298" s="18" t="str">
        <f>IF('Frame Sections'!A298=0,"",'Frame Sections'!A298)</f>
        <v/>
      </c>
      <c r="B298" s="18" t="str">
        <f t="shared" si="4"/>
        <v/>
      </c>
    </row>
    <row r="299" spans="1:2" x14ac:dyDescent="0.2">
      <c r="A299" s="18" t="str">
        <f>IF('Frame Sections'!A299=0,"",'Frame Sections'!A299)</f>
        <v/>
      </c>
      <c r="B299" s="18" t="str">
        <f t="shared" si="4"/>
        <v/>
      </c>
    </row>
    <row r="300" spans="1:2" x14ac:dyDescent="0.2">
      <c r="A300" s="18" t="str">
        <f>IF('Frame Sections'!A300=0,"",'Frame Sections'!A300)</f>
        <v/>
      </c>
      <c r="B300" s="18" t="str">
        <f t="shared" si="4"/>
        <v/>
      </c>
    </row>
    <row r="301" spans="1:2" x14ac:dyDescent="0.2">
      <c r="A301" s="18" t="str">
        <f>IF('Frame Sections'!A301=0,"",'Frame Sections'!A301)</f>
        <v/>
      </c>
      <c r="B301" s="18" t="str">
        <f t="shared" si="4"/>
        <v/>
      </c>
    </row>
    <row r="302" spans="1:2" x14ac:dyDescent="0.2">
      <c r="A302" s="18" t="str">
        <f>IF('Frame Sections'!A302=0,"",'Frame Sections'!A302)</f>
        <v/>
      </c>
      <c r="B302" s="18" t="str">
        <f t="shared" si="4"/>
        <v/>
      </c>
    </row>
    <row r="303" spans="1:2" x14ac:dyDescent="0.2">
      <c r="A303" s="18" t="str">
        <f>IF('Frame Sections'!A303=0,"",'Frame Sections'!A303)</f>
        <v/>
      </c>
      <c r="B303" s="18" t="str">
        <f t="shared" si="4"/>
        <v/>
      </c>
    </row>
    <row r="304" spans="1:2" x14ac:dyDescent="0.2">
      <c r="A304" s="18" t="str">
        <f>IF('Frame Sections'!A304=0,"",'Frame Sections'!A304)</f>
        <v/>
      </c>
      <c r="B304" s="18" t="str">
        <f t="shared" si="4"/>
        <v/>
      </c>
    </row>
    <row r="305" spans="1:2" x14ac:dyDescent="0.2">
      <c r="A305" s="18" t="str">
        <f>IF('Frame Sections'!A305=0,"",'Frame Sections'!A305)</f>
        <v/>
      </c>
      <c r="B305" s="18" t="str">
        <f t="shared" si="4"/>
        <v/>
      </c>
    </row>
    <row r="306" spans="1:2" x14ac:dyDescent="0.2">
      <c r="A306" s="18" t="str">
        <f>IF('Frame Sections'!A306=0,"",'Frame Sections'!A306)</f>
        <v/>
      </c>
      <c r="B306" s="18" t="str">
        <f t="shared" si="4"/>
        <v/>
      </c>
    </row>
    <row r="307" spans="1:2" x14ac:dyDescent="0.2">
      <c r="A307" s="18" t="str">
        <f>IF('Frame Sections'!A307=0,"",'Frame Sections'!A307)</f>
        <v/>
      </c>
      <c r="B307" s="18" t="str">
        <f t="shared" si="4"/>
        <v/>
      </c>
    </row>
    <row r="308" spans="1:2" x14ac:dyDescent="0.2">
      <c r="A308" s="18" t="str">
        <f>IF('Frame Sections'!A308=0,"",'Frame Sections'!A308)</f>
        <v/>
      </c>
      <c r="B308" s="18" t="str">
        <f t="shared" si="4"/>
        <v/>
      </c>
    </row>
    <row r="309" spans="1:2" x14ac:dyDescent="0.2">
      <c r="A309" s="18" t="str">
        <f>IF('Frame Sections'!A309=0,"",'Frame Sections'!A309)</f>
        <v/>
      </c>
      <c r="B309" s="18" t="str">
        <f t="shared" si="4"/>
        <v/>
      </c>
    </row>
    <row r="310" spans="1:2" x14ac:dyDescent="0.2">
      <c r="A310" s="18" t="str">
        <f>IF('Frame Sections'!A310=0,"",'Frame Sections'!A310)</f>
        <v/>
      </c>
      <c r="B310" s="18" t="str">
        <f t="shared" si="4"/>
        <v/>
      </c>
    </row>
    <row r="311" spans="1:2" x14ac:dyDescent="0.2">
      <c r="A311" s="18" t="str">
        <f>IF('Frame Sections'!A311=0,"",'Frame Sections'!A311)</f>
        <v/>
      </c>
      <c r="B311" s="18" t="str">
        <f t="shared" si="4"/>
        <v/>
      </c>
    </row>
    <row r="312" spans="1:2" x14ac:dyDescent="0.2">
      <c r="A312" s="18" t="str">
        <f>IF('Frame Sections'!A312=0,"",'Frame Sections'!A312)</f>
        <v/>
      </c>
      <c r="B312" s="18" t="str">
        <f t="shared" si="4"/>
        <v/>
      </c>
    </row>
    <row r="313" spans="1:2" x14ac:dyDescent="0.2">
      <c r="A313" s="18" t="str">
        <f>IF('Frame Sections'!A313=0,"",'Frame Sections'!A313)</f>
        <v/>
      </c>
      <c r="B313" s="18" t="str">
        <f t="shared" si="4"/>
        <v/>
      </c>
    </row>
    <row r="314" spans="1:2" x14ac:dyDescent="0.2">
      <c r="A314" s="18" t="str">
        <f>IF('Frame Sections'!A314=0,"",'Frame Sections'!A314)</f>
        <v/>
      </c>
      <c r="B314" s="18" t="str">
        <f t="shared" si="4"/>
        <v/>
      </c>
    </row>
    <row r="315" spans="1:2" x14ac:dyDescent="0.2">
      <c r="A315" s="18" t="str">
        <f>IF('Frame Sections'!A315=0,"",'Frame Sections'!A315)</f>
        <v/>
      </c>
      <c r="B315" s="18" t="str">
        <f t="shared" si="4"/>
        <v/>
      </c>
    </row>
    <row r="316" spans="1:2" x14ac:dyDescent="0.2">
      <c r="A316" s="18" t="str">
        <f>IF('Frame Sections'!A316=0,"",'Frame Sections'!A316)</f>
        <v/>
      </c>
      <c r="B316" s="18" t="str">
        <f t="shared" si="4"/>
        <v/>
      </c>
    </row>
    <row r="317" spans="1:2" x14ac:dyDescent="0.2">
      <c r="A317" s="18" t="str">
        <f>IF('Frame Sections'!A317=0,"",'Frame Sections'!A317)</f>
        <v/>
      </c>
      <c r="B317" s="18" t="str">
        <f t="shared" si="4"/>
        <v/>
      </c>
    </row>
    <row r="318" spans="1:2" x14ac:dyDescent="0.2">
      <c r="A318" s="18" t="str">
        <f>IF('Frame Sections'!A318=0,"",'Frame Sections'!A318)</f>
        <v/>
      </c>
      <c r="B318" s="18" t="str">
        <f t="shared" si="4"/>
        <v/>
      </c>
    </row>
    <row r="319" spans="1:2" x14ac:dyDescent="0.2">
      <c r="A319" s="18" t="str">
        <f>IF('Frame Sections'!A319=0,"",'Frame Sections'!A319)</f>
        <v/>
      </c>
      <c r="B319" s="18" t="str">
        <f t="shared" si="4"/>
        <v/>
      </c>
    </row>
    <row r="320" spans="1:2" x14ac:dyDescent="0.2">
      <c r="A320" s="18" t="str">
        <f>IF('Frame Sections'!A320=0,"",'Frame Sections'!A320)</f>
        <v/>
      </c>
      <c r="B320" s="18" t="str">
        <f t="shared" si="4"/>
        <v/>
      </c>
    </row>
    <row r="321" spans="1:2" x14ac:dyDescent="0.2">
      <c r="A321" s="18" t="str">
        <f>IF('Frame Sections'!A321=0,"",'Frame Sections'!A321)</f>
        <v/>
      </c>
      <c r="B321" s="18" t="str">
        <f t="shared" si="4"/>
        <v/>
      </c>
    </row>
    <row r="322" spans="1:2" x14ac:dyDescent="0.2">
      <c r="A322" s="18" t="str">
        <f>IF('Frame Sections'!A322=0,"",'Frame Sections'!A322)</f>
        <v/>
      </c>
      <c r="B322" s="18" t="str">
        <f t="shared" ref="B322:B385" si="5">IF(OR(A322=0,A322=""),"",VLOOKUP(A322,SecDB,5,FALSE))</f>
        <v/>
      </c>
    </row>
    <row r="323" spans="1:2" x14ac:dyDescent="0.2">
      <c r="A323" s="18" t="str">
        <f>IF('Frame Sections'!A323=0,"",'Frame Sections'!A323)</f>
        <v/>
      </c>
      <c r="B323" s="18" t="str">
        <f t="shared" si="5"/>
        <v/>
      </c>
    </row>
    <row r="324" spans="1:2" x14ac:dyDescent="0.2">
      <c r="A324" s="18" t="str">
        <f>IF('Frame Sections'!A324=0,"",'Frame Sections'!A324)</f>
        <v/>
      </c>
      <c r="B324" s="18" t="str">
        <f t="shared" si="5"/>
        <v/>
      </c>
    </row>
    <row r="325" spans="1:2" x14ac:dyDescent="0.2">
      <c r="A325" s="18" t="str">
        <f>IF('Frame Sections'!A325=0,"",'Frame Sections'!A325)</f>
        <v/>
      </c>
      <c r="B325" s="18" t="str">
        <f t="shared" si="5"/>
        <v/>
      </c>
    </row>
    <row r="326" spans="1:2" x14ac:dyDescent="0.2">
      <c r="A326" s="18" t="str">
        <f>IF('Frame Sections'!A326=0,"",'Frame Sections'!A326)</f>
        <v/>
      </c>
      <c r="B326" s="18" t="str">
        <f t="shared" si="5"/>
        <v/>
      </c>
    </row>
    <row r="327" spans="1:2" x14ac:dyDescent="0.2">
      <c r="A327" s="18" t="str">
        <f>IF('Frame Sections'!A327=0,"",'Frame Sections'!A327)</f>
        <v/>
      </c>
      <c r="B327" s="18" t="str">
        <f t="shared" si="5"/>
        <v/>
      </c>
    </row>
    <row r="328" spans="1:2" x14ac:dyDescent="0.2">
      <c r="A328" s="18" t="str">
        <f>IF('Frame Sections'!A328=0,"",'Frame Sections'!A328)</f>
        <v/>
      </c>
      <c r="B328" s="18" t="str">
        <f t="shared" si="5"/>
        <v/>
      </c>
    </row>
    <row r="329" spans="1:2" x14ac:dyDescent="0.2">
      <c r="A329" s="18" t="str">
        <f>IF('Frame Sections'!A329=0,"",'Frame Sections'!A329)</f>
        <v/>
      </c>
      <c r="B329" s="18" t="str">
        <f t="shared" si="5"/>
        <v/>
      </c>
    </row>
    <row r="330" spans="1:2" x14ac:dyDescent="0.2">
      <c r="A330" s="18" t="str">
        <f>IF('Frame Sections'!A330=0,"",'Frame Sections'!A330)</f>
        <v/>
      </c>
      <c r="B330" s="18" t="str">
        <f t="shared" si="5"/>
        <v/>
      </c>
    </row>
    <row r="331" spans="1:2" x14ac:dyDescent="0.2">
      <c r="A331" s="18" t="str">
        <f>IF('Frame Sections'!A331=0,"",'Frame Sections'!A331)</f>
        <v/>
      </c>
      <c r="B331" s="18" t="str">
        <f t="shared" si="5"/>
        <v/>
      </c>
    </row>
    <row r="332" spans="1:2" x14ac:dyDescent="0.2">
      <c r="A332" s="18" t="str">
        <f>IF('Frame Sections'!A332=0,"",'Frame Sections'!A332)</f>
        <v/>
      </c>
      <c r="B332" s="18" t="str">
        <f t="shared" si="5"/>
        <v/>
      </c>
    </row>
    <row r="333" spans="1:2" x14ac:dyDescent="0.2">
      <c r="A333" s="18" t="str">
        <f>IF('Frame Sections'!A333=0,"",'Frame Sections'!A333)</f>
        <v/>
      </c>
      <c r="B333" s="18" t="str">
        <f t="shared" si="5"/>
        <v/>
      </c>
    </row>
    <row r="334" spans="1:2" x14ac:dyDescent="0.2">
      <c r="A334" s="18" t="str">
        <f>IF('Frame Sections'!A334=0,"",'Frame Sections'!A334)</f>
        <v/>
      </c>
      <c r="B334" s="18" t="str">
        <f t="shared" si="5"/>
        <v/>
      </c>
    </row>
    <row r="335" spans="1:2" x14ac:dyDescent="0.2">
      <c r="A335" s="18" t="str">
        <f>IF('Frame Sections'!A335=0,"",'Frame Sections'!A335)</f>
        <v/>
      </c>
      <c r="B335" s="18" t="str">
        <f t="shared" si="5"/>
        <v/>
      </c>
    </row>
    <row r="336" spans="1:2" x14ac:dyDescent="0.2">
      <c r="A336" s="18" t="str">
        <f>IF('Frame Sections'!A336=0,"",'Frame Sections'!A336)</f>
        <v/>
      </c>
      <c r="B336" s="18" t="str">
        <f t="shared" si="5"/>
        <v/>
      </c>
    </row>
    <row r="337" spans="1:2" x14ac:dyDescent="0.2">
      <c r="A337" s="18" t="str">
        <f>IF('Frame Sections'!A337=0,"",'Frame Sections'!A337)</f>
        <v/>
      </c>
      <c r="B337" s="18" t="str">
        <f t="shared" si="5"/>
        <v/>
      </c>
    </row>
    <row r="338" spans="1:2" x14ac:dyDescent="0.2">
      <c r="A338" s="18" t="str">
        <f>IF('Frame Sections'!A338=0,"",'Frame Sections'!A338)</f>
        <v/>
      </c>
      <c r="B338" s="18" t="str">
        <f t="shared" si="5"/>
        <v/>
      </c>
    </row>
    <row r="339" spans="1:2" x14ac:dyDescent="0.2">
      <c r="A339" s="18" t="str">
        <f>IF('Frame Sections'!A339=0,"",'Frame Sections'!A339)</f>
        <v/>
      </c>
      <c r="B339" s="18" t="str">
        <f t="shared" si="5"/>
        <v/>
      </c>
    </row>
    <row r="340" spans="1:2" x14ac:dyDescent="0.2">
      <c r="A340" s="18" t="str">
        <f>IF('Frame Sections'!A340=0,"",'Frame Sections'!A340)</f>
        <v/>
      </c>
      <c r="B340" s="18" t="str">
        <f t="shared" si="5"/>
        <v/>
      </c>
    </row>
    <row r="341" spans="1:2" x14ac:dyDescent="0.2">
      <c r="A341" s="18" t="str">
        <f>IF('Frame Sections'!A341=0,"",'Frame Sections'!A341)</f>
        <v/>
      </c>
      <c r="B341" s="18" t="str">
        <f t="shared" si="5"/>
        <v/>
      </c>
    </row>
    <row r="342" spans="1:2" x14ac:dyDescent="0.2">
      <c r="A342" s="18" t="str">
        <f>IF('Frame Sections'!A342=0,"",'Frame Sections'!A342)</f>
        <v/>
      </c>
      <c r="B342" s="18" t="str">
        <f t="shared" si="5"/>
        <v/>
      </c>
    </row>
    <row r="343" spans="1:2" x14ac:dyDescent="0.2">
      <c r="A343" s="18" t="str">
        <f>IF('Frame Sections'!A343=0,"",'Frame Sections'!A343)</f>
        <v/>
      </c>
      <c r="B343" s="18" t="str">
        <f t="shared" si="5"/>
        <v/>
      </c>
    </row>
    <row r="344" spans="1:2" x14ac:dyDescent="0.2">
      <c r="A344" s="18" t="str">
        <f>IF('Frame Sections'!A344=0,"",'Frame Sections'!A344)</f>
        <v/>
      </c>
      <c r="B344" s="18" t="str">
        <f t="shared" si="5"/>
        <v/>
      </c>
    </row>
    <row r="345" spans="1:2" x14ac:dyDescent="0.2">
      <c r="A345" s="18" t="str">
        <f>IF('Frame Sections'!A345=0,"",'Frame Sections'!A345)</f>
        <v/>
      </c>
      <c r="B345" s="18" t="str">
        <f t="shared" si="5"/>
        <v/>
      </c>
    </row>
    <row r="346" spans="1:2" x14ac:dyDescent="0.2">
      <c r="A346" s="18" t="str">
        <f>IF('Frame Sections'!A346=0,"",'Frame Sections'!A346)</f>
        <v/>
      </c>
      <c r="B346" s="18" t="str">
        <f t="shared" si="5"/>
        <v/>
      </c>
    </row>
    <row r="347" spans="1:2" x14ac:dyDescent="0.2">
      <c r="A347" s="18" t="str">
        <f>IF('Frame Sections'!A347=0,"",'Frame Sections'!A347)</f>
        <v/>
      </c>
      <c r="B347" s="18" t="str">
        <f t="shared" si="5"/>
        <v/>
      </c>
    </row>
    <row r="348" spans="1:2" x14ac:dyDescent="0.2">
      <c r="A348" s="18" t="str">
        <f>IF('Frame Sections'!A348=0,"",'Frame Sections'!A348)</f>
        <v/>
      </c>
      <c r="B348" s="18" t="str">
        <f t="shared" si="5"/>
        <v/>
      </c>
    </row>
    <row r="349" spans="1:2" x14ac:dyDescent="0.2">
      <c r="A349" s="18" t="str">
        <f>IF('Frame Sections'!A349=0,"",'Frame Sections'!A349)</f>
        <v/>
      </c>
      <c r="B349" s="18" t="str">
        <f t="shared" si="5"/>
        <v/>
      </c>
    </row>
    <row r="350" spans="1:2" x14ac:dyDescent="0.2">
      <c r="A350" s="18" t="str">
        <f>IF('Frame Sections'!A350=0,"",'Frame Sections'!A350)</f>
        <v/>
      </c>
      <c r="B350" s="18" t="str">
        <f t="shared" si="5"/>
        <v/>
      </c>
    </row>
    <row r="351" spans="1:2" x14ac:dyDescent="0.2">
      <c r="A351" s="18" t="str">
        <f>IF('Frame Sections'!A351=0,"",'Frame Sections'!A351)</f>
        <v/>
      </c>
      <c r="B351" s="18" t="str">
        <f t="shared" si="5"/>
        <v/>
      </c>
    </row>
    <row r="352" spans="1:2" x14ac:dyDescent="0.2">
      <c r="A352" s="18" t="str">
        <f>IF('Frame Sections'!A352=0,"",'Frame Sections'!A352)</f>
        <v/>
      </c>
      <c r="B352" s="18" t="str">
        <f t="shared" si="5"/>
        <v/>
      </c>
    </row>
    <row r="353" spans="1:2" x14ac:dyDescent="0.2">
      <c r="A353" s="18" t="str">
        <f>IF('Frame Sections'!A353=0,"",'Frame Sections'!A353)</f>
        <v/>
      </c>
      <c r="B353" s="18" t="str">
        <f t="shared" si="5"/>
        <v/>
      </c>
    </row>
    <row r="354" spans="1:2" x14ac:dyDescent="0.2">
      <c r="A354" s="18" t="str">
        <f>IF('Frame Sections'!A354=0,"",'Frame Sections'!A354)</f>
        <v/>
      </c>
      <c r="B354" s="18" t="str">
        <f t="shared" si="5"/>
        <v/>
      </c>
    </row>
    <row r="355" spans="1:2" x14ac:dyDescent="0.2">
      <c r="A355" s="18" t="str">
        <f>IF('Frame Sections'!A355=0,"",'Frame Sections'!A355)</f>
        <v/>
      </c>
      <c r="B355" s="18" t="str">
        <f t="shared" si="5"/>
        <v/>
      </c>
    </row>
    <row r="356" spans="1:2" x14ac:dyDescent="0.2">
      <c r="A356" s="18" t="str">
        <f>IF('Frame Sections'!A356=0,"",'Frame Sections'!A356)</f>
        <v/>
      </c>
      <c r="B356" s="18" t="str">
        <f t="shared" si="5"/>
        <v/>
      </c>
    </row>
    <row r="357" spans="1:2" x14ac:dyDescent="0.2">
      <c r="A357" s="18" t="str">
        <f>IF('Frame Sections'!A357=0,"",'Frame Sections'!A357)</f>
        <v/>
      </c>
      <c r="B357" s="18" t="str">
        <f t="shared" si="5"/>
        <v/>
      </c>
    </row>
    <row r="358" spans="1:2" x14ac:dyDescent="0.2">
      <c r="A358" s="18" t="str">
        <f>IF('Frame Sections'!A358=0,"",'Frame Sections'!A358)</f>
        <v/>
      </c>
      <c r="B358" s="18" t="str">
        <f t="shared" si="5"/>
        <v/>
      </c>
    </row>
    <row r="359" spans="1:2" x14ac:dyDescent="0.2">
      <c r="A359" s="18" t="str">
        <f>IF('Frame Sections'!A359=0,"",'Frame Sections'!A359)</f>
        <v/>
      </c>
      <c r="B359" s="18" t="str">
        <f t="shared" si="5"/>
        <v/>
      </c>
    </row>
    <row r="360" spans="1:2" x14ac:dyDescent="0.2">
      <c r="A360" s="18" t="str">
        <f>IF('Frame Sections'!A360=0,"",'Frame Sections'!A360)</f>
        <v/>
      </c>
      <c r="B360" s="18" t="str">
        <f t="shared" si="5"/>
        <v/>
      </c>
    </row>
    <row r="361" spans="1:2" x14ac:dyDescent="0.2">
      <c r="A361" s="18" t="str">
        <f>IF('Frame Sections'!A361=0,"",'Frame Sections'!A361)</f>
        <v/>
      </c>
      <c r="B361" s="18" t="str">
        <f t="shared" si="5"/>
        <v/>
      </c>
    </row>
    <row r="362" spans="1:2" x14ac:dyDescent="0.2">
      <c r="A362" s="18" t="str">
        <f>IF('Frame Sections'!A362=0,"",'Frame Sections'!A362)</f>
        <v/>
      </c>
      <c r="B362" s="18" t="str">
        <f t="shared" si="5"/>
        <v/>
      </c>
    </row>
    <row r="363" spans="1:2" x14ac:dyDescent="0.2">
      <c r="A363" s="18" t="str">
        <f>IF('Frame Sections'!A363=0,"",'Frame Sections'!A363)</f>
        <v/>
      </c>
      <c r="B363" s="18" t="str">
        <f t="shared" si="5"/>
        <v/>
      </c>
    </row>
    <row r="364" spans="1:2" x14ac:dyDescent="0.2">
      <c r="A364" s="18" t="str">
        <f>IF('Frame Sections'!A364=0,"",'Frame Sections'!A364)</f>
        <v/>
      </c>
      <c r="B364" s="18" t="str">
        <f t="shared" si="5"/>
        <v/>
      </c>
    </row>
    <row r="365" spans="1:2" x14ac:dyDescent="0.2">
      <c r="A365" s="18" t="str">
        <f>IF('Frame Sections'!A365=0,"",'Frame Sections'!A365)</f>
        <v/>
      </c>
      <c r="B365" s="18" t="str">
        <f t="shared" si="5"/>
        <v/>
      </c>
    </row>
    <row r="366" spans="1:2" x14ac:dyDescent="0.2">
      <c r="A366" s="18" t="str">
        <f>IF('Frame Sections'!A366=0,"",'Frame Sections'!A366)</f>
        <v/>
      </c>
      <c r="B366" s="18" t="str">
        <f t="shared" si="5"/>
        <v/>
      </c>
    </row>
    <row r="367" spans="1:2" x14ac:dyDescent="0.2">
      <c r="A367" s="18" t="str">
        <f>IF('Frame Sections'!A367=0,"",'Frame Sections'!A367)</f>
        <v/>
      </c>
      <c r="B367" s="18" t="str">
        <f t="shared" si="5"/>
        <v/>
      </c>
    </row>
    <row r="368" spans="1:2" x14ac:dyDescent="0.2">
      <c r="A368" s="18" t="str">
        <f>IF('Frame Sections'!A368=0,"",'Frame Sections'!A368)</f>
        <v/>
      </c>
      <c r="B368" s="18" t="str">
        <f t="shared" si="5"/>
        <v/>
      </c>
    </row>
    <row r="369" spans="1:2" x14ac:dyDescent="0.2">
      <c r="A369" s="18" t="str">
        <f>IF('Frame Sections'!A369=0,"",'Frame Sections'!A369)</f>
        <v/>
      </c>
      <c r="B369" s="18" t="str">
        <f t="shared" si="5"/>
        <v/>
      </c>
    </row>
    <row r="370" spans="1:2" x14ac:dyDescent="0.2">
      <c r="A370" s="18" t="str">
        <f>IF('Frame Sections'!A370=0,"",'Frame Sections'!A370)</f>
        <v/>
      </c>
      <c r="B370" s="18" t="str">
        <f t="shared" si="5"/>
        <v/>
      </c>
    </row>
    <row r="371" spans="1:2" x14ac:dyDescent="0.2">
      <c r="A371" s="18" t="str">
        <f>IF('Frame Sections'!A371=0,"",'Frame Sections'!A371)</f>
        <v/>
      </c>
      <c r="B371" s="18" t="str">
        <f t="shared" si="5"/>
        <v/>
      </c>
    </row>
    <row r="372" spans="1:2" x14ac:dyDescent="0.2">
      <c r="A372" s="18" t="str">
        <f>IF('Frame Sections'!A372=0,"",'Frame Sections'!A372)</f>
        <v/>
      </c>
      <c r="B372" s="18" t="str">
        <f t="shared" si="5"/>
        <v/>
      </c>
    </row>
    <row r="373" spans="1:2" x14ac:dyDescent="0.2">
      <c r="A373" s="18" t="str">
        <f>IF('Frame Sections'!A373=0,"",'Frame Sections'!A373)</f>
        <v/>
      </c>
      <c r="B373" s="18" t="str">
        <f t="shared" si="5"/>
        <v/>
      </c>
    </row>
    <row r="374" spans="1:2" x14ac:dyDescent="0.2">
      <c r="A374" s="18" t="str">
        <f>IF('Frame Sections'!A374=0,"",'Frame Sections'!A374)</f>
        <v/>
      </c>
      <c r="B374" s="18" t="str">
        <f t="shared" si="5"/>
        <v/>
      </c>
    </row>
    <row r="375" spans="1:2" x14ac:dyDescent="0.2">
      <c r="A375" s="18" t="str">
        <f>IF('Frame Sections'!A375=0,"",'Frame Sections'!A375)</f>
        <v/>
      </c>
      <c r="B375" s="18" t="str">
        <f t="shared" si="5"/>
        <v/>
      </c>
    </row>
    <row r="376" spans="1:2" x14ac:dyDescent="0.2">
      <c r="A376" s="18" t="str">
        <f>IF('Frame Sections'!A376=0,"",'Frame Sections'!A376)</f>
        <v/>
      </c>
      <c r="B376" s="18" t="str">
        <f t="shared" si="5"/>
        <v/>
      </c>
    </row>
    <row r="377" spans="1:2" x14ac:dyDescent="0.2">
      <c r="A377" s="18" t="str">
        <f>IF('Frame Sections'!A377=0,"",'Frame Sections'!A377)</f>
        <v/>
      </c>
      <c r="B377" s="18" t="str">
        <f t="shared" si="5"/>
        <v/>
      </c>
    </row>
    <row r="378" spans="1:2" x14ac:dyDescent="0.2">
      <c r="A378" s="18" t="str">
        <f>IF('Frame Sections'!A378=0,"",'Frame Sections'!A378)</f>
        <v/>
      </c>
      <c r="B378" s="18" t="str">
        <f t="shared" si="5"/>
        <v/>
      </c>
    </row>
    <row r="379" spans="1:2" x14ac:dyDescent="0.2">
      <c r="A379" s="18" t="str">
        <f>IF('Frame Sections'!A379=0,"",'Frame Sections'!A379)</f>
        <v/>
      </c>
      <c r="B379" s="18" t="str">
        <f t="shared" si="5"/>
        <v/>
      </c>
    </row>
    <row r="380" spans="1:2" x14ac:dyDescent="0.2">
      <c r="A380" s="18" t="str">
        <f>IF('Frame Sections'!A380=0,"",'Frame Sections'!A380)</f>
        <v/>
      </c>
      <c r="B380" s="18" t="str">
        <f t="shared" si="5"/>
        <v/>
      </c>
    </row>
    <row r="381" spans="1:2" x14ac:dyDescent="0.2">
      <c r="A381" s="18" t="str">
        <f>IF('Frame Sections'!A381=0,"",'Frame Sections'!A381)</f>
        <v/>
      </c>
      <c r="B381" s="18" t="str">
        <f t="shared" si="5"/>
        <v/>
      </c>
    </row>
    <row r="382" spans="1:2" x14ac:dyDescent="0.2">
      <c r="A382" s="18" t="str">
        <f>IF('Frame Sections'!A382=0,"",'Frame Sections'!A382)</f>
        <v/>
      </c>
      <c r="B382" s="18" t="str">
        <f t="shared" si="5"/>
        <v/>
      </c>
    </row>
    <row r="383" spans="1:2" x14ac:dyDescent="0.2">
      <c r="A383" s="18" t="str">
        <f>IF('Frame Sections'!A383=0,"",'Frame Sections'!A383)</f>
        <v/>
      </c>
      <c r="B383" s="18" t="str">
        <f t="shared" si="5"/>
        <v/>
      </c>
    </row>
    <row r="384" spans="1:2" x14ac:dyDescent="0.2">
      <c r="A384" s="18" t="str">
        <f>IF('Frame Sections'!A384=0,"",'Frame Sections'!A384)</f>
        <v/>
      </c>
      <c r="B384" s="18" t="str">
        <f t="shared" si="5"/>
        <v/>
      </c>
    </row>
    <row r="385" spans="1:2" x14ac:dyDescent="0.2">
      <c r="A385" s="18" t="str">
        <f>IF('Frame Sections'!A385=0,"",'Frame Sections'!A385)</f>
        <v/>
      </c>
      <c r="B385" s="18" t="str">
        <f t="shared" si="5"/>
        <v/>
      </c>
    </row>
    <row r="386" spans="1:2" x14ac:dyDescent="0.2">
      <c r="A386" s="18" t="str">
        <f>IF('Frame Sections'!A386=0,"",'Frame Sections'!A386)</f>
        <v/>
      </c>
      <c r="B386" s="18" t="str">
        <f t="shared" ref="B386:B449" si="6">IF(OR(A386=0,A386=""),"",VLOOKUP(A386,SecDB,5,FALSE))</f>
        <v/>
      </c>
    </row>
    <row r="387" spans="1:2" x14ac:dyDescent="0.2">
      <c r="A387" s="18" t="str">
        <f>IF('Frame Sections'!A387=0,"",'Frame Sections'!A387)</f>
        <v/>
      </c>
      <c r="B387" s="18" t="str">
        <f t="shared" si="6"/>
        <v/>
      </c>
    </row>
    <row r="388" spans="1:2" x14ac:dyDescent="0.2">
      <c r="A388" s="18" t="str">
        <f>IF('Frame Sections'!A388=0,"",'Frame Sections'!A388)</f>
        <v/>
      </c>
      <c r="B388" s="18" t="str">
        <f t="shared" si="6"/>
        <v/>
      </c>
    </row>
    <row r="389" spans="1:2" x14ac:dyDescent="0.2">
      <c r="A389" s="18" t="str">
        <f>IF('Frame Sections'!A389=0,"",'Frame Sections'!A389)</f>
        <v/>
      </c>
      <c r="B389" s="18" t="str">
        <f t="shared" si="6"/>
        <v/>
      </c>
    </row>
    <row r="390" spans="1:2" x14ac:dyDescent="0.2">
      <c r="A390" s="18" t="str">
        <f>IF('Frame Sections'!A390=0,"",'Frame Sections'!A390)</f>
        <v/>
      </c>
      <c r="B390" s="18" t="str">
        <f t="shared" si="6"/>
        <v/>
      </c>
    </row>
    <row r="391" spans="1:2" x14ac:dyDescent="0.2">
      <c r="A391" s="18" t="str">
        <f>IF('Frame Sections'!A391=0,"",'Frame Sections'!A391)</f>
        <v/>
      </c>
      <c r="B391" s="18" t="str">
        <f t="shared" si="6"/>
        <v/>
      </c>
    </row>
    <row r="392" spans="1:2" x14ac:dyDescent="0.2">
      <c r="A392" s="18" t="str">
        <f>IF('Frame Sections'!A392=0,"",'Frame Sections'!A392)</f>
        <v/>
      </c>
      <c r="B392" s="18" t="str">
        <f t="shared" si="6"/>
        <v/>
      </c>
    </row>
    <row r="393" spans="1:2" x14ac:dyDescent="0.2">
      <c r="A393" s="18" t="str">
        <f>IF('Frame Sections'!A393=0,"",'Frame Sections'!A393)</f>
        <v/>
      </c>
      <c r="B393" s="18" t="str">
        <f t="shared" si="6"/>
        <v/>
      </c>
    </row>
    <row r="394" spans="1:2" x14ac:dyDescent="0.2">
      <c r="A394" s="18" t="str">
        <f>IF('Frame Sections'!A394=0,"",'Frame Sections'!A394)</f>
        <v/>
      </c>
      <c r="B394" s="18" t="str">
        <f t="shared" si="6"/>
        <v/>
      </c>
    </row>
    <row r="395" spans="1:2" x14ac:dyDescent="0.2">
      <c r="A395" s="18" t="str">
        <f>IF('Frame Sections'!A395=0,"",'Frame Sections'!A395)</f>
        <v/>
      </c>
      <c r="B395" s="18" t="str">
        <f t="shared" si="6"/>
        <v/>
      </c>
    </row>
    <row r="396" spans="1:2" x14ac:dyDescent="0.2">
      <c r="A396" s="18" t="str">
        <f>IF('Frame Sections'!A396=0,"",'Frame Sections'!A396)</f>
        <v/>
      </c>
      <c r="B396" s="18" t="str">
        <f t="shared" si="6"/>
        <v/>
      </c>
    </row>
    <row r="397" spans="1:2" x14ac:dyDescent="0.2">
      <c r="A397" s="18" t="str">
        <f>IF('Frame Sections'!A397=0,"",'Frame Sections'!A397)</f>
        <v/>
      </c>
      <c r="B397" s="18" t="str">
        <f t="shared" si="6"/>
        <v/>
      </c>
    </row>
    <row r="398" spans="1:2" x14ac:dyDescent="0.2">
      <c r="A398" s="18" t="str">
        <f>IF('Frame Sections'!A398=0,"",'Frame Sections'!A398)</f>
        <v/>
      </c>
      <c r="B398" s="18" t="str">
        <f t="shared" si="6"/>
        <v/>
      </c>
    </row>
    <row r="399" spans="1:2" x14ac:dyDescent="0.2">
      <c r="A399" s="18" t="str">
        <f>IF('Frame Sections'!A399=0,"",'Frame Sections'!A399)</f>
        <v/>
      </c>
      <c r="B399" s="18" t="str">
        <f t="shared" si="6"/>
        <v/>
      </c>
    </row>
    <row r="400" spans="1:2" x14ac:dyDescent="0.2">
      <c r="A400" s="18" t="str">
        <f>IF('Frame Sections'!A400=0,"",'Frame Sections'!A400)</f>
        <v/>
      </c>
      <c r="B400" s="18" t="str">
        <f t="shared" si="6"/>
        <v/>
      </c>
    </row>
    <row r="401" spans="1:2" x14ac:dyDescent="0.2">
      <c r="A401" s="18" t="str">
        <f>IF('Frame Sections'!A401=0,"",'Frame Sections'!A401)</f>
        <v/>
      </c>
      <c r="B401" s="18" t="str">
        <f t="shared" si="6"/>
        <v/>
      </c>
    </row>
    <row r="402" spans="1:2" x14ac:dyDescent="0.2">
      <c r="A402" s="18" t="str">
        <f>IF('Frame Sections'!A402=0,"",'Frame Sections'!A402)</f>
        <v/>
      </c>
      <c r="B402" s="18" t="str">
        <f t="shared" si="6"/>
        <v/>
      </c>
    </row>
    <row r="403" spans="1:2" x14ac:dyDescent="0.2">
      <c r="A403" s="18" t="str">
        <f>IF('Frame Sections'!A403=0,"",'Frame Sections'!A403)</f>
        <v/>
      </c>
      <c r="B403" s="18" t="str">
        <f t="shared" si="6"/>
        <v/>
      </c>
    </row>
    <row r="404" spans="1:2" x14ac:dyDescent="0.2">
      <c r="A404" s="18" t="str">
        <f>IF('Frame Sections'!A404=0,"",'Frame Sections'!A404)</f>
        <v/>
      </c>
      <c r="B404" s="18" t="str">
        <f t="shared" si="6"/>
        <v/>
      </c>
    </row>
    <row r="405" spans="1:2" x14ac:dyDescent="0.2">
      <c r="A405" s="18" t="str">
        <f>IF('Frame Sections'!A405=0,"",'Frame Sections'!A405)</f>
        <v/>
      </c>
      <c r="B405" s="18" t="str">
        <f t="shared" si="6"/>
        <v/>
      </c>
    </row>
    <row r="406" spans="1:2" x14ac:dyDescent="0.2">
      <c r="A406" s="18" t="str">
        <f>IF('Frame Sections'!A406=0,"",'Frame Sections'!A406)</f>
        <v/>
      </c>
      <c r="B406" s="18" t="str">
        <f t="shared" si="6"/>
        <v/>
      </c>
    </row>
    <row r="407" spans="1:2" x14ac:dyDescent="0.2">
      <c r="A407" s="18" t="str">
        <f>IF('Frame Sections'!A407=0,"",'Frame Sections'!A407)</f>
        <v/>
      </c>
      <c r="B407" s="18" t="str">
        <f t="shared" si="6"/>
        <v/>
      </c>
    </row>
    <row r="408" spans="1:2" x14ac:dyDescent="0.2">
      <c r="A408" s="18" t="str">
        <f>IF('Frame Sections'!A408=0,"",'Frame Sections'!A408)</f>
        <v/>
      </c>
      <c r="B408" s="18" t="str">
        <f t="shared" si="6"/>
        <v/>
      </c>
    </row>
    <row r="409" spans="1:2" x14ac:dyDescent="0.2">
      <c r="A409" s="18" t="str">
        <f>IF('Frame Sections'!A409=0,"",'Frame Sections'!A409)</f>
        <v/>
      </c>
      <c r="B409" s="18" t="str">
        <f t="shared" si="6"/>
        <v/>
      </c>
    </row>
    <row r="410" spans="1:2" x14ac:dyDescent="0.2">
      <c r="A410" s="18" t="str">
        <f>IF('Frame Sections'!A410=0,"",'Frame Sections'!A410)</f>
        <v/>
      </c>
      <c r="B410" s="18" t="str">
        <f t="shared" si="6"/>
        <v/>
      </c>
    </row>
    <row r="411" spans="1:2" x14ac:dyDescent="0.2">
      <c r="A411" s="18" t="str">
        <f>IF('Frame Sections'!A411=0,"",'Frame Sections'!A411)</f>
        <v/>
      </c>
      <c r="B411" s="18" t="str">
        <f t="shared" si="6"/>
        <v/>
      </c>
    </row>
    <row r="412" spans="1:2" x14ac:dyDescent="0.2">
      <c r="A412" s="18" t="str">
        <f>IF('Frame Sections'!A412=0,"",'Frame Sections'!A412)</f>
        <v/>
      </c>
      <c r="B412" s="18" t="str">
        <f t="shared" si="6"/>
        <v/>
      </c>
    </row>
    <row r="413" spans="1:2" x14ac:dyDescent="0.2">
      <c r="A413" s="18" t="str">
        <f>IF('Frame Sections'!A413=0,"",'Frame Sections'!A413)</f>
        <v/>
      </c>
      <c r="B413" s="18" t="str">
        <f t="shared" si="6"/>
        <v/>
      </c>
    </row>
    <row r="414" spans="1:2" x14ac:dyDescent="0.2">
      <c r="A414" s="18" t="str">
        <f>IF('Frame Sections'!A414=0,"",'Frame Sections'!A414)</f>
        <v/>
      </c>
      <c r="B414" s="18" t="str">
        <f t="shared" si="6"/>
        <v/>
      </c>
    </row>
    <row r="415" spans="1:2" x14ac:dyDescent="0.2">
      <c r="A415" s="18" t="str">
        <f>IF('Frame Sections'!A415=0,"",'Frame Sections'!A415)</f>
        <v/>
      </c>
      <c r="B415" s="18" t="str">
        <f t="shared" si="6"/>
        <v/>
      </c>
    </row>
    <row r="416" spans="1:2" x14ac:dyDescent="0.2">
      <c r="A416" s="18" t="str">
        <f>IF('Frame Sections'!A416=0,"",'Frame Sections'!A416)</f>
        <v/>
      </c>
      <c r="B416" s="18" t="str">
        <f t="shared" si="6"/>
        <v/>
      </c>
    </row>
    <row r="417" spans="1:2" x14ac:dyDescent="0.2">
      <c r="A417" s="18" t="str">
        <f>IF('Frame Sections'!A417=0,"",'Frame Sections'!A417)</f>
        <v/>
      </c>
      <c r="B417" s="18" t="str">
        <f t="shared" si="6"/>
        <v/>
      </c>
    </row>
    <row r="418" spans="1:2" x14ac:dyDescent="0.2">
      <c r="A418" s="18" t="str">
        <f>IF('Frame Sections'!A418=0,"",'Frame Sections'!A418)</f>
        <v/>
      </c>
      <c r="B418" s="18" t="str">
        <f t="shared" si="6"/>
        <v/>
      </c>
    </row>
    <row r="419" spans="1:2" x14ac:dyDescent="0.2">
      <c r="A419" s="18" t="str">
        <f>IF('Frame Sections'!A419=0,"",'Frame Sections'!A419)</f>
        <v/>
      </c>
      <c r="B419" s="18" t="str">
        <f t="shared" si="6"/>
        <v/>
      </c>
    </row>
    <row r="420" spans="1:2" x14ac:dyDescent="0.2">
      <c r="A420" s="18" t="str">
        <f>IF('Frame Sections'!A420=0,"",'Frame Sections'!A420)</f>
        <v/>
      </c>
      <c r="B420" s="18" t="str">
        <f t="shared" si="6"/>
        <v/>
      </c>
    </row>
    <row r="421" spans="1:2" x14ac:dyDescent="0.2">
      <c r="A421" s="18" t="str">
        <f>IF('Frame Sections'!A421=0,"",'Frame Sections'!A421)</f>
        <v/>
      </c>
      <c r="B421" s="18" t="str">
        <f t="shared" si="6"/>
        <v/>
      </c>
    </row>
    <row r="422" spans="1:2" x14ac:dyDescent="0.2">
      <c r="A422" s="18" t="str">
        <f>IF('Frame Sections'!A422=0,"",'Frame Sections'!A422)</f>
        <v/>
      </c>
      <c r="B422" s="18" t="str">
        <f t="shared" si="6"/>
        <v/>
      </c>
    </row>
    <row r="423" spans="1:2" x14ac:dyDescent="0.2">
      <c r="A423" s="18" t="str">
        <f>IF('Frame Sections'!A423=0,"",'Frame Sections'!A423)</f>
        <v/>
      </c>
      <c r="B423" s="18" t="str">
        <f t="shared" si="6"/>
        <v/>
      </c>
    </row>
    <row r="424" spans="1:2" x14ac:dyDescent="0.2">
      <c r="A424" s="18" t="str">
        <f>IF('Frame Sections'!A424=0,"",'Frame Sections'!A424)</f>
        <v/>
      </c>
      <c r="B424" s="18" t="str">
        <f t="shared" si="6"/>
        <v/>
      </c>
    </row>
    <row r="425" spans="1:2" x14ac:dyDescent="0.2">
      <c r="A425" s="18" t="str">
        <f>IF('Frame Sections'!A425=0,"",'Frame Sections'!A425)</f>
        <v/>
      </c>
      <c r="B425" s="18" t="str">
        <f t="shared" si="6"/>
        <v/>
      </c>
    </row>
    <row r="426" spans="1:2" x14ac:dyDescent="0.2">
      <c r="A426" s="18" t="str">
        <f>IF('Frame Sections'!A426=0,"",'Frame Sections'!A426)</f>
        <v/>
      </c>
      <c r="B426" s="18" t="str">
        <f t="shared" si="6"/>
        <v/>
      </c>
    </row>
    <row r="427" spans="1:2" x14ac:dyDescent="0.2">
      <c r="A427" s="18" t="str">
        <f>IF('Frame Sections'!A427=0,"",'Frame Sections'!A427)</f>
        <v/>
      </c>
      <c r="B427" s="18" t="str">
        <f t="shared" si="6"/>
        <v/>
      </c>
    </row>
    <row r="428" spans="1:2" x14ac:dyDescent="0.2">
      <c r="A428" s="18" t="str">
        <f>IF('Frame Sections'!A428=0,"",'Frame Sections'!A428)</f>
        <v/>
      </c>
      <c r="B428" s="18" t="str">
        <f t="shared" si="6"/>
        <v/>
      </c>
    </row>
    <row r="429" spans="1:2" x14ac:dyDescent="0.2">
      <c r="A429" s="18" t="str">
        <f>IF('Frame Sections'!A429=0,"",'Frame Sections'!A429)</f>
        <v/>
      </c>
      <c r="B429" s="18" t="str">
        <f t="shared" si="6"/>
        <v/>
      </c>
    </row>
    <row r="430" spans="1:2" x14ac:dyDescent="0.2">
      <c r="A430" s="18" t="str">
        <f>IF('Frame Sections'!A430=0,"",'Frame Sections'!A430)</f>
        <v/>
      </c>
      <c r="B430" s="18" t="str">
        <f t="shared" si="6"/>
        <v/>
      </c>
    </row>
    <row r="431" spans="1:2" x14ac:dyDescent="0.2">
      <c r="A431" s="18" t="str">
        <f>IF('Frame Sections'!A431=0,"",'Frame Sections'!A431)</f>
        <v/>
      </c>
      <c r="B431" s="18" t="str">
        <f t="shared" si="6"/>
        <v/>
      </c>
    </row>
    <row r="432" spans="1:2" x14ac:dyDescent="0.2">
      <c r="A432" s="18" t="str">
        <f>IF('Frame Sections'!A432=0,"",'Frame Sections'!A432)</f>
        <v/>
      </c>
      <c r="B432" s="18" t="str">
        <f t="shared" si="6"/>
        <v/>
      </c>
    </row>
    <row r="433" spans="1:2" x14ac:dyDescent="0.2">
      <c r="A433" s="18" t="str">
        <f>IF('Frame Sections'!A433=0,"",'Frame Sections'!A433)</f>
        <v/>
      </c>
      <c r="B433" s="18" t="str">
        <f t="shared" si="6"/>
        <v/>
      </c>
    </row>
    <row r="434" spans="1:2" x14ac:dyDescent="0.2">
      <c r="A434" s="18" t="str">
        <f>IF('Frame Sections'!A434=0,"",'Frame Sections'!A434)</f>
        <v/>
      </c>
      <c r="B434" s="18" t="str">
        <f t="shared" si="6"/>
        <v/>
      </c>
    </row>
    <row r="435" spans="1:2" x14ac:dyDescent="0.2">
      <c r="A435" s="18" t="str">
        <f>IF('Frame Sections'!A435=0,"",'Frame Sections'!A435)</f>
        <v/>
      </c>
      <c r="B435" s="18" t="str">
        <f t="shared" si="6"/>
        <v/>
      </c>
    </row>
    <row r="436" spans="1:2" x14ac:dyDescent="0.2">
      <c r="A436" s="18" t="str">
        <f>IF('Frame Sections'!A436=0,"",'Frame Sections'!A436)</f>
        <v/>
      </c>
      <c r="B436" s="18" t="str">
        <f t="shared" si="6"/>
        <v/>
      </c>
    </row>
    <row r="437" spans="1:2" x14ac:dyDescent="0.2">
      <c r="A437" s="18" t="str">
        <f>IF('Frame Sections'!A437=0,"",'Frame Sections'!A437)</f>
        <v/>
      </c>
      <c r="B437" s="18" t="str">
        <f t="shared" si="6"/>
        <v/>
      </c>
    </row>
    <row r="438" spans="1:2" x14ac:dyDescent="0.2">
      <c r="A438" s="18" t="str">
        <f>IF('Frame Sections'!A438=0,"",'Frame Sections'!A438)</f>
        <v/>
      </c>
      <c r="B438" s="18" t="str">
        <f t="shared" si="6"/>
        <v/>
      </c>
    </row>
    <row r="439" spans="1:2" x14ac:dyDescent="0.2">
      <c r="A439" s="18" t="str">
        <f>IF('Frame Sections'!A439=0,"",'Frame Sections'!A439)</f>
        <v/>
      </c>
      <c r="B439" s="18" t="str">
        <f t="shared" si="6"/>
        <v/>
      </c>
    </row>
    <row r="440" spans="1:2" x14ac:dyDescent="0.2">
      <c r="A440" s="18" t="str">
        <f>IF('Frame Sections'!A440=0,"",'Frame Sections'!A440)</f>
        <v/>
      </c>
      <c r="B440" s="18" t="str">
        <f t="shared" si="6"/>
        <v/>
      </c>
    </row>
    <row r="441" spans="1:2" x14ac:dyDescent="0.2">
      <c r="A441" s="18" t="str">
        <f>IF('Frame Sections'!A441=0,"",'Frame Sections'!A441)</f>
        <v/>
      </c>
      <c r="B441" s="18" t="str">
        <f t="shared" si="6"/>
        <v/>
      </c>
    </row>
    <row r="442" spans="1:2" x14ac:dyDescent="0.2">
      <c r="A442" s="18" t="str">
        <f>IF('Frame Sections'!A442=0,"",'Frame Sections'!A442)</f>
        <v/>
      </c>
      <c r="B442" s="18" t="str">
        <f t="shared" si="6"/>
        <v/>
      </c>
    </row>
    <row r="443" spans="1:2" x14ac:dyDescent="0.2">
      <c r="A443" s="18" t="str">
        <f>IF('Frame Sections'!A443=0,"",'Frame Sections'!A443)</f>
        <v/>
      </c>
      <c r="B443" s="18" t="str">
        <f t="shared" si="6"/>
        <v/>
      </c>
    </row>
    <row r="444" spans="1:2" x14ac:dyDescent="0.2">
      <c r="A444" s="18" t="str">
        <f>IF('Frame Sections'!A444=0,"",'Frame Sections'!A444)</f>
        <v/>
      </c>
      <c r="B444" s="18" t="str">
        <f t="shared" si="6"/>
        <v/>
      </c>
    </row>
    <row r="445" spans="1:2" x14ac:dyDescent="0.2">
      <c r="A445" s="18" t="str">
        <f>IF('Frame Sections'!A445=0,"",'Frame Sections'!A445)</f>
        <v/>
      </c>
      <c r="B445" s="18" t="str">
        <f t="shared" si="6"/>
        <v/>
      </c>
    </row>
    <row r="446" spans="1:2" x14ac:dyDescent="0.2">
      <c r="A446" s="18" t="str">
        <f>IF('Frame Sections'!A446=0,"",'Frame Sections'!A446)</f>
        <v/>
      </c>
      <c r="B446" s="18" t="str">
        <f t="shared" si="6"/>
        <v/>
      </c>
    </row>
    <row r="447" spans="1:2" x14ac:dyDescent="0.2">
      <c r="A447" s="18" t="str">
        <f>IF('Frame Sections'!A447=0,"",'Frame Sections'!A447)</f>
        <v/>
      </c>
      <c r="B447" s="18" t="str">
        <f t="shared" si="6"/>
        <v/>
      </c>
    </row>
    <row r="448" spans="1:2" x14ac:dyDescent="0.2">
      <c r="A448" s="18" t="str">
        <f>IF('Frame Sections'!A448=0,"",'Frame Sections'!A448)</f>
        <v/>
      </c>
      <c r="B448" s="18" t="str">
        <f t="shared" si="6"/>
        <v/>
      </c>
    </row>
    <row r="449" spans="1:2" x14ac:dyDescent="0.2">
      <c r="A449" s="18" t="str">
        <f>IF('Frame Sections'!A449=0,"",'Frame Sections'!A449)</f>
        <v/>
      </c>
      <c r="B449" s="18" t="str">
        <f t="shared" si="6"/>
        <v/>
      </c>
    </row>
    <row r="450" spans="1:2" x14ac:dyDescent="0.2">
      <c r="A450" s="18" t="str">
        <f>IF('Frame Sections'!A450=0,"",'Frame Sections'!A450)</f>
        <v/>
      </c>
      <c r="B450" s="18" t="str">
        <f t="shared" ref="B450:B513" si="7">IF(OR(A450=0,A450=""),"",VLOOKUP(A450,SecDB,5,FALSE))</f>
        <v/>
      </c>
    </row>
    <row r="451" spans="1:2" x14ac:dyDescent="0.2">
      <c r="A451" s="18" t="str">
        <f>IF('Frame Sections'!A451=0,"",'Frame Sections'!A451)</f>
        <v/>
      </c>
      <c r="B451" s="18" t="str">
        <f t="shared" si="7"/>
        <v/>
      </c>
    </row>
    <row r="452" spans="1:2" x14ac:dyDescent="0.2">
      <c r="A452" s="18" t="str">
        <f>IF('Frame Sections'!A452=0,"",'Frame Sections'!A452)</f>
        <v/>
      </c>
      <c r="B452" s="18" t="str">
        <f t="shared" si="7"/>
        <v/>
      </c>
    </row>
    <row r="453" spans="1:2" x14ac:dyDescent="0.2">
      <c r="A453" s="18" t="str">
        <f>IF('Frame Sections'!A453=0,"",'Frame Sections'!A453)</f>
        <v/>
      </c>
      <c r="B453" s="18" t="str">
        <f t="shared" si="7"/>
        <v/>
      </c>
    </row>
    <row r="454" spans="1:2" x14ac:dyDescent="0.2">
      <c r="A454" s="18" t="str">
        <f>IF('Frame Sections'!A454=0,"",'Frame Sections'!A454)</f>
        <v/>
      </c>
      <c r="B454" s="18" t="str">
        <f t="shared" si="7"/>
        <v/>
      </c>
    </row>
    <row r="455" spans="1:2" x14ac:dyDescent="0.2">
      <c r="A455" s="18" t="str">
        <f>IF('Frame Sections'!A455=0,"",'Frame Sections'!A455)</f>
        <v/>
      </c>
      <c r="B455" s="18" t="str">
        <f t="shared" si="7"/>
        <v/>
      </c>
    </row>
    <row r="456" spans="1:2" x14ac:dyDescent="0.2">
      <c r="A456" s="18" t="str">
        <f>IF('Frame Sections'!A456=0,"",'Frame Sections'!A456)</f>
        <v/>
      </c>
      <c r="B456" s="18" t="str">
        <f t="shared" si="7"/>
        <v/>
      </c>
    </row>
    <row r="457" spans="1:2" x14ac:dyDescent="0.2">
      <c r="A457" s="18" t="str">
        <f>IF('Frame Sections'!A457=0,"",'Frame Sections'!A457)</f>
        <v/>
      </c>
      <c r="B457" s="18" t="str">
        <f t="shared" si="7"/>
        <v/>
      </c>
    </row>
    <row r="458" spans="1:2" x14ac:dyDescent="0.2">
      <c r="A458" s="18" t="str">
        <f>IF('Frame Sections'!A458=0,"",'Frame Sections'!A458)</f>
        <v/>
      </c>
      <c r="B458" s="18" t="str">
        <f t="shared" si="7"/>
        <v/>
      </c>
    </row>
    <row r="459" spans="1:2" x14ac:dyDescent="0.2">
      <c r="A459" s="18" t="str">
        <f>IF('Frame Sections'!A459=0,"",'Frame Sections'!A459)</f>
        <v/>
      </c>
      <c r="B459" s="18" t="str">
        <f t="shared" si="7"/>
        <v/>
      </c>
    </row>
    <row r="460" spans="1:2" x14ac:dyDescent="0.2">
      <c r="A460" s="18" t="str">
        <f>IF('Frame Sections'!A460=0,"",'Frame Sections'!A460)</f>
        <v/>
      </c>
      <c r="B460" s="18" t="str">
        <f t="shared" si="7"/>
        <v/>
      </c>
    </row>
    <row r="461" spans="1:2" x14ac:dyDescent="0.2">
      <c r="A461" s="18" t="str">
        <f>IF('Frame Sections'!A461=0,"",'Frame Sections'!A461)</f>
        <v/>
      </c>
      <c r="B461" s="18" t="str">
        <f t="shared" si="7"/>
        <v/>
      </c>
    </row>
    <row r="462" spans="1:2" x14ac:dyDescent="0.2">
      <c r="A462" s="18" t="str">
        <f>IF('Frame Sections'!A462=0,"",'Frame Sections'!A462)</f>
        <v/>
      </c>
      <c r="B462" s="18" t="str">
        <f t="shared" si="7"/>
        <v/>
      </c>
    </row>
    <row r="463" spans="1:2" x14ac:dyDescent="0.2">
      <c r="A463" s="18" t="str">
        <f>IF('Frame Sections'!A463=0,"",'Frame Sections'!A463)</f>
        <v/>
      </c>
      <c r="B463" s="18" t="str">
        <f t="shared" si="7"/>
        <v/>
      </c>
    </row>
    <row r="464" spans="1:2" x14ac:dyDescent="0.2">
      <c r="A464" s="18" t="str">
        <f>IF('Frame Sections'!A464=0,"",'Frame Sections'!A464)</f>
        <v/>
      </c>
      <c r="B464" s="18" t="str">
        <f t="shared" si="7"/>
        <v/>
      </c>
    </row>
    <row r="465" spans="1:2" x14ac:dyDescent="0.2">
      <c r="A465" s="18" t="str">
        <f>IF('Frame Sections'!A465=0,"",'Frame Sections'!A465)</f>
        <v/>
      </c>
      <c r="B465" s="18" t="str">
        <f t="shared" si="7"/>
        <v/>
      </c>
    </row>
    <row r="466" spans="1:2" x14ac:dyDescent="0.2">
      <c r="A466" s="18" t="str">
        <f>IF('Frame Sections'!A466=0,"",'Frame Sections'!A466)</f>
        <v/>
      </c>
      <c r="B466" s="18" t="str">
        <f t="shared" si="7"/>
        <v/>
      </c>
    </row>
    <row r="467" spans="1:2" x14ac:dyDescent="0.2">
      <c r="A467" s="18" t="str">
        <f>IF('Frame Sections'!A467=0,"",'Frame Sections'!A467)</f>
        <v/>
      </c>
      <c r="B467" s="18" t="str">
        <f t="shared" si="7"/>
        <v/>
      </c>
    </row>
    <row r="468" spans="1:2" x14ac:dyDescent="0.2">
      <c r="A468" s="18" t="str">
        <f>IF('Frame Sections'!A468=0,"",'Frame Sections'!A468)</f>
        <v/>
      </c>
      <c r="B468" s="18" t="str">
        <f t="shared" si="7"/>
        <v/>
      </c>
    </row>
    <row r="469" spans="1:2" x14ac:dyDescent="0.2">
      <c r="A469" s="18" t="str">
        <f>IF('Frame Sections'!A469=0,"",'Frame Sections'!A469)</f>
        <v/>
      </c>
      <c r="B469" s="18" t="str">
        <f t="shared" si="7"/>
        <v/>
      </c>
    </row>
    <row r="470" spans="1:2" x14ac:dyDescent="0.2">
      <c r="A470" s="18" t="str">
        <f>IF('Frame Sections'!A470=0,"",'Frame Sections'!A470)</f>
        <v/>
      </c>
      <c r="B470" s="18" t="str">
        <f t="shared" si="7"/>
        <v/>
      </c>
    </row>
    <row r="471" spans="1:2" x14ac:dyDescent="0.2">
      <c r="A471" s="18" t="str">
        <f>IF('Frame Sections'!A471=0,"",'Frame Sections'!A471)</f>
        <v/>
      </c>
      <c r="B471" s="18" t="str">
        <f t="shared" si="7"/>
        <v/>
      </c>
    </row>
    <row r="472" spans="1:2" x14ac:dyDescent="0.2">
      <c r="A472" s="18" t="str">
        <f>IF('Frame Sections'!A472=0,"",'Frame Sections'!A472)</f>
        <v/>
      </c>
      <c r="B472" s="18" t="str">
        <f t="shared" si="7"/>
        <v/>
      </c>
    </row>
    <row r="473" spans="1:2" x14ac:dyDescent="0.2">
      <c r="A473" s="18" t="str">
        <f>IF('Frame Sections'!A473=0,"",'Frame Sections'!A473)</f>
        <v/>
      </c>
      <c r="B473" s="18" t="str">
        <f t="shared" si="7"/>
        <v/>
      </c>
    </row>
    <row r="474" spans="1:2" x14ac:dyDescent="0.2">
      <c r="A474" s="18" t="str">
        <f>IF('Frame Sections'!A474=0,"",'Frame Sections'!A474)</f>
        <v/>
      </c>
      <c r="B474" s="18" t="str">
        <f t="shared" si="7"/>
        <v/>
      </c>
    </row>
    <row r="475" spans="1:2" x14ac:dyDescent="0.2">
      <c r="A475" s="18" t="str">
        <f>IF('Frame Sections'!A475=0,"",'Frame Sections'!A475)</f>
        <v/>
      </c>
      <c r="B475" s="18" t="str">
        <f t="shared" si="7"/>
        <v/>
      </c>
    </row>
    <row r="476" spans="1:2" x14ac:dyDescent="0.2">
      <c r="A476" s="18" t="str">
        <f>IF('Frame Sections'!A476=0,"",'Frame Sections'!A476)</f>
        <v/>
      </c>
      <c r="B476" s="18" t="str">
        <f t="shared" si="7"/>
        <v/>
      </c>
    </row>
    <row r="477" spans="1:2" x14ac:dyDescent="0.2">
      <c r="A477" s="18" t="str">
        <f>IF('Frame Sections'!A477=0,"",'Frame Sections'!A477)</f>
        <v/>
      </c>
      <c r="B477" s="18" t="str">
        <f t="shared" si="7"/>
        <v/>
      </c>
    </row>
    <row r="478" spans="1:2" x14ac:dyDescent="0.2">
      <c r="A478" s="18" t="str">
        <f>IF('Frame Sections'!A478=0,"",'Frame Sections'!A478)</f>
        <v/>
      </c>
      <c r="B478" s="18" t="str">
        <f t="shared" si="7"/>
        <v/>
      </c>
    </row>
    <row r="479" spans="1:2" x14ac:dyDescent="0.2">
      <c r="A479" s="18" t="str">
        <f>IF('Frame Sections'!A479=0,"",'Frame Sections'!A479)</f>
        <v/>
      </c>
      <c r="B479" s="18" t="str">
        <f t="shared" si="7"/>
        <v/>
      </c>
    </row>
    <row r="480" spans="1:2" x14ac:dyDescent="0.2">
      <c r="A480" s="18" t="str">
        <f>IF('Frame Sections'!A480=0,"",'Frame Sections'!A480)</f>
        <v/>
      </c>
      <c r="B480" s="18" t="str">
        <f t="shared" si="7"/>
        <v/>
      </c>
    </row>
    <row r="481" spans="1:2" x14ac:dyDescent="0.2">
      <c r="A481" s="18" t="str">
        <f>IF('Frame Sections'!A481=0,"",'Frame Sections'!A481)</f>
        <v/>
      </c>
      <c r="B481" s="18" t="str">
        <f t="shared" si="7"/>
        <v/>
      </c>
    </row>
    <row r="482" spans="1:2" x14ac:dyDescent="0.2">
      <c r="A482" s="18" t="str">
        <f>IF('Frame Sections'!A482=0,"",'Frame Sections'!A482)</f>
        <v/>
      </c>
      <c r="B482" s="18" t="str">
        <f t="shared" si="7"/>
        <v/>
      </c>
    </row>
    <row r="483" spans="1:2" x14ac:dyDescent="0.2">
      <c r="A483" s="18" t="str">
        <f>IF('Frame Sections'!A483=0,"",'Frame Sections'!A483)</f>
        <v/>
      </c>
      <c r="B483" s="18" t="str">
        <f t="shared" si="7"/>
        <v/>
      </c>
    </row>
    <row r="484" spans="1:2" x14ac:dyDescent="0.2">
      <c r="A484" s="18" t="str">
        <f>IF('Frame Sections'!A484=0,"",'Frame Sections'!A484)</f>
        <v/>
      </c>
      <c r="B484" s="18" t="str">
        <f t="shared" si="7"/>
        <v/>
      </c>
    </row>
    <row r="485" spans="1:2" x14ac:dyDescent="0.2">
      <c r="A485" s="18" t="str">
        <f>IF('Frame Sections'!A485=0,"",'Frame Sections'!A485)</f>
        <v/>
      </c>
      <c r="B485" s="18" t="str">
        <f t="shared" si="7"/>
        <v/>
      </c>
    </row>
    <row r="486" spans="1:2" x14ac:dyDescent="0.2">
      <c r="A486" s="18" t="str">
        <f>IF('Frame Sections'!A486=0,"",'Frame Sections'!A486)</f>
        <v/>
      </c>
      <c r="B486" s="18" t="str">
        <f t="shared" si="7"/>
        <v/>
      </c>
    </row>
    <row r="487" spans="1:2" x14ac:dyDescent="0.2">
      <c r="A487" s="18" t="str">
        <f>IF('Frame Sections'!A487=0,"",'Frame Sections'!A487)</f>
        <v/>
      </c>
      <c r="B487" s="18" t="str">
        <f t="shared" si="7"/>
        <v/>
      </c>
    </row>
    <row r="488" spans="1:2" x14ac:dyDescent="0.2">
      <c r="A488" s="18" t="str">
        <f>IF('Frame Sections'!A488=0,"",'Frame Sections'!A488)</f>
        <v/>
      </c>
      <c r="B488" s="18" t="str">
        <f t="shared" si="7"/>
        <v/>
      </c>
    </row>
    <row r="489" spans="1:2" x14ac:dyDescent="0.2">
      <c r="A489" s="18" t="str">
        <f>IF('Frame Sections'!A489=0,"",'Frame Sections'!A489)</f>
        <v/>
      </c>
      <c r="B489" s="18" t="str">
        <f t="shared" si="7"/>
        <v/>
      </c>
    </row>
    <row r="490" spans="1:2" x14ac:dyDescent="0.2">
      <c r="A490" s="18" t="str">
        <f>IF('Frame Sections'!A490=0,"",'Frame Sections'!A490)</f>
        <v/>
      </c>
      <c r="B490" s="18" t="str">
        <f t="shared" si="7"/>
        <v/>
      </c>
    </row>
    <row r="491" spans="1:2" x14ac:dyDescent="0.2">
      <c r="A491" s="18" t="str">
        <f>IF('Frame Sections'!A491=0,"",'Frame Sections'!A491)</f>
        <v/>
      </c>
      <c r="B491" s="18" t="str">
        <f t="shared" si="7"/>
        <v/>
      </c>
    </row>
    <row r="492" spans="1:2" x14ac:dyDescent="0.2">
      <c r="A492" s="18" t="str">
        <f>IF('Frame Sections'!A492=0,"",'Frame Sections'!A492)</f>
        <v/>
      </c>
      <c r="B492" s="18" t="str">
        <f t="shared" si="7"/>
        <v/>
      </c>
    </row>
    <row r="493" spans="1:2" x14ac:dyDescent="0.2">
      <c r="A493" s="18" t="str">
        <f>IF('Frame Sections'!A493=0,"",'Frame Sections'!A493)</f>
        <v/>
      </c>
      <c r="B493" s="18" t="str">
        <f t="shared" si="7"/>
        <v/>
      </c>
    </row>
    <row r="494" spans="1:2" x14ac:dyDescent="0.2">
      <c r="A494" s="18" t="str">
        <f>IF('Frame Sections'!A494=0,"",'Frame Sections'!A494)</f>
        <v/>
      </c>
      <c r="B494" s="18" t="str">
        <f t="shared" si="7"/>
        <v/>
      </c>
    </row>
    <row r="495" spans="1:2" x14ac:dyDescent="0.2">
      <c r="A495" s="18" t="str">
        <f>IF('Frame Sections'!A495=0,"",'Frame Sections'!A495)</f>
        <v/>
      </c>
      <c r="B495" s="18" t="str">
        <f t="shared" si="7"/>
        <v/>
      </c>
    </row>
    <row r="496" spans="1:2" x14ac:dyDescent="0.2">
      <c r="A496" s="18" t="str">
        <f>IF('Frame Sections'!A496=0,"",'Frame Sections'!A496)</f>
        <v/>
      </c>
      <c r="B496" s="18" t="str">
        <f t="shared" si="7"/>
        <v/>
      </c>
    </row>
    <row r="497" spans="1:2" x14ac:dyDescent="0.2">
      <c r="A497" s="18" t="str">
        <f>IF('Frame Sections'!A497=0,"",'Frame Sections'!A497)</f>
        <v/>
      </c>
      <c r="B497" s="18" t="str">
        <f t="shared" si="7"/>
        <v/>
      </c>
    </row>
    <row r="498" spans="1:2" x14ac:dyDescent="0.2">
      <c r="A498" s="18" t="str">
        <f>IF('Frame Sections'!A498=0,"",'Frame Sections'!A498)</f>
        <v/>
      </c>
      <c r="B498" s="18" t="str">
        <f t="shared" si="7"/>
        <v/>
      </c>
    </row>
    <row r="499" spans="1:2" x14ac:dyDescent="0.2">
      <c r="A499" s="18" t="str">
        <f>IF('Frame Sections'!A499=0,"",'Frame Sections'!A499)</f>
        <v/>
      </c>
      <c r="B499" s="18" t="str">
        <f t="shared" si="7"/>
        <v/>
      </c>
    </row>
    <row r="500" spans="1:2" x14ac:dyDescent="0.2">
      <c r="A500" s="18" t="str">
        <f>IF('Frame Sections'!A500=0,"",'Frame Sections'!A500)</f>
        <v/>
      </c>
      <c r="B500" s="18" t="str">
        <f t="shared" si="7"/>
        <v/>
      </c>
    </row>
    <row r="501" spans="1:2" x14ac:dyDescent="0.2">
      <c r="A501" s="18" t="str">
        <f>IF('Frame Sections'!A501=0,"",'Frame Sections'!A501)</f>
        <v/>
      </c>
      <c r="B501" s="18" t="str">
        <f t="shared" si="7"/>
        <v/>
      </c>
    </row>
    <row r="502" spans="1:2" x14ac:dyDescent="0.2">
      <c r="A502" s="18" t="str">
        <f>IF('Frame Sections'!A502=0,"",'Frame Sections'!A502)</f>
        <v/>
      </c>
      <c r="B502" s="18" t="str">
        <f t="shared" si="7"/>
        <v/>
      </c>
    </row>
    <row r="503" spans="1:2" x14ac:dyDescent="0.2">
      <c r="A503" s="18" t="str">
        <f>IF('Frame Sections'!A503=0,"",'Frame Sections'!A503)</f>
        <v/>
      </c>
      <c r="B503" s="18" t="str">
        <f t="shared" si="7"/>
        <v/>
      </c>
    </row>
    <row r="504" spans="1:2" x14ac:dyDescent="0.2">
      <c r="A504" s="18" t="str">
        <f>IF('Frame Sections'!A504=0,"",'Frame Sections'!A504)</f>
        <v/>
      </c>
      <c r="B504" s="18" t="str">
        <f t="shared" si="7"/>
        <v/>
      </c>
    </row>
    <row r="505" spans="1:2" x14ac:dyDescent="0.2">
      <c r="A505" s="18" t="str">
        <f>IF('Frame Sections'!A505=0,"",'Frame Sections'!A505)</f>
        <v/>
      </c>
      <c r="B505" s="18" t="str">
        <f t="shared" si="7"/>
        <v/>
      </c>
    </row>
    <row r="506" spans="1:2" x14ac:dyDescent="0.2">
      <c r="A506" s="18" t="str">
        <f>IF('Frame Sections'!A506=0,"",'Frame Sections'!A506)</f>
        <v/>
      </c>
      <c r="B506" s="18" t="str">
        <f t="shared" si="7"/>
        <v/>
      </c>
    </row>
    <row r="507" spans="1:2" x14ac:dyDescent="0.2">
      <c r="A507" s="18" t="str">
        <f>IF('Frame Sections'!A507=0,"",'Frame Sections'!A507)</f>
        <v/>
      </c>
      <c r="B507" s="18" t="str">
        <f t="shared" si="7"/>
        <v/>
      </c>
    </row>
    <row r="508" spans="1:2" x14ac:dyDescent="0.2">
      <c r="A508" s="18" t="str">
        <f>IF('Frame Sections'!A508=0,"",'Frame Sections'!A508)</f>
        <v/>
      </c>
      <c r="B508" s="18" t="str">
        <f t="shared" si="7"/>
        <v/>
      </c>
    </row>
    <row r="509" spans="1:2" x14ac:dyDescent="0.2">
      <c r="A509" s="18" t="str">
        <f>IF('Frame Sections'!A509=0,"",'Frame Sections'!A509)</f>
        <v/>
      </c>
      <c r="B509" s="18" t="str">
        <f t="shared" si="7"/>
        <v/>
      </c>
    </row>
    <row r="510" spans="1:2" x14ac:dyDescent="0.2">
      <c r="A510" s="18" t="str">
        <f>IF('Frame Sections'!A510=0,"",'Frame Sections'!A510)</f>
        <v/>
      </c>
      <c r="B510" s="18" t="str">
        <f t="shared" si="7"/>
        <v/>
      </c>
    </row>
    <row r="511" spans="1:2" x14ac:dyDescent="0.2">
      <c r="A511" s="18" t="str">
        <f>IF('Frame Sections'!A511=0,"",'Frame Sections'!A511)</f>
        <v/>
      </c>
      <c r="B511" s="18" t="str">
        <f t="shared" si="7"/>
        <v/>
      </c>
    </row>
    <row r="512" spans="1:2" x14ac:dyDescent="0.2">
      <c r="A512" s="18" t="str">
        <f>IF('Frame Sections'!A512=0,"",'Frame Sections'!A512)</f>
        <v/>
      </c>
      <c r="B512" s="18" t="str">
        <f t="shared" si="7"/>
        <v/>
      </c>
    </row>
    <row r="513" spans="1:2" x14ac:dyDescent="0.2">
      <c r="A513" s="18" t="str">
        <f>IF('Frame Sections'!A513=0,"",'Frame Sections'!A513)</f>
        <v/>
      </c>
      <c r="B513" s="18" t="str">
        <f t="shared" si="7"/>
        <v/>
      </c>
    </row>
    <row r="514" spans="1:2" x14ac:dyDescent="0.2">
      <c r="A514" s="18" t="str">
        <f>IF('Frame Sections'!A514=0,"",'Frame Sections'!A514)</f>
        <v/>
      </c>
      <c r="B514" s="18" t="str">
        <f t="shared" ref="B514:B577" si="8">IF(OR(A514=0,A514=""),"",VLOOKUP(A514,SecDB,5,FALSE))</f>
        <v/>
      </c>
    </row>
    <row r="515" spans="1:2" x14ac:dyDescent="0.2">
      <c r="A515" s="18" t="str">
        <f>IF('Frame Sections'!A515=0,"",'Frame Sections'!A515)</f>
        <v/>
      </c>
      <c r="B515" s="18" t="str">
        <f t="shared" si="8"/>
        <v/>
      </c>
    </row>
    <row r="516" spans="1:2" x14ac:dyDescent="0.2">
      <c r="A516" s="18" t="str">
        <f>IF('Frame Sections'!A516=0,"",'Frame Sections'!A516)</f>
        <v/>
      </c>
      <c r="B516" s="18" t="str">
        <f t="shared" si="8"/>
        <v/>
      </c>
    </row>
    <row r="517" spans="1:2" x14ac:dyDescent="0.2">
      <c r="A517" s="18" t="str">
        <f>IF('Frame Sections'!A517=0,"",'Frame Sections'!A517)</f>
        <v/>
      </c>
      <c r="B517" s="18" t="str">
        <f t="shared" si="8"/>
        <v/>
      </c>
    </row>
    <row r="518" spans="1:2" x14ac:dyDescent="0.2">
      <c r="A518" s="18" t="str">
        <f>IF('Frame Sections'!A518=0,"",'Frame Sections'!A518)</f>
        <v/>
      </c>
      <c r="B518" s="18" t="str">
        <f t="shared" si="8"/>
        <v/>
      </c>
    </row>
    <row r="519" spans="1:2" x14ac:dyDescent="0.2">
      <c r="A519" s="18" t="str">
        <f>IF('Frame Sections'!A519=0,"",'Frame Sections'!A519)</f>
        <v/>
      </c>
      <c r="B519" s="18" t="str">
        <f t="shared" si="8"/>
        <v/>
      </c>
    </row>
    <row r="520" spans="1:2" x14ac:dyDescent="0.2">
      <c r="A520" s="18" t="str">
        <f>IF('Frame Sections'!A520=0,"",'Frame Sections'!A520)</f>
        <v/>
      </c>
      <c r="B520" s="18" t="str">
        <f t="shared" si="8"/>
        <v/>
      </c>
    </row>
    <row r="521" spans="1:2" x14ac:dyDescent="0.2">
      <c r="A521" s="18" t="str">
        <f>IF('Frame Sections'!A521=0,"",'Frame Sections'!A521)</f>
        <v/>
      </c>
      <c r="B521" s="18" t="str">
        <f t="shared" si="8"/>
        <v/>
      </c>
    </row>
    <row r="522" spans="1:2" x14ac:dyDescent="0.2">
      <c r="A522" s="18" t="str">
        <f>IF('Frame Sections'!A522=0,"",'Frame Sections'!A522)</f>
        <v/>
      </c>
      <c r="B522" s="18" t="str">
        <f t="shared" si="8"/>
        <v/>
      </c>
    </row>
    <row r="523" spans="1:2" x14ac:dyDescent="0.2">
      <c r="A523" s="18" t="str">
        <f>IF('Frame Sections'!A523=0,"",'Frame Sections'!A523)</f>
        <v/>
      </c>
      <c r="B523" s="18" t="str">
        <f t="shared" si="8"/>
        <v/>
      </c>
    </row>
    <row r="524" spans="1:2" x14ac:dyDescent="0.2">
      <c r="A524" s="18" t="str">
        <f>IF('Frame Sections'!A524=0,"",'Frame Sections'!A524)</f>
        <v/>
      </c>
      <c r="B524" s="18" t="str">
        <f t="shared" si="8"/>
        <v/>
      </c>
    </row>
    <row r="525" spans="1:2" x14ac:dyDescent="0.2">
      <c r="A525" s="18" t="str">
        <f>IF('Frame Sections'!A525=0,"",'Frame Sections'!A525)</f>
        <v/>
      </c>
      <c r="B525" s="18" t="str">
        <f t="shared" si="8"/>
        <v/>
      </c>
    </row>
    <row r="526" spans="1:2" x14ac:dyDescent="0.2">
      <c r="A526" s="18" t="str">
        <f>IF('Frame Sections'!A526=0,"",'Frame Sections'!A526)</f>
        <v/>
      </c>
      <c r="B526" s="18" t="str">
        <f t="shared" si="8"/>
        <v/>
      </c>
    </row>
    <row r="527" spans="1:2" x14ac:dyDescent="0.2">
      <c r="A527" s="18" t="str">
        <f>IF('Frame Sections'!A527=0,"",'Frame Sections'!A527)</f>
        <v/>
      </c>
      <c r="B527" s="18" t="str">
        <f t="shared" si="8"/>
        <v/>
      </c>
    </row>
    <row r="528" spans="1:2" x14ac:dyDescent="0.2">
      <c r="A528" s="18" t="str">
        <f>IF('Frame Sections'!A528=0,"",'Frame Sections'!A528)</f>
        <v/>
      </c>
      <c r="B528" s="18" t="str">
        <f t="shared" si="8"/>
        <v/>
      </c>
    </row>
    <row r="529" spans="1:2" x14ac:dyDescent="0.2">
      <c r="A529" s="18" t="str">
        <f>IF('Frame Sections'!A529=0,"",'Frame Sections'!A529)</f>
        <v/>
      </c>
      <c r="B529" s="18" t="str">
        <f t="shared" si="8"/>
        <v/>
      </c>
    </row>
    <row r="530" spans="1:2" x14ac:dyDescent="0.2">
      <c r="A530" s="18" t="str">
        <f>IF('Frame Sections'!A530=0,"",'Frame Sections'!A530)</f>
        <v/>
      </c>
      <c r="B530" s="18" t="str">
        <f t="shared" si="8"/>
        <v/>
      </c>
    </row>
    <row r="531" spans="1:2" x14ac:dyDescent="0.2">
      <c r="A531" s="18" t="str">
        <f>IF('Frame Sections'!A531=0,"",'Frame Sections'!A531)</f>
        <v/>
      </c>
      <c r="B531" s="18" t="str">
        <f t="shared" si="8"/>
        <v/>
      </c>
    </row>
    <row r="532" spans="1:2" x14ac:dyDescent="0.2">
      <c r="A532" s="18" t="str">
        <f>IF('Frame Sections'!A532=0,"",'Frame Sections'!A532)</f>
        <v/>
      </c>
      <c r="B532" s="18" t="str">
        <f t="shared" si="8"/>
        <v/>
      </c>
    </row>
    <row r="533" spans="1:2" x14ac:dyDescent="0.2">
      <c r="A533" s="18" t="str">
        <f>IF('Frame Sections'!A533=0,"",'Frame Sections'!A533)</f>
        <v/>
      </c>
      <c r="B533" s="18" t="str">
        <f t="shared" si="8"/>
        <v/>
      </c>
    </row>
    <row r="534" spans="1:2" x14ac:dyDescent="0.2">
      <c r="A534" s="18" t="str">
        <f>IF('Frame Sections'!A534=0,"",'Frame Sections'!A534)</f>
        <v/>
      </c>
      <c r="B534" s="18" t="str">
        <f t="shared" si="8"/>
        <v/>
      </c>
    </row>
    <row r="535" spans="1:2" x14ac:dyDescent="0.2">
      <c r="A535" s="18" t="str">
        <f>IF('Frame Sections'!A535=0,"",'Frame Sections'!A535)</f>
        <v/>
      </c>
      <c r="B535" s="18" t="str">
        <f t="shared" si="8"/>
        <v/>
      </c>
    </row>
    <row r="536" spans="1:2" x14ac:dyDescent="0.2">
      <c r="A536" s="18" t="str">
        <f>IF('Frame Sections'!A536=0,"",'Frame Sections'!A536)</f>
        <v/>
      </c>
      <c r="B536" s="18" t="str">
        <f t="shared" si="8"/>
        <v/>
      </c>
    </row>
    <row r="537" spans="1:2" x14ac:dyDescent="0.2">
      <c r="A537" s="18" t="str">
        <f>IF('Frame Sections'!A537=0,"",'Frame Sections'!A537)</f>
        <v/>
      </c>
      <c r="B537" s="18" t="str">
        <f t="shared" si="8"/>
        <v/>
      </c>
    </row>
    <row r="538" spans="1:2" x14ac:dyDescent="0.2">
      <c r="A538" s="18" t="str">
        <f>IF('Frame Sections'!A538=0,"",'Frame Sections'!A538)</f>
        <v/>
      </c>
      <c r="B538" s="18" t="str">
        <f t="shared" si="8"/>
        <v/>
      </c>
    </row>
    <row r="539" spans="1:2" x14ac:dyDescent="0.2">
      <c r="A539" s="18" t="str">
        <f>IF('Frame Sections'!A539=0,"",'Frame Sections'!A539)</f>
        <v/>
      </c>
      <c r="B539" s="18" t="str">
        <f t="shared" si="8"/>
        <v/>
      </c>
    </row>
    <row r="540" spans="1:2" x14ac:dyDescent="0.2">
      <c r="A540" s="18" t="str">
        <f>IF('Frame Sections'!A540=0,"",'Frame Sections'!A540)</f>
        <v/>
      </c>
      <c r="B540" s="18" t="str">
        <f t="shared" si="8"/>
        <v/>
      </c>
    </row>
    <row r="541" spans="1:2" x14ac:dyDescent="0.2">
      <c r="A541" s="18" t="str">
        <f>IF('Frame Sections'!A541=0,"",'Frame Sections'!A541)</f>
        <v/>
      </c>
      <c r="B541" s="18" t="str">
        <f t="shared" si="8"/>
        <v/>
      </c>
    </row>
    <row r="542" spans="1:2" x14ac:dyDescent="0.2">
      <c r="A542" s="18" t="str">
        <f>IF('Frame Sections'!A542=0,"",'Frame Sections'!A542)</f>
        <v/>
      </c>
      <c r="B542" s="18" t="str">
        <f t="shared" si="8"/>
        <v/>
      </c>
    </row>
    <row r="543" spans="1:2" x14ac:dyDescent="0.2">
      <c r="A543" s="18" t="str">
        <f>IF('Frame Sections'!A543=0,"",'Frame Sections'!A543)</f>
        <v/>
      </c>
      <c r="B543" s="18" t="str">
        <f t="shared" si="8"/>
        <v/>
      </c>
    </row>
    <row r="544" spans="1:2" x14ac:dyDescent="0.2">
      <c r="A544" s="18" t="str">
        <f>IF('Frame Sections'!A544=0,"",'Frame Sections'!A544)</f>
        <v/>
      </c>
      <c r="B544" s="18" t="str">
        <f t="shared" si="8"/>
        <v/>
      </c>
    </row>
    <row r="545" spans="1:2" x14ac:dyDescent="0.2">
      <c r="A545" s="18" t="str">
        <f>IF('Frame Sections'!A545=0,"",'Frame Sections'!A545)</f>
        <v/>
      </c>
      <c r="B545" s="18" t="str">
        <f t="shared" si="8"/>
        <v/>
      </c>
    </row>
    <row r="546" spans="1:2" x14ac:dyDescent="0.2">
      <c r="A546" s="18" t="str">
        <f>IF('Frame Sections'!A546=0,"",'Frame Sections'!A546)</f>
        <v/>
      </c>
      <c r="B546" s="18" t="str">
        <f t="shared" si="8"/>
        <v/>
      </c>
    </row>
    <row r="547" spans="1:2" x14ac:dyDescent="0.2">
      <c r="A547" s="18" t="str">
        <f>IF('Frame Sections'!A547=0,"",'Frame Sections'!A547)</f>
        <v/>
      </c>
      <c r="B547" s="18" t="str">
        <f t="shared" si="8"/>
        <v/>
      </c>
    </row>
    <row r="548" spans="1:2" x14ac:dyDescent="0.2">
      <c r="A548" s="18" t="str">
        <f>IF('Frame Sections'!A548=0,"",'Frame Sections'!A548)</f>
        <v/>
      </c>
      <c r="B548" s="18" t="str">
        <f t="shared" si="8"/>
        <v/>
      </c>
    </row>
    <row r="549" spans="1:2" x14ac:dyDescent="0.2">
      <c r="A549" s="18" t="str">
        <f>IF('Frame Sections'!A549=0,"",'Frame Sections'!A549)</f>
        <v/>
      </c>
      <c r="B549" s="18" t="str">
        <f t="shared" si="8"/>
        <v/>
      </c>
    </row>
    <row r="550" spans="1:2" x14ac:dyDescent="0.2">
      <c r="A550" s="18" t="str">
        <f>IF('Frame Sections'!A550=0,"",'Frame Sections'!A550)</f>
        <v/>
      </c>
      <c r="B550" s="18" t="str">
        <f t="shared" si="8"/>
        <v/>
      </c>
    </row>
    <row r="551" spans="1:2" x14ac:dyDescent="0.2">
      <c r="A551" s="18" t="str">
        <f>IF('Frame Sections'!A551=0,"",'Frame Sections'!A551)</f>
        <v/>
      </c>
      <c r="B551" s="18" t="str">
        <f t="shared" si="8"/>
        <v/>
      </c>
    </row>
    <row r="552" spans="1:2" x14ac:dyDescent="0.2">
      <c r="A552" s="18" t="str">
        <f>IF('Frame Sections'!A552=0,"",'Frame Sections'!A552)</f>
        <v/>
      </c>
      <c r="B552" s="18" t="str">
        <f t="shared" si="8"/>
        <v/>
      </c>
    </row>
    <row r="553" spans="1:2" x14ac:dyDescent="0.2">
      <c r="A553" s="18" t="str">
        <f>IF('Frame Sections'!A553=0,"",'Frame Sections'!A553)</f>
        <v/>
      </c>
      <c r="B553" s="18" t="str">
        <f t="shared" si="8"/>
        <v/>
      </c>
    </row>
    <row r="554" spans="1:2" x14ac:dyDescent="0.2">
      <c r="A554" s="18" t="str">
        <f>IF('Frame Sections'!A554=0,"",'Frame Sections'!A554)</f>
        <v/>
      </c>
      <c r="B554" s="18" t="str">
        <f t="shared" si="8"/>
        <v/>
      </c>
    </row>
    <row r="555" spans="1:2" x14ac:dyDescent="0.2">
      <c r="A555" s="18" t="str">
        <f>IF('Frame Sections'!A555=0,"",'Frame Sections'!A555)</f>
        <v/>
      </c>
      <c r="B555" s="18" t="str">
        <f t="shared" si="8"/>
        <v/>
      </c>
    </row>
    <row r="556" spans="1:2" x14ac:dyDescent="0.2">
      <c r="A556" s="18" t="str">
        <f>IF('Frame Sections'!A556=0,"",'Frame Sections'!A556)</f>
        <v/>
      </c>
      <c r="B556" s="18" t="str">
        <f t="shared" si="8"/>
        <v/>
      </c>
    </row>
    <row r="557" spans="1:2" x14ac:dyDescent="0.2">
      <c r="A557" s="18" t="str">
        <f>IF('Frame Sections'!A557=0,"",'Frame Sections'!A557)</f>
        <v/>
      </c>
      <c r="B557" s="18" t="str">
        <f t="shared" si="8"/>
        <v/>
      </c>
    </row>
    <row r="558" spans="1:2" x14ac:dyDescent="0.2">
      <c r="A558" s="18" t="str">
        <f>IF('Frame Sections'!A558=0,"",'Frame Sections'!A558)</f>
        <v/>
      </c>
      <c r="B558" s="18" t="str">
        <f t="shared" si="8"/>
        <v/>
      </c>
    </row>
    <row r="559" spans="1:2" x14ac:dyDescent="0.2">
      <c r="A559" s="18" t="str">
        <f>IF('Frame Sections'!A559=0,"",'Frame Sections'!A559)</f>
        <v/>
      </c>
      <c r="B559" s="18" t="str">
        <f t="shared" si="8"/>
        <v/>
      </c>
    </row>
    <row r="560" spans="1:2" x14ac:dyDescent="0.2">
      <c r="A560" s="18" t="str">
        <f>IF('Frame Sections'!A560=0,"",'Frame Sections'!A560)</f>
        <v/>
      </c>
      <c r="B560" s="18" t="str">
        <f t="shared" si="8"/>
        <v/>
      </c>
    </row>
    <row r="561" spans="1:2" x14ac:dyDescent="0.2">
      <c r="A561" s="18" t="str">
        <f>IF('Frame Sections'!A561=0,"",'Frame Sections'!A561)</f>
        <v/>
      </c>
      <c r="B561" s="18" t="str">
        <f t="shared" si="8"/>
        <v/>
      </c>
    </row>
    <row r="562" spans="1:2" x14ac:dyDescent="0.2">
      <c r="A562" s="18" t="str">
        <f>IF('Frame Sections'!A562=0,"",'Frame Sections'!A562)</f>
        <v/>
      </c>
      <c r="B562" s="18" t="str">
        <f t="shared" si="8"/>
        <v/>
      </c>
    </row>
    <row r="563" spans="1:2" x14ac:dyDescent="0.2">
      <c r="A563" s="18" t="str">
        <f>IF('Frame Sections'!A563=0,"",'Frame Sections'!A563)</f>
        <v/>
      </c>
      <c r="B563" s="18" t="str">
        <f t="shared" si="8"/>
        <v/>
      </c>
    </row>
    <row r="564" spans="1:2" x14ac:dyDescent="0.2">
      <c r="A564" s="18" t="str">
        <f>IF('Frame Sections'!A564=0,"",'Frame Sections'!A564)</f>
        <v/>
      </c>
      <c r="B564" s="18" t="str">
        <f t="shared" si="8"/>
        <v/>
      </c>
    </row>
    <row r="565" spans="1:2" x14ac:dyDescent="0.2">
      <c r="A565" s="18" t="str">
        <f>IF('Frame Sections'!A565=0,"",'Frame Sections'!A565)</f>
        <v/>
      </c>
      <c r="B565" s="18" t="str">
        <f t="shared" si="8"/>
        <v/>
      </c>
    </row>
    <row r="566" spans="1:2" x14ac:dyDescent="0.2">
      <c r="A566" s="18" t="str">
        <f>IF('Frame Sections'!A566=0,"",'Frame Sections'!A566)</f>
        <v/>
      </c>
      <c r="B566" s="18" t="str">
        <f t="shared" si="8"/>
        <v/>
      </c>
    </row>
    <row r="567" spans="1:2" x14ac:dyDescent="0.2">
      <c r="A567" s="18" t="str">
        <f>IF('Frame Sections'!A567=0,"",'Frame Sections'!A567)</f>
        <v/>
      </c>
      <c r="B567" s="18" t="str">
        <f t="shared" si="8"/>
        <v/>
      </c>
    </row>
    <row r="568" spans="1:2" x14ac:dyDescent="0.2">
      <c r="A568" s="18" t="str">
        <f>IF('Frame Sections'!A568=0,"",'Frame Sections'!A568)</f>
        <v/>
      </c>
      <c r="B568" s="18" t="str">
        <f t="shared" si="8"/>
        <v/>
      </c>
    </row>
    <row r="569" spans="1:2" x14ac:dyDescent="0.2">
      <c r="A569" s="18" t="str">
        <f>IF('Frame Sections'!A569=0,"",'Frame Sections'!A569)</f>
        <v/>
      </c>
      <c r="B569" s="18" t="str">
        <f t="shared" si="8"/>
        <v/>
      </c>
    </row>
    <row r="570" spans="1:2" x14ac:dyDescent="0.2">
      <c r="A570" s="18" t="str">
        <f>IF('Frame Sections'!A570=0,"",'Frame Sections'!A570)</f>
        <v/>
      </c>
      <c r="B570" s="18" t="str">
        <f t="shared" si="8"/>
        <v/>
      </c>
    </row>
    <row r="571" spans="1:2" x14ac:dyDescent="0.2">
      <c r="A571" s="18" t="str">
        <f>IF('Frame Sections'!A571=0,"",'Frame Sections'!A571)</f>
        <v/>
      </c>
      <c r="B571" s="18" t="str">
        <f t="shared" si="8"/>
        <v/>
      </c>
    </row>
    <row r="572" spans="1:2" x14ac:dyDescent="0.2">
      <c r="A572" s="18" t="str">
        <f>IF('Frame Sections'!A572=0,"",'Frame Sections'!A572)</f>
        <v/>
      </c>
      <c r="B572" s="18" t="str">
        <f t="shared" si="8"/>
        <v/>
      </c>
    </row>
    <row r="573" spans="1:2" x14ac:dyDescent="0.2">
      <c r="A573" s="18" t="str">
        <f>IF('Frame Sections'!A573=0,"",'Frame Sections'!A573)</f>
        <v/>
      </c>
      <c r="B573" s="18" t="str">
        <f t="shared" si="8"/>
        <v/>
      </c>
    </row>
    <row r="574" spans="1:2" x14ac:dyDescent="0.2">
      <c r="A574" s="18" t="str">
        <f>IF('Frame Sections'!A574=0,"",'Frame Sections'!A574)</f>
        <v/>
      </c>
      <c r="B574" s="18" t="str">
        <f t="shared" si="8"/>
        <v/>
      </c>
    </row>
    <row r="575" spans="1:2" x14ac:dyDescent="0.2">
      <c r="A575" s="18" t="str">
        <f>IF('Frame Sections'!A575=0,"",'Frame Sections'!A575)</f>
        <v/>
      </c>
      <c r="B575" s="18" t="str">
        <f t="shared" si="8"/>
        <v/>
      </c>
    </row>
    <row r="576" spans="1:2" x14ac:dyDescent="0.2">
      <c r="A576" s="18" t="str">
        <f>IF('Frame Sections'!A576=0,"",'Frame Sections'!A576)</f>
        <v/>
      </c>
      <c r="B576" s="18" t="str">
        <f t="shared" si="8"/>
        <v/>
      </c>
    </row>
    <row r="577" spans="1:2" x14ac:dyDescent="0.2">
      <c r="A577" s="18" t="str">
        <f>IF('Frame Sections'!A577=0,"",'Frame Sections'!A577)</f>
        <v/>
      </c>
      <c r="B577" s="18" t="str">
        <f t="shared" si="8"/>
        <v/>
      </c>
    </row>
    <row r="578" spans="1:2" x14ac:dyDescent="0.2">
      <c r="A578" s="18" t="str">
        <f>IF('Frame Sections'!A578=0,"",'Frame Sections'!A578)</f>
        <v/>
      </c>
      <c r="B578" s="18" t="str">
        <f t="shared" ref="B578:B641" si="9">IF(OR(A578=0,A578=""),"",VLOOKUP(A578,SecDB,5,FALSE))</f>
        <v/>
      </c>
    </row>
    <row r="579" spans="1:2" x14ac:dyDescent="0.2">
      <c r="A579" s="18" t="str">
        <f>IF('Frame Sections'!A579=0,"",'Frame Sections'!A579)</f>
        <v/>
      </c>
      <c r="B579" s="18" t="str">
        <f t="shared" si="9"/>
        <v/>
      </c>
    </row>
    <row r="580" spans="1:2" x14ac:dyDescent="0.2">
      <c r="A580" s="18" t="str">
        <f>IF('Frame Sections'!A580=0,"",'Frame Sections'!A580)</f>
        <v/>
      </c>
      <c r="B580" s="18" t="str">
        <f t="shared" si="9"/>
        <v/>
      </c>
    </row>
    <row r="581" spans="1:2" x14ac:dyDescent="0.2">
      <c r="A581" s="18" t="str">
        <f>IF('Frame Sections'!A581=0,"",'Frame Sections'!A581)</f>
        <v/>
      </c>
      <c r="B581" s="18" t="str">
        <f t="shared" si="9"/>
        <v/>
      </c>
    </row>
    <row r="582" spans="1:2" x14ac:dyDescent="0.2">
      <c r="A582" s="18" t="str">
        <f>IF('Frame Sections'!A582=0,"",'Frame Sections'!A582)</f>
        <v/>
      </c>
      <c r="B582" s="18" t="str">
        <f t="shared" si="9"/>
        <v/>
      </c>
    </row>
    <row r="583" spans="1:2" x14ac:dyDescent="0.2">
      <c r="A583" s="18" t="str">
        <f>IF('Frame Sections'!A583=0,"",'Frame Sections'!A583)</f>
        <v/>
      </c>
      <c r="B583" s="18" t="str">
        <f t="shared" si="9"/>
        <v/>
      </c>
    </row>
    <row r="584" spans="1:2" x14ac:dyDescent="0.2">
      <c r="A584" s="18" t="str">
        <f>IF('Frame Sections'!A584=0,"",'Frame Sections'!A584)</f>
        <v/>
      </c>
      <c r="B584" s="18" t="str">
        <f t="shared" si="9"/>
        <v/>
      </c>
    </row>
    <row r="585" spans="1:2" x14ac:dyDescent="0.2">
      <c r="A585" s="18" t="str">
        <f>IF('Frame Sections'!A585=0,"",'Frame Sections'!A585)</f>
        <v/>
      </c>
      <c r="B585" s="18" t="str">
        <f t="shared" si="9"/>
        <v/>
      </c>
    </row>
    <row r="586" spans="1:2" x14ac:dyDescent="0.2">
      <c r="A586" s="18" t="str">
        <f>IF('Frame Sections'!A586=0,"",'Frame Sections'!A586)</f>
        <v/>
      </c>
      <c r="B586" s="18" t="str">
        <f t="shared" si="9"/>
        <v/>
      </c>
    </row>
    <row r="587" spans="1:2" x14ac:dyDescent="0.2">
      <c r="A587" s="18" t="str">
        <f>IF('Frame Sections'!A587=0,"",'Frame Sections'!A587)</f>
        <v/>
      </c>
      <c r="B587" s="18" t="str">
        <f t="shared" si="9"/>
        <v/>
      </c>
    </row>
    <row r="588" spans="1:2" x14ac:dyDescent="0.2">
      <c r="A588" s="18" t="str">
        <f>IF('Frame Sections'!A588=0,"",'Frame Sections'!A588)</f>
        <v/>
      </c>
      <c r="B588" s="18" t="str">
        <f t="shared" si="9"/>
        <v/>
      </c>
    </row>
    <row r="589" spans="1:2" x14ac:dyDescent="0.2">
      <c r="A589" s="18" t="str">
        <f>IF('Frame Sections'!A589=0,"",'Frame Sections'!A589)</f>
        <v/>
      </c>
      <c r="B589" s="18" t="str">
        <f t="shared" si="9"/>
        <v/>
      </c>
    </row>
    <row r="590" spans="1:2" x14ac:dyDescent="0.2">
      <c r="A590" s="18" t="str">
        <f>IF('Frame Sections'!A590=0,"",'Frame Sections'!A590)</f>
        <v/>
      </c>
      <c r="B590" s="18" t="str">
        <f t="shared" si="9"/>
        <v/>
      </c>
    </row>
    <row r="591" spans="1:2" x14ac:dyDescent="0.2">
      <c r="A591" s="18" t="str">
        <f>IF('Frame Sections'!A591=0,"",'Frame Sections'!A591)</f>
        <v/>
      </c>
      <c r="B591" s="18" t="str">
        <f t="shared" si="9"/>
        <v/>
      </c>
    </row>
    <row r="592" spans="1:2" x14ac:dyDescent="0.2">
      <c r="A592" s="18" t="str">
        <f>IF('Frame Sections'!A592=0,"",'Frame Sections'!A592)</f>
        <v/>
      </c>
      <c r="B592" s="18" t="str">
        <f t="shared" si="9"/>
        <v/>
      </c>
    </row>
    <row r="593" spans="1:2" x14ac:dyDescent="0.2">
      <c r="A593" s="18" t="str">
        <f>IF('Frame Sections'!A593=0,"",'Frame Sections'!A593)</f>
        <v/>
      </c>
      <c r="B593" s="18" t="str">
        <f t="shared" si="9"/>
        <v/>
      </c>
    </row>
    <row r="594" spans="1:2" x14ac:dyDescent="0.2">
      <c r="A594" s="18" t="str">
        <f>IF('Frame Sections'!A594=0,"",'Frame Sections'!A594)</f>
        <v/>
      </c>
      <c r="B594" s="18" t="str">
        <f t="shared" si="9"/>
        <v/>
      </c>
    </row>
    <row r="595" spans="1:2" x14ac:dyDescent="0.2">
      <c r="A595" s="18" t="str">
        <f>IF('Frame Sections'!A595=0,"",'Frame Sections'!A595)</f>
        <v/>
      </c>
      <c r="B595" s="18" t="str">
        <f t="shared" si="9"/>
        <v/>
      </c>
    </row>
    <row r="596" spans="1:2" x14ac:dyDescent="0.2">
      <c r="A596" s="18" t="str">
        <f>IF('Frame Sections'!A596=0,"",'Frame Sections'!A596)</f>
        <v/>
      </c>
      <c r="B596" s="18" t="str">
        <f t="shared" si="9"/>
        <v/>
      </c>
    </row>
    <row r="597" spans="1:2" x14ac:dyDescent="0.2">
      <c r="A597" s="18" t="str">
        <f>IF('Frame Sections'!A597=0,"",'Frame Sections'!A597)</f>
        <v/>
      </c>
      <c r="B597" s="18" t="str">
        <f t="shared" si="9"/>
        <v/>
      </c>
    </row>
    <row r="598" spans="1:2" x14ac:dyDescent="0.2">
      <c r="A598" s="18" t="str">
        <f>IF('Frame Sections'!A598=0,"",'Frame Sections'!A598)</f>
        <v/>
      </c>
      <c r="B598" s="18" t="str">
        <f t="shared" si="9"/>
        <v/>
      </c>
    </row>
    <row r="599" spans="1:2" x14ac:dyDescent="0.2">
      <c r="A599" s="18" t="str">
        <f>IF('Frame Sections'!A599=0,"",'Frame Sections'!A599)</f>
        <v/>
      </c>
      <c r="B599" s="18" t="str">
        <f t="shared" si="9"/>
        <v/>
      </c>
    </row>
    <row r="600" spans="1:2" x14ac:dyDescent="0.2">
      <c r="A600" s="18" t="str">
        <f>IF('Frame Sections'!A600=0,"",'Frame Sections'!A600)</f>
        <v/>
      </c>
      <c r="B600" s="18" t="str">
        <f t="shared" si="9"/>
        <v/>
      </c>
    </row>
    <row r="601" spans="1:2" x14ac:dyDescent="0.2">
      <c r="A601" s="18" t="str">
        <f>IF('Frame Sections'!A601=0,"",'Frame Sections'!A601)</f>
        <v/>
      </c>
      <c r="B601" s="18" t="str">
        <f t="shared" si="9"/>
        <v/>
      </c>
    </row>
    <row r="602" spans="1:2" x14ac:dyDescent="0.2">
      <c r="A602" s="18" t="str">
        <f>IF('Frame Sections'!A602=0,"",'Frame Sections'!A602)</f>
        <v/>
      </c>
      <c r="B602" s="18" t="str">
        <f t="shared" si="9"/>
        <v/>
      </c>
    </row>
    <row r="603" spans="1:2" x14ac:dyDescent="0.2">
      <c r="A603" s="18" t="str">
        <f>IF('Frame Sections'!A603=0,"",'Frame Sections'!A603)</f>
        <v/>
      </c>
      <c r="B603" s="18" t="str">
        <f t="shared" si="9"/>
        <v/>
      </c>
    </row>
    <row r="604" spans="1:2" x14ac:dyDescent="0.2">
      <c r="A604" s="18" t="str">
        <f>IF('Frame Sections'!A604=0,"",'Frame Sections'!A604)</f>
        <v/>
      </c>
      <c r="B604" s="18" t="str">
        <f t="shared" si="9"/>
        <v/>
      </c>
    </row>
    <row r="605" spans="1:2" x14ac:dyDescent="0.2">
      <c r="A605" s="18" t="str">
        <f>IF('Frame Sections'!A605=0,"",'Frame Sections'!A605)</f>
        <v/>
      </c>
      <c r="B605" s="18" t="str">
        <f t="shared" si="9"/>
        <v/>
      </c>
    </row>
    <row r="606" spans="1:2" x14ac:dyDescent="0.2">
      <c r="A606" s="18" t="str">
        <f>IF('Frame Sections'!A606=0,"",'Frame Sections'!A606)</f>
        <v/>
      </c>
      <c r="B606" s="18" t="str">
        <f t="shared" si="9"/>
        <v/>
      </c>
    </row>
    <row r="607" spans="1:2" x14ac:dyDescent="0.2">
      <c r="A607" s="18" t="str">
        <f>IF('Frame Sections'!A607=0,"",'Frame Sections'!A607)</f>
        <v/>
      </c>
      <c r="B607" s="18" t="str">
        <f t="shared" si="9"/>
        <v/>
      </c>
    </row>
    <row r="608" spans="1:2" x14ac:dyDescent="0.2">
      <c r="A608" s="18" t="str">
        <f>IF('Frame Sections'!A608=0,"",'Frame Sections'!A608)</f>
        <v/>
      </c>
      <c r="B608" s="18" t="str">
        <f t="shared" si="9"/>
        <v/>
      </c>
    </row>
    <row r="609" spans="1:2" x14ac:dyDescent="0.2">
      <c r="A609" s="18" t="str">
        <f>IF('Frame Sections'!A609=0,"",'Frame Sections'!A609)</f>
        <v/>
      </c>
      <c r="B609" s="18" t="str">
        <f t="shared" si="9"/>
        <v/>
      </c>
    </row>
    <row r="610" spans="1:2" x14ac:dyDescent="0.2">
      <c r="A610" s="18" t="str">
        <f>IF('Frame Sections'!A610=0,"",'Frame Sections'!A610)</f>
        <v/>
      </c>
      <c r="B610" s="18" t="str">
        <f t="shared" si="9"/>
        <v/>
      </c>
    </row>
    <row r="611" spans="1:2" x14ac:dyDescent="0.2">
      <c r="A611" s="18" t="str">
        <f>IF('Frame Sections'!A611=0,"",'Frame Sections'!A611)</f>
        <v/>
      </c>
      <c r="B611" s="18" t="str">
        <f t="shared" si="9"/>
        <v/>
      </c>
    </row>
    <row r="612" spans="1:2" x14ac:dyDescent="0.2">
      <c r="A612" s="18" t="str">
        <f>IF('Frame Sections'!A612=0,"",'Frame Sections'!A612)</f>
        <v/>
      </c>
      <c r="B612" s="18" t="str">
        <f t="shared" si="9"/>
        <v/>
      </c>
    </row>
    <row r="613" spans="1:2" x14ac:dyDescent="0.2">
      <c r="A613" s="18" t="str">
        <f>IF('Frame Sections'!A613=0,"",'Frame Sections'!A613)</f>
        <v/>
      </c>
      <c r="B613" s="18" t="str">
        <f t="shared" si="9"/>
        <v/>
      </c>
    </row>
    <row r="614" spans="1:2" x14ac:dyDescent="0.2">
      <c r="A614" s="18" t="str">
        <f>IF('Frame Sections'!A614=0,"",'Frame Sections'!A614)</f>
        <v/>
      </c>
      <c r="B614" s="18" t="str">
        <f t="shared" si="9"/>
        <v/>
      </c>
    </row>
    <row r="615" spans="1:2" x14ac:dyDescent="0.2">
      <c r="A615" s="18" t="str">
        <f>IF('Frame Sections'!A615=0,"",'Frame Sections'!A615)</f>
        <v/>
      </c>
      <c r="B615" s="18" t="str">
        <f t="shared" si="9"/>
        <v/>
      </c>
    </row>
    <row r="616" spans="1:2" x14ac:dyDescent="0.2">
      <c r="A616" s="18" t="str">
        <f>IF('Frame Sections'!A616=0,"",'Frame Sections'!A616)</f>
        <v/>
      </c>
      <c r="B616" s="18" t="str">
        <f t="shared" si="9"/>
        <v/>
      </c>
    </row>
    <row r="617" spans="1:2" x14ac:dyDescent="0.2">
      <c r="A617" s="18" t="str">
        <f>IF('Frame Sections'!A617=0,"",'Frame Sections'!A617)</f>
        <v/>
      </c>
      <c r="B617" s="18" t="str">
        <f t="shared" si="9"/>
        <v/>
      </c>
    </row>
    <row r="618" spans="1:2" x14ac:dyDescent="0.2">
      <c r="A618" s="18" t="str">
        <f>IF('Frame Sections'!A618=0,"",'Frame Sections'!A618)</f>
        <v/>
      </c>
      <c r="B618" s="18" t="str">
        <f t="shared" si="9"/>
        <v/>
      </c>
    </row>
    <row r="619" spans="1:2" x14ac:dyDescent="0.2">
      <c r="A619" s="18" t="str">
        <f>IF('Frame Sections'!A619=0,"",'Frame Sections'!A619)</f>
        <v/>
      </c>
      <c r="B619" s="18" t="str">
        <f t="shared" si="9"/>
        <v/>
      </c>
    </row>
    <row r="620" spans="1:2" x14ac:dyDescent="0.2">
      <c r="A620" s="18" t="str">
        <f>IF('Frame Sections'!A620=0,"",'Frame Sections'!A620)</f>
        <v/>
      </c>
      <c r="B620" s="18" t="str">
        <f t="shared" si="9"/>
        <v/>
      </c>
    </row>
    <row r="621" spans="1:2" x14ac:dyDescent="0.2">
      <c r="A621" s="18" t="str">
        <f>IF('Frame Sections'!A621=0,"",'Frame Sections'!A621)</f>
        <v/>
      </c>
      <c r="B621" s="18" t="str">
        <f t="shared" si="9"/>
        <v/>
      </c>
    </row>
    <row r="622" spans="1:2" x14ac:dyDescent="0.2">
      <c r="A622" s="18" t="str">
        <f>IF('Frame Sections'!A622=0,"",'Frame Sections'!A622)</f>
        <v/>
      </c>
      <c r="B622" s="18" t="str">
        <f t="shared" si="9"/>
        <v/>
      </c>
    </row>
    <row r="623" spans="1:2" x14ac:dyDescent="0.2">
      <c r="A623" s="18" t="str">
        <f>IF('Frame Sections'!A623=0,"",'Frame Sections'!A623)</f>
        <v/>
      </c>
      <c r="B623" s="18" t="str">
        <f t="shared" si="9"/>
        <v/>
      </c>
    </row>
    <row r="624" spans="1:2" x14ac:dyDescent="0.2">
      <c r="A624" s="18" t="str">
        <f>IF('Frame Sections'!A624=0,"",'Frame Sections'!A624)</f>
        <v/>
      </c>
      <c r="B624" s="18" t="str">
        <f t="shared" si="9"/>
        <v/>
      </c>
    </row>
    <row r="625" spans="1:2" x14ac:dyDescent="0.2">
      <c r="A625" s="18" t="str">
        <f>IF('Frame Sections'!A625=0,"",'Frame Sections'!A625)</f>
        <v/>
      </c>
      <c r="B625" s="18" t="str">
        <f t="shared" si="9"/>
        <v/>
      </c>
    </row>
    <row r="626" spans="1:2" x14ac:dyDescent="0.2">
      <c r="A626" s="18" t="str">
        <f>IF('Frame Sections'!A626=0,"",'Frame Sections'!A626)</f>
        <v/>
      </c>
      <c r="B626" s="18" t="str">
        <f t="shared" si="9"/>
        <v/>
      </c>
    </row>
    <row r="627" spans="1:2" x14ac:dyDescent="0.2">
      <c r="A627" s="18" t="str">
        <f>IF('Frame Sections'!A627=0,"",'Frame Sections'!A627)</f>
        <v/>
      </c>
      <c r="B627" s="18" t="str">
        <f t="shared" si="9"/>
        <v/>
      </c>
    </row>
    <row r="628" spans="1:2" x14ac:dyDescent="0.2">
      <c r="A628" s="18" t="str">
        <f>IF('Frame Sections'!A628=0,"",'Frame Sections'!A628)</f>
        <v/>
      </c>
      <c r="B628" s="18" t="str">
        <f t="shared" si="9"/>
        <v/>
      </c>
    </row>
    <row r="629" spans="1:2" x14ac:dyDescent="0.2">
      <c r="A629" s="18" t="str">
        <f>IF('Frame Sections'!A629=0,"",'Frame Sections'!A629)</f>
        <v/>
      </c>
      <c r="B629" s="18" t="str">
        <f t="shared" si="9"/>
        <v/>
      </c>
    </row>
    <row r="630" spans="1:2" x14ac:dyDescent="0.2">
      <c r="A630" s="18" t="str">
        <f>IF('Frame Sections'!A630=0,"",'Frame Sections'!A630)</f>
        <v/>
      </c>
      <c r="B630" s="18" t="str">
        <f t="shared" si="9"/>
        <v/>
      </c>
    </row>
    <row r="631" spans="1:2" x14ac:dyDescent="0.2">
      <c r="A631" s="18" t="str">
        <f>IF('Frame Sections'!A631=0,"",'Frame Sections'!A631)</f>
        <v/>
      </c>
      <c r="B631" s="18" t="str">
        <f t="shared" si="9"/>
        <v/>
      </c>
    </row>
    <row r="632" spans="1:2" x14ac:dyDescent="0.2">
      <c r="A632" s="18" t="str">
        <f>IF('Frame Sections'!A632=0,"",'Frame Sections'!A632)</f>
        <v/>
      </c>
      <c r="B632" s="18" t="str">
        <f t="shared" si="9"/>
        <v/>
      </c>
    </row>
    <row r="633" spans="1:2" x14ac:dyDescent="0.2">
      <c r="A633" s="18" t="str">
        <f>IF('Frame Sections'!A633=0,"",'Frame Sections'!A633)</f>
        <v/>
      </c>
      <c r="B633" s="18" t="str">
        <f t="shared" si="9"/>
        <v/>
      </c>
    </row>
    <row r="634" spans="1:2" x14ac:dyDescent="0.2">
      <c r="A634" s="18" t="str">
        <f>IF('Frame Sections'!A634=0,"",'Frame Sections'!A634)</f>
        <v/>
      </c>
      <c r="B634" s="18" t="str">
        <f t="shared" si="9"/>
        <v/>
      </c>
    </row>
    <row r="635" spans="1:2" x14ac:dyDescent="0.2">
      <c r="A635" s="18" t="str">
        <f>IF('Frame Sections'!A635=0,"",'Frame Sections'!A635)</f>
        <v/>
      </c>
      <c r="B635" s="18" t="str">
        <f t="shared" si="9"/>
        <v/>
      </c>
    </row>
    <row r="636" spans="1:2" x14ac:dyDescent="0.2">
      <c r="A636" s="18" t="str">
        <f>IF('Frame Sections'!A636=0,"",'Frame Sections'!A636)</f>
        <v/>
      </c>
      <c r="B636" s="18" t="str">
        <f t="shared" si="9"/>
        <v/>
      </c>
    </row>
    <row r="637" spans="1:2" x14ac:dyDescent="0.2">
      <c r="A637" s="18" t="str">
        <f>IF('Frame Sections'!A637=0,"",'Frame Sections'!A637)</f>
        <v/>
      </c>
      <c r="B637" s="18" t="str">
        <f t="shared" si="9"/>
        <v/>
      </c>
    </row>
    <row r="638" spans="1:2" x14ac:dyDescent="0.2">
      <c r="A638" s="18" t="str">
        <f>IF('Frame Sections'!A638=0,"",'Frame Sections'!A638)</f>
        <v/>
      </c>
      <c r="B638" s="18" t="str">
        <f t="shared" si="9"/>
        <v/>
      </c>
    </row>
    <row r="639" spans="1:2" x14ac:dyDescent="0.2">
      <c r="A639" s="18" t="str">
        <f>IF('Frame Sections'!A639=0,"",'Frame Sections'!A639)</f>
        <v/>
      </c>
      <c r="B639" s="18" t="str">
        <f t="shared" si="9"/>
        <v/>
      </c>
    </row>
    <row r="640" spans="1:2" x14ac:dyDescent="0.2">
      <c r="A640" s="18" t="str">
        <f>IF('Frame Sections'!A640=0,"",'Frame Sections'!A640)</f>
        <v/>
      </c>
      <c r="B640" s="18" t="str">
        <f t="shared" si="9"/>
        <v/>
      </c>
    </row>
    <row r="641" spans="1:2" x14ac:dyDescent="0.2">
      <c r="A641" s="18" t="str">
        <f>IF('Frame Sections'!A641=0,"",'Frame Sections'!A641)</f>
        <v/>
      </c>
      <c r="B641" s="18" t="str">
        <f t="shared" si="9"/>
        <v/>
      </c>
    </row>
    <row r="642" spans="1:2" x14ac:dyDescent="0.2">
      <c r="A642" s="18" t="str">
        <f>IF('Frame Sections'!A642=0,"",'Frame Sections'!A642)</f>
        <v/>
      </c>
      <c r="B642" s="18" t="str">
        <f t="shared" ref="B642:B705" si="10">IF(OR(A642=0,A642=""),"",VLOOKUP(A642,SecDB,5,FALSE))</f>
        <v/>
      </c>
    </row>
    <row r="643" spans="1:2" x14ac:dyDescent="0.2">
      <c r="A643" s="18" t="str">
        <f>IF('Frame Sections'!A643=0,"",'Frame Sections'!A643)</f>
        <v/>
      </c>
      <c r="B643" s="18" t="str">
        <f t="shared" si="10"/>
        <v/>
      </c>
    </row>
    <row r="644" spans="1:2" x14ac:dyDescent="0.2">
      <c r="A644" s="18" t="str">
        <f>IF('Frame Sections'!A644=0,"",'Frame Sections'!A644)</f>
        <v/>
      </c>
      <c r="B644" s="18" t="str">
        <f t="shared" si="10"/>
        <v/>
      </c>
    </row>
    <row r="645" spans="1:2" x14ac:dyDescent="0.2">
      <c r="A645" s="18" t="str">
        <f>IF('Frame Sections'!A645=0,"",'Frame Sections'!A645)</f>
        <v/>
      </c>
      <c r="B645" s="18" t="str">
        <f t="shared" si="10"/>
        <v/>
      </c>
    </row>
    <row r="646" spans="1:2" x14ac:dyDescent="0.2">
      <c r="A646" s="18" t="str">
        <f>IF('Frame Sections'!A646=0,"",'Frame Sections'!A646)</f>
        <v/>
      </c>
      <c r="B646" s="18" t="str">
        <f t="shared" si="10"/>
        <v/>
      </c>
    </row>
    <row r="647" spans="1:2" x14ac:dyDescent="0.2">
      <c r="A647" s="18" t="str">
        <f>IF('Frame Sections'!A647=0,"",'Frame Sections'!A647)</f>
        <v/>
      </c>
      <c r="B647" s="18" t="str">
        <f t="shared" si="10"/>
        <v/>
      </c>
    </row>
    <row r="648" spans="1:2" x14ac:dyDescent="0.2">
      <c r="A648" s="18" t="str">
        <f>IF('Frame Sections'!A648=0,"",'Frame Sections'!A648)</f>
        <v/>
      </c>
      <c r="B648" s="18" t="str">
        <f t="shared" si="10"/>
        <v/>
      </c>
    </row>
    <row r="649" spans="1:2" x14ac:dyDescent="0.2">
      <c r="A649" s="18" t="str">
        <f>IF('Frame Sections'!A649=0,"",'Frame Sections'!A649)</f>
        <v/>
      </c>
      <c r="B649" s="18" t="str">
        <f t="shared" si="10"/>
        <v/>
      </c>
    </row>
    <row r="650" spans="1:2" x14ac:dyDescent="0.2">
      <c r="A650" s="18" t="str">
        <f>IF('Frame Sections'!A650=0,"",'Frame Sections'!A650)</f>
        <v/>
      </c>
      <c r="B650" s="18" t="str">
        <f t="shared" si="10"/>
        <v/>
      </c>
    </row>
    <row r="651" spans="1:2" x14ac:dyDescent="0.2">
      <c r="A651" s="18" t="str">
        <f>IF('Frame Sections'!A651=0,"",'Frame Sections'!A651)</f>
        <v/>
      </c>
      <c r="B651" s="18" t="str">
        <f t="shared" si="10"/>
        <v/>
      </c>
    </row>
    <row r="652" spans="1:2" x14ac:dyDescent="0.2">
      <c r="A652" s="18" t="str">
        <f>IF('Frame Sections'!A652=0,"",'Frame Sections'!A652)</f>
        <v/>
      </c>
      <c r="B652" s="18" t="str">
        <f t="shared" si="10"/>
        <v/>
      </c>
    </row>
    <row r="653" spans="1:2" x14ac:dyDescent="0.2">
      <c r="A653" s="18" t="str">
        <f>IF('Frame Sections'!A653=0,"",'Frame Sections'!A653)</f>
        <v/>
      </c>
      <c r="B653" s="18" t="str">
        <f t="shared" si="10"/>
        <v/>
      </c>
    </row>
    <row r="654" spans="1:2" x14ac:dyDescent="0.2">
      <c r="A654" s="18" t="str">
        <f>IF('Frame Sections'!A654=0,"",'Frame Sections'!A654)</f>
        <v/>
      </c>
      <c r="B654" s="18" t="str">
        <f t="shared" si="10"/>
        <v/>
      </c>
    </row>
    <row r="655" spans="1:2" x14ac:dyDescent="0.2">
      <c r="A655" s="18" t="str">
        <f>IF('Frame Sections'!A655=0,"",'Frame Sections'!A655)</f>
        <v/>
      </c>
      <c r="B655" s="18" t="str">
        <f t="shared" si="10"/>
        <v/>
      </c>
    </row>
    <row r="656" spans="1:2" x14ac:dyDescent="0.2">
      <c r="A656" s="18" t="str">
        <f>IF('Frame Sections'!A656=0,"",'Frame Sections'!A656)</f>
        <v/>
      </c>
      <c r="B656" s="18" t="str">
        <f t="shared" si="10"/>
        <v/>
      </c>
    </row>
    <row r="657" spans="1:2" x14ac:dyDescent="0.2">
      <c r="A657" s="18" t="str">
        <f>IF('Frame Sections'!A657=0,"",'Frame Sections'!A657)</f>
        <v/>
      </c>
      <c r="B657" s="18" t="str">
        <f t="shared" si="10"/>
        <v/>
      </c>
    </row>
    <row r="658" spans="1:2" x14ac:dyDescent="0.2">
      <c r="A658" s="18" t="str">
        <f>IF('Frame Sections'!A658=0,"",'Frame Sections'!A658)</f>
        <v/>
      </c>
      <c r="B658" s="18" t="str">
        <f t="shared" si="10"/>
        <v/>
      </c>
    </row>
    <row r="659" spans="1:2" x14ac:dyDescent="0.2">
      <c r="A659" s="18" t="str">
        <f>IF('Frame Sections'!A659=0,"",'Frame Sections'!A659)</f>
        <v/>
      </c>
      <c r="B659" s="18" t="str">
        <f t="shared" si="10"/>
        <v/>
      </c>
    </row>
    <row r="660" spans="1:2" x14ac:dyDescent="0.2">
      <c r="A660" s="18" t="str">
        <f>IF('Frame Sections'!A660=0,"",'Frame Sections'!A660)</f>
        <v/>
      </c>
      <c r="B660" s="18" t="str">
        <f t="shared" si="10"/>
        <v/>
      </c>
    </row>
    <row r="661" spans="1:2" x14ac:dyDescent="0.2">
      <c r="A661" s="18" t="str">
        <f>IF('Frame Sections'!A661=0,"",'Frame Sections'!A661)</f>
        <v/>
      </c>
      <c r="B661" s="18" t="str">
        <f t="shared" si="10"/>
        <v/>
      </c>
    </row>
    <row r="662" spans="1:2" x14ac:dyDescent="0.2">
      <c r="A662" s="18" t="str">
        <f>IF('Frame Sections'!A662=0,"",'Frame Sections'!A662)</f>
        <v/>
      </c>
      <c r="B662" s="18" t="str">
        <f t="shared" si="10"/>
        <v/>
      </c>
    </row>
    <row r="663" spans="1:2" x14ac:dyDescent="0.2">
      <c r="A663" s="18" t="str">
        <f>IF('Frame Sections'!A663=0,"",'Frame Sections'!A663)</f>
        <v/>
      </c>
      <c r="B663" s="18" t="str">
        <f t="shared" si="10"/>
        <v/>
      </c>
    </row>
    <row r="664" spans="1:2" x14ac:dyDescent="0.2">
      <c r="A664" s="18" t="str">
        <f>IF('Frame Sections'!A664=0,"",'Frame Sections'!A664)</f>
        <v/>
      </c>
      <c r="B664" s="18" t="str">
        <f t="shared" si="10"/>
        <v/>
      </c>
    </row>
    <row r="665" spans="1:2" x14ac:dyDescent="0.2">
      <c r="A665" s="18" t="str">
        <f>IF('Frame Sections'!A665=0,"",'Frame Sections'!A665)</f>
        <v/>
      </c>
      <c r="B665" s="18" t="str">
        <f t="shared" si="10"/>
        <v/>
      </c>
    </row>
    <row r="666" spans="1:2" x14ac:dyDescent="0.2">
      <c r="A666" s="18" t="str">
        <f>IF('Frame Sections'!A666=0,"",'Frame Sections'!A666)</f>
        <v/>
      </c>
      <c r="B666" s="18" t="str">
        <f t="shared" si="10"/>
        <v/>
      </c>
    </row>
    <row r="667" spans="1:2" x14ac:dyDescent="0.2">
      <c r="A667" s="18" t="str">
        <f>IF('Frame Sections'!A667=0,"",'Frame Sections'!A667)</f>
        <v/>
      </c>
      <c r="B667" s="18" t="str">
        <f t="shared" si="10"/>
        <v/>
      </c>
    </row>
    <row r="668" spans="1:2" x14ac:dyDescent="0.2">
      <c r="A668" s="18" t="str">
        <f>IF('Frame Sections'!A668=0,"",'Frame Sections'!A668)</f>
        <v/>
      </c>
      <c r="B668" s="18" t="str">
        <f t="shared" si="10"/>
        <v/>
      </c>
    </row>
    <row r="669" spans="1:2" x14ac:dyDescent="0.2">
      <c r="A669" s="18" t="str">
        <f>IF('Frame Sections'!A669=0,"",'Frame Sections'!A669)</f>
        <v/>
      </c>
      <c r="B669" s="18" t="str">
        <f t="shared" si="10"/>
        <v/>
      </c>
    </row>
    <row r="670" spans="1:2" x14ac:dyDescent="0.2">
      <c r="A670" s="18" t="str">
        <f>IF('Frame Sections'!A670=0,"",'Frame Sections'!A670)</f>
        <v/>
      </c>
      <c r="B670" s="18" t="str">
        <f t="shared" si="10"/>
        <v/>
      </c>
    </row>
    <row r="671" spans="1:2" x14ac:dyDescent="0.2">
      <c r="A671" s="18" t="str">
        <f>IF('Frame Sections'!A671=0,"",'Frame Sections'!A671)</f>
        <v/>
      </c>
      <c r="B671" s="18" t="str">
        <f t="shared" si="10"/>
        <v/>
      </c>
    </row>
    <row r="672" spans="1:2" x14ac:dyDescent="0.2">
      <c r="A672" s="18" t="str">
        <f>IF('Frame Sections'!A672=0,"",'Frame Sections'!A672)</f>
        <v/>
      </c>
      <c r="B672" s="18" t="str">
        <f t="shared" si="10"/>
        <v/>
      </c>
    </row>
    <row r="673" spans="1:2" x14ac:dyDescent="0.2">
      <c r="A673" s="18" t="str">
        <f>IF('Frame Sections'!A673=0,"",'Frame Sections'!A673)</f>
        <v/>
      </c>
      <c r="B673" s="18" t="str">
        <f t="shared" si="10"/>
        <v/>
      </c>
    </row>
    <row r="674" spans="1:2" x14ac:dyDescent="0.2">
      <c r="A674" s="18" t="str">
        <f>IF('Frame Sections'!A674=0,"",'Frame Sections'!A674)</f>
        <v/>
      </c>
      <c r="B674" s="18" t="str">
        <f t="shared" si="10"/>
        <v/>
      </c>
    </row>
    <row r="675" spans="1:2" x14ac:dyDescent="0.2">
      <c r="A675" s="18" t="str">
        <f>IF('Frame Sections'!A675=0,"",'Frame Sections'!A675)</f>
        <v/>
      </c>
      <c r="B675" s="18" t="str">
        <f t="shared" si="10"/>
        <v/>
      </c>
    </row>
    <row r="676" spans="1:2" x14ac:dyDescent="0.2">
      <c r="A676" s="18" t="str">
        <f>IF('Frame Sections'!A676=0,"",'Frame Sections'!A676)</f>
        <v/>
      </c>
      <c r="B676" s="18" t="str">
        <f t="shared" si="10"/>
        <v/>
      </c>
    </row>
    <row r="677" spans="1:2" x14ac:dyDescent="0.2">
      <c r="A677" s="18" t="str">
        <f>IF('Frame Sections'!A677=0,"",'Frame Sections'!A677)</f>
        <v/>
      </c>
      <c r="B677" s="18" t="str">
        <f t="shared" si="10"/>
        <v/>
      </c>
    </row>
    <row r="678" spans="1:2" x14ac:dyDescent="0.2">
      <c r="A678" s="18" t="str">
        <f>IF('Frame Sections'!A678=0,"",'Frame Sections'!A678)</f>
        <v/>
      </c>
      <c r="B678" s="18" t="str">
        <f t="shared" si="10"/>
        <v/>
      </c>
    </row>
    <row r="679" spans="1:2" x14ac:dyDescent="0.2">
      <c r="A679" s="18" t="str">
        <f>IF('Frame Sections'!A679=0,"",'Frame Sections'!A679)</f>
        <v/>
      </c>
      <c r="B679" s="18" t="str">
        <f t="shared" si="10"/>
        <v/>
      </c>
    </row>
    <row r="680" spans="1:2" x14ac:dyDescent="0.2">
      <c r="A680" s="18" t="str">
        <f>IF('Frame Sections'!A680=0,"",'Frame Sections'!A680)</f>
        <v/>
      </c>
      <c r="B680" s="18" t="str">
        <f t="shared" si="10"/>
        <v/>
      </c>
    </row>
    <row r="681" spans="1:2" x14ac:dyDescent="0.2">
      <c r="A681" s="18" t="str">
        <f>IF('Frame Sections'!A681=0,"",'Frame Sections'!A681)</f>
        <v/>
      </c>
      <c r="B681" s="18" t="str">
        <f t="shared" si="10"/>
        <v/>
      </c>
    </row>
    <row r="682" spans="1:2" x14ac:dyDescent="0.2">
      <c r="A682" s="18" t="str">
        <f>IF('Frame Sections'!A682=0,"",'Frame Sections'!A682)</f>
        <v/>
      </c>
      <c r="B682" s="18" t="str">
        <f t="shared" si="10"/>
        <v/>
      </c>
    </row>
    <row r="683" spans="1:2" x14ac:dyDescent="0.2">
      <c r="A683" s="18" t="str">
        <f>IF('Frame Sections'!A683=0,"",'Frame Sections'!A683)</f>
        <v/>
      </c>
      <c r="B683" s="18" t="str">
        <f t="shared" si="10"/>
        <v/>
      </c>
    </row>
    <row r="684" spans="1:2" x14ac:dyDescent="0.2">
      <c r="A684" s="18" t="str">
        <f>IF('Frame Sections'!A684=0,"",'Frame Sections'!A684)</f>
        <v/>
      </c>
      <c r="B684" s="18" t="str">
        <f t="shared" si="10"/>
        <v/>
      </c>
    </row>
    <row r="685" spans="1:2" x14ac:dyDescent="0.2">
      <c r="A685" s="18" t="str">
        <f>IF('Frame Sections'!A685=0,"",'Frame Sections'!A685)</f>
        <v/>
      </c>
      <c r="B685" s="18" t="str">
        <f t="shared" si="10"/>
        <v/>
      </c>
    </row>
    <row r="686" spans="1:2" x14ac:dyDescent="0.2">
      <c r="A686" s="18" t="str">
        <f>IF('Frame Sections'!A686=0,"",'Frame Sections'!A686)</f>
        <v/>
      </c>
      <c r="B686" s="18" t="str">
        <f t="shared" si="10"/>
        <v/>
      </c>
    </row>
    <row r="687" spans="1:2" x14ac:dyDescent="0.2">
      <c r="A687" s="18" t="str">
        <f>IF('Frame Sections'!A687=0,"",'Frame Sections'!A687)</f>
        <v/>
      </c>
      <c r="B687" s="18" t="str">
        <f t="shared" si="10"/>
        <v/>
      </c>
    </row>
    <row r="688" spans="1:2" x14ac:dyDescent="0.2">
      <c r="A688" s="18" t="str">
        <f>IF('Frame Sections'!A688=0,"",'Frame Sections'!A688)</f>
        <v/>
      </c>
      <c r="B688" s="18" t="str">
        <f t="shared" si="10"/>
        <v/>
      </c>
    </row>
    <row r="689" spans="1:2" x14ac:dyDescent="0.2">
      <c r="A689" s="18" t="str">
        <f>IF('Frame Sections'!A689=0,"",'Frame Sections'!A689)</f>
        <v/>
      </c>
      <c r="B689" s="18" t="str">
        <f t="shared" si="10"/>
        <v/>
      </c>
    </row>
    <row r="690" spans="1:2" x14ac:dyDescent="0.2">
      <c r="A690" s="18" t="str">
        <f>IF('Frame Sections'!A690=0,"",'Frame Sections'!A690)</f>
        <v/>
      </c>
      <c r="B690" s="18" t="str">
        <f t="shared" si="10"/>
        <v/>
      </c>
    </row>
    <row r="691" spans="1:2" x14ac:dyDescent="0.2">
      <c r="A691" s="18" t="str">
        <f>IF('Frame Sections'!A691=0,"",'Frame Sections'!A691)</f>
        <v/>
      </c>
      <c r="B691" s="18" t="str">
        <f t="shared" si="10"/>
        <v/>
      </c>
    </row>
    <row r="692" spans="1:2" x14ac:dyDescent="0.2">
      <c r="A692" s="18" t="str">
        <f>IF('Frame Sections'!A692=0,"",'Frame Sections'!A692)</f>
        <v/>
      </c>
      <c r="B692" s="18" t="str">
        <f t="shared" si="10"/>
        <v/>
      </c>
    </row>
    <row r="693" spans="1:2" x14ac:dyDescent="0.2">
      <c r="A693" s="18" t="str">
        <f>IF('Frame Sections'!A693=0,"",'Frame Sections'!A693)</f>
        <v/>
      </c>
      <c r="B693" s="18" t="str">
        <f t="shared" si="10"/>
        <v/>
      </c>
    </row>
    <row r="694" spans="1:2" x14ac:dyDescent="0.2">
      <c r="A694" s="18" t="str">
        <f>IF('Frame Sections'!A694=0,"",'Frame Sections'!A694)</f>
        <v/>
      </c>
      <c r="B694" s="18" t="str">
        <f t="shared" si="10"/>
        <v/>
      </c>
    </row>
    <row r="695" spans="1:2" x14ac:dyDescent="0.2">
      <c r="A695" s="18" t="str">
        <f>IF('Frame Sections'!A695=0,"",'Frame Sections'!A695)</f>
        <v/>
      </c>
      <c r="B695" s="18" t="str">
        <f t="shared" si="10"/>
        <v/>
      </c>
    </row>
    <row r="696" spans="1:2" x14ac:dyDescent="0.2">
      <c r="A696" s="18" t="str">
        <f>IF('Frame Sections'!A696=0,"",'Frame Sections'!A696)</f>
        <v/>
      </c>
      <c r="B696" s="18" t="str">
        <f t="shared" si="10"/>
        <v/>
      </c>
    </row>
    <row r="697" spans="1:2" x14ac:dyDescent="0.2">
      <c r="A697" s="18" t="str">
        <f>IF('Frame Sections'!A697=0,"",'Frame Sections'!A697)</f>
        <v/>
      </c>
      <c r="B697" s="18" t="str">
        <f t="shared" si="10"/>
        <v/>
      </c>
    </row>
    <row r="698" spans="1:2" x14ac:dyDescent="0.2">
      <c r="A698" s="18" t="str">
        <f>IF('Frame Sections'!A698=0,"",'Frame Sections'!A698)</f>
        <v/>
      </c>
      <c r="B698" s="18" t="str">
        <f t="shared" si="10"/>
        <v/>
      </c>
    </row>
    <row r="699" spans="1:2" x14ac:dyDescent="0.2">
      <c r="A699" s="18" t="str">
        <f>IF('Frame Sections'!A699=0,"",'Frame Sections'!A699)</f>
        <v/>
      </c>
      <c r="B699" s="18" t="str">
        <f t="shared" si="10"/>
        <v/>
      </c>
    </row>
    <row r="700" spans="1:2" x14ac:dyDescent="0.2">
      <c r="A700" s="18" t="str">
        <f>IF('Frame Sections'!A700=0,"",'Frame Sections'!A700)</f>
        <v/>
      </c>
      <c r="B700" s="18" t="str">
        <f t="shared" si="10"/>
        <v/>
      </c>
    </row>
    <row r="701" spans="1:2" x14ac:dyDescent="0.2">
      <c r="A701" s="18" t="str">
        <f>IF('Frame Sections'!A701=0,"",'Frame Sections'!A701)</f>
        <v/>
      </c>
      <c r="B701" s="18" t="str">
        <f t="shared" si="10"/>
        <v/>
      </c>
    </row>
    <row r="702" spans="1:2" x14ac:dyDescent="0.2">
      <c r="A702" s="18" t="str">
        <f>IF('Frame Sections'!A702=0,"",'Frame Sections'!A702)</f>
        <v/>
      </c>
      <c r="B702" s="18" t="str">
        <f t="shared" si="10"/>
        <v/>
      </c>
    </row>
    <row r="703" spans="1:2" x14ac:dyDescent="0.2">
      <c r="A703" s="18" t="str">
        <f>IF('Frame Sections'!A703=0,"",'Frame Sections'!A703)</f>
        <v/>
      </c>
      <c r="B703" s="18" t="str">
        <f t="shared" si="10"/>
        <v/>
      </c>
    </row>
    <row r="704" spans="1:2" x14ac:dyDescent="0.2">
      <c r="A704" s="18" t="str">
        <f>IF('Frame Sections'!A704=0,"",'Frame Sections'!A704)</f>
        <v/>
      </c>
      <c r="B704" s="18" t="str">
        <f t="shared" si="10"/>
        <v/>
      </c>
    </row>
    <row r="705" spans="1:2" x14ac:dyDescent="0.2">
      <c r="A705" s="18" t="str">
        <f>IF('Frame Sections'!A705=0,"",'Frame Sections'!A705)</f>
        <v/>
      </c>
      <c r="B705" s="18" t="str">
        <f t="shared" si="10"/>
        <v/>
      </c>
    </row>
    <row r="706" spans="1:2" x14ac:dyDescent="0.2">
      <c r="A706" s="18" t="str">
        <f>IF('Frame Sections'!A706=0,"",'Frame Sections'!A706)</f>
        <v/>
      </c>
      <c r="B706" s="18" t="str">
        <f t="shared" ref="B706:B769" si="11">IF(OR(A706=0,A706=""),"",VLOOKUP(A706,SecDB,5,FALSE))</f>
        <v/>
      </c>
    </row>
    <row r="707" spans="1:2" x14ac:dyDescent="0.2">
      <c r="A707" s="18" t="str">
        <f>IF('Frame Sections'!A707=0,"",'Frame Sections'!A707)</f>
        <v/>
      </c>
      <c r="B707" s="18" t="str">
        <f t="shared" si="11"/>
        <v/>
      </c>
    </row>
    <row r="708" spans="1:2" x14ac:dyDescent="0.2">
      <c r="A708" s="18" t="str">
        <f>IF('Frame Sections'!A708=0,"",'Frame Sections'!A708)</f>
        <v/>
      </c>
      <c r="B708" s="18" t="str">
        <f t="shared" si="11"/>
        <v/>
      </c>
    </row>
    <row r="709" spans="1:2" x14ac:dyDescent="0.2">
      <c r="A709" s="18" t="str">
        <f>IF('Frame Sections'!A709=0,"",'Frame Sections'!A709)</f>
        <v/>
      </c>
      <c r="B709" s="18" t="str">
        <f t="shared" si="11"/>
        <v/>
      </c>
    </row>
    <row r="710" spans="1:2" x14ac:dyDescent="0.2">
      <c r="A710" s="18" t="str">
        <f>IF('Frame Sections'!A710=0,"",'Frame Sections'!A710)</f>
        <v/>
      </c>
      <c r="B710" s="18" t="str">
        <f t="shared" si="11"/>
        <v/>
      </c>
    </row>
    <row r="711" spans="1:2" x14ac:dyDescent="0.2">
      <c r="A711" s="18" t="str">
        <f>IF('Frame Sections'!A711=0,"",'Frame Sections'!A711)</f>
        <v/>
      </c>
      <c r="B711" s="18" t="str">
        <f t="shared" si="11"/>
        <v/>
      </c>
    </row>
    <row r="712" spans="1:2" x14ac:dyDescent="0.2">
      <c r="A712" s="18" t="str">
        <f>IF('Frame Sections'!A712=0,"",'Frame Sections'!A712)</f>
        <v/>
      </c>
      <c r="B712" s="18" t="str">
        <f t="shared" si="11"/>
        <v/>
      </c>
    </row>
    <row r="713" spans="1:2" x14ac:dyDescent="0.2">
      <c r="A713" s="18" t="str">
        <f>IF('Frame Sections'!A713=0,"",'Frame Sections'!A713)</f>
        <v/>
      </c>
      <c r="B713" s="18" t="str">
        <f t="shared" si="11"/>
        <v/>
      </c>
    </row>
    <row r="714" spans="1:2" x14ac:dyDescent="0.2">
      <c r="A714" s="18" t="str">
        <f>IF('Frame Sections'!A714=0,"",'Frame Sections'!A714)</f>
        <v/>
      </c>
      <c r="B714" s="18" t="str">
        <f t="shared" si="11"/>
        <v/>
      </c>
    </row>
    <row r="715" spans="1:2" x14ac:dyDescent="0.2">
      <c r="A715" s="18" t="str">
        <f>IF('Frame Sections'!A715=0,"",'Frame Sections'!A715)</f>
        <v/>
      </c>
      <c r="B715" s="18" t="str">
        <f t="shared" si="11"/>
        <v/>
      </c>
    </row>
    <row r="716" spans="1:2" x14ac:dyDescent="0.2">
      <c r="A716" s="18" t="str">
        <f>IF('Frame Sections'!A716=0,"",'Frame Sections'!A716)</f>
        <v/>
      </c>
      <c r="B716" s="18" t="str">
        <f t="shared" si="11"/>
        <v/>
      </c>
    </row>
    <row r="717" spans="1:2" x14ac:dyDescent="0.2">
      <c r="A717" s="18" t="str">
        <f>IF('Frame Sections'!A717=0,"",'Frame Sections'!A717)</f>
        <v/>
      </c>
      <c r="B717" s="18" t="str">
        <f t="shared" si="11"/>
        <v/>
      </c>
    </row>
    <row r="718" spans="1:2" x14ac:dyDescent="0.2">
      <c r="A718" s="18" t="str">
        <f>IF('Frame Sections'!A718=0,"",'Frame Sections'!A718)</f>
        <v/>
      </c>
      <c r="B718" s="18" t="str">
        <f t="shared" si="11"/>
        <v/>
      </c>
    </row>
    <row r="719" spans="1:2" x14ac:dyDescent="0.2">
      <c r="A719" s="18" t="str">
        <f>IF('Frame Sections'!A719=0,"",'Frame Sections'!A719)</f>
        <v/>
      </c>
      <c r="B719" s="18" t="str">
        <f t="shared" si="11"/>
        <v/>
      </c>
    </row>
    <row r="720" spans="1:2" x14ac:dyDescent="0.2">
      <c r="A720" s="18" t="str">
        <f>IF('Frame Sections'!A720=0,"",'Frame Sections'!A720)</f>
        <v/>
      </c>
      <c r="B720" s="18" t="str">
        <f t="shared" si="11"/>
        <v/>
      </c>
    </row>
    <row r="721" spans="1:2" x14ac:dyDescent="0.2">
      <c r="A721" s="18" t="str">
        <f>IF('Frame Sections'!A721=0,"",'Frame Sections'!A721)</f>
        <v/>
      </c>
      <c r="B721" s="18" t="str">
        <f t="shared" si="11"/>
        <v/>
      </c>
    </row>
    <row r="722" spans="1:2" x14ac:dyDescent="0.2">
      <c r="A722" s="18" t="str">
        <f>IF('Frame Sections'!A722=0,"",'Frame Sections'!A722)</f>
        <v/>
      </c>
      <c r="B722" s="18" t="str">
        <f t="shared" si="11"/>
        <v/>
      </c>
    </row>
    <row r="723" spans="1:2" x14ac:dyDescent="0.2">
      <c r="A723" s="18" t="str">
        <f>IF('Frame Sections'!A723=0,"",'Frame Sections'!A723)</f>
        <v/>
      </c>
      <c r="B723" s="18" t="str">
        <f t="shared" si="11"/>
        <v/>
      </c>
    </row>
    <row r="724" spans="1:2" x14ac:dyDescent="0.2">
      <c r="A724" s="18" t="str">
        <f>IF('Frame Sections'!A724=0,"",'Frame Sections'!A724)</f>
        <v/>
      </c>
      <c r="B724" s="18" t="str">
        <f t="shared" si="11"/>
        <v/>
      </c>
    </row>
    <row r="725" spans="1:2" x14ac:dyDescent="0.2">
      <c r="A725" s="18" t="str">
        <f>IF('Frame Sections'!A725=0,"",'Frame Sections'!A725)</f>
        <v/>
      </c>
      <c r="B725" s="18" t="str">
        <f t="shared" si="11"/>
        <v/>
      </c>
    </row>
    <row r="726" spans="1:2" x14ac:dyDescent="0.2">
      <c r="A726" s="18" t="str">
        <f>IF('Frame Sections'!A726=0,"",'Frame Sections'!A726)</f>
        <v/>
      </c>
      <c r="B726" s="18" t="str">
        <f t="shared" si="11"/>
        <v/>
      </c>
    </row>
    <row r="727" spans="1:2" x14ac:dyDescent="0.2">
      <c r="A727" s="18" t="str">
        <f>IF('Frame Sections'!A727=0,"",'Frame Sections'!A727)</f>
        <v/>
      </c>
      <c r="B727" s="18" t="str">
        <f t="shared" si="11"/>
        <v/>
      </c>
    </row>
    <row r="728" spans="1:2" x14ac:dyDescent="0.2">
      <c r="A728" s="18" t="str">
        <f>IF('Frame Sections'!A728=0,"",'Frame Sections'!A728)</f>
        <v/>
      </c>
      <c r="B728" s="18" t="str">
        <f t="shared" si="11"/>
        <v/>
      </c>
    </row>
    <row r="729" spans="1:2" x14ac:dyDescent="0.2">
      <c r="A729" s="18" t="str">
        <f>IF('Frame Sections'!A729=0,"",'Frame Sections'!A729)</f>
        <v/>
      </c>
      <c r="B729" s="18" t="str">
        <f t="shared" si="11"/>
        <v/>
      </c>
    </row>
    <row r="730" spans="1:2" x14ac:dyDescent="0.2">
      <c r="A730" s="18" t="str">
        <f>IF('Frame Sections'!A730=0,"",'Frame Sections'!A730)</f>
        <v/>
      </c>
      <c r="B730" s="18" t="str">
        <f t="shared" si="11"/>
        <v/>
      </c>
    </row>
    <row r="731" spans="1:2" x14ac:dyDescent="0.2">
      <c r="A731" s="18" t="str">
        <f>IF('Frame Sections'!A731=0,"",'Frame Sections'!A731)</f>
        <v/>
      </c>
      <c r="B731" s="18" t="str">
        <f t="shared" si="11"/>
        <v/>
      </c>
    </row>
    <row r="732" spans="1:2" x14ac:dyDescent="0.2">
      <c r="A732" s="18" t="str">
        <f>IF('Frame Sections'!A732=0,"",'Frame Sections'!A732)</f>
        <v/>
      </c>
      <c r="B732" s="18" t="str">
        <f t="shared" si="11"/>
        <v/>
      </c>
    </row>
    <row r="733" spans="1:2" x14ac:dyDescent="0.2">
      <c r="A733" s="18" t="str">
        <f>IF('Frame Sections'!A733=0,"",'Frame Sections'!A733)</f>
        <v/>
      </c>
      <c r="B733" s="18" t="str">
        <f t="shared" si="11"/>
        <v/>
      </c>
    </row>
    <row r="734" spans="1:2" x14ac:dyDescent="0.2">
      <c r="A734" s="18" t="str">
        <f>IF('Frame Sections'!A734=0,"",'Frame Sections'!A734)</f>
        <v/>
      </c>
      <c r="B734" s="18" t="str">
        <f t="shared" si="11"/>
        <v/>
      </c>
    </row>
    <row r="735" spans="1:2" x14ac:dyDescent="0.2">
      <c r="A735" s="18" t="str">
        <f>IF('Frame Sections'!A735=0,"",'Frame Sections'!A735)</f>
        <v/>
      </c>
      <c r="B735" s="18" t="str">
        <f t="shared" si="11"/>
        <v/>
      </c>
    </row>
    <row r="736" spans="1:2" x14ac:dyDescent="0.2">
      <c r="A736" s="18" t="str">
        <f>IF('Frame Sections'!A736=0,"",'Frame Sections'!A736)</f>
        <v/>
      </c>
      <c r="B736" s="18" t="str">
        <f t="shared" si="11"/>
        <v/>
      </c>
    </row>
    <row r="737" spans="1:2" x14ac:dyDescent="0.2">
      <c r="A737" s="18" t="str">
        <f>IF('Frame Sections'!A737=0,"",'Frame Sections'!A737)</f>
        <v/>
      </c>
      <c r="B737" s="18" t="str">
        <f t="shared" si="11"/>
        <v/>
      </c>
    </row>
    <row r="738" spans="1:2" x14ac:dyDescent="0.2">
      <c r="A738" s="18" t="str">
        <f>IF('Frame Sections'!A738=0,"",'Frame Sections'!A738)</f>
        <v/>
      </c>
      <c r="B738" s="18" t="str">
        <f t="shared" si="11"/>
        <v/>
      </c>
    </row>
    <row r="739" spans="1:2" x14ac:dyDescent="0.2">
      <c r="A739" s="18" t="str">
        <f>IF('Frame Sections'!A739=0,"",'Frame Sections'!A739)</f>
        <v/>
      </c>
      <c r="B739" s="18" t="str">
        <f t="shared" si="11"/>
        <v/>
      </c>
    </row>
    <row r="740" spans="1:2" x14ac:dyDescent="0.2">
      <c r="A740" s="18" t="str">
        <f>IF('Frame Sections'!A740=0,"",'Frame Sections'!A740)</f>
        <v/>
      </c>
      <c r="B740" s="18" t="str">
        <f t="shared" si="11"/>
        <v/>
      </c>
    </row>
    <row r="741" spans="1:2" x14ac:dyDescent="0.2">
      <c r="A741" s="18" t="str">
        <f>IF('Frame Sections'!A741=0,"",'Frame Sections'!A741)</f>
        <v/>
      </c>
      <c r="B741" s="18" t="str">
        <f t="shared" si="11"/>
        <v/>
      </c>
    </row>
    <row r="742" spans="1:2" x14ac:dyDescent="0.2">
      <c r="A742" s="18" t="str">
        <f>IF('Frame Sections'!A742=0,"",'Frame Sections'!A742)</f>
        <v/>
      </c>
      <c r="B742" s="18" t="str">
        <f t="shared" si="11"/>
        <v/>
      </c>
    </row>
    <row r="743" spans="1:2" x14ac:dyDescent="0.2">
      <c r="A743" s="18" t="str">
        <f>IF('Frame Sections'!A743=0,"",'Frame Sections'!A743)</f>
        <v/>
      </c>
      <c r="B743" s="18" t="str">
        <f t="shared" si="11"/>
        <v/>
      </c>
    </row>
    <row r="744" spans="1:2" x14ac:dyDescent="0.2">
      <c r="A744" s="18" t="str">
        <f>IF('Frame Sections'!A744=0,"",'Frame Sections'!A744)</f>
        <v/>
      </c>
      <c r="B744" s="18" t="str">
        <f t="shared" si="11"/>
        <v/>
      </c>
    </row>
    <row r="745" spans="1:2" x14ac:dyDescent="0.2">
      <c r="A745" s="18" t="str">
        <f>IF('Frame Sections'!A745=0,"",'Frame Sections'!A745)</f>
        <v/>
      </c>
      <c r="B745" s="18" t="str">
        <f t="shared" si="11"/>
        <v/>
      </c>
    </row>
    <row r="746" spans="1:2" x14ac:dyDescent="0.2">
      <c r="A746" s="18" t="str">
        <f>IF('Frame Sections'!A746=0,"",'Frame Sections'!A746)</f>
        <v/>
      </c>
      <c r="B746" s="18" t="str">
        <f t="shared" si="11"/>
        <v/>
      </c>
    </row>
    <row r="747" spans="1:2" x14ac:dyDescent="0.2">
      <c r="A747" s="18" t="str">
        <f>IF('Frame Sections'!A747=0,"",'Frame Sections'!A747)</f>
        <v/>
      </c>
      <c r="B747" s="18" t="str">
        <f t="shared" si="11"/>
        <v/>
      </c>
    </row>
    <row r="748" spans="1:2" x14ac:dyDescent="0.2">
      <c r="A748" s="18" t="str">
        <f>IF('Frame Sections'!A748=0,"",'Frame Sections'!A748)</f>
        <v/>
      </c>
      <c r="B748" s="18" t="str">
        <f t="shared" si="11"/>
        <v/>
      </c>
    </row>
    <row r="749" spans="1:2" x14ac:dyDescent="0.2">
      <c r="A749" s="18" t="str">
        <f>IF('Frame Sections'!A749=0,"",'Frame Sections'!A749)</f>
        <v/>
      </c>
      <c r="B749" s="18" t="str">
        <f t="shared" si="11"/>
        <v/>
      </c>
    </row>
    <row r="750" spans="1:2" x14ac:dyDescent="0.2">
      <c r="A750" s="18" t="str">
        <f>IF('Frame Sections'!A750=0,"",'Frame Sections'!A750)</f>
        <v/>
      </c>
      <c r="B750" s="18" t="str">
        <f t="shared" si="11"/>
        <v/>
      </c>
    </row>
    <row r="751" spans="1:2" x14ac:dyDescent="0.2">
      <c r="A751" s="18" t="str">
        <f>IF('Frame Sections'!A751=0,"",'Frame Sections'!A751)</f>
        <v/>
      </c>
      <c r="B751" s="18" t="str">
        <f t="shared" si="11"/>
        <v/>
      </c>
    </row>
    <row r="752" spans="1:2" x14ac:dyDescent="0.2">
      <c r="A752" s="18" t="str">
        <f>IF('Frame Sections'!A752=0,"",'Frame Sections'!A752)</f>
        <v/>
      </c>
      <c r="B752" s="18" t="str">
        <f t="shared" si="11"/>
        <v/>
      </c>
    </row>
    <row r="753" spans="1:2" x14ac:dyDescent="0.2">
      <c r="A753" s="18" t="str">
        <f>IF('Frame Sections'!A753=0,"",'Frame Sections'!A753)</f>
        <v/>
      </c>
      <c r="B753" s="18" t="str">
        <f t="shared" si="11"/>
        <v/>
      </c>
    </row>
    <row r="754" spans="1:2" x14ac:dyDescent="0.2">
      <c r="A754" s="18" t="str">
        <f>IF('Frame Sections'!A754=0,"",'Frame Sections'!A754)</f>
        <v/>
      </c>
      <c r="B754" s="18" t="str">
        <f t="shared" si="11"/>
        <v/>
      </c>
    </row>
    <row r="755" spans="1:2" x14ac:dyDescent="0.2">
      <c r="A755" s="18" t="str">
        <f>IF('Frame Sections'!A755=0,"",'Frame Sections'!A755)</f>
        <v/>
      </c>
      <c r="B755" s="18" t="str">
        <f t="shared" si="11"/>
        <v/>
      </c>
    </row>
    <row r="756" spans="1:2" x14ac:dyDescent="0.2">
      <c r="A756" s="18" t="str">
        <f>IF('Frame Sections'!A756=0,"",'Frame Sections'!A756)</f>
        <v/>
      </c>
      <c r="B756" s="18" t="str">
        <f t="shared" si="11"/>
        <v/>
      </c>
    </row>
    <row r="757" spans="1:2" x14ac:dyDescent="0.2">
      <c r="A757" s="18" t="str">
        <f>IF('Frame Sections'!A757=0,"",'Frame Sections'!A757)</f>
        <v/>
      </c>
      <c r="B757" s="18" t="str">
        <f t="shared" si="11"/>
        <v/>
      </c>
    </row>
    <row r="758" spans="1:2" x14ac:dyDescent="0.2">
      <c r="A758" s="18" t="str">
        <f>IF('Frame Sections'!A758=0,"",'Frame Sections'!A758)</f>
        <v/>
      </c>
      <c r="B758" s="18" t="str">
        <f t="shared" si="11"/>
        <v/>
      </c>
    </row>
    <row r="759" spans="1:2" x14ac:dyDescent="0.2">
      <c r="A759" s="18" t="str">
        <f>IF('Frame Sections'!A759=0,"",'Frame Sections'!A759)</f>
        <v/>
      </c>
      <c r="B759" s="18" t="str">
        <f t="shared" si="11"/>
        <v/>
      </c>
    </row>
    <row r="760" spans="1:2" x14ac:dyDescent="0.2">
      <c r="A760" s="18" t="str">
        <f>IF('Frame Sections'!A760=0,"",'Frame Sections'!A760)</f>
        <v/>
      </c>
      <c r="B760" s="18" t="str">
        <f t="shared" si="11"/>
        <v/>
      </c>
    </row>
    <row r="761" spans="1:2" x14ac:dyDescent="0.2">
      <c r="A761" s="18" t="str">
        <f>IF('Frame Sections'!A761=0,"",'Frame Sections'!A761)</f>
        <v/>
      </c>
      <c r="B761" s="18" t="str">
        <f t="shared" si="11"/>
        <v/>
      </c>
    </row>
    <row r="762" spans="1:2" x14ac:dyDescent="0.2">
      <c r="A762" s="18" t="str">
        <f>IF('Frame Sections'!A762=0,"",'Frame Sections'!A762)</f>
        <v/>
      </c>
      <c r="B762" s="18" t="str">
        <f t="shared" si="11"/>
        <v/>
      </c>
    </row>
    <row r="763" spans="1:2" x14ac:dyDescent="0.2">
      <c r="A763" s="18" t="str">
        <f>IF('Frame Sections'!A763=0,"",'Frame Sections'!A763)</f>
        <v/>
      </c>
      <c r="B763" s="18" t="str">
        <f t="shared" si="11"/>
        <v/>
      </c>
    </row>
    <row r="764" spans="1:2" x14ac:dyDescent="0.2">
      <c r="A764" s="18" t="str">
        <f>IF('Frame Sections'!A764=0,"",'Frame Sections'!A764)</f>
        <v/>
      </c>
      <c r="B764" s="18" t="str">
        <f t="shared" si="11"/>
        <v/>
      </c>
    </row>
    <row r="765" spans="1:2" x14ac:dyDescent="0.2">
      <c r="A765" s="18" t="str">
        <f>IF('Frame Sections'!A765=0,"",'Frame Sections'!A765)</f>
        <v/>
      </c>
      <c r="B765" s="18" t="str">
        <f t="shared" si="11"/>
        <v/>
      </c>
    </row>
    <row r="766" spans="1:2" x14ac:dyDescent="0.2">
      <c r="A766" s="18" t="str">
        <f>IF('Frame Sections'!A766=0,"",'Frame Sections'!A766)</f>
        <v/>
      </c>
      <c r="B766" s="18" t="str">
        <f t="shared" si="11"/>
        <v/>
      </c>
    </row>
    <row r="767" spans="1:2" x14ac:dyDescent="0.2">
      <c r="A767" s="18" t="str">
        <f>IF('Frame Sections'!A767=0,"",'Frame Sections'!A767)</f>
        <v/>
      </c>
      <c r="B767" s="18" t="str">
        <f t="shared" si="11"/>
        <v/>
      </c>
    </row>
    <row r="768" spans="1:2" x14ac:dyDescent="0.2">
      <c r="A768" s="18" t="str">
        <f>IF('Frame Sections'!A768=0,"",'Frame Sections'!A768)</f>
        <v/>
      </c>
      <c r="B768" s="18" t="str">
        <f t="shared" si="11"/>
        <v/>
      </c>
    </row>
    <row r="769" spans="1:2" x14ac:dyDescent="0.2">
      <c r="A769" s="18" t="str">
        <f>IF('Frame Sections'!A769=0,"",'Frame Sections'!A769)</f>
        <v/>
      </c>
      <c r="B769" s="18" t="str">
        <f t="shared" si="11"/>
        <v/>
      </c>
    </row>
    <row r="770" spans="1:2" x14ac:dyDescent="0.2">
      <c r="A770" s="18" t="str">
        <f>IF('Frame Sections'!A770=0,"",'Frame Sections'!A770)</f>
        <v/>
      </c>
      <c r="B770" s="18" t="str">
        <f t="shared" ref="B770:B833" si="12">IF(OR(A770=0,A770=""),"",VLOOKUP(A770,SecDB,5,FALSE))</f>
        <v/>
      </c>
    </row>
    <row r="771" spans="1:2" x14ac:dyDescent="0.2">
      <c r="A771" s="18" t="str">
        <f>IF('Frame Sections'!A771=0,"",'Frame Sections'!A771)</f>
        <v/>
      </c>
      <c r="B771" s="18" t="str">
        <f t="shared" si="12"/>
        <v/>
      </c>
    </row>
    <row r="772" spans="1:2" x14ac:dyDescent="0.2">
      <c r="A772" s="18" t="str">
        <f>IF('Frame Sections'!A772=0,"",'Frame Sections'!A772)</f>
        <v/>
      </c>
      <c r="B772" s="18" t="str">
        <f t="shared" si="12"/>
        <v/>
      </c>
    </row>
    <row r="773" spans="1:2" x14ac:dyDescent="0.2">
      <c r="A773" s="18" t="str">
        <f>IF('Frame Sections'!A773=0,"",'Frame Sections'!A773)</f>
        <v/>
      </c>
      <c r="B773" s="18" t="str">
        <f t="shared" si="12"/>
        <v/>
      </c>
    </row>
    <row r="774" spans="1:2" x14ac:dyDescent="0.2">
      <c r="A774" s="18" t="str">
        <f>IF('Frame Sections'!A774=0,"",'Frame Sections'!A774)</f>
        <v/>
      </c>
      <c r="B774" s="18" t="str">
        <f t="shared" si="12"/>
        <v/>
      </c>
    </row>
    <row r="775" spans="1:2" x14ac:dyDescent="0.2">
      <c r="A775" s="18" t="str">
        <f>IF('Frame Sections'!A775=0,"",'Frame Sections'!A775)</f>
        <v/>
      </c>
      <c r="B775" s="18" t="str">
        <f t="shared" si="12"/>
        <v/>
      </c>
    </row>
    <row r="776" spans="1:2" x14ac:dyDescent="0.2">
      <c r="A776" s="18" t="str">
        <f>IF('Frame Sections'!A776=0,"",'Frame Sections'!A776)</f>
        <v/>
      </c>
      <c r="B776" s="18" t="str">
        <f t="shared" si="12"/>
        <v/>
      </c>
    </row>
    <row r="777" spans="1:2" x14ac:dyDescent="0.2">
      <c r="A777" s="18" t="str">
        <f>IF('Frame Sections'!A777=0,"",'Frame Sections'!A777)</f>
        <v/>
      </c>
      <c r="B777" s="18" t="str">
        <f t="shared" si="12"/>
        <v/>
      </c>
    </row>
    <row r="778" spans="1:2" x14ac:dyDescent="0.2">
      <c r="A778" s="18" t="str">
        <f>IF('Frame Sections'!A778=0,"",'Frame Sections'!A778)</f>
        <v/>
      </c>
      <c r="B778" s="18" t="str">
        <f t="shared" si="12"/>
        <v/>
      </c>
    </row>
    <row r="779" spans="1:2" x14ac:dyDescent="0.2">
      <c r="A779" s="18" t="str">
        <f>IF('Frame Sections'!A779=0,"",'Frame Sections'!A779)</f>
        <v/>
      </c>
      <c r="B779" s="18" t="str">
        <f t="shared" si="12"/>
        <v/>
      </c>
    </row>
    <row r="780" spans="1:2" x14ac:dyDescent="0.2">
      <c r="A780" s="18" t="str">
        <f>IF('Frame Sections'!A780=0,"",'Frame Sections'!A780)</f>
        <v/>
      </c>
      <c r="B780" s="18" t="str">
        <f t="shared" si="12"/>
        <v/>
      </c>
    </row>
    <row r="781" spans="1:2" x14ac:dyDescent="0.2">
      <c r="A781" s="18" t="str">
        <f>IF('Frame Sections'!A781=0,"",'Frame Sections'!A781)</f>
        <v/>
      </c>
      <c r="B781" s="18" t="str">
        <f t="shared" si="12"/>
        <v/>
      </c>
    </row>
    <row r="782" spans="1:2" x14ac:dyDescent="0.2">
      <c r="A782" s="18" t="str">
        <f>IF('Frame Sections'!A782=0,"",'Frame Sections'!A782)</f>
        <v/>
      </c>
      <c r="B782" s="18" t="str">
        <f t="shared" si="12"/>
        <v/>
      </c>
    </row>
    <row r="783" spans="1:2" x14ac:dyDescent="0.2">
      <c r="A783" s="18" t="str">
        <f>IF('Frame Sections'!A783=0,"",'Frame Sections'!A783)</f>
        <v/>
      </c>
      <c r="B783" s="18" t="str">
        <f t="shared" si="12"/>
        <v/>
      </c>
    </row>
    <row r="784" spans="1:2" x14ac:dyDescent="0.2">
      <c r="A784" s="18" t="str">
        <f>IF('Frame Sections'!A784=0,"",'Frame Sections'!A784)</f>
        <v/>
      </c>
      <c r="B784" s="18" t="str">
        <f t="shared" si="12"/>
        <v/>
      </c>
    </row>
    <row r="785" spans="1:2" x14ac:dyDescent="0.2">
      <c r="A785" s="18" t="str">
        <f>IF('Frame Sections'!A785=0,"",'Frame Sections'!A785)</f>
        <v/>
      </c>
      <c r="B785" s="18" t="str">
        <f t="shared" si="12"/>
        <v/>
      </c>
    </row>
    <row r="786" spans="1:2" x14ac:dyDescent="0.2">
      <c r="A786" s="18" t="str">
        <f>IF('Frame Sections'!A786=0,"",'Frame Sections'!A786)</f>
        <v/>
      </c>
      <c r="B786" s="18" t="str">
        <f t="shared" si="12"/>
        <v/>
      </c>
    </row>
    <row r="787" spans="1:2" x14ac:dyDescent="0.2">
      <c r="A787" s="18" t="str">
        <f>IF('Frame Sections'!A787=0,"",'Frame Sections'!A787)</f>
        <v/>
      </c>
      <c r="B787" s="18" t="str">
        <f t="shared" si="12"/>
        <v/>
      </c>
    </row>
    <row r="788" spans="1:2" x14ac:dyDescent="0.2">
      <c r="A788" s="18" t="str">
        <f>IF('Frame Sections'!A788=0,"",'Frame Sections'!A788)</f>
        <v/>
      </c>
      <c r="B788" s="18" t="str">
        <f t="shared" si="12"/>
        <v/>
      </c>
    </row>
    <row r="789" spans="1:2" x14ac:dyDescent="0.2">
      <c r="A789" s="18" t="str">
        <f>IF('Frame Sections'!A789=0,"",'Frame Sections'!A789)</f>
        <v/>
      </c>
      <c r="B789" s="18" t="str">
        <f t="shared" si="12"/>
        <v/>
      </c>
    </row>
    <row r="790" spans="1:2" x14ac:dyDescent="0.2">
      <c r="A790" s="18" t="str">
        <f>IF('Frame Sections'!A790=0,"",'Frame Sections'!A790)</f>
        <v/>
      </c>
      <c r="B790" s="18" t="str">
        <f t="shared" si="12"/>
        <v/>
      </c>
    </row>
    <row r="791" spans="1:2" x14ac:dyDescent="0.2">
      <c r="A791" s="18" t="str">
        <f>IF('Frame Sections'!A791=0,"",'Frame Sections'!A791)</f>
        <v/>
      </c>
      <c r="B791" s="18" t="str">
        <f t="shared" si="12"/>
        <v/>
      </c>
    </row>
    <row r="792" spans="1:2" x14ac:dyDescent="0.2">
      <c r="A792" s="18" t="str">
        <f>IF('Frame Sections'!A792=0,"",'Frame Sections'!A792)</f>
        <v/>
      </c>
      <c r="B792" s="18" t="str">
        <f t="shared" si="12"/>
        <v/>
      </c>
    </row>
    <row r="793" spans="1:2" x14ac:dyDescent="0.2">
      <c r="A793" s="18" t="str">
        <f>IF('Frame Sections'!A793=0,"",'Frame Sections'!A793)</f>
        <v/>
      </c>
      <c r="B793" s="18" t="str">
        <f t="shared" si="12"/>
        <v/>
      </c>
    </row>
    <row r="794" spans="1:2" x14ac:dyDescent="0.2">
      <c r="A794" s="18" t="str">
        <f>IF('Frame Sections'!A794=0,"",'Frame Sections'!A794)</f>
        <v/>
      </c>
      <c r="B794" s="18" t="str">
        <f t="shared" si="12"/>
        <v/>
      </c>
    </row>
    <row r="795" spans="1:2" x14ac:dyDescent="0.2">
      <c r="A795" s="18" t="str">
        <f>IF('Frame Sections'!A795=0,"",'Frame Sections'!A795)</f>
        <v/>
      </c>
      <c r="B795" s="18" t="str">
        <f t="shared" si="12"/>
        <v/>
      </c>
    </row>
    <row r="796" spans="1:2" x14ac:dyDescent="0.2">
      <c r="A796" s="18" t="str">
        <f>IF('Frame Sections'!A796=0,"",'Frame Sections'!A796)</f>
        <v/>
      </c>
      <c r="B796" s="18" t="str">
        <f t="shared" si="12"/>
        <v/>
      </c>
    </row>
    <row r="797" spans="1:2" x14ac:dyDescent="0.2">
      <c r="A797" s="18" t="str">
        <f>IF('Frame Sections'!A797=0,"",'Frame Sections'!A797)</f>
        <v/>
      </c>
      <c r="B797" s="18" t="str">
        <f t="shared" si="12"/>
        <v/>
      </c>
    </row>
    <row r="798" spans="1:2" x14ac:dyDescent="0.2">
      <c r="A798" s="18" t="str">
        <f>IF('Frame Sections'!A798=0,"",'Frame Sections'!A798)</f>
        <v/>
      </c>
      <c r="B798" s="18" t="str">
        <f t="shared" si="12"/>
        <v/>
      </c>
    </row>
    <row r="799" spans="1:2" x14ac:dyDescent="0.2">
      <c r="A799" s="18" t="str">
        <f>IF('Frame Sections'!A799=0,"",'Frame Sections'!A799)</f>
        <v/>
      </c>
      <c r="B799" s="18" t="str">
        <f t="shared" si="12"/>
        <v/>
      </c>
    </row>
    <row r="800" spans="1:2" x14ac:dyDescent="0.2">
      <c r="A800" s="18" t="str">
        <f>IF('Frame Sections'!A800=0,"",'Frame Sections'!A800)</f>
        <v/>
      </c>
      <c r="B800" s="18" t="str">
        <f t="shared" si="12"/>
        <v/>
      </c>
    </row>
    <row r="801" spans="1:2" x14ac:dyDescent="0.2">
      <c r="A801" s="18" t="str">
        <f>IF('Frame Sections'!A801=0,"",'Frame Sections'!A801)</f>
        <v/>
      </c>
      <c r="B801" s="18" t="str">
        <f t="shared" si="12"/>
        <v/>
      </c>
    </row>
    <row r="802" spans="1:2" x14ac:dyDescent="0.2">
      <c r="A802" s="18" t="str">
        <f>IF('Frame Sections'!A802=0,"",'Frame Sections'!A802)</f>
        <v/>
      </c>
      <c r="B802" s="18" t="str">
        <f t="shared" si="12"/>
        <v/>
      </c>
    </row>
    <row r="803" spans="1:2" x14ac:dyDescent="0.2">
      <c r="A803" s="18" t="str">
        <f>IF('Frame Sections'!A803=0,"",'Frame Sections'!A803)</f>
        <v/>
      </c>
      <c r="B803" s="18" t="str">
        <f t="shared" si="12"/>
        <v/>
      </c>
    </row>
    <row r="804" spans="1:2" x14ac:dyDescent="0.2">
      <c r="A804" s="18" t="str">
        <f>IF('Frame Sections'!A804=0,"",'Frame Sections'!A804)</f>
        <v/>
      </c>
      <c r="B804" s="18" t="str">
        <f t="shared" si="12"/>
        <v/>
      </c>
    </row>
    <row r="805" spans="1:2" x14ac:dyDescent="0.2">
      <c r="A805" s="18" t="str">
        <f>IF('Frame Sections'!A805=0,"",'Frame Sections'!A805)</f>
        <v/>
      </c>
      <c r="B805" s="18" t="str">
        <f t="shared" si="12"/>
        <v/>
      </c>
    </row>
    <row r="806" spans="1:2" x14ac:dyDescent="0.2">
      <c r="A806" s="18" t="str">
        <f>IF('Frame Sections'!A806=0,"",'Frame Sections'!A806)</f>
        <v/>
      </c>
      <c r="B806" s="18" t="str">
        <f t="shared" si="12"/>
        <v/>
      </c>
    </row>
    <row r="807" spans="1:2" x14ac:dyDescent="0.2">
      <c r="A807" s="18" t="str">
        <f>IF('Frame Sections'!A807=0,"",'Frame Sections'!A807)</f>
        <v/>
      </c>
      <c r="B807" s="18" t="str">
        <f t="shared" si="12"/>
        <v/>
      </c>
    </row>
    <row r="808" spans="1:2" x14ac:dyDescent="0.2">
      <c r="A808" s="18" t="str">
        <f>IF('Frame Sections'!A808=0,"",'Frame Sections'!A808)</f>
        <v/>
      </c>
      <c r="B808" s="18" t="str">
        <f t="shared" si="12"/>
        <v/>
      </c>
    </row>
    <row r="809" spans="1:2" x14ac:dyDescent="0.2">
      <c r="A809" s="18" t="str">
        <f>IF('Frame Sections'!A809=0,"",'Frame Sections'!A809)</f>
        <v/>
      </c>
      <c r="B809" s="18" t="str">
        <f t="shared" si="12"/>
        <v/>
      </c>
    </row>
    <row r="810" spans="1:2" x14ac:dyDescent="0.2">
      <c r="A810" s="18" t="str">
        <f>IF('Frame Sections'!A810=0,"",'Frame Sections'!A810)</f>
        <v/>
      </c>
      <c r="B810" s="18" t="str">
        <f t="shared" si="12"/>
        <v/>
      </c>
    </row>
    <row r="811" spans="1:2" x14ac:dyDescent="0.2">
      <c r="A811" s="18" t="str">
        <f>IF('Frame Sections'!A811=0,"",'Frame Sections'!A811)</f>
        <v/>
      </c>
      <c r="B811" s="18" t="str">
        <f t="shared" si="12"/>
        <v/>
      </c>
    </row>
    <row r="812" spans="1:2" x14ac:dyDescent="0.2">
      <c r="A812" s="18" t="str">
        <f>IF('Frame Sections'!A812=0,"",'Frame Sections'!A812)</f>
        <v/>
      </c>
      <c r="B812" s="18" t="str">
        <f t="shared" si="12"/>
        <v/>
      </c>
    </row>
    <row r="813" spans="1:2" x14ac:dyDescent="0.2">
      <c r="A813" s="18" t="str">
        <f>IF('Frame Sections'!A813=0,"",'Frame Sections'!A813)</f>
        <v/>
      </c>
      <c r="B813" s="18" t="str">
        <f t="shared" si="12"/>
        <v/>
      </c>
    </row>
    <row r="814" spans="1:2" x14ac:dyDescent="0.2">
      <c r="A814" s="18" t="str">
        <f>IF('Frame Sections'!A814=0,"",'Frame Sections'!A814)</f>
        <v/>
      </c>
      <c r="B814" s="18" t="str">
        <f t="shared" si="12"/>
        <v/>
      </c>
    </row>
    <row r="815" spans="1:2" x14ac:dyDescent="0.2">
      <c r="A815" s="18" t="str">
        <f>IF('Frame Sections'!A815=0,"",'Frame Sections'!A815)</f>
        <v/>
      </c>
      <c r="B815" s="18" t="str">
        <f t="shared" si="12"/>
        <v/>
      </c>
    </row>
    <row r="816" spans="1:2" x14ac:dyDescent="0.2">
      <c r="A816" s="18" t="str">
        <f>IF('Frame Sections'!A816=0,"",'Frame Sections'!A816)</f>
        <v/>
      </c>
      <c r="B816" s="18" t="str">
        <f t="shared" si="12"/>
        <v/>
      </c>
    </row>
    <row r="817" spans="1:2" x14ac:dyDescent="0.2">
      <c r="A817" s="18" t="str">
        <f>IF('Frame Sections'!A817=0,"",'Frame Sections'!A817)</f>
        <v/>
      </c>
      <c r="B817" s="18" t="str">
        <f t="shared" si="12"/>
        <v/>
      </c>
    </row>
    <row r="818" spans="1:2" x14ac:dyDescent="0.2">
      <c r="A818" s="18" t="str">
        <f>IF('Frame Sections'!A818=0,"",'Frame Sections'!A818)</f>
        <v/>
      </c>
      <c r="B818" s="18" t="str">
        <f t="shared" si="12"/>
        <v/>
      </c>
    </row>
    <row r="819" spans="1:2" x14ac:dyDescent="0.2">
      <c r="A819" s="18" t="str">
        <f>IF('Frame Sections'!A819=0,"",'Frame Sections'!A819)</f>
        <v/>
      </c>
      <c r="B819" s="18" t="str">
        <f t="shared" si="12"/>
        <v/>
      </c>
    </row>
    <row r="820" spans="1:2" x14ac:dyDescent="0.2">
      <c r="A820" s="18" t="str">
        <f>IF('Frame Sections'!A820=0,"",'Frame Sections'!A820)</f>
        <v/>
      </c>
      <c r="B820" s="18" t="str">
        <f t="shared" si="12"/>
        <v/>
      </c>
    </row>
    <row r="821" spans="1:2" x14ac:dyDescent="0.2">
      <c r="A821" s="18" t="str">
        <f>IF('Frame Sections'!A821=0,"",'Frame Sections'!A821)</f>
        <v/>
      </c>
      <c r="B821" s="18" t="str">
        <f t="shared" si="12"/>
        <v/>
      </c>
    </row>
    <row r="822" spans="1:2" x14ac:dyDescent="0.2">
      <c r="A822" s="18" t="str">
        <f>IF('Frame Sections'!A822=0,"",'Frame Sections'!A822)</f>
        <v/>
      </c>
      <c r="B822" s="18" t="str">
        <f t="shared" si="12"/>
        <v/>
      </c>
    </row>
    <row r="823" spans="1:2" x14ac:dyDescent="0.2">
      <c r="A823" s="18" t="str">
        <f>IF('Frame Sections'!A823=0,"",'Frame Sections'!A823)</f>
        <v/>
      </c>
      <c r="B823" s="18" t="str">
        <f t="shared" si="12"/>
        <v/>
      </c>
    </row>
    <row r="824" spans="1:2" x14ac:dyDescent="0.2">
      <c r="A824" s="18" t="str">
        <f>IF('Frame Sections'!A824=0,"",'Frame Sections'!A824)</f>
        <v/>
      </c>
      <c r="B824" s="18" t="str">
        <f t="shared" si="12"/>
        <v/>
      </c>
    </row>
    <row r="825" spans="1:2" x14ac:dyDescent="0.2">
      <c r="A825" s="18" t="str">
        <f>IF('Frame Sections'!A825=0,"",'Frame Sections'!A825)</f>
        <v/>
      </c>
      <c r="B825" s="18" t="str">
        <f t="shared" si="12"/>
        <v/>
      </c>
    </row>
    <row r="826" spans="1:2" x14ac:dyDescent="0.2">
      <c r="A826" s="18" t="str">
        <f>IF('Frame Sections'!A826=0,"",'Frame Sections'!A826)</f>
        <v/>
      </c>
      <c r="B826" s="18" t="str">
        <f t="shared" si="12"/>
        <v/>
      </c>
    </row>
    <row r="827" spans="1:2" x14ac:dyDescent="0.2">
      <c r="A827" s="18" t="str">
        <f>IF('Frame Sections'!A827=0,"",'Frame Sections'!A827)</f>
        <v/>
      </c>
      <c r="B827" s="18" t="str">
        <f t="shared" si="12"/>
        <v/>
      </c>
    </row>
    <row r="828" spans="1:2" x14ac:dyDescent="0.2">
      <c r="A828" s="18" t="str">
        <f>IF('Frame Sections'!A828=0,"",'Frame Sections'!A828)</f>
        <v/>
      </c>
      <c r="B828" s="18" t="str">
        <f t="shared" si="12"/>
        <v/>
      </c>
    </row>
    <row r="829" spans="1:2" x14ac:dyDescent="0.2">
      <c r="A829" s="18" t="str">
        <f>IF('Frame Sections'!A829=0,"",'Frame Sections'!A829)</f>
        <v/>
      </c>
      <c r="B829" s="18" t="str">
        <f t="shared" si="12"/>
        <v/>
      </c>
    </row>
    <row r="830" spans="1:2" x14ac:dyDescent="0.2">
      <c r="A830" s="18" t="str">
        <f>IF('Frame Sections'!A830=0,"",'Frame Sections'!A830)</f>
        <v/>
      </c>
      <c r="B830" s="18" t="str">
        <f t="shared" si="12"/>
        <v/>
      </c>
    </row>
    <row r="831" spans="1:2" x14ac:dyDescent="0.2">
      <c r="A831" s="18" t="str">
        <f>IF('Frame Sections'!A831=0,"",'Frame Sections'!A831)</f>
        <v/>
      </c>
      <c r="B831" s="18" t="str">
        <f t="shared" si="12"/>
        <v/>
      </c>
    </row>
    <row r="832" spans="1:2" x14ac:dyDescent="0.2">
      <c r="A832" s="18" t="str">
        <f>IF('Frame Sections'!A832=0,"",'Frame Sections'!A832)</f>
        <v/>
      </c>
      <c r="B832" s="18" t="str">
        <f t="shared" si="12"/>
        <v/>
      </c>
    </row>
    <row r="833" spans="1:2" x14ac:dyDescent="0.2">
      <c r="A833" s="18" t="str">
        <f>IF('Frame Sections'!A833=0,"",'Frame Sections'!A833)</f>
        <v/>
      </c>
      <c r="B833" s="18" t="str">
        <f t="shared" si="12"/>
        <v/>
      </c>
    </row>
    <row r="834" spans="1:2" x14ac:dyDescent="0.2">
      <c r="A834" s="18" t="str">
        <f>IF('Frame Sections'!A834=0,"",'Frame Sections'!A834)</f>
        <v/>
      </c>
      <c r="B834" s="18" t="str">
        <f t="shared" ref="B834:B897" si="13">IF(OR(A834=0,A834=""),"",VLOOKUP(A834,SecDB,5,FALSE))</f>
        <v/>
      </c>
    </row>
    <row r="835" spans="1:2" x14ac:dyDescent="0.2">
      <c r="A835" s="18" t="str">
        <f>IF('Frame Sections'!A835=0,"",'Frame Sections'!A835)</f>
        <v/>
      </c>
      <c r="B835" s="18" t="str">
        <f t="shared" si="13"/>
        <v/>
      </c>
    </row>
    <row r="836" spans="1:2" x14ac:dyDescent="0.2">
      <c r="A836" s="18" t="str">
        <f>IF('Frame Sections'!A836=0,"",'Frame Sections'!A836)</f>
        <v/>
      </c>
      <c r="B836" s="18" t="str">
        <f t="shared" si="13"/>
        <v/>
      </c>
    </row>
    <row r="837" spans="1:2" x14ac:dyDescent="0.2">
      <c r="A837" s="18" t="str">
        <f>IF('Frame Sections'!A837=0,"",'Frame Sections'!A837)</f>
        <v/>
      </c>
      <c r="B837" s="18" t="str">
        <f t="shared" si="13"/>
        <v/>
      </c>
    </row>
    <row r="838" spans="1:2" x14ac:dyDescent="0.2">
      <c r="A838" s="18" t="str">
        <f>IF('Frame Sections'!A838=0,"",'Frame Sections'!A838)</f>
        <v/>
      </c>
      <c r="B838" s="18" t="str">
        <f t="shared" si="13"/>
        <v/>
      </c>
    </row>
    <row r="839" spans="1:2" x14ac:dyDescent="0.2">
      <c r="A839" s="18" t="str">
        <f>IF('Frame Sections'!A839=0,"",'Frame Sections'!A839)</f>
        <v/>
      </c>
      <c r="B839" s="18" t="str">
        <f t="shared" si="13"/>
        <v/>
      </c>
    </row>
    <row r="840" spans="1:2" x14ac:dyDescent="0.2">
      <c r="A840" s="18" t="str">
        <f>IF('Frame Sections'!A840=0,"",'Frame Sections'!A840)</f>
        <v/>
      </c>
      <c r="B840" s="18" t="str">
        <f t="shared" si="13"/>
        <v/>
      </c>
    </row>
    <row r="841" spans="1:2" x14ac:dyDescent="0.2">
      <c r="A841" s="18" t="str">
        <f>IF('Frame Sections'!A841=0,"",'Frame Sections'!A841)</f>
        <v/>
      </c>
      <c r="B841" s="18" t="str">
        <f t="shared" si="13"/>
        <v/>
      </c>
    </row>
    <row r="842" spans="1:2" x14ac:dyDescent="0.2">
      <c r="A842" s="18" t="str">
        <f>IF('Frame Sections'!A842=0,"",'Frame Sections'!A842)</f>
        <v/>
      </c>
      <c r="B842" s="18" t="str">
        <f t="shared" si="13"/>
        <v/>
      </c>
    </row>
    <row r="843" spans="1:2" x14ac:dyDescent="0.2">
      <c r="A843" s="18" t="str">
        <f>IF('Frame Sections'!A843=0,"",'Frame Sections'!A843)</f>
        <v/>
      </c>
      <c r="B843" s="18" t="str">
        <f t="shared" si="13"/>
        <v/>
      </c>
    </row>
    <row r="844" spans="1:2" x14ac:dyDescent="0.2">
      <c r="A844" s="18" t="str">
        <f>IF('Frame Sections'!A844=0,"",'Frame Sections'!A844)</f>
        <v/>
      </c>
      <c r="B844" s="18" t="str">
        <f t="shared" si="13"/>
        <v/>
      </c>
    </row>
    <row r="845" spans="1:2" x14ac:dyDescent="0.2">
      <c r="A845" s="18" t="str">
        <f>IF('Frame Sections'!A845=0,"",'Frame Sections'!A845)</f>
        <v/>
      </c>
      <c r="B845" s="18" t="str">
        <f t="shared" si="13"/>
        <v/>
      </c>
    </row>
    <row r="846" spans="1:2" x14ac:dyDescent="0.2">
      <c r="A846" s="18" t="str">
        <f>IF('Frame Sections'!A846=0,"",'Frame Sections'!A846)</f>
        <v/>
      </c>
      <c r="B846" s="18" t="str">
        <f t="shared" si="13"/>
        <v/>
      </c>
    </row>
    <row r="847" spans="1:2" x14ac:dyDescent="0.2">
      <c r="A847" s="18" t="str">
        <f>IF('Frame Sections'!A847=0,"",'Frame Sections'!A847)</f>
        <v/>
      </c>
      <c r="B847" s="18" t="str">
        <f t="shared" si="13"/>
        <v/>
      </c>
    </row>
    <row r="848" spans="1:2" x14ac:dyDescent="0.2">
      <c r="A848" s="18" t="str">
        <f>IF('Frame Sections'!A848=0,"",'Frame Sections'!A848)</f>
        <v/>
      </c>
      <c r="B848" s="18" t="str">
        <f t="shared" si="13"/>
        <v/>
      </c>
    </row>
    <row r="849" spans="1:2" x14ac:dyDescent="0.2">
      <c r="A849" s="18" t="str">
        <f>IF('Frame Sections'!A849=0,"",'Frame Sections'!A849)</f>
        <v/>
      </c>
      <c r="B849" s="18" t="str">
        <f t="shared" si="13"/>
        <v/>
      </c>
    </row>
    <row r="850" spans="1:2" x14ac:dyDescent="0.2">
      <c r="A850" s="18" t="str">
        <f>IF('Frame Sections'!A850=0,"",'Frame Sections'!A850)</f>
        <v/>
      </c>
      <c r="B850" s="18" t="str">
        <f t="shared" si="13"/>
        <v/>
      </c>
    </row>
    <row r="851" spans="1:2" x14ac:dyDescent="0.2">
      <c r="A851" s="18" t="str">
        <f>IF('Frame Sections'!A851=0,"",'Frame Sections'!A851)</f>
        <v/>
      </c>
      <c r="B851" s="18" t="str">
        <f t="shared" si="13"/>
        <v/>
      </c>
    </row>
    <row r="852" spans="1:2" x14ac:dyDescent="0.2">
      <c r="A852" s="18" t="str">
        <f>IF('Frame Sections'!A852=0,"",'Frame Sections'!A852)</f>
        <v/>
      </c>
      <c r="B852" s="18" t="str">
        <f t="shared" si="13"/>
        <v/>
      </c>
    </row>
    <row r="853" spans="1:2" x14ac:dyDescent="0.2">
      <c r="A853" s="18" t="str">
        <f>IF('Frame Sections'!A853=0,"",'Frame Sections'!A853)</f>
        <v/>
      </c>
      <c r="B853" s="18" t="str">
        <f t="shared" si="13"/>
        <v/>
      </c>
    </row>
    <row r="854" spans="1:2" x14ac:dyDescent="0.2">
      <c r="A854" s="18" t="str">
        <f>IF('Frame Sections'!A854=0,"",'Frame Sections'!A854)</f>
        <v/>
      </c>
      <c r="B854" s="18" t="str">
        <f t="shared" si="13"/>
        <v/>
      </c>
    </row>
    <row r="855" spans="1:2" x14ac:dyDescent="0.2">
      <c r="A855" s="18" t="str">
        <f>IF('Frame Sections'!A855=0,"",'Frame Sections'!A855)</f>
        <v/>
      </c>
      <c r="B855" s="18" t="str">
        <f t="shared" si="13"/>
        <v/>
      </c>
    </row>
    <row r="856" spans="1:2" x14ac:dyDescent="0.2">
      <c r="A856" s="18" t="str">
        <f>IF('Frame Sections'!A856=0,"",'Frame Sections'!A856)</f>
        <v/>
      </c>
      <c r="B856" s="18" t="str">
        <f t="shared" si="13"/>
        <v/>
      </c>
    </row>
    <row r="857" spans="1:2" x14ac:dyDescent="0.2">
      <c r="A857" s="18" t="str">
        <f>IF('Frame Sections'!A857=0,"",'Frame Sections'!A857)</f>
        <v/>
      </c>
      <c r="B857" s="18" t="str">
        <f t="shared" si="13"/>
        <v/>
      </c>
    </row>
    <row r="858" spans="1:2" x14ac:dyDescent="0.2">
      <c r="A858" s="18" t="str">
        <f>IF('Frame Sections'!A858=0,"",'Frame Sections'!A858)</f>
        <v/>
      </c>
      <c r="B858" s="18" t="str">
        <f t="shared" si="13"/>
        <v/>
      </c>
    </row>
    <row r="859" spans="1:2" x14ac:dyDescent="0.2">
      <c r="A859" s="18" t="str">
        <f>IF('Frame Sections'!A859=0,"",'Frame Sections'!A859)</f>
        <v/>
      </c>
      <c r="B859" s="18" t="str">
        <f t="shared" si="13"/>
        <v/>
      </c>
    </row>
    <row r="860" spans="1:2" x14ac:dyDescent="0.2">
      <c r="A860" s="18" t="str">
        <f>IF('Frame Sections'!A860=0,"",'Frame Sections'!A860)</f>
        <v/>
      </c>
      <c r="B860" s="18" t="str">
        <f t="shared" si="13"/>
        <v/>
      </c>
    </row>
    <row r="861" spans="1:2" x14ac:dyDescent="0.2">
      <c r="A861" s="18" t="str">
        <f>IF('Frame Sections'!A861=0,"",'Frame Sections'!A861)</f>
        <v/>
      </c>
      <c r="B861" s="18" t="str">
        <f t="shared" si="13"/>
        <v/>
      </c>
    </row>
    <row r="862" spans="1:2" x14ac:dyDescent="0.2">
      <c r="A862" s="18" t="str">
        <f>IF('Frame Sections'!A862=0,"",'Frame Sections'!A862)</f>
        <v/>
      </c>
      <c r="B862" s="18" t="str">
        <f t="shared" si="13"/>
        <v/>
      </c>
    </row>
    <row r="863" spans="1:2" x14ac:dyDescent="0.2">
      <c r="A863" s="18" t="str">
        <f>IF('Frame Sections'!A863=0,"",'Frame Sections'!A863)</f>
        <v/>
      </c>
      <c r="B863" s="18" t="str">
        <f t="shared" si="13"/>
        <v/>
      </c>
    </row>
    <row r="864" spans="1:2" x14ac:dyDescent="0.2">
      <c r="A864" s="18" t="str">
        <f>IF('Frame Sections'!A864=0,"",'Frame Sections'!A864)</f>
        <v/>
      </c>
      <c r="B864" s="18" t="str">
        <f t="shared" si="13"/>
        <v/>
      </c>
    </row>
    <row r="865" spans="1:2" x14ac:dyDescent="0.2">
      <c r="A865" s="18" t="str">
        <f>IF('Frame Sections'!A865=0,"",'Frame Sections'!A865)</f>
        <v/>
      </c>
      <c r="B865" s="18" t="str">
        <f t="shared" si="13"/>
        <v/>
      </c>
    </row>
    <row r="866" spans="1:2" x14ac:dyDescent="0.2">
      <c r="A866" s="18" t="str">
        <f>IF('Frame Sections'!A866=0,"",'Frame Sections'!A866)</f>
        <v/>
      </c>
      <c r="B866" s="18" t="str">
        <f t="shared" si="13"/>
        <v/>
      </c>
    </row>
    <row r="867" spans="1:2" x14ac:dyDescent="0.2">
      <c r="A867" s="18" t="str">
        <f>IF('Frame Sections'!A867=0,"",'Frame Sections'!A867)</f>
        <v/>
      </c>
      <c r="B867" s="18" t="str">
        <f t="shared" si="13"/>
        <v/>
      </c>
    </row>
    <row r="868" spans="1:2" x14ac:dyDescent="0.2">
      <c r="A868" s="18" t="str">
        <f>IF('Frame Sections'!A868=0,"",'Frame Sections'!A868)</f>
        <v/>
      </c>
      <c r="B868" s="18" t="str">
        <f t="shared" si="13"/>
        <v/>
      </c>
    </row>
    <row r="869" spans="1:2" x14ac:dyDescent="0.2">
      <c r="A869" s="18" t="str">
        <f>IF('Frame Sections'!A869=0,"",'Frame Sections'!A869)</f>
        <v/>
      </c>
      <c r="B869" s="18" t="str">
        <f t="shared" si="13"/>
        <v/>
      </c>
    </row>
    <row r="870" spans="1:2" x14ac:dyDescent="0.2">
      <c r="A870" s="18" t="str">
        <f>IF('Frame Sections'!A870=0,"",'Frame Sections'!A870)</f>
        <v/>
      </c>
      <c r="B870" s="18" t="str">
        <f t="shared" si="13"/>
        <v/>
      </c>
    </row>
    <row r="871" spans="1:2" x14ac:dyDescent="0.2">
      <c r="A871" s="18" t="str">
        <f>IF('Frame Sections'!A871=0,"",'Frame Sections'!A871)</f>
        <v/>
      </c>
      <c r="B871" s="18" t="str">
        <f t="shared" si="13"/>
        <v/>
      </c>
    </row>
    <row r="872" spans="1:2" x14ac:dyDescent="0.2">
      <c r="A872" s="18" t="str">
        <f>IF('Frame Sections'!A872=0,"",'Frame Sections'!A872)</f>
        <v/>
      </c>
      <c r="B872" s="18" t="str">
        <f t="shared" si="13"/>
        <v/>
      </c>
    </row>
    <row r="873" spans="1:2" x14ac:dyDescent="0.2">
      <c r="A873" s="18" t="str">
        <f>IF('Frame Sections'!A873=0,"",'Frame Sections'!A873)</f>
        <v/>
      </c>
      <c r="B873" s="18" t="str">
        <f t="shared" si="13"/>
        <v/>
      </c>
    </row>
    <row r="874" spans="1:2" x14ac:dyDescent="0.2">
      <c r="A874" s="18" t="str">
        <f>IF('Frame Sections'!A874=0,"",'Frame Sections'!A874)</f>
        <v/>
      </c>
      <c r="B874" s="18" t="str">
        <f t="shared" si="13"/>
        <v/>
      </c>
    </row>
    <row r="875" spans="1:2" x14ac:dyDescent="0.2">
      <c r="A875" s="18" t="str">
        <f>IF('Frame Sections'!A875=0,"",'Frame Sections'!A875)</f>
        <v/>
      </c>
      <c r="B875" s="18" t="str">
        <f t="shared" si="13"/>
        <v/>
      </c>
    </row>
    <row r="876" spans="1:2" x14ac:dyDescent="0.2">
      <c r="A876" s="18" t="str">
        <f>IF('Frame Sections'!A876=0,"",'Frame Sections'!A876)</f>
        <v/>
      </c>
      <c r="B876" s="18" t="str">
        <f t="shared" si="13"/>
        <v/>
      </c>
    </row>
    <row r="877" spans="1:2" x14ac:dyDescent="0.2">
      <c r="A877" s="18" t="str">
        <f>IF('Frame Sections'!A877=0,"",'Frame Sections'!A877)</f>
        <v/>
      </c>
      <c r="B877" s="18" t="str">
        <f t="shared" si="13"/>
        <v/>
      </c>
    </row>
    <row r="878" spans="1:2" x14ac:dyDescent="0.2">
      <c r="A878" s="18" t="str">
        <f>IF('Frame Sections'!A878=0,"",'Frame Sections'!A878)</f>
        <v/>
      </c>
      <c r="B878" s="18" t="str">
        <f t="shared" si="13"/>
        <v/>
      </c>
    </row>
    <row r="879" spans="1:2" x14ac:dyDescent="0.2">
      <c r="A879" s="18" t="str">
        <f>IF('Frame Sections'!A879=0,"",'Frame Sections'!A879)</f>
        <v/>
      </c>
      <c r="B879" s="18" t="str">
        <f t="shared" si="13"/>
        <v/>
      </c>
    </row>
    <row r="880" spans="1:2" x14ac:dyDescent="0.2">
      <c r="A880" s="18" t="str">
        <f>IF('Frame Sections'!A880=0,"",'Frame Sections'!A880)</f>
        <v/>
      </c>
      <c r="B880" s="18" t="str">
        <f t="shared" si="13"/>
        <v/>
      </c>
    </row>
    <row r="881" spans="1:2" x14ac:dyDescent="0.2">
      <c r="A881" s="18" t="str">
        <f>IF('Frame Sections'!A881=0,"",'Frame Sections'!A881)</f>
        <v/>
      </c>
      <c r="B881" s="18" t="str">
        <f t="shared" si="13"/>
        <v/>
      </c>
    </row>
    <row r="882" spans="1:2" x14ac:dyDescent="0.2">
      <c r="A882" s="18" t="str">
        <f>IF('Frame Sections'!A882=0,"",'Frame Sections'!A882)</f>
        <v/>
      </c>
      <c r="B882" s="18" t="str">
        <f t="shared" si="13"/>
        <v/>
      </c>
    </row>
    <row r="883" spans="1:2" x14ac:dyDescent="0.2">
      <c r="A883" s="18" t="str">
        <f>IF('Frame Sections'!A883=0,"",'Frame Sections'!A883)</f>
        <v/>
      </c>
      <c r="B883" s="18" t="str">
        <f t="shared" si="13"/>
        <v/>
      </c>
    </row>
    <row r="884" spans="1:2" x14ac:dyDescent="0.2">
      <c r="A884" s="18" t="str">
        <f>IF('Frame Sections'!A884=0,"",'Frame Sections'!A884)</f>
        <v/>
      </c>
      <c r="B884" s="18" t="str">
        <f t="shared" si="13"/>
        <v/>
      </c>
    </row>
    <row r="885" spans="1:2" x14ac:dyDescent="0.2">
      <c r="A885" s="18" t="str">
        <f>IF('Frame Sections'!A885=0,"",'Frame Sections'!A885)</f>
        <v/>
      </c>
      <c r="B885" s="18" t="str">
        <f t="shared" si="13"/>
        <v/>
      </c>
    </row>
    <row r="886" spans="1:2" x14ac:dyDescent="0.2">
      <c r="A886" s="18" t="str">
        <f>IF('Frame Sections'!A886=0,"",'Frame Sections'!A886)</f>
        <v/>
      </c>
      <c r="B886" s="18" t="str">
        <f t="shared" si="13"/>
        <v/>
      </c>
    </row>
    <row r="887" spans="1:2" x14ac:dyDescent="0.2">
      <c r="A887" s="18" t="str">
        <f>IF('Frame Sections'!A887=0,"",'Frame Sections'!A887)</f>
        <v/>
      </c>
      <c r="B887" s="18" t="str">
        <f t="shared" si="13"/>
        <v/>
      </c>
    </row>
    <row r="888" spans="1:2" x14ac:dyDescent="0.2">
      <c r="A888" s="18" t="str">
        <f>IF('Frame Sections'!A888=0,"",'Frame Sections'!A888)</f>
        <v/>
      </c>
      <c r="B888" s="18" t="str">
        <f t="shared" si="13"/>
        <v/>
      </c>
    </row>
    <row r="889" spans="1:2" x14ac:dyDescent="0.2">
      <c r="A889" s="18" t="str">
        <f>IF('Frame Sections'!A889=0,"",'Frame Sections'!A889)</f>
        <v/>
      </c>
      <c r="B889" s="18" t="str">
        <f t="shared" si="13"/>
        <v/>
      </c>
    </row>
    <row r="890" spans="1:2" x14ac:dyDescent="0.2">
      <c r="A890" s="18" t="str">
        <f>IF('Frame Sections'!A890=0,"",'Frame Sections'!A890)</f>
        <v/>
      </c>
      <c r="B890" s="18" t="str">
        <f t="shared" si="13"/>
        <v/>
      </c>
    </row>
    <row r="891" spans="1:2" x14ac:dyDescent="0.2">
      <c r="A891" s="18" t="str">
        <f>IF('Frame Sections'!A891=0,"",'Frame Sections'!A891)</f>
        <v/>
      </c>
      <c r="B891" s="18" t="str">
        <f t="shared" si="13"/>
        <v/>
      </c>
    </row>
    <row r="892" spans="1:2" x14ac:dyDescent="0.2">
      <c r="A892" s="18" t="str">
        <f>IF('Frame Sections'!A892=0,"",'Frame Sections'!A892)</f>
        <v/>
      </c>
      <c r="B892" s="18" t="str">
        <f t="shared" si="13"/>
        <v/>
      </c>
    </row>
    <row r="893" spans="1:2" x14ac:dyDescent="0.2">
      <c r="A893" s="18" t="str">
        <f>IF('Frame Sections'!A893=0,"",'Frame Sections'!A893)</f>
        <v/>
      </c>
      <c r="B893" s="18" t="str">
        <f t="shared" si="13"/>
        <v/>
      </c>
    </row>
    <row r="894" spans="1:2" x14ac:dyDescent="0.2">
      <c r="A894" s="18" t="str">
        <f>IF('Frame Sections'!A894=0,"",'Frame Sections'!A894)</f>
        <v/>
      </c>
      <c r="B894" s="18" t="str">
        <f t="shared" si="13"/>
        <v/>
      </c>
    </row>
    <row r="895" spans="1:2" x14ac:dyDescent="0.2">
      <c r="A895" s="18" t="str">
        <f>IF('Frame Sections'!A895=0,"",'Frame Sections'!A895)</f>
        <v/>
      </c>
      <c r="B895" s="18" t="str">
        <f t="shared" si="13"/>
        <v/>
      </c>
    </row>
    <row r="896" spans="1:2" x14ac:dyDescent="0.2">
      <c r="A896" s="18" t="str">
        <f>IF('Frame Sections'!A896=0,"",'Frame Sections'!A896)</f>
        <v/>
      </c>
      <c r="B896" s="18" t="str">
        <f t="shared" si="13"/>
        <v/>
      </c>
    </row>
    <row r="897" spans="1:2" x14ac:dyDescent="0.2">
      <c r="A897" s="18" t="str">
        <f>IF('Frame Sections'!A897=0,"",'Frame Sections'!A897)</f>
        <v/>
      </c>
      <c r="B897" s="18" t="str">
        <f t="shared" si="13"/>
        <v/>
      </c>
    </row>
    <row r="898" spans="1:2" x14ac:dyDescent="0.2">
      <c r="A898" s="18" t="str">
        <f>IF('Frame Sections'!A898=0,"",'Frame Sections'!A898)</f>
        <v/>
      </c>
      <c r="B898" s="18" t="str">
        <f t="shared" ref="B898:B961" si="14">IF(OR(A898=0,A898=""),"",VLOOKUP(A898,SecDB,5,FALSE))</f>
        <v/>
      </c>
    </row>
    <row r="899" spans="1:2" x14ac:dyDescent="0.2">
      <c r="A899" s="18" t="str">
        <f>IF('Frame Sections'!A899=0,"",'Frame Sections'!A899)</f>
        <v/>
      </c>
      <c r="B899" s="18" t="str">
        <f t="shared" si="14"/>
        <v/>
      </c>
    </row>
    <row r="900" spans="1:2" x14ac:dyDescent="0.2">
      <c r="A900" s="18" t="str">
        <f>IF('Frame Sections'!A900=0,"",'Frame Sections'!A900)</f>
        <v/>
      </c>
      <c r="B900" s="18" t="str">
        <f t="shared" si="14"/>
        <v/>
      </c>
    </row>
    <row r="901" spans="1:2" x14ac:dyDescent="0.2">
      <c r="A901" s="18" t="str">
        <f>IF('Frame Sections'!A901=0,"",'Frame Sections'!A901)</f>
        <v/>
      </c>
      <c r="B901" s="18" t="str">
        <f t="shared" si="14"/>
        <v/>
      </c>
    </row>
    <row r="902" spans="1:2" x14ac:dyDescent="0.2">
      <c r="A902" s="18" t="str">
        <f>IF('Frame Sections'!A902=0,"",'Frame Sections'!A902)</f>
        <v/>
      </c>
      <c r="B902" s="18" t="str">
        <f t="shared" si="14"/>
        <v/>
      </c>
    </row>
    <row r="903" spans="1:2" x14ac:dyDescent="0.2">
      <c r="A903" s="18" t="str">
        <f>IF('Frame Sections'!A903=0,"",'Frame Sections'!A903)</f>
        <v/>
      </c>
      <c r="B903" s="18" t="str">
        <f t="shared" si="14"/>
        <v/>
      </c>
    </row>
    <row r="904" spans="1:2" x14ac:dyDescent="0.2">
      <c r="A904" s="18" t="str">
        <f>IF('Frame Sections'!A904=0,"",'Frame Sections'!A904)</f>
        <v/>
      </c>
      <c r="B904" s="18" t="str">
        <f t="shared" si="14"/>
        <v/>
      </c>
    </row>
    <row r="905" spans="1:2" x14ac:dyDescent="0.2">
      <c r="A905" s="18" t="str">
        <f>IF('Frame Sections'!A905=0,"",'Frame Sections'!A905)</f>
        <v/>
      </c>
      <c r="B905" s="18" t="str">
        <f t="shared" si="14"/>
        <v/>
      </c>
    </row>
    <row r="906" spans="1:2" x14ac:dyDescent="0.2">
      <c r="A906" s="18" t="str">
        <f>IF('Frame Sections'!A906=0,"",'Frame Sections'!A906)</f>
        <v/>
      </c>
      <c r="B906" s="18" t="str">
        <f t="shared" si="14"/>
        <v/>
      </c>
    </row>
    <row r="907" spans="1:2" x14ac:dyDescent="0.2">
      <c r="A907" s="18" t="str">
        <f>IF('Frame Sections'!A907=0,"",'Frame Sections'!A907)</f>
        <v/>
      </c>
      <c r="B907" s="18" t="str">
        <f t="shared" si="14"/>
        <v/>
      </c>
    </row>
    <row r="908" spans="1:2" x14ac:dyDescent="0.2">
      <c r="A908" s="18" t="str">
        <f>IF('Frame Sections'!A908=0,"",'Frame Sections'!A908)</f>
        <v/>
      </c>
      <c r="B908" s="18" t="str">
        <f t="shared" si="14"/>
        <v/>
      </c>
    </row>
    <row r="909" spans="1:2" x14ac:dyDescent="0.2">
      <c r="A909" s="18" t="str">
        <f>IF('Frame Sections'!A909=0,"",'Frame Sections'!A909)</f>
        <v/>
      </c>
      <c r="B909" s="18" t="str">
        <f t="shared" si="14"/>
        <v/>
      </c>
    </row>
    <row r="910" spans="1:2" x14ac:dyDescent="0.2">
      <c r="A910" s="18" t="str">
        <f>IF('Frame Sections'!A910=0,"",'Frame Sections'!A910)</f>
        <v/>
      </c>
      <c r="B910" s="18" t="str">
        <f t="shared" si="14"/>
        <v/>
      </c>
    </row>
    <row r="911" spans="1:2" x14ac:dyDescent="0.2">
      <c r="A911" s="18" t="str">
        <f>IF('Frame Sections'!A911=0,"",'Frame Sections'!A911)</f>
        <v/>
      </c>
      <c r="B911" s="18" t="str">
        <f t="shared" si="14"/>
        <v/>
      </c>
    </row>
    <row r="912" spans="1:2" x14ac:dyDescent="0.2">
      <c r="A912" s="18" t="str">
        <f>IF('Frame Sections'!A912=0,"",'Frame Sections'!A912)</f>
        <v/>
      </c>
      <c r="B912" s="18" t="str">
        <f t="shared" si="14"/>
        <v/>
      </c>
    </row>
    <row r="913" spans="1:2" x14ac:dyDescent="0.2">
      <c r="A913" s="18" t="str">
        <f>IF('Frame Sections'!A913=0,"",'Frame Sections'!A913)</f>
        <v/>
      </c>
      <c r="B913" s="18" t="str">
        <f t="shared" si="14"/>
        <v/>
      </c>
    </row>
    <row r="914" spans="1:2" x14ac:dyDescent="0.2">
      <c r="A914" s="18" t="str">
        <f>IF('Frame Sections'!A914=0,"",'Frame Sections'!A914)</f>
        <v/>
      </c>
      <c r="B914" s="18" t="str">
        <f t="shared" si="14"/>
        <v/>
      </c>
    </row>
    <row r="915" spans="1:2" x14ac:dyDescent="0.2">
      <c r="A915" s="18" t="str">
        <f>IF('Frame Sections'!A915=0,"",'Frame Sections'!A915)</f>
        <v/>
      </c>
      <c r="B915" s="18" t="str">
        <f t="shared" si="14"/>
        <v/>
      </c>
    </row>
    <row r="916" spans="1:2" x14ac:dyDescent="0.2">
      <c r="A916" s="18" t="str">
        <f>IF('Frame Sections'!A916=0,"",'Frame Sections'!A916)</f>
        <v/>
      </c>
      <c r="B916" s="18" t="str">
        <f t="shared" si="14"/>
        <v/>
      </c>
    </row>
    <row r="917" spans="1:2" x14ac:dyDescent="0.2">
      <c r="A917" s="18" t="str">
        <f>IF('Frame Sections'!A917=0,"",'Frame Sections'!A917)</f>
        <v/>
      </c>
      <c r="B917" s="18" t="str">
        <f t="shared" si="14"/>
        <v/>
      </c>
    </row>
    <row r="918" spans="1:2" x14ac:dyDescent="0.2">
      <c r="A918" s="18" t="str">
        <f>IF('Frame Sections'!A918=0,"",'Frame Sections'!A918)</f>
        <v/>
      </c>
      <c r="B918" s="18" t="str">
        <f t="shared" si="14"/>
        <v/>
      </c>
    </row>
    <row r="919" spans="1:2" x14ac:dyDescent="0.2">
      <c r="A919" s="18" t="str">
        <f>IF('Frame Sections'!A919=0,"",'Frame Sections'!A919)</f>
        <v/>
      </c>
      <c r="B919" s="18" t="str">
        <f t="shared" si="14"/>
        <v/>
      </c>
    </row>
    <row r="920" spans="1:2" x14ac:dyDescent="0.2">
      <c r="A920" s="18" t="str">
        <f>IF('Frame Sections'!A920=0,"",'Frame Sections'!A920)</f>
        <v/>
      </c>
      <c r="B920" s="18" t="str">
        <f t="shared" si="14"/>
        <v/>
      </c>
    </row>
    <row r="921" spans="1:2" x14ac:dyDescent="0.2">
      <c r="A921" s="18" t="str">
        <f>IF('Frame Sections'!A921=0,"",'Frame Sections'!A921)</f>
        <v/>
      </c>
      <c r="B921" s="18" t="str">
        <f t="shared" si="14"/>
        <v/>
      </c>
    </row>
    <row r="922" spans="1:2" x14ac:dyDescent="0.2">
      <c r="A922" s="18" t="str">
        <f>IF('Frame Sections'!A922=0,"",'Frame Sections'!A922)</f>
        <v/>
      </c>
      <c r="B922" s="18" t="str">
        <f t="shared" si="14"/>
        <v/>
      </c>
    </row>
    <row r="923" spans="1:2" x14ac:dyDescent="0.2">
      <c r="A923" s="18" t="str">
        <f>IF('Frame Sections'!A923=0,"",'Frame Sections'!A923)</f>
        <v/>
      </c>
      <c r="B923" s="18" t="str">
        <f t="shared" si="14"/>
        <v/>
      </c>
    </row>
    <row r="924" spans="1:2" x14ac:dyDescent="0.2">
      <c r="A924" s="18" t="str">
        <f>IF('Frame Sections'!A924=0,"",'Frame Sections'!A924)</f>
        <v/>
      </c>
      <c r="B924" s="18" t="str">
        <f t="shared" si="14"/>
        <v/>
      </c>
    </row>
    <row r="925" spans="1:2" x14ac:dyDescent="0.2">
      <c r="A925" s="18" t="str">
        <f>IF('Frame Sections'!A925=0,"",'Frame Sections'!A925)</f>
        <v/>
      </c>
      <c r="B925" s="18" t="str">
        <f t="shared" si="14"/>
        <v/>
      </c>
    </row>
    <row r="926" spans="1:2" x14ac:dyDescent="0.2">
      <c r="A926" s="18" t="str">
        <f>IF('Frame Sections'!A926=0,"",'Frame Sections'!A926)</f>
        <v/>
      </c>
      <c r="B926" s="18" t="str">
        <f t="shared" si="14"/>
        <v/>
      </c>
    </row>
    <row r="927" spans="1:2" x14ac:dyDescent="0.2">
      <c r="A927" s="18" t="str">
        <f>IF('Frame Sections'!A927=0,"",'Frame Sections'!A927)</f>
        <v/>
      </c>
      <c r="B927" s="18" t="str">
        <f t="shared" si="14"/>
        <v/>
      </c>
    </row>
    <row r="928" spans="1:2" x14ac:dyDescent="0.2">
      <c r="A928" s="18" t="str">
        <f>IF('Frame Sections'!A928=0,"",'Frame Sections'!A928)</f>
        <v/>
      </c>
      <c r="B928" s="18" t="str">
        <f t="shared" si="14"/>
        <v/>
      </c>
    </row>
    <row r="929" spans="1:2" x14ac:dyDescent="0.2">
      <c r="A929" s="18" t="str">
        <f>IF('Frame Sections'!A929=0,"",'Frame Sections'!A929)</f>
        <v/>
      </c>
      <c r="B929" s="18" t="str">
        <f t="shared" si="14"/>
        <v/>
      </c>
    </row>
    <row r="930" spans="1:2" x14ac:dyDescent="0.2">
      <c r="A930" s="18" t="str">
        <f>IF('Frame Sections'!A930=0,"",'Frame Sections'!A930)</f>
        <v/>
      </c>
      <c r="B930" s="18" t="str">
        <f t="shared" si="14"/>
        <v/>
      </c>
    </row>
    <row r="931" spans="1:2" x14ac:dyDescent="0.2">
      <c r="A931" s="18" t="str">
        <f>IF('Frame Sections'!A931=0,"",'Frame Sections'!A931)</f>
        <v/>
      </c>
      <c r="B931" s="18" t="str">
        <f t="shared" si="14"/>
        <v/>
      </c>
    </row>
    <row r="932" spans="1:2" x14ac:dyDescent="0.2">
      <c r="A932" s="18" t="str">
        <f>IF('Frame Sections'!A932=0,"",'Frame Sections'!A932)</f>
        <v/>
      </c>
      <c r="B932" s="18" t="str">
        <f t="shared" si="14"/>
        <v/>
      </c>
    </row>
    <row r="933" spans="1:2" x14ac:dyDescent="0.2">
      <c r="A933" s="18" t="str">
        <f>IF('Frame Sections'!A933=0,"",'Frame Sections'!A933)</f>
        <v/>
      </c>
      <c r="B933" s="18" t="str">
        <f t="shared" si="14"/>
        <v/>
      </c>
    </row>
    <row r="934" spans="1:2" x14ac:dyDescent="0.2">
      <c r="A934" s="18" t="str">
        <f>IF('Frame Sections'!A934=0,"",'Frame Sections'!A934)</f>
        <v/>
      </c>
      <c r="B934" s="18" t="str">
        <f t="shared" si="14"/>
        <v/>
      </c>
    </row>
    <row r="935" spans="1:2" x14ac:dyDescent="0.2">
      <c r="A935" s="18" t="str">
        <f>IF('Frame Sections'!A935=0,"",'Frame Sections'!A935)</f>
        <v/>
      </c>
      <c r="B935" s="18" t="str">
        <f t="shared" si="14"/>
        <v/>
      </c>
    </row>
    <row r="936" spans="1:2" x14ac:dyDescent="0.2">
      <c r="A936" s="18" t="str">
        <f>IF('Frame Sections'!A936=0,"",'Frame Sections'!A936)</f>
        <v/>
      </c>
      <c r="B936" s="18" t="str">
        <f t="shared" si="14"/>
        <v/>
      </c>
    </row>
    <row r="937" spans="1:2" x14ac:dyDescent="0.2">
      <c r="A937" s="18" t="str">
        <f>IF('Frame Sections'!A937=0,"",'Frame Sections'!A937)</f>
        <v/>
      </c>
      <c r="B937" s="18" t="str">
        <f t="shared" si="14"/>
        <v/>
      </c>
    </row>
    <row r="938" spans="1:2" x14ac:dyDescent="0.2">
      <c r="A938" s="18" t="str">
        <f>IF('Frame Sections'!A938=0,"",'Frame Sections'!A938)</f>
        <v/>
      </c>
      <c r="B938" s="18" t="str">
        <f t="shared" si="14"/>
        <v/>
      </c>
    </row>
    <row r="939" spans="1:2" x14ac:dyDescent="0.2">
      <c r="A939" s="18" t="str">
        <f>IF('Frame Sections'!A939=0,"",'Frame Sections'!A939)</f>
        <v/>
      </c>
      <c r="B939" s="18" t="str">
        <f t="shared" si="14"/>
        <v/>
      </c>
    </row>
    <row r="940" spans="1:2" x14ac:dyDescent="0.2">
      <c r="A940" s="18" t="str">
        <f>IF('Frame Sections'!A940=0,"",'Frame Sections'!A940)</f>
        <v/>
      </c>
      <c r="B940" s="18" t="str">
        <f t="shared" si="14"/>
        <v/>
      </c>
    </row>
    <row r="941" spans="1:2" x14ac:dyDescent="0.2">
      <c r="A941" s="18" t="str">
        <f>IF('Frame Sections'!A941=0,"",'Frame Sections'!A941)</f>
        <v/>
      </c>
      <c r="B941" s="18" t="str">
        <f t="shared" si="14"/>
        <v/>
      </c>
    </row>
    <row r="942" spans="1:2" x14ac:dyDescent="0.2">
      <c r="A942" s="18" t="str">
        <f>IF('Frame Sections'!A942=0,"",'Frame Sections'!A942)</f>
        <v/>
      </c>
      <c r="B942" s="18" t="str">
        <f t="shared" si="14"/>
        <v/>
      </c>
    </row>
    <row r="943" spans="1:2" x14ac:dyDescent="0.2">
      <c r="A943" s="18" t="str">
        <f>IF('Frame Sections'!A943=0,"",'Frame Sections'!A943)</f>
        <v/>
      </c>
      <c r="B943" s="18" t="str">
        <f t="shared" si="14"/>
        <v/>
      </c>
    </row>
    <row r="944" spans="1:2" x14ac:dyDescent="0.2">
      <c r="A944" s="18" t="str">
        <f>IF('Frame Sections'!A944=0,"",'Frame Sections'!A944)</f>
        <v/>
      </c>
      <c r="B944" s="18" t="str">
        <f t="shared" si="14"/>
        <v/>
      </c>
    </row>
    <row r="945" spans="1:2" x14ac:dyDescent="0.2">
      <c r="A945" s="18" t="str">
        <f>IF('Frame Sections'!A945=0,"",'Frame Sections'!A945)</f>
        <v/>
      </c>
      <c r="B945" s="18" t="str">
        <f t="shared" si="14"/>
        <v/>
      </c>
    </row>
    <row r="946" spans="1:2" x14ac:dyDescent="0.2">
      <c r="A946" s="18" t="str">
        <f>IF('Frame Sections'!A946=0,"",'Frame Sections'!A946)</f>
        <v/>
      </c>
      <c r="B946" s="18" t="str">
        <f t="shared" si="14"/>
        <v/>
      </c>
    </row>
    <row r="947" spans="1:2" x14ac:dyDescent="0.2">
      <c r="A947" s="18" t="str">
        <f>IF('Frame Sections'!A947=0,"",'Frame Sections'!A947)</f>
        <v/>
      </c>
      <c r="B947" s="18" t="str">
        <f t="shared" si="14"/>
        <v/>
      </c>
    </row>
    <row r="948" spans="1:2" x14ac:dyDescent="0.2">
      <c r="A948" s="18" t="str">
        <f>IF('Frame Sections'!A948=0,"",'Frame Sections'!A948)</f>
        <v/>
      </c>
      <c r="B948" s="18" t="str">
        <f t="shared" si="14"/>
        <v/>
      </c>
    </row>
    <row r="949" spans="1:2" x14ac:dyDescent="0.2">
      <c r="A949" s="18" t="str">
        <f>IF('Frame Sections'!A949=0,"",'Frame Sections'!A949)</f>
        <v/>
      </c>
      <c r="B949" s="18" t="str">
        <f t="shared" si="14"/>
        <v/>
      </c>
    </row>
    <row r="950" spans="1:2" x14ac:dyDescent="0.2">
      <c r="A950" s="18" t="str">
        <f>IF('Frame Sections'!A950=0,"",'Frame Sections'!A950)</f>
        <v/>
      </c>
      <c r="B950" s="18" t="str">
        <f t="shared" si="14"/>
        <v/>
      </c>
    </row>
    <row r="951" spans="1:2" x14ac:dyDescent="0.2">
      <c r="A951" s="18" t="str">
        <f>IF('Frame Sections'!A951=0,"",'Frame Sections'!A951)</f>
        <v/>
      </c>
      <c r="B951" s="18" t="str">
        <f t="shared" si="14"/>
        <v/>
      </c>
    </row>
    <row r="952" spans="1:2" x14ac:dyDescent="0.2">
      <c r="A952" s="18" t="str">
        <f>IF('Frame Sections'!A952=0,"",'Frame Sections'!A952)</f>
        <v/>
      </c>
      <c r="B952" s="18" t="str">
        <f t="shared" si="14"/>
        <v/>
      </c>
    </row>
    <row r="953" spans="1:2" x14ac:dyDescent="0.2">
      <c r="A953" s="18" t="str">
        <f>IF('Frame Sections'!A953=0,"",'Frame Sections'!A953)</f>
        <v/>
      </c>
      <c r="B953" s="18" t="str">
        <f t="shared" si="14"/>
        <v/>
      </c>
    </row>
    <row r="954" spans="1:2" x14ac:dyDescent="0.2">
      <c r="A954" s="18" t="str">
        <f>IF('Frame Sections'!A954=0,"",'Frame Sections'!A954)</f>
        <v/>
      </c>
      <c r="B954" s="18" t="str">
        <f t="shared" si="14"/>
        <v/>
      </c>
    </row>
    <row r="955" spans="1:2" x14ac:dyDescent="0.2">
      <c r="A955" s="18" t="str">
        <f>IF('Frame Sections'!A955=0,"",'Frame Sections'!A955)</f>
        <v/>
      </c>
      <c r="B955" s="18" t="str">
        <f t="shared" si="14"/>
        <v/>
      </c>
    </row>
    <row r="956" spans="1:2" x14ac:dyDescent="0.2">
      <c r="A956" s="18" t="str">
        <f>IF('Frame Sections'!A956=0,"",'Frame Sections'!A956)</f>
        <v/>
      </c>
      <c r="B956" s="18" t="str">
        <f t="shared" si="14"/>
        <v/>
      </c>
    </row>
    <row r="957" spans="1:2" x14ac:dyDescent="0.2">
      <c r="A957" s="18" t="str">
        <f>IF('Frame Sections'!A957=0,"",'Frame Sections'!A957)</f>
        <v/>
      </c>
      <c r="B957" s="18" t="str">
        <f t="shared" si="14"/>
        <v/>
      </c>
    </row>
    <row r="958" spans="1:2" x14ac:dyDescent="0.2">
      <c r="A958" s="18" t="str">
        <f>IF('Frame Sections'!A958=0,"",'Frame Sections'!A958)</f>
        <v/>
      </c>
      <c r="B958" s="18" t="str">
        <f t="shared" si="14"/>
        <v/>
      </c>
    </row>
    <row r="959" spans="1:2" x14ac:dyDescent="0.2">
      <c r="A959" s="18" t="str">
        <f>IF('Frame Sections'!A959=0,"",'Frame Sections'!A959)</f>
        <v/>
      </c>
      <c r="B959" s="18" t="str">
        <f t="shared" si="14"/>
        <v/>
      </c>
    </row>
    <row r="960" spans="1:2" x14ac:dyDescent="0.2">
      <c r="A960" s="18" t="str">
        <f>IF('Frame Sections'!A960=0,"",'Frame Sections'!A960)</f>
        <v/>
      </c>
      <c r="B960" s="18" t="str">
        <f t="shared" si="14"/>
        <v/>
      </c>
    </row>
    <row r="961" spans="1:2" x14ac:dyDescent="0.2">
      <c r="A961" s="18" t="str">
        <f>IF('Frame Sections'!A961=0,"",'Frame Sections'!A961)</f>
        <v/>
      </c>
      <c r="B961" s="18" t="str">
        <f t="shared" si="14"/>
        <v/>
      </c>
    </row>
    <row r="962" spans="1:2" x14ac:dyDescent="0.2">
      <c r="A962" s="18" t="str">
        <f>IF('Frame Sections'!A962=0,"",'Frame Sections'!A962)</f>
        <v/>
      </c>
      <c r="B962" s="18" t="str">
        <f t="shared" ref="B962:B1001" si="15">IF(OR(A962=0,A962=""),"",VLOOKUP(A962,SecDB,5,FALSE))</f>
        <v/>
      </c>
    </row>
    <row r="963" spans="1:2" x14ac:dyDescent="0.2">
      <c r="A963" s="18" t="str">
        <f>IF('Frame Sections'!A963=0,"",'Frame Sections'!A963)</f>
        <v/>
      </c>
      <c r="B963" s="18" t="str">
        <f t="shared" si="15"/>
        <v/>
      </c>
    </row>
    <row r="964" spans="1:2" x14ac:dyDescent="0.2">
      <c r="A964" s="18" t="str">
        <f>IF('Frame Sections'!A964=0,"",'Frame Sections'!A964)</f>
        <v/>
      </c>
      <c r="B964" s="18" t="str">
        <f t="shared" si="15"/>
        <v/>
      </c>
    </row>
    <row r="965" spans="1:2" x14ac:dyDescent="0.2">
      <c r="A965" s="18" t="str">
        <f>IF('Frame Sections'!A965=0,"",'Frame Sections'!A965)</f>
        <v/>
      </c>
      <c r="B965" s="18" t="str">
        <f t="shared" si="15"/>
        <v/>
      </c>
    </row>
    <row r="966" spans="1:2" x14ac:dyDescent="0.2">
      <c r="A966" s="18" t="str">
        <f>IF('Frame Sections'!A966=0,"",'Frame Sections'!A966)</f>
        <v/>
      </c>
      <c r="B966" s="18" t="str">
        <f t="shared" si="15"/>
        <v/>
      </c>
    </row>
    <row r="967" spans="1:2" x14ac:dyDescent="0.2">
      <c r="A967" s="18" t="str">
        <f>IF('Frame Sections'!A967=0,"",'Frame Sections'!A967)</f>
        <v/>
      </c>
      <c r="B967" s="18" t="str">
        <f t="shared" si="15"/>
        <v/>
      </c>
    </row>
    <row r="968" spans="1:2" x14ac:dyDescent="0.2">
      <c r="A968" s="18" t="str">
        <f>IF('Frame Sections'!A968=0,"",'Frame Sections'!A968)</f>
        <v/>
      </c>
      <c r="B968" s="18" t="str">
        <f t="shared" si="15"/>
        <v/>
      </c>
    </row>
    <row r="969" spans="1:2" x14ac:dyDescent="0.2">
      <c r="A969" s="18" t="str">
        <f>IF('Frame Sections'!A969=0,"",'Frame Sections'!A969)</f>
        <v/>
      </c>
      <c r="B969" s="18" t="str">
        <f t="shared" si="15"/>
        <v/>
      </c>
    </row>
    <row r="970" spans="1:2" x14ac:dyDescent="0.2">
      <c r="A970" s="18" t="str">
        <f>IF('Frame Sections'!A970=0,"",'Frame Sections'!A970)</f>
        <v/>
      </c>
      <c r="B970" s="18" t="str">
        <f t="shared" si="15"/>
        <v/>
      </c>
    </row>
    <row r="971" spans="1:2" x14ac:dyDescent="0.2">
      <c r="A971" s="18" t="str">
        <f>IF('Frame Sections'!A971=0,"",'Frame Sections'!A971)</f>
        <v/>
      </c>
      <c r="B971" s="18" t="str">
        <f t="shared" si="15"/>
        <v/>
      </c>
    </row>
    <row r="972" spans="1:2" x14ac:dyDescent="0.2">
      <c r="A972" s="18" t="str">
        <f>IF('Frame Sections'!A972=0,"",'Frame Sections'!A972)</f>
        <v/>
      </c>
      <c r="B972" s="18" t="str">
        <f t="shared" si="15"/>
        <v/>
      </c>
    </row>
    <row r="973" spans="1:2" x14ac:dyDescent="0.2">
      <c r="A973" s="18" t="str">
        <f>IF('Frame Sections'!A973=0,"",'Frame Sections'!A973)</f>
        <v/>
      </c>
      <c r="B973" s="18" t="str">
        <f t="shared" si="15"/>
        <v/>
      </c>
    </row>
    <row r="974" spans="1:2" x14ac:dyDescent="0.2">
      <c r="A974" s="18" t="str">
        <f>IF('Frame Sections'!A974=0,"",'Frame Sections'!A974)</f>
        <v/>
      </c>
      <c r="B974" s="18" t="str">
        <f t="shared" si="15"/>
        <v/>
      </c>
    </row>
    <row r="975" spans="1:2" x14ac:dyDescent="0.2">
      <c r="A975" s="18" t="str">
        <f>IF('Frame Sections'!A975=0,"",'Frame Sections'!A975)</f>
        <v/>
      </c>
      <c r="B975" s="18" t="str">
        <f t="shared" si="15"/>
        <v/>
      </c>
    </row>
    <row r="976" spans="1:2" x14ac:dyDescent="0.2">
      <c r="A976" s="18" t="str">
        <f>IF('Frame Sections'!A976=0,"",'Frame Sections'!A976)</f>
        <v/>
      </c>
      <c r="B976" s="18" t="str">
        <f t="shared" si="15"/>
        <v/>
      </c>
    </row>
    <row r="977" spans="1:2" x14ac:dyDescent="0.2">
      <c r="A977" s="18" t="str">
        <f>IF('Frame Sections'!A977=0,"",'Frame Sections'!A977)</f>
        <v/>
      </c>
      <c r="B977" s="18" t="str">
        <f t="shared" si="15"/>
        <v/>
      </c>
    </row>
    <row r="978" spans="1:2" x14ac:dyDescent="0.2">
      <c r="A978" s="18" t="str">
        <f>IF('Frame Sections'!A978=0,"",'Frame Sections'!A978)</f>
        <v/>
      </c>
      <c r="B978" s="18" t="str">
        <f t="shared" si="15"/>
        <v/>
      </c>
    </row>
    <row r="979" spans="1:2" x14ac:dyDescent="0.2">
      <c r="A979" s="18" t="str">
        <f>IF('Frame Sections'!A979=0,"",'Frame Sections'!A979)</f>
        <v/>
      </c>
      <c r="B979" s="18" t="str">
        <f t="shared" si="15"/>
        <v/>
      </c>
    </row>
    <row r="980" spans="1:2" x14ac:dyDescent="0.2">
      <c r="A980" s="18" t="str">
        <f>IF('Frame Sections'!A980=0,"",'Frame Sections'!A980)</f>
        <v/>
      </c>
      <c r="B980" s="18" t="str">
        <f t="shared" si="15"/>
        <v/>
      </c>
    </row>
    <row r="981" spans="1:2" x14ac:dyDescent="0.2">
      <c r="A981" s="18" t="str">
        <f>IF('Frame Sections'!A981=0,"",'Frame Sections'!A981)</f>
        <v/>
      </c>
      <c r="B981" s="18" t="str">
        <f t="shared" si="15"/>
        <v/>
      </c>
    </row>
    <row r="982" spans="1:2" x14ac:dyDescent="0.2">
      <c r="A982" s="18" t="str">
        <f>IF('Frame Sections'!A982=0,"",'Frame Sections'!A982)</f>
        <v/>
      </c>
      <c r="B982" s="18" t="str">
        <f t="shared" si="15"/>
        <v/>
      </c>
    </row>
    <row r="983" spans="1:2" x14ac:dyDescent="0.2">
      <c r="A983" s="18" t="str">
        <f>IF('Frame Sections'!A983=0,"",'Frame Sections'!A983)</f>
        <v/>
      </c>
      <c r="B983" s="18" t="str">
        <f t="shared" si="15"/>
        <v/>
      </c>
    </row>
    <row r="984" spans="1:2" x14ac:dyDescent="0.2">
      <c r="A984" s="18" t="str">
        <f>IF('Frame Sections'!A984=0,"",'Frame Sections'!A984)</f>
        <v/>
      </c>
      <c r="B984" s="18" t="str">
        <f t="shared" si="15"/>
        <v/>
      </c>
    </row>
    <row r="985" spans="1:2" x14ac:dyDescent="0.2">
      <c r="A985" s="18" t="str">
        <f>IF('Frame Sections'!A985=0,"",'Frame Sections'!A985)</f>
        <v/>
      </c>
      <c r="B985" s="18" t="str">
        <f t="shared" si="15"/>
        <v/>
      </c>
    </row>
    <row r="986" spans="1:2" x14ac:dyDescent="0.2">
      <c r="A986" s="18" t="str">
        <f>IF('Frame Sections'!A986=0,"",'Frame Sections'!A986)</f>
        <v/>
      </c>
      <c r="B986" s="18" t="str">
        <f t="shared" si="15"/>
        <v/>
      </c>
    </row>
    <row r="987" spans="1:2" x14ac:dyDescent="0.2">
      <c r="A987" s="18" t="str">
        <f>IF('Frame Sections'!A987=0,"",'Frame Sections'!A987)</f>
        <v/>
      </c>
      <c r="B987" s="18" t="str">
        <f t="shared" si="15"/>
        <v/>
      </c>
    </row>
    <row r="988" spans="1:2" x14ac:dyDescent="0.2">
      <c r="A988" s="18" t="str">
        <f>IF('Frame Sections'!A988=0,"",'Frame Sections'!A988)</f>
        <v/>
      </c>
      <c r="B988" s="18" t="str">
        <f t="shared" si="15"/>
        <v/>
      </c>
    </row>
    <row r="989" spans="1:2" x14ac:dyDescent="0.2">
      <c r="A989" s="18" t="str">
        <f>IF('Frame Sections'!A989=0,"",'Frame Sections'!A989)</f>
        <v/>
      </c>
      <c r="B989" s="18" t="str">
        <f t="shared" si="15"/>
        <v/>
      </c>
    </row>
    <row r="990" spans="1:2" x14ac:dyDescent="0.2">
      <c r="A990" s="18" t="str">
        <f>IF('Frame Sections'!A990=0,"",'Frame Sections'!A990)</f>
        <v/>
      </c>
      <c r="B990" s="18" t="str">
        <f t="shared" si="15"/>
        <v/>
      </c>
    </row>
    <row r="991" spans="1:2" x14ac:dyDescent="0.2">
      <c r="A991" s="18" t="str">
        <f>IF('Frame Sections'!A991=0,"",'Frame Sections'!A991)</f>
        <v/>
      </c>
      <c r="B991" s="18" t="str">
        <f t="shared" si="15"/>
        <v/>
      </c>
    </row>
    <row r="992" spans="1:2" x14ac:dyDescent="0.2">
      <c r="A992" s="18" t="str">
        <f>IF('Frame Sections'!A992=0,"",'Frame Sections'!A992)</f>
        <v/>
      </c>
      <c r="B992" s="18" t="str">
        <f t="shared" si="15"/>
        <v/>
      </c>
    </row>
    <row r="993" spans="1:2" x14ac:dyDescent="0.2">
      <c r="A993" s="18" t="str">
        <f>IF('Frame Sections'!A993=0,"",'Frame Sections'!A993)</f>
        <v/>
      </c>
      <c r="B993" s="18" t="str">
        <f t="shared" si="15"/>
        <v/>
      </c>
    </row>
    <row r="994" spans="1:2" x14ac:dyDescent="0.2">
      <c r="A994" s="18" t="str">
        <f>IF('Frame Sections'!A994=0,"",'Frame Sections'!A994)</f>
        <v/>
      </c>
      <c r="B994" s="18" t="str">
        <f t="shared" si="15"/>
        <v/>
      </c>
    </row>
    <row r="995" spans="1:2" x14ac:dyDescent="0.2">
      <c r="A995" s="18" t="str">
        <f>IF('Frame Sections'!A995=0,"",'Frame Sections'!A995)</f>
        <v/>
      </c>
      <c r="B995" s="18" t="str">
        <f t="shared" si="15"/>
        <v/>
      </c>
    </row>
    <row r="996" spans="1:2" x14ac:dyDescent="0.2">
      <c r="A996" s="18" t="str">
        <f>IF('Frame Sections'!A996=0,"",'Frame Sections'!A996)</f>
        <v/>
      </c>
      <c r="B996" s="18" t="str">
        <f t="shared" si="15"/>
        <v/>
      </c>
    </row>
    <row r="997" spans="1:2" x14ac:dyDescent="0.2">
      <c r="A997" s="18" t="str">
        <f>IF('Frame Sections'!A997=0,"",'Frame Sections'!A997)</f>
        <v/>
      </c>
      <c r="B997" s="18" t="str">
        <f t="shared" si="15"/>
        <v/>
      </c>
    </row>
    <row r="998" spans="1:2" x14ac:dyDescent="0.2">
      <c r="A998" s="18" t="str">
        <f>IF('Frame Sections'!A998=0,"",'Frame Sections'!A998)</f>
        <v/>
      </c>
      <c r="B998" s="18" t="str">
        <f t="shared" si="15"/>
        <v/>
      </c>
    </row>
    <row r="999" spans="1:2" x14ac:dyDescent="0.2">
      <c r="A999" s="18" t="str">
        <f>IF('Frame Sections'!A999=0,"",'Frame Sections'!A999)</f>
        <v/>
      </c>
      <c r="B999" s="18" t="str">
        <f t="shared" si="15"/>
        <v/>
      </c>
    </row>
    <row r="1000" spans="1:2" x14ac:dyDescent="0.2">
      <c r="A1000" s="18" t="str">
        <f>IF('Frame Sections'!A1000=0,"",'Frame Sections'!A1000)</f>
        <v/>
      </c>
      <c r="B1000" s="18" t="str">
        <f t="shared" si="15"/>
        <v/>
      </c>
    </row>
    <row r="1001" spans="1:2" x14ac:dyDescent="0.2">
      <c r="A1001" s="18" t="str">
        <f>IF('Frame Sections'!A1001=0,"",'Frame Sections'!A1001)</f>
        <v/>
      </c>
      <c r="B1001" s="18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baseColWidth="10" defaultColWidth="10.83203125" defaultRowHeight="16" x14ac:dyDescent="0.2"/>
  <cols>
    <col min="1" max="1" width="15.83203125" style="8" customWidth="1"/>
    <col min="2" max="5" width="10.83203125" style="8"/>
    <col min="6" max="6" width="15.83203125" style="8" customWidth="1"/>
    <col min="7" max="16384" width="10.83203125" style="11"/>
  </cols>
  <sheetData>
    <row r="1" spans="1:6" s="17" customFormat="1" x14ac:dyDescent="0.2">
      <c r="A1" s="17" t="s">
        <v>122</v>
      </c>
      <c r="B1" s="17" t="s">
        <v>115</v>
      </c>
      <c r="C1" s="17" t="s">
        <v>116</v>
      </c>
      <c r="D1" s="17" t="s">
        <v>123</v>
      </c>
      <c r="E1" s="17" t="s">
        <v>78</v>
      </c>
      <c r="F1" s="17" t="s">
        <v>124</v>
      </c>
    </row>
    <row r="2" spans="1:6" x14ac:dyDescent="0.2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110</v>
      </c>
    </row>
    <row r="3" spans="1:6" x14ac:dyDescent="0.2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110</v>
      </c>
    </row>
    <row r="4" spans="1:6" x14ac:dyDescent="0.2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110</v>
      </c>
    </row>
    <row r="5" spans="1:6" x14ac:dyDescent="0.2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110</v>
      </c>
    </row>
    <row r="6" spans="1:6" x14ac:dyDescent="0.2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110</v>
      </c>
    </row>
    <row r="7" spans="1:6" x14ac:dyDescent="0.2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110</v>
      </c>
    </row>
    <row r="8" spans="1:6" x14ac:dyDescent="0.2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110</v>
      </c>
    </row>
    <row r="9" spans="1:6" x14ac:dyDescent="0.2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110</v>
      </c>
    </row>
    <row r="10" spans="1:6" x14ac:dyDescent="0.2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110</v>
      </c>
    </row>
    <row r="11" spans="1:6" x14ac:dyDescent="0.2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110</v>
      </c>
    </row>
    <row r="12" spans="1:6" x14ac:dyDescent="0.2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110</v>
      </c>
    </row>
    <row r="13" spans="1:6" x14ac:dyDescent="0.2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110</v>
      </c>
    </row>
    <row r="14" spans="1:6" x14ac:dyDescent="0.2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110</v>
      </c>
    </row>
    <row r="15" spans="1:6" x14ac:dyDescent="0.2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110</v>
      </c>
    </row>
    <row r="16" spans="1:6" x14ac:dyDescent="0.2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110</v>
      </c>
    </row>
    <row r="17" spans="1:6" x14ac:dyDescent="0.2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110</v>
      </c>
    </row>
    <row r="18" spans="1:6" x14ac:dyDescent="0.2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110</v>
      </c>
    </row>
    <row r="19" spans="1:6" x14ac:dyDescent="0.2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110</v>
      </c>
    </row>
    <row r="20" spans="1:6" x14ac:dyDescent="0.2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110</v>
      </c>
    </row>
    <row r="21" spans="1:6" x14ac:dyDescent="0.2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110</v>
      </c>
    </row>
    <row r="22" spans="1:6" x14ac:dyDescent="0.2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110</v>
      </c>
    </row>
    <row r="23" spans="1:6" x14ac:dyDescent="0.2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110</v>
      </c>
    </row>
    <row r="24" spans="1:6" x14ac:dyDescent="0.2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110</v>
      </c>
    </row>
    <row r="25" spans="1:6" x14ac:dyDescent="0.2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110</v>
      </c>
    </row>
    <row r="26" spans="1:6" x14ac:dyDescent="0.2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110</v>
      </c>
    </row>
    <row r="27" spans="1:6" x14ac:dyDescent="0.2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110</v>
      </c>
    </row>
    <row r="28" spans="1:6" x14ac:dyDescent="0.2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110</v>
      </c>
    </row>
    <row r="29" spans="1:6" x14ac:dyDescent="0.2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110</v>
      </c>
    </row>
    <row r="30" spans="1:6" x14ac:dyDescent="0.2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110</v>
      </c>
    </row>
    <row r="31" spans="1:6" x14ac:dyDescent="0.2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110</v>
      </c>
    </row>
    <row r="32" spans="1:6" x14ac:dyDescent="0.2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110</v>
      </c>
    </row>
    <row r="33" spans="1:6" x14ac:dyDescent="0.2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110</v>
      </c>
    </row>
    <row r="34" spans="1:6" x14ac:dyDescent="0.2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110</v>
      </c>
    </row>
    <row r="35" spans="1:6" x14ac:dyDescent="0.2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110</v>
      </c>
    </row>
    <row r="36" spans="1:6" x14ac:dyDescent="0.2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110</v>
      </c>
    </row>
    <row r="37" spans="1:6" x14ac:dyDescent="0.2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110</v>
      </c>
    </row>
    <row r="38" spans="1:6" x14ac:dyDescent="0.2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110</v>
      </c>
    </row>
    <row r="39" spans="1:6" x14ac:dyDescent="0.2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110</v>
      </c>
    </row>
    <row r="40" spans="1:6" x14ac:dyDescent="0.2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110</v>
      </c>
    </row>
    <row r="41" spans="1:6" x14ac:dyDescent="0.2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110</v>
      </c>
    </row>
    <row r="42" spans="1:6" x14ac:dyDescent="0.2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110</v>
      </c>
    </row>
    <row r="43" spans="1:6" x14ac:dyDescent="0.2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110</v>
      </c>
    </row>
    <row r="44" spans="1:6" x14ac:dyDescent="0.2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110</v>
      </c>
    </row>
    <row r="45" spans="1:6" x14ac:dyDescent="0.2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110</v>
      </c>
    </row>
    <row r="46" spans="1:6" x14ac:dyDescent="0.2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110</v>
      </c>
    </row>
    <row r="47" spans="1:6" x14ac:dyDescent="0.2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110</v>
      </c>
    </row>
    <row r="48" spans="1:6" x14ac:dyDescent="0.2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110</v>
      </c>
    </row>
    <row r="49" spans="1:6" x14ac:dyDescent="0.2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110</v>
      </c>
    </row>
    <row r="50" spans="1:6" x14ac:dyDescent="0.2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110</v>
      </c>
    </row>
    <row r="51" spans="1:6" x14ac:dyDescent="0.2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110</v>
      </c>
    </row>
    <row r="52" spans="1:6" x14ac:dyDescent="0.2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110</v>
      </c>
    </row>
    <row r="53" spans="1:6" x14ac:dyDescent="0.2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110</v>
      </c>
    </row>
    <row r="54" spans="1:6" x14ac:dyDescent="0.2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110</v>
      </c>
    </row>
    <row r="55" spans="1:6" x14ac:dyDescent="0.2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110</v>
      </c>
    </row>
    <row r="56" spans="1:6" x14ac:dyDescent="0.2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110</v>
      </c>
    </row>
    <row r="57" spans="1:6" x14ac:dyDescent="0.2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110</v>
      </c>
    </row>
    <row r="58" spans="1:6" x14ac:dyDescent="0.2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110</v>
      </c>
    </row>
    <row r="59" spans="1:6" x14ac:dyDescent="0.2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110</v>
      </c>
    </row>
    <row r="60" spans="1:6" x14ac:dyDescent="0.2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110</v>
      </c>
    </row>
    <row r="61" spans="1:6" x14ac:dyDescent="0.2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110</v>
      </c>
    </row>
    <row r="62" spans="1:6" x14ac:dyDescent="0.2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110</v>
      </c>
    </row>
    <row r="63" spans="1:6" x14ac:dyDescent="0.2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110</v>
      </c>
    </row>
    <row r="64" spans="1:6" x14ac:dyDescent="0.2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110</v>
      </c>
    </row>
    <row r="65" spans="1:6" x14ac:dyDescent="0.2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110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baseColWidth="10" defaultColWidth="10.83203125" defaultRowHeight="16" x14ac:dyDescent="0.2"/>
  <cols>
    <col min="1" max="1" width="15.83203125" style="8" customWidth="1"/>
    <col min="2" max="7" width="10.83203125" style="8"/>
    <col min="8" max="16384" width="10.83203125" style="11"/>
  </cols>
  <sheetData>
    <row r="1" spans="1:7" s="16" customFormat="1" x14ac:dyDescent="0.2">
      <c r="A1" s="17" t="s">
        <v>111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129</v>
      </c>
      <c r="G1" s="17" t="s">
        <v>130</v>
      </c>
    </row>
    <row r="2" spans="1:7" x14ac:dyDescent="0.2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2" width="20.83203125" style="8" customWidth="1"/>
    <col min="3" max="3" width="15.83203125" style="8" customWidth="1"/>
    <col min="4" max="4" width="10.83203125" style="12"/>
    <col min="5" max="5" width="50.83203125" style="22" customWidth="1"/>
    <col min="6" max="16384" width="10.83203125" style="11"/>
  </cols>
  <sheetData>
    <row r="1" spans="1:5" s="17" customFormat="1" x14ac:dyDescent="0.2">
      <c r="A1" s="17" t="s">
        <v>131</v>
      </c>
      <c r="B1" s="17" t="s">
        <v>75</v>
      </c>
      <c r="C1" s="17" t="s">
        <v>132</v>
      </c>
      <c r="D1" s="17" t="s">
        <v>133</v>
      </c>
      <c r="E1" s="17" t="s">
        <v>134</v>
      </c>
    </row>
    <row r="2" spans="1:5" x14ac:dyDescent="0.2">
      <c r="A2" s="8" t="s">
        <v>135</v>
      </c>
      <c r="B2" s="8" t="s">
        <v>77</v>
      </c>
      <c r="C2" s="8" t="s">
        <v>141</v>
      </c>
      <c r="D2" s="12">
        <v>0.41</v>
      </c>
      <c r="E2" s="22" t="s">
        <v>143</v>
      </c>
    </row>
    <row r="3" spans="1:5" x14ac:dyDescent="0.2">
      <c r="A3" s="8" t="s">
        <v>136</v>
      </c>
      <c r="B3" s="8" t="s">
        <v>79</v>
      </c>
      <c r="C3" s="8" t="s">
        <v>141</v>
      </c>
      <c r="D3" s="12">
        <v>0.57999999999999996</v>
      </c>
      <c r="E3" s="22" t="s">
        <v>143</v>
      </c>
    </row>
    <row r="4" spans="1:5" x14ac:dyDescent="0.2">
      <c r="A4" s="8" t="s">
        <v>137</v>
      </c>
      <c r="B4" s="8" t="s">
        <v>77</v>
      </c>
      <c r="C4" s="8" t="s">
        <v>141</v>
      </c>
      <c r="D4" s="12">
        <v>1.1100000000000001</v>
      </c>
      <c r="E4" s="22" t="s">
        <v>144</v>
      </c>
    </row>
    <row r="5" spans="1:5" x14ac:dyDescent="0.2">
      <c r="A5" s="8" t="s">
        <v>138</v>
      </c>
      <c r="B5" s="8" t="s">
        <v>78</v>
      </c>
      <c r="C5" s="8" t="s">
        <v>141</v>
      </c>
      <c r="D5" s="12">
        <v>2.69</v>
      </c>
      <c r="E5" s="22" t="s">
        <v>144</v>
      </c>
    </row>
    <row r="6" spans="1:5" x14ac:dyDescent="0.2">
      <c r="A6" s="8" t="s">
        <v>139</v>
      </c>
      <c r="B6" s="8" t="s">
        <v>77</v>
      </c>
      <c r="C6" s="8" t="s">
        <v>142</v>
      </c>
      <c r="D6" s="12">
        <v>2.41</v>
      </c>
      <c r="E6" s="22" t="s">
        <v>145</v>
      </c>
    </row>
    <row r="7" spans="1:5" x14ac:dyDescent="0.2">
      <c r="A7" s="8" t="s">
        <v>140</v>
      </c>
      <c r="B7" s="8" t="s">
        <v>77</v>
      </c>
      <c r="C7" s="8" t="s">
        <v>142</v>
      </c>
      <c r="D7" s="12">
        <v>7.04</v>
      </c>
      <c r="E7" s="22" t="s">
        <v>146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ListDB</vt:lpstr>
      <vt:lpstr>Design Preferences</vt:lpstr>
      <vt:lpstr>Instructions</vt:lpstr>
      <vt:lpstr>UnitweightDB</vt:lpstr>
      <vt:lpstr>Project Information</vt:lpstr>
      <vt:lpstr>System Units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  <vt:lpstr>Unitweight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Julian Wiciardo</cp:lastModifiedBy>
  <dcterms:created xsi:type="dcterms:W3CDTF">2026-05-20T13:34:35Z</dcterms:created>
  <dcterms:modified xsi:type="dcterms:W3CDTF">2026-06-23T17:33:57Z</dcterms:modified>
</cp:coreProperties>
</file>