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88F702A3-594B-49B8-A93B-6CBCDA2861C9}" xr6:coauthVersionLast="47" xr6:coauthVersionMax="47" xr10:uidLastSave="{00000000-0000-0000-0000-000000000000}"/>
  <bookViews>
    <workbookView xWindow="-120" yWindow="-120" windowWidth="29040" windowHeight="15720" firstSheet="6" activeTab="12"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11" i="9" l="1"/>
  <c r="A4" i="13" l="1"/>
  <c r="A16" i="11"/>
  <c r="A15" i="11"/>
  <c r="A14" i="11"/>
  <c r="A13" i="11"/>
  <c r="A8" i="10"/>
  <c r="A7" i="10"/>
  <c r="A10" i="9"/>
  <c r="A9" i="9"/>
  <c r="A8" i="9"/>
  <c r="A5" i="9"/>
  <c r="A17" i="7"/>
  <c r="A7" i="7"/>
  <c r="A6" i="7"/>
  <c r="A9" i="6"/>
  <c r="A6" i="6"/>
  <c r="A6" i="5"/>
  <c r="A9" i="5"/>
  <c r="A8" i="5"/>
  <c r="A7" i="5"/>
  <c r="A4" i="5"/>
  <c r="A7" i="28"/>
  <c r="A6" i="28"/>
  <c r="A5" i="26"/>
  <c r="A4" i="26"/>
  <c r="A3" i="26"/>
  <c r="F20" i="7" l="1"/>
  <c r="E20" i="7"/>
  <c r="E15" i="6"/>
  <c r="E14" i="6"/>
  <c r="H15" i="6" s="1"/>
  <c r="C15" i="5"/>
  <c r="E15" i="5"/>
  <c r="H15" i="5"/>
  <c r="G15" i="5"/>
  <c r="F14" i="5"/>
  <c r="C14" i="5" s="1"/>
  <c r="H14"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F2" i="1" a="1"/>
  <c r="F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<sst xmlns="http://schemas.openxmlformats.org/spreadsheetml/2006/main" count="757" uniqueCount="330">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</sst>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91">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9" fillId="0" borderId="4" xfId="0" applyFont="1" applyBorder="1" applyAlignment="1">
      <alignment horizontal="center" vertical="top" wrapText="1"/>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3" fillId="2" borderId="6"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165" fontId="7" fillId="2" borderId="0" xfId="0" applyNumberFormat="1" applyFont="1" applyFill="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9"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2" fillId="2" borderId="0" xfId="0" quotePrefix="1" applyFont="1" applyFill="1" applyAlignment="1">
      <alignment horizontal="lef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166" fontId="11" fillId="2" borderId="0" xfId="0" applyNumberFormat="1" applyFont="1" applyFill="1" applyAlignment="1">
      <alignment vertical="top"/>
    </xf>
    <xf numFmtId="0" fontId="11" fillId="2" borderId="0" xfId="0" applyFont="1" applyFill="1" applyAlignment="1">
      <alignment vertical="top"/>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144</v>
      </c>
      <c r="B1" s="13" t="s">
        <v>5</v>
      </c>
    </row>
    <row r="2" spans="1:2" x14ac:dyDescent="0.25">
      <c r="A2" s="14" t="s">
        <v>145</v>
      </c>
      <c r="B2" s="14" t="s">
        <v>147</v>
      </c>
    </row>
    <row r="3" spans="1:2" ht="50.1" customHeight="1" x14ac:dyDescent="0.25">
      <c r="A3" s="14" t="s">
        <v>146</v>
      </c>
      <c r="B3" s="15" t="s">
        <v>148</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topLeftCell="A2" zoomScale="130" zoomScaleNormal="130" workbookViewId="0">
      <selection activeCell="A4" sqref="A4"/>
    </sheetView>
  </sheetViews>
  <sheetFormatPr defaultColWidth="9.140625" defaultRowHeight="15.75" x14ac:dyDescent="0.25"/>
  <cols>
    <col min="1" max="1" width="30.7109375" style="173" customWidth="1"/>
    <col min="2" max="10" width="20.7109375" style="61" customWidth="1"/>
    <col min="11" max="17" width="10.7109375" style="61" customWidth="1"/>
    <col min="18" max="16384" width="9.140625" style="61"/>
  </cols>
  <sheetData>
    <row r="1" spans="1:17" s="173" customFormat="1" ht="47.25" x14ac:dyDescent="0.25">
      <c r="A1" s="174" t="s">
        <v>314</v>
      </c>
      <c r="B1" s="174" t="s">
        <v>8</v>
      </c>
      <c r="C1" s="174" t="s">
        <v>10</v>
      </c>
      <c r="D1" s="174" t="s">
        <v>151</v>
      </c>
      <c r="E1" s="174" t="s">
        <v>152</v>
      </c>
      <c r="F1" s="174" t="s">
        <v>33</v>
      </c>
      <c r="G1" s="174" t="s">
        <v>66</v>
      </c>
      <c r="H1" s="174" t="s">
        <v>67</v>
      </c>
      <c r="I1" s="174" t="s">
        <v>70</v>
      </c>
      <c r="J1" s="174" t="s">
        <v>71</v>
      </c>
      <c r="K1" s="174" t="s">
        <v>72</v>
      </c>
      <c r="L1" s="174" t="s">
        <v>160</v>
      </c>
      <c r="M1" s="174" t="s">
        <v>161</v>
      </c>
      <c r="N1" s="174" t="s">
        <v>162</v>
      </c>
      <c r="O1" s="174" t="s">
        <v>163</v>
      </c>
      <c r="P1" s="174" t="s">
        <v>164</v>
      </c>
      <c r="Q1" s="174" t="s">
        <v>165</v>
      </c>
    </row>
    <row r="2" spans="1:17" ht="31.5" x14ac:dyDescent="0.25">
      <c r="A2" s="175" t="s">
        <v>316</v>
      </c>
      <c r="B2" s="176" t="s">
        <v>2</v>
      </c>
      <c r="C2" s="176" t="str" cm="1">
        <f t="array" ref="C2:C7">_xlfn.LET(_xlpm.data, _xlfn.VSTACK(Materials!$A$14:$A$1013,Mat_Concrete04!$A$14:$A$1013,Mat_Steel02!$A$20:$A$1019,Mat_IMK!$A$20:$A$1019), _xlfn._xlws.FILTER(_xlpm.data, _xlpm.data&lt;&gt;""))</f>
        <v>RC30</v>
      </c>
      <c r="D2" s="176" t="str" cm="1">
        <f t="array" ref="D2">_xlfn._xlws.FILTER(Materials!A14:A1013,(Materials!B14:B1013="Concrete")*(Materials!A14:A1013&lt;&gt;""))</f>
        <v>RC30</v>
      </c>
      <c r="E2" s="176" t="str" cm="1">
        <f t="array" ref="E2">_xlfn._xlws.FILTER(Materials!A14:A1013,((Materials!B14:B1013="Rebar")+(Materials!B14:B1013="Steel"))*(Materials!A14:A1013&lt;&gt;""))</f>
        <v>Rebar420</v>
      </c>
      <c r="F2" s="176" t="str" cm="1">
        <f t="array" ref="F2:F4">_xlfn.LET(_xlpm.data, _xlfn.VSTACK(Mat_Concrete04!$A$14:$A$1013,Mat_Steel02!$A$20:$A$1019), _xlfn._xlws.FILTER(_xlpm.data, _xlpm.data&lt;&gt;""))</f>
        <v>RC Unconfined</v>
      </c>
      <c r="G2" s="176" t="s">
        <v>68</v>
      </c>
      <c r="H2" s="176" t="s">
        <v>69</v>
      </c>
      <c r="I2" s="176" t="s">
        <v>73</v>
      </c>
      <c r="J2" s="176" t="str" cm="1">
        <f t="array" ref="J2:J5">_xlfn.LET(_xlpm.data, _xlfn.VSTACK('Frame Sections'!$A$17:$A$1016,Sec_Fiber!$A$19:$A$1018,Sec_Aggregator!$A$9:$A$1008), _xlfn._xlws.FILTER(_xlpm.data, _xlpm.data&lt;&gt;""))</f>
        <v>C1</v>
      </c>
      <c r="K2" s="176" t="s">
        <v>74</v>
      </c>
      <c r="L2" s="177" t="s">
        <v>166</v>
      </c>
      <c r="M2" s="177" t="s">
        <v>173</v>
      </c>
      <c r="N2" s="177" t="s">
        <v>178</v>
      </c>
      <c r="O2" s="177" t="s">
        <v>183</v>
      </c>
      <c r="P2" s="177" t="s">
        <v>191</v>
      </c>
      <c r="Q2" s="177" t="s">
        <v>192</v>
      </c>
    </row>
    <row r="3" spans="1:17" ht="31.5" x14ac:dyDescent="0.25">
      <c r="A3" s="175" t="s">
        <v>317</v>
      </c>
      <c r="B3" s="176" t="s">
        <v>3</v>
      </c>
      <c r="C3" s="176" t="str">
        <v>Rebar420</v>
      </c>
      <c r="D3" s="176"/>
      <c r="E3" s="176"/>
      <c r="F3" s="176" t="str">
        <v>RC Confined</v>
      </c>
      <c r="G3" s="176"/>
      <c r="H3" s="176"/>
      <c r="I3" s="176"/>
      <c r="J3" s="176" t="str">
        <v>B1</v>
      </c>
      <c r="K3" s="176" t="s">
        <v>75</v>
      </c>
      <c r="L3" s="177" t="s">
        <v>167</v>
      </c>
      <c r="M3" s="177" t="s">
        <v>174</v>
      </c>
      <c r="N3" s="177" t="s">
        <v>179</v>
      </c>
      <c r="O3" s="177" t="s">
        <v>184</v>
      </c>
      <c r="P3" s="177" t="s">
        <v>203</v>
      </c>
      <c r="Q3" s="177" t="s">
        <v>193</v>
      </c>
    </row>
    <row r="4" spans="1:17" x14ac:dyDescent="0.25">
      <c r="A4" s="175" t="s">
        <v>318</v>
      </c>
      <c r="B4" s="176" t="s">
        <v>9</v>
      </c>
      <c r="C4" s="176" t="str">
        <v>RC Unconfined</v>
      </c>
      <c r="D4" s="176"/>
      <c r="E4" s="176"/>
      <c r="F4" s="176" t="str">
        <v>Rebar420NL</v>
      </c>
      <c r="G4" s="176"/>
      <c r="H4" s="176"/>
      <c r="I4" s="176"/>
      <c r="J4" s="176" t="str">
        <v>C1_Fiber</v>
      </c>
      <c r="K4" s="176" t="s">
        <v>76</v>
      </c>
      <c r="L4" s="177" t="s">
        <v>168</v>
      </c>
      <c r="M4" s="177" t="s">
        <v>175</v>
      </c>
      <c r="N4" s="177" t="s">
        <v>180</v>
      </c>
      <c r="O4" s="177" t="s">
        <v>185</v>
      </c>
      <c r="P4" s="176"/>
      <c r="Q4" s="176"/>
    </row>
    <row r="5" spans="1:17" x14ac:dyDescent="0.25">
      <c r="A5" s="178"/>
      <c r="B5" s="176"/>
      <c r="C5" s="176" t="str">
        <v>RC Confined</v>
      </c>
      <c r="D5" s="176"/>
      <c r="E5" s="176"/>
      <c r="F5" s="176"/>
      <c r="G5" s="176"/>
      <c r="H5" s="176"/>
      <c r="I5" s="176"/>
      <c r="J5" s="176" t="str">
        <v>C1_Fiber_Agg</v>
      </c>
      <c r="K5" s="176" t="s">
        <v>14</v>
      </c>
      <c r="L5" s="177" t="s">
        <v>169</v>
      </c>
      <c r="M5" s="177" t="s">
        <v>176</v>
      </c>
      <c r="N5" s="177" t="s">
        <v>181</v>
      </c>
      <c r="O5" s="177" t="s">
        <v>186</v>
      </c>
      <c r="P5" s="176"/>
      <c r="Q5" s="176"/>
    </row>
    <row r="6" spans="1:17" x14ac:dyDescent="0.25">
      <c r="A6" s="178"/>
      <c r="B6" s="176"/>
      <c r="C6" s="176" t="str">
        <v>Rebar420NL</v>
      </c>
      <c r="D6" s="176"/>
      <c r="E6" s="176"/>
      <c r="F6" s="176"/>
      <c r="G6" s="176"/>
      <c r="H6" s="176"/>
      <c r="I6" s="176"/>
      <c r="J6" s="176"/>
      <c r="K6" s="176" t="s">
        <v>77</v>
      </c>
      <c r="L6" s="177" t="s">
        <v>170</v>
      </c>
      <c r="M6" s="177" t="s">
        <v>177</v>
      </c>
      <c r="N6" s="177" t="s">
        <v>182</v>
      </c>
      <c r="O6" s="177" t="s">
        <v>187</v>
      </c>
      <c r="P6" s="176"/>
      <c r="Q6" s="176"/>
    </row>
    <row r="7" spans="1:17" x14ac:dyDescent="0.25">
      <c r="A7" s="178"/>
      <c r="B7" s="176"/>
      <c r="C7" s="176" t="str">
        <v>Beam Hinge</v>
      </c>
      <c r="D7" s="176"/>
      <c r="E7" s="176"/>
      <c r="F7" s="176"/>
      <c r="G7" s="176"/>
      <c r="H7" s="176"/>
      <c r="I7" s="176"/>
      <c r="J7" s="176"/>
      <c r="K7" s="176"/>
      <c r="L7" s="177" t="s">
        <v>171</v>
      </c>
      <c r="M7" s="176"/>
      <c r="N7" s="176"/>
      <c r="O7" s="177" t="s">
        <v>188</v>
      </c>
      <c r="P7" s="176"/>
      <c r="Q7" s="176"/>
    </row>
    <row r="8" spans="1:17" x14ac:dyDescent="0.25">
      <c r="A8" s="178"/>
      <c r="B8" s="176"/>
      <c r="C8" s="176"/>
      <c r="D8" s="176"/>
      <c r="E8" s="176"/>
      <c r="F8" s="176"/>
      <c r="G8" s="176"/>
      <c r="H8" s="176"/>
      <c r="I8" s="176"/>
      <c r="J8" s="176"/>
      <c r="K8" s="176"/>
      <c r="L8" s="177" t="s">
        <v>172</v>
      </c>
      <c r="M8" s="176"/>
      <c r="N8" s="176"/>
      <c r="O8" s="177" t="s">
        <v>189</v>
      </c>
      <c r="P8" s="176"/>
      <c r="Q8" s="176"/>
    </row>
    <row r="9" spans="1:17" x14ac:dyDescent="0.25">
      <c r="A9" s="178"/>
      <c r="B9" s="176"/>
      <c r="C9" s="176"/>
      <c r="D9" s="176"/>
      <c r="E9" s="176"/>
      <c r="F9" s="176"/>
      <c r="G9" s="176"/>
      <c r="H9" s="176"/>
      <c r="I9" s="176"/>
      <c r="J9" s="176"/>
      <c r="K9" s="176"/>
      <c r="L9" s="176"/>
      <c r="M9" s="176"/>
      <c r="N9" s="176"/>
      <c r="O9" s="177" t="s">
        <v>190</v>
      </c>
      <c r="P9" s="176"/>
      <c r="Q9" s="176"/>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198</v>
      </c>
    </row>
    <row r="2" spans="1:2" x14ac:dyDescent="0.25">
      <c r="A2" s="62">
        <v>1</v>
      </c>
      <c r="B2" s="64" t="s">
        <v>200</v>
      </c>
    </row>
    <row r="3" spans="1:2" x14ac:dyDescent="0.25">
      <c r="A3" s="62">
        <v>2</v>
      </c>
      <c r="B3" s="64" t="s">
        <v>201</v>
      </c>
    </row>
    <row r="4" spans="1:2" x14ac:dyDescent="0.25">
      <c r="A4" s="62">
        <v>3</v>
      </c>
      <c r="B4" s="64" t="s">
        <v>202</v>
      </c>
    </row>
    <row r="5" spans="1:2" x14ac:dyDescent="0.25">
      <c r="A5" s="62">
        <v>4</v>
      </c>
      <c r="B5" s="65" t="s">
        <v>237</v>
      </c>
    </row>
    <row r="6" spans="1:2" x14ac:dyDescent="0.25">
      <c r="A6" s="62">
        <v>5</v>
      </c>
      <c r="B6" s="66" t="s">
        <v>238</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199</v>
      </c>
      <c r="B1" s="20"/>
    </row>
    <row r="2" spans="1:2" x14ac:dyDescent="0.25">
      <c r="A2" s="54" t="s">
        <v>320</v>
      </c>
      <c r="B2" s="21"/>
    </row>
    <row r="3" spans="1:2" x14ac:dyDescent="0.25">
      <c r="A3" s="30" t="s">
        <v>214</v>
      </c>
      <c r="B3" s="21"/>
    </row>
    <row r="4" spans="1:2" x14ac:dyDescent="0.25">
      <c r="A4" s="182" t="s">
        <v>322</v>
      </c>
      <c r="B4" s="23"/>
    </row>
    <row r="6" spans="1:2" s="13" customFormat="1" x14ac:dyDescent="0.25">
      <c r="A6" s="17" t="s">
        <v>153</v>
      </c>
      <c r="B6" s="17" t="s">
        <v>5</v>
      </c>
    </row>
    <row r="7" spans="1:2" x14ac:dyDescent="0.25">
      <c r="A7" s="18" t="s">
        <v>145</v>
      </c>
      <c r="B7" s="24" t="s">
        <v>147</v>
      </c>
    </row>
    <row r="8" spans="1:2" ht="50.1" customHeight="1" x14ac:dyDescent="0.25">
      <c r="A8" s="26" t="s">
        <v>146</v>
      </c>
      <c r="B8" s="25" t="s">
        <v>148</v>
      </c>
    </row>
    <row r="9" spans="1:2" x14ac:dyDescent="0.25">
      <c r="A9" s="68" t="s">
        <v>315</v>
      </c>
      <c r="B9" s="172" t="s">
        <v>321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199</v>
      </c>
      <c r="B1" s="35"/>
      <c r="C1" s="36"/>
      <c r="D1" s="36"/>
      <c r="E1" s="20"/>
    </row>
    <row r="2" spans="1:5" x14ac:dyDescent="0.25">
      <c r="A2" s="30" t="s">
        <v>206</v>
      </c>
      <c r="B2" s="55"/>
      <c r="C2" s="56"/>
      <c r="D2" s="56"/>
      <c r="E2" s="21"/>
    </row>
    <row r="3" spans="1:5" x14ac:dyDescent="0.25">
      <c r="A3" s="30" t="s">
        <v>207</v>
      </c>
      <c r="B3" s="55"/>
      <c r="C3" s="56"/>
      <c r="D3" s="56"/>
      <c r="E3" s="21"/>
    </row>
    <row r="4" spans="1:5" x14ac:dyDescent="0.25">
      <c r="A4" s="30" t="s">
        <v>208</v>
      </c>
      <c r="B4" s="55"/>
      <c r="C4" s="56"/>
      <c r="D4" s="56"/>
      <c r="E4" s="21"/>
    </row>
    <row r="5" spans="1:5" x14ac:dyDescent="0.25">
      <c r="A5" s="30" t="s">
        <v>209</v>
      </c>
      <c r="B5" s="55"/>
      <c r="C5" s="56"/>
      <c r="D5" s="56"/>
      <c r="E5" s="21"/>
    </row>
    <row r="6" spans="1:5" x14ac:dyDescent="0.25">
      <c r="A6" s="30" t="s">
        <v>210</v>
      </c>
      <c r="B6" s="55"/>
      <c r="C6" s="56"/>
      <c r="D6" s="56"/>
      <c r="E6" s="21"/>
    </row>
    <row r="7" spans="1:5" x14ac:dyDescent="0.25">
      <c r="A7" s="22" t="s">
        <v>211</v>
      </c>
      <c r="B7" s="37"/>
      <c r="C7" s="38"/>
      <c r="D7" s="38"/>
      <c r="E7" s="23"/>
    </row>
    <row r="9" spans="1:5" s="13" customFormat="1" x14ac:dyDescent="0.25">
      <c r="A9" s="17" t="s">
        <v>153</v>
      </c>
      <c r="B9" s="17" t="s">
        <v>5</v>
      </c>
    </row>
    <row r="10" spans="1:5" x14ac:dyDescent="0.25">
      <c r="A10" s="26" t="s">
        <v>154</v>
      </c>
      <c r="B10" s="28" t="s">
        <v>167</v>
      </c>
    </row>
    <row r="11" spans="1:5" x14ac:dyDescent="0.25">
      <c r="A11" s="27" t="s">
        <v>155</v>
      </c>
      <c r="B11" s="29" t="s">
        <v>173</v>
      </c>
    </row>
    <row r="12" spans="1:5" x14ac:dyDescent="0.25">
      <c r="A12" s="26" t="s">
        <v>156</v>
      </c>
      <c r="B12" s="28" t="s">
        <v>178</v>
      </c>
    </row>
    <row r="13" spans="1:5" x14ac:dyDescent="0.25">
      <c r="A13" s="26" t="s">
        <v>157</v>
      </c>
      <c r="B13" s="28" t="s">
        <v>185</v>
      </c>
    </row>
    <row r="14" spans="1:5" x14ac:dyDescent="0.25">
      <c r="A14" s="26" t="s">
        <v>158</v>
      </c>
      <c r="B14" s="28" t="s">
        <v>191</v>
      </c>
    </row>
    <row r="15" spans="1:5" x14ac:dyDescent="0.25">
      <c r="A15" s="26" t="s">
        <v>159</v>
      </c>
      <c r="B15" s="28" t="s">
        <v>192</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199</v>
      </c>
      <c r="B1" s="36"/>
      <c r="C1" s="36"/>
      <c r="D1" s="36"/>
      <c r="E1" s="20"/>
    </row>
    <row r="2" spans="1:5" x14ac:dyDescent="0.25">
      <c r="A2" s="30" t="s">
        <v>212</v>
      </c>
      <c r="B2" s="56"/>
      <c r="C2" s="56"/>
      <c r="D2" s="56"/>
      <c r="E2" s="21"/>
    </row>
    <row r="3" spans="1:5" x14ac:dyDescent="0.25">
      <c r="A3" s="30" t="s">
        <v>213</v>
      </c>
      <c r="B3" s="56"/>
      <c r="C3" s="56"/>
      <c r="D3" s="56"/>
      <c r="E3" s="21"/>
    </row>
    <row r="4" spans="1:5" x14ac:dyDescent="0.25">
      <c r="A4" s="22" t="s">
        <v>215</v>
      </c>
      <c r="B4" s="38"/>
      <c r="C4" s="38"/>
      <c r="D4" s="38"/>
      <c r="E4" s="23"/>
    </row>
    <row r="6" spans="1:5" s="13" customFormat="1" x14ac:dyDescent="0.25">
      <c r="A6" s="17" t="s">
        <v>153</v>
      </c>
      <c r="B6" s="17" t="s">
        <v>5</v>
      </c>
    </row>
    <row r="7" spans="1:5" x14ac:dyDescent="0.25">
      <c r="A7" s="68" t="s">
        <v>6</v>
      </c>
      <c r="B7" s="69" t="s">
        <v>319</v>
      </c>
    </row>
    <row r="8" spans="1:5" x14ac:dyDescent="0.25">
      <c r="A8" s="68" t="s">
        <v>7</v>
      </c>
      <c r="B8" s="69" t="s">
        <v>149</v>
      </c>
    </row>
    <row r="9" spans="1:5" x14ac:dyDescent="0.25">
      <c r="A9" s="26" t="s">
        <v>150</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A16" sqref="A16"/>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199</v>
      </c>
      <c r="B1" s="89"/>
      <c r="C1" s="111"/>
      <c r="D1" s="111"/>
      <c r="E1" s="111"/>
      <c r="F1" s="111"/>
      <c r="G1" s="111"/>
      <c r="H1" s="112"/>
    </row>
    <row r="2" spans="1:8" x14ac:dyDescent="0.25">
      <c r="A2" s="96" t="s">
        <v>229</v>
      </c>
      <c r="B2" s="93"/>
      <c r="C2" s="113"/>
      <c r="D2" s="113"/>
      <c r="E2" s="113"/>
      <c r="F2" s="113"/>
      <c r="G2" s="113"/>
      <c r="H2" s="114"/>
    </row>
    <row r="3" spans="1:8" x14ac:dyDescent="0.25">
      <c r="A3" s="96" t="s">
        <v>230</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222</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223</v>
      </c>
      <c r="B10" s="93"/>
      <c r="C10" s="113"/>
      <c r="D10" s="113"/>
      <c r="E10" s="113"/>
      <c r="F10" s="113"/>
      <c r="G10" s="113"/>
      <c r="H10" s="114"/>
    </row>
    <row r="11" spans="1:8" x14ac:dyDescent="0.25">
      <c r="A11" s="98" t="s">
        <v>239</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A16" s="187"/>
      <c r="C16" s="117"/>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E14" sqref="E14"/>
    </sheetView>
  </sheetViews>
  <sheetFormatPr defaultColWidth="8.85546875" defaultRowHeight="15.75" x14ac:dyDescent="0.25"/>
  <cols>
    <col min="1" max="2" width="20.7109375" style="105" customWidth="1"/>
    <col min="3" max="4" width="20.7109375" style="93" customWidth="1"/>
    <col min="5" max="5" width="10.7109375" style="115" customWidth="1"/>
    <col min="6" max="7" width="10.7109375" style="123" customWidth="1"/>
    <col min="8" max="8" width="10.7109375" style="115" customWidth="1"/>
    <col min="9" max="9" width="10.7109375" style="123" customWidth="1"/>
    <col min="10" max="10" width="10.7109375" style="115" customWidth="1"/>
    <col min="11" max="16384" width="8.85546875" style="92"/>
  </cols>
  <sheetData>
    <row r="1" spans="1:11" x14ac:dyDescent="0.25">
      <c r="A1" s="71" t="s">
        <v>199</v>
      </c>
      <c r="B1" s="89"/>
      <c r="C1" s="89"/>
      <c r="D1" s="89"/>
      <c r="E1" s="111"/>
      <c r="F1" s="118"/>
      <c r="G1" s="118"/>
      <c r="H1" s="111"/>
      <c r="I1" s="118"/>
      <c r="J1" s="111"/>
      <c r="K1" s="91"/>
    </row>
    <row r="2" spans="1:11" x14ac:dyDescent="0.25">
      <c r="A2" s="96" t="s">
        <v>231</v>
      </c>
      <c r="B2" s="93"/>
      <c r="E2" s="113"/>
      <c r="F2" s="119"/>
      <c r="G2" s="119"/>
      <c r="H2" s="113"/>
      <c r="I2" s="119"/>
      <c r="J2" s="113"/>
      <c r="K2" s="95"/>
    </row>
    <row r="3" spans="1:11" x14ac:dyDescent="0.25">
      <c r="A3" s="96" t="s">
        <v>232</v>
      </c>
      <c r="B3" s="93"/>
      <c r="E3" s="113"/>
      <c r="F3" s="119"/>
      <c r="G3" s="119"/>
      <c r="H3" s="113"/>
      <c r="I3" s="119"/>
      <c r="J3" s="113"/>
      <c r="K3" s="95"/>
    </row>
    <row r="4" spans="1:11" x14ac:dyDescent="0.25">
      <c r="A4" s="96" t="s">
        <v>261</v>
      </c>
      <c r="B4" s="93"/>
      <c r="E4" s="113"/>
      <c r="F4" s="119"/>
      <c r="G4" s="119"/>
      <c r="H4" s="113"/>
      <c r="I4" s="119"/>
      <c r="J4" s="113"/>
      <c r="K4" s="95"/>
    </row>
    <row r="5" spans="1:11" x14ac:dyDescent="0.25">
      <c r="A5" s="96" t="s">
        <v>233</v>
      </c>
      <c r="B5" s="93"/>
      <c r="E5" s="113"/>
      <c r="F5" s="119"/>
      <c r="G5" s="119"/>
      <c r="H5" s="113"/>
      <c r="I5" s="119"/>
      <c r="J5" s="113"/>
      <c r="K5" s="95"/>
    </row>
    <row r="6" spans="1:11" x14ac:dyDescent="0.25">
      <c r="A6" s="96" t="str">
        <f>"- fc: Maximum compressive strength of concrete (Input as Float) ("&amp;'User Specified Unitsystem'!$B$13&amp;")"</f>
        <v>- fc: Maximum compressive strength of concrete (Input as Float) (MPa)</v>
      </c>
      <c r="B6" s="93"/>
      <c r="E6" s="113"/>
      <c r="F6" s="119"/>
      <c r="G6" s="119"/>
      <c r="H6" s="113"/>
      <c r="I6" s="119"/>
      <c r="J6" s="113"/>
      <c r="K6" s="95"/>
    </row>
    <row r="7" spans="1:11" x14ac:dyDescent="0.25">
      <c r="A7" s="96" t="s">
        <v>234</v>
      </c>
      <c r="B7" s="93"/>
      <c r="E7" s="113"/>
      <c r="F7" s="119"/>
      <c r="G7" s="119"/>
      <c r="H7" s="113"/>
      <c r="I7" s="119"/>
      <c r="J7" s="113"/>
      <c r="K7" s="95"/>
    </row>
    <row r="8" spans="1:11" x14ac:dyDescent="0.25">
      <c r="A8" s="96" t="s">
        <v>235</v>
      </c>
      <c r="B8" s="93"/>
      <c r="E8" s="113"/>
      <c r="F8" s="119"/>
      <c r="G8" s="119"/>
      <c r="H8" s="113"/>
      <c r="I8" s="119"/>
      <c r="J8" s="113"/>
      <c r="K8" s="95"/>
    </row>
    <row r="9" spans="1:11" x14ac:dyDescent="0.25">
      <c r="A9" s="96" t="str">
        <f>"- fct: Maximum tensile strength of concrete (Input as Float) ("&amp;'User Specified Unitsystem'!$B$13&amp;")"</f>
        <v>- fct: Maximum tensile strength of concrete (Input as Float) (MPa)</v>
      </c>
      <c r="B9" s="93"/>
      <c r="E9" s="113"/>
      <c r="F9" s="119"/>
      <c r="G9" s="119"/>
      <c r="H9" s="113"/>
      <c r="I9" s="119"/>
      <c r="J9" s="113"/>
      <c r="K9" s="95"/>
    </row>
    <row r="10" spans="1:11" x14ac:dyDescent="0.25">
      <c r="A10" s="96" t="s">
        <v>240</v>
      </c>
      <c r="B10" s="93"/>
      <c r="E10" s="113"/>
      <c r="F10" s="119"/>
      <c r="G10" s="119"/>
      <c r="H10" s="113"/>
      <c r="I10" s="119"/>
      <c r="J10" s="113"/>
      <c r="K10" s="95"/>
    </row>
    <row r="11" spans="1:11" x14ac:dyDescent="0.25">
      <c r="A11" s="120" t="s">
        <v>236</v>
      </c>
      <c r="B11" s="99"/>
      <c r="C11" s="99"/>
      <c r="D11" s="99"/>
      <c r="E11" s="100"/>
      <c r="F11" s="121"/>
      <c r="G11" s="121"/>
      <c r="H11" s="100"/>
      <c r="I11" s="121"/>
      <c r="J11" s="100"/>
      <c r="K11" s="110"/>
    </row>
    <row r="12" spans="1:11" x14ac:dyDescent="0.25">
      <c r="A12" s="103"/>
      <c r="B12" s="61"/>
      <c r="C12" s="61"/>
      <c r="D12" s="61"/>
      <c r="E12" s="102"/>
      <c r="F12" s="122"/>
      <c r="G12" s="122"/>
      <c r="H12" s="102"/>
      <c r="I12" s="122"/>
      <c r="J12" s="102"/>
    </row>
    <row r="13" spans="1:11" s="60" customFormat="1" x14ac:dyDescent="0.25">
      <c r="A13" s="85" t="s">
        <v>10</v>
      </c>
      <c r="B13" s="85" t="s">
        <v>18</v>
      </c>
      <c r="C13" s="85" t="s">
        <v>8</v>
      </c>
      <c r="D13" s="85" t="s">
        <v>19</v>
      </c>
      <c r="E13" s="85" t="s">
        <v>11</v>
      </c>
      <c r="F13" s="85" t="s">
        <v>20</v>
      </c>
      <c r="G13" s="85" t="s">
        <v>21</v>
      </c>
      <c r="H13" s="85" t="s">
        <v>22</v>
      </c>
      <c r="I13" s="85" t="s">
        <v>23</v>
      </c>
      <c r="J13" s="85" t="s">
        <v>24</v>
      </c>
    </row>
    <row r="14" spans="1:11" x14ac:dyDescent="0.25">
      <c r="A14" s="105" t="s">
        <v>25</v>
      </c>
      <c r="B14" s="105" t="s">
        <v>16</v>
      </c>
      <c r="C14" s="93" t="str">
        <f t="shared" ref="C14:C77" si="0">IF(A14=0,"",VLOOKUP(B14,MatDB,2,FALSE))</f>
        <v>Concrete</v>
      </c>
      <c r="D14" s="93" t="str">
        <f>IF(A14=0,"","Concrete04")</f>
        <v>Concrete04</v>
      </c>
      <c r="E14" s="115">
        <f>30</f>
        <v>30</v>
      </c>
      <c r="F14" s="123">
        <v>2E-3</v>
      </c>
      <c r="G14" s="123">
        <v>5.0000000000000001E-3</v>
      </c>
      <c r="H14" s="115">
        <f>0.62*SQRT(E14)</f>
        <v>3.3958798565320301</v>
      </c>
      <c r="I14" s="123">
        <v>0</v>
      </c>
      <c r="J14" s="115">
        <v>0.2</v>
      </c>
    </row>
    <row r="15" spans="1:11" x14ac:dyDescent="0.25">
      <c r="A15" s="105" t="s">
        <v>26</v>
      </c>
      <c r="B15" s="105" t="s">
        <v>16</v>
      </c>
      <c r="C15" s="93" t="str">
        <f t="shared" si="0"/>
        <v>Concrete</v>
      </c>
      <c r="D15" s="93" t="str">
        <f t="shared" ref="D15:D78" si="1">IF(A15=0,"","Concrete04")</f>
        <v>Concrete04</v>
      </c>
      <c r="E15" s="115">
        <f>47.2156312521873</f>
        <v>47.215631252187301</v>
      </c>
      <c r="F15" s="123">
        <v>7.7385437507291001E-3</v>
      </c>
      <c r="G15" s="123">
        <v>2.2428475272193799E-2</v>
      </c>
      <c r="H15" s="115">
        <f>0.62*SQRT(E14)</f>
        <v>3.3958798565320301</v>
      </c>
      <c r="I15" s="123">
        <v>0</v>
      </c>
      <c r="J15" s="115">
        <v>0.2</v>
      </c>
    </row>
    <row r="16" spans="1:11" x14ac:dyDescent="0.25">
      <c r="C16" s="93" t="str">
        <f t="shared" si="0"/>
        <v/>
      </c>
      <c r="D16" s="93" t="str">
        <f t="shared" si="1"/>
        <v/>
      </c>
    </row>
    <row r="17" spans="2:4" x14ac:dyDescent="0.25">
      <c r="B17" s="179"/>
      <c r="C17" s="93" t="str">
        <f t="shared" si="0"/>
        <v/>
      </c>
      <c r="D17" s="93" t="str">
        <f t="shared" si="1"/>
        <v/>
      </c>
    </row>
    <row r="18" spans="2:4" x14ac:dyDescent="0.25">
      <c r="C18" s="93" t="str">
        <f t="shared" si="0"/>
        <v/>
      </c>
      <c r="D18" s="93" t="str">
        <f t="shared" si="1"/>
        <v/>
      </c>
    </row>
    <row r="19" spans="2:4" x14ac:dyDescent="0.25">
      <c r="C19" s="93" t="str">
        <f t="shared" si="0"/>
        <v/>
      </c>
      <c r="D19" s="93" t="str">
        <f t="shared" si="1"/>
        <v/>
      </c>
    </row>
    <row r="20" spans="2:4" x14ac:dyDescent="0.25">
      <c r="C20" s="93" t="str">
        <f t="shared" si="0"/>
        <v/>
      </c>
      <c r="D20" s="93" t="str">
        <f t="shared" si="1"/>
        <v/>
      </c>
    </row>
    <row r="21" spans="2:4" x14ac:dyDescent="0.25">
      <c r="C21" s="93" t="str">
        <f t="shared" si="0"/>
        <v/>
      </c>
      <c r="D21" s="93" t="str">
        <f t="shared" si="1"/>
        <v/>
      </c>
    </row>
    <row r="22" spans="2:4" x14ac:dyDescent="0.25">
      <c r="C22" s="93" t="str">
        <f t="shared" si="0"/>
        <v/>
      </c>
      <c r="D22" s="93" t="str">
        <f t="shared" si="1"/>
        <v/>
      </c>
    </row>
    <row r="23" spans="2:4" x14ac:dyDescent="0.25">
      <c r="C23" s="93" t="str">
        <f t="shared" si="0"/>
        <v/>
      </c>
      <c r="D23" s="93" t="str">
        <f t="shared" si="1"/>
        <v/>
      </c>
    </row>
    <row r="24" spans="2:4" x14ac:dyDescent="0.25">
      <c r="C24" s="93" t="str">
        <f t="shared" si="0"/>
        <v/>
      </c>
      <c r="D24" s="93" t="str">
        <f t="shared" si="1"/>
        <v/>
      </c>
    </row>
    <row r="25" spans="2:4" x14ac:dyDescent="0.25">
      <c r="C25" s="93" t="str">
        <f t="shared" si="0"/>
        <v/>
      </c>
      <c r="D25" s="93" t="str">
        <f t="shared" si="1"/>
        <v/>
      </c>
    </row>
    <row r="26" spans="2:4" x14ac:dyDescent="0.25">
      <c r="C26" s="93" t="str">
        <f t="shared" si="0"/>
        <v/>
      </c>
      <c r="D26" s="93" t="str">
        <f t="shared" si="1"/>
        <v/>
      </c>
    </row>
    <row r="27" spans="2:4" x14ac:dyDescent="0.25">
      <c r="C27" s="93" t="str">
        <f t="shared" si="0"/>
        <v/>
      </c>
      <c r="D27" s="93" t="str">
        <f t="shared" si="1"/>
        <v/>
      </c>
    </row>
    <row r="28" spans="2:4" x14ac:dyDescent="0.25">
      <c r="C28" s="93" t="str">
        <f t="shared" si="0"/>
        <v/>
      </c>
      <c r="D28" s="93" t="str">
        <f t="shared" si="1"/>
        <v/>
      </c>
    </row>
    <row r="29" spans="2:4" x14ac:dyDescent="0.25">
      <c r="C29" s="93" t="str">
        <f t="shared" si="0"/>
        <v/>
      </c>
      <c r="D29" s="93" t="str">
        <f t="shared" si="1"/>
        <v/>
      </c>
    </row>
    <row r="30" spans="2:4" x14ac:dyDescent="0.25">
      <c r="C30" s="93" t="str">
        <f t="shared" si="0"/>
        <v/>
      </c>
      <c r="D30" s="93" t="str">
        <f t="shared" si="1"/>
        <v/>
      </c>
    </row>
    <row r="31" spans="2:4" x14ac:dyDescent="0.25">
      <c r="C31" s="93" t="str">
        <f t="shared" si="0"/>
        <v/>
      </c>
      <c r="D31" s="93" t="str">
        <f t="shared" si="1"/>
        <v/>
      </c>
    </row>
    <row r="32" spans="2:4" x14ac:dyDescent="0.25">
      <c r="C32" s="93" t="str">
        <f t="shared" si="0"/>
        <v/>
      </c>
      <c r="D32" s="93" t="str">
        <f t="shared" si="1"/>
        <v/>
      </c>
    </row>
    <row r="33" spans="3:4" x14ac:dyDescent="0.25">
      <c r="C33" s="93" t="str">
        <f t="shared" si="0"/>
        <v/>
      </c>
      <c r="D33" s="93" t="str">
        <f t="shared" si="1"/>
        <v/>
      </c>
    </row>
    <row r="34" spans="3:4" x14ac:dyDescent="0.25">
      <c r="C34" s="93" t="str">
        <f t="shared" si="0"/>
        <v/>
      </c>
      <c r="D34" s="93" t="str">
        <f t="shared" si="1"/>
        <v/>
      </c>
    </row>
    <row r="35" spans="3:4" x14ac:dyDescent="0.25">
      <c r="C35" s="93" t="str">
        <f t="shared" si="0"/>
        <v/>
      </c>
      <c r="D35" s="93" t="str">
        <f t="shared" si="1"/>
        <v/>
      </c>
    </row>
    <row r="36" spans="3:4" x14ac:dyDescent="0.25">
      <c r="C36" s="93" t="str">
        <f t="shared" si="0"/>
        <v/>
      </c>
      <c r="D36" s="93" t="str">
        <f t="shared" si="1"/>
        <v/>
      </c>
    </row>
    <row r="37" spans="3:4" x14ac:dyDescent="0.25">
      <c r="C37" s="93" t="str">
        <f t="shared" si="0"/>
        <v/>
      </c>
      <c r="D37" s="93" t="str">
        <f t="shared" si="1"/>
        <v/>
      </c>
    </row>
    <row r="38" spans="3:4" x14ac:dyDescent="0.25">
      <c r="C38" s="93" t="str">
        <f t="shared" si="0"/>
        <v/>
      </c>
      <c r="D38" s="93" t="str">
        <f t="shared" si="1"/>
        <v/>
      </c>
    </row>
    <row r="39" spans="3:4" x14ac:dyDescent="0.25">
      <c r="C39" s="93" t="str">
        <f t="shared" si="0"/>
        <v/>
      </c>
      <c r="D39" s="93" t="str">
        <f t="shared" si="1"/>
        <v/>
      </c>
    </row>
    <row r="40" spans="3:4" x14ac:dyDescent="0.25">
      <c r="C40" s="93" t="str">
        <f t="shared" si="0"/>
        <v/>
      </c>
      <c r="D40" s="93" t="str">
        <f t="shared" si="1"/>
        <v/>
      </c>
    </row>
    <row r="41" spans="3:4" x14ac:dyDescent="0.25">
      <c r="C41" s="93" t="str">
        <f t="shared" si="0"/>
        <v/>
      </c>
      <c r="D41" s="93" t="str">
        <f t="shared" si="1"/>
        <v/>
      </c>
    </row>
    <row r="42" spans="3:4" x14ac:dyDescent="0.25">
      <c r="C42" s="93" t="str">
        <f t="shared" si="0"/>
        <v/>
      </c>
      <c r="D42" s="93" t="str">
        <f t="shared" si="1"/>
        <v/>
      </c>
    </row>
    <row r="43" spans="3:4" x14ac:dyDescent="0.25">
      <c r="C43" s="93" t="str">
        <f t="shared" si="0"/>
        <v/>
      </c>
      <c r="D43" s="93" t="str">
        <f t="shared" si="1"/>
        <v/>
      </c>
    </row>
    <row r="44" spans="3:4" x14ac:dyDescent="0.25">
      <c r="C44" s="93" t="str">
        <f t="shared" si="0"/>
        <v/>
      </c>
      <c r="D44" s="93" t="str">
        <f t="shared" si="1"/>
        <v/>
      </c>
    </row>
    <row r="45" spans="3:4" x14ac:dyDescent="0.25">
      <c r="C45" s="93" t="str">
        <f t="shared" si="0"/>
        <v/>
      </c>
      <c r="D45" s="93" t="str">
        <f t="shared" si="1"/>
        <v/>
      </c>
    </row>
    <row r="46" spans="3:4" x14ac:dyDescent="0.25">
      <c r="C46" s="93" t="str">
        <f t="shared" si="0"/>
        <v/>
      </c>
      <c r="D46" s="93" t="str">
        <f t="shared" si="1"/>
        <v/>
      </c>
    </row>
    <row r="47" spans="3:4" x14ac:dyDescent="0.25">
      <c r="C47" s="93" t="str">
        <f t="shared" si="0"/>
        <v/>
      </c>
      <c r="D47" s="93" t="str">
        <f t="shared" si="1"/>
        <v/>
      </c>
    </row>
    <row r="48" spans="3:4" x14ac:dyDescent="0.25">
      <c r="C48" s="93" t="str">
        <f t="shared" si="0"/>
        <v/>
      </c>
      <c r="D48" s="93" t="str">
        <f t="shared" si="1"/>
        <v/>
      </c>
    </row>
    <row r="49" spans="3:4" x14ac:dyDescent="0.25">
      <c r="C49" s="93" t="str">
        <f t="shared" si="0"/>
        <v/>
      </c>
      <c r="D49" s="93" t="str">
        <f t="shared" si="1"/>
        <v/>
      </c>
    </row>
    <row r="50" spans="3:4" x14ac:dyDescent="0.25">
      <c r="C50" s="93" t="str">
        <f t="shared" si="0"/>
        <v/>
      </c>
      <c r="D50" s="93" t="str">
        <f t="shared" si="1"/>
        <v/>
      </c>
    </row>
    <row r="51" spans="3:4" x14ac:dyDescent="0.25">
      <c r="C51" s="93" t="str">
        <f t="shared" si="0"/>
        <v/>
      </c>
      <c r="D51" s="93" t="str">
        <f t="shared" si="1"/>
        <v/>
      </c>
    </row>
    <row r="52" spans="3:4" x14ac:dyDescent="0.25">
      <c r="C52" s="93" t="str">
        <f t="shared" si="0"/>
        <v/>
      </c>
      <c r="D52" s="93" t="str">
        <f t="shared" si="1"/>
        <v/>
      </c>
    </row>
    <row r="53" spans="3:4" x14ac:dyDescent="0.25">
      <c r="C53" s="93" t="str">
        <f t="shared" si="0"/>
        <v/>
      </c>
      <c r="D53" s="93" t="str">
        <f t="shared" si="1"/>
        <v/>
      </c>
    </row>
    <row r="54" spans="3:4" x14ac:dyDescent="0.25">
      <c r="C54" s="93" t="str">
        <f t="shared" si="0"/>
        <v/>
      </c>
      <c r="D54" s="93" t="str">
        <f t="shared" si="1"/>
        <v/>
      </c>
    </row>
    <row r="55" spans="3:4" x14ac:dyDescent="0.25">
      <c r="C55" s="93" t="str">
        <f t="shared" si="0"/>
        <v/>
      </c>
      <c r="D55" s="93" t="str">
        <f t="shared" si="1"/>
        <v/>
      </c>
    </row>
    <row r="56" spans="3:4" x14ac:dyDescent="0.25">
      <c r="C56" s="93" t="str">
        <f t="shared" si="0"/>
        <v/>
      </c>
      <c r="D56" s="93" t="str">
        <f t="shared" si="1"/>
        <v/>
      </c>
    </row>
    <row r="57" spans="3:4" x14ac:dyDescent="0.25">
      <c r="C57" s="93" t="str">
        <f t="shared" si="0"/>
        <v/>
      </c>
      <c r="D57" s="93" t="str">
        <f t="shared" si="1"/>
        <v/>
      </c>
    </row>
    <row r="58" spans="3:4" x14ac:dyDescent="0.25">
      <c r="C58" s="93" t="str">
        <f t="shared" si="0"/>
        <v/>
      </c>
      <c r="D58" s="93" t="str">
        <f t="shared" si="1"/>
        <v/>
      </c>
    </row>
    <row r="59" spans="3:4" x14ac:dyDescent="0.25">
      <c r="C59" s="93" t="str">
        <f t="shared" si="0"/>
        <v/>
      </c>
      <c r="D59" s="93" t="str">
        <f t="shared" si="1"/>
        <v/>
      </c>
    </row>
    <row r="60" spans="3:4" x14ac:dyDescent="0.25">
      <c r="C60" s="93" t="str">
        <f t="shared" si="0"/>
        <v/>
      </c>
      <c r="D60" s="93" t="str">
        <f t="shared" si="1"/>
        <v/>
      </c>
    </row>
    <row r="61" spans="3:4" x14ac:dyDescent="0.25">
      <c r="C61" s="93" t="str">
        <f t="shared" si="0"/>
        <v/>
      </c>
      <c r="D61" s="93" t="str">
        <f t="shared" si="1"/>
        <v/>
      </c>
    </row>
    <row r="62" spans="3:4" x14ac:dyDescent="0.25">
      <c r="C62" s="93" t="str">
        <f t="shared" si="0"/>
        <v/>
      </c>
      <c r="D62" s="93" t="str">
        <f t="shared" si="1"/>
        <v/>
      </c>
    </row>
    <row r="63" spans="3:4" x14ac:dyDescent="0.25">
      <c r="C63" s="93" t="str">
        <f t="shared" si="0"/>
        <v/>
      </c>
      <c r="D63" s="93" t="str">
        <f t="shared" si="1"/>
        <v/>
      </c>
    </row>
    <row r="64" spans="3:4" x14ac:dyDescent="0.25">
      <c r="C64" s="93" t="str">
        <f t="shared" si="0"/>
        <v/>
      </c>
      <c r="D64" s="93" t="str">
        <f t="shared" si="1"/>
        <v/>
      </c>
    </row>
    <row r="65" spans="3:4" x14ac:dyDescent="0.25">
      <c r="C65" s="93" t="str">
        <f t="shared" si="0"/>
        <v/>
      </c>
      <c r="D65" s="93" t="str">
        <f t="shared" si="1"/>
        <v/>
      </c>
    </row>
    <row r="66" spans="3:4" x14ac:dyDescent="0.25">
      <c r="C66" s="93" t="str">
        <f t="shared" si="0"/>
        <v/>
      </c>
      <c r="D66" s="93" t="str">
        <f t="shared" si="1"/>
        <v/>
      </c>
    </row>
    <row r="67" spans="3:4" x14ac:dyDescent="0.25">
      <c r="C67" s="93" t="str">
        <f t="shared" si="0"/>
        <v/>
      </c>
      <c r="D67" s="93" t="str">
        <f t="shared" si="1"/>
        <v/>
      </c>
    </row>
    <row r="68" spans="3:4" x14ac:dyDescent="0.25">
      <c r="C68" s="93" t="str">
        <f t="shared" si="0"/>
        <v/>
      </c>
      <c r="D68" s="93" t="str">
        <f t="shared" si="1"/>
        <v/>
      </c>
    </row>
    <row r="69" spans="3:4" x14ac:dyDescent="0.25">
      <c r="C69" s="93" t="str">
        <f t="shared" si="0"/>
        <v/>
      </c>
      <c r="D69" s="93" t="str">
        <f t="shared" si="1"/>
        <v/>
      </c>
    </row>
    <row r="70" spans="3:4" x14ac:dyDescent="0.25">
      <c r="C70" s="93" t="str">
        <f t="shared" si="0"/>
        <v/>
      </c>
      <c r="D70" s="93" t="str">
        <f t="shared" si="1"/>
        <v/>
      </c>
    </row>
    <row r="71" spans="3:4" x14ac:dyDescent="0.25">
      <c r="C71" s="93" t="str">
        <f t="shared" si="0"/>
        <v/>
      </c>
      <c r="D71" s="93" t="str">
        <f t="shared" si="1"/>
        <v/>
      </c>
    </row>
    <row r="72" spans="3:4" x14ac:dyDescent="0.25">
      <c r="C72" s="93" t="str">
        <f t="shared" si="0"/>
        <v/>
      </c>
      <c r="D72" s="93" t="str">
        <f t="shared" si="1"/>
        <v/>
      </c>
    </row>
    <row r="73" spans="3:4" x14ac:dyDescent="0.25">
      <c r="C73" s="93" t="str">
        <f t="shared" si="0"/>
        <v/>
      </c>
      <c r="D73" s="93" t="str">
        <f t="shared" si="1"/>
        <v/>
      </c>
    </row>
    <row r="74" spans="3:4" x14ac:dyDescent="0.25">
      <c r="C74" s="93" t="str">
        <f t="shared" si="0"/>
        <v/>
      </c>
      <c r="D74" s="93" t="str">
        <f t="shared" si="1"/>
        <v/>
      </c>
    </row>
    <row r="75" spans="3:4" x14ac:dyDescent="0.25">
      <c r="C75" s="93" t="str">
        <f t="shared" si="0"/>
        <v/>
      </c>
      <c r="D75" s="93" t="str">
        <f t="shared" si="1"/>
        <v/>
      </c>
    </row>
    <row r="76" spans="3:4" x14ac:dyDescent="0.25">
      <c r="C76" s="93" t="str">
        <f t="shared" si="0"/>
        <v/>
      </c>
      <c r="D76" s="93" t="str">
        <f t="shared" si="1"/>
        <v/>
      </c>
    </row>
    <row r="77" spans="3:4" x14ac:dyDescent="0.25">
      <c r="C77" s="93" t="str">
        <f t="shared" si="0"/>
        <v/>
      </c>
      <c r="D77" s="93" t="str">
        <f t="shared" si="1"/>
        <v/>
      </c>
    </row>
    <row r="78" spans="3:4" x14ac:dyDescent="0.25">
      <c r="C78" s="93" t="str">
        <f t="shared" ref="C78:C141" si="2">IF(A78=0,"",VLOOKUP(B78,MatDB,2,FALSE))</f>
        <v/>
      </c>
      <c r="D78" s="93" t="str">
        <f t="shared" si="1"/>
        <v/>
      </c>
    </row>
    <row r="79" spans="3:4" x14ac:dyDescent="0.25">
      <c r="C79" s="93" t="str">
        <f t="shared" si="2"/>
        <v/>
      </c>
      <c r="D79" s="93" t="str">
        <f t="shared" ref="D79:D142" si="3">IF(A79=0,"","Concrete04")</f>
        <v/>
      </c>
    </row>
    <row r="80" spans="3:4" x14ac:dyDescent="0.25">
      <c r="C80" s="93" t="str">
        <f t="shared" si="2"/>
        <v/>
      </c>
      <c r="D80" s="93" t="str">
        <f t="shared" si="3"/>
        <v/>
      </c>
    </row>
    <row r="81" spans="3:4" x14ac:dyDescent="0.25">
      <c r="C81" s="93" t="str">
        <f t="shared" si="2"/>
        <v/>
      </c>
      <c r="D81" s="93" t="str">
        <f t="shared" si="3"/>
        <v/>
      </c>
    </row>
    <row r="82" spans="3:4" x14ac:dyDescent="0.25">
      <c r="C82" s="93" t="str">
        <f t="shared" si="2"/>
        <v/>
      </c>
      <c r="D82" s="93" t="str">
        <f t="shared" si="3"/>
        <v/>
      </c>
    </row>
    <row r="83" spans="3:4" x14ac:dyDescent="0.25">
      <c r="C83" s="93" t="str">
        <f t="shared" si="2"/>
        <v/>
      </c>
      <c r="D83" s="93" t="str">
        <f t="shared" si="3"/>
        <v/>
      </c>
    </row>
    <row r="84" spans="3:4" x14ac:dyDescent="0.25">
      <c r="C84" s="93" t="str">
        <f t="shared" si="2"/>
        <v/>
      </c>
      <c r="D84" s="93" t="str">
        <f t="shared" si="3"/>
        <v/>
      </c>
    </row>
    <row r="85" spans="3:4" x14ac:dyDescent="0.25">
      <c r="C85" s="93" t="str">
        <f t="shared" si="2"/>
        <v/>
      </c>
      <c r="D85" s="93" t="str">
        <f t="shared" si="3"/>
        <v/>
      </c>
    </row>
    <row r="86" spans="3:4" x14ac:dyDescent="0.25">
      <c r="C86" s="93" t="str">
        <f t="shared" si="2"/>
        <v/>
      </c>
      <c r="D86" s="93" t="str">
        <f t="shared" si="3"/>
        <v/>
      </c>
    </row>
    <row r="87" spans="3:4" x14ac:dyDescent="0.25">
      <c r="C87" s="93" t="str">
        <f t="shared" si="2"/>
        <v/>
      </c>
      <c r="D87" s="93" t="str">
        <f t="shared" si="3"/>
        <v/>
      </c>
    </row>
    <row r="88" spans="3:4" x14ac:dyDescent="0.25">
      <c r="C88" s="93" t="str">
        <f t="shared" si="2"/>
        <v/>
      </c>
      <c r="D88" s="93" t="str">
        <f t="shared" si="3"/>
        <v/>
      </c>
    </row>
    <row r="89" spans="3:4" x14ac:dyDescent="0.25">
      <c r="C89" s="93" t="str">
        <f t="shared" si="2"/>
        <v/>
      </c>
      <c r="D89" s="93" t="str">
        <f t="shared" si="3"/>
        <v/>
      </c>
    </row>
    <row r="90" spans="3:4" x14ac:dyDescent="0.25">
      <c r="C90" s="93" t="str">
        <f t="shared" si="2"/>
        <v/>
      </c>
      <c r="D90" s="93" t="str">
        <f t="shared" si="3"/>
        <v/>
      </c>
    </row>
    <row r="91" spans="3:4" x14ac:dyDescent="0.25">
      <c r="C91" s="93" t="str">
        <f t="shared" si="2"/>
        <v/>
      </c>
      <c r="D91" s="93" t="str">
        <f t="shared" si="3"/>
        <v/>
      </c>
    </row>
    <row r="92" spans="3:4" x14ac:dyDescent="0.25">
      <c r="C92" s="93" t="str">
        <f t="shared" si="2"/>
        <v/>
      </c>
      <c r="D92" s="93" t="str">
        <f t="shared" si="3"/>
        <v/>
      </c>
    </row>
    <row r="93" spans="3:4" x14ac:dyDescent="0.25">
      <c r="C93" s="93" t="str">
        <f t="shared" si="2"/>
        <v/>
      </c>
      <c r="D93" s="93" t="str">
        <f t="shared" si="3"/>
        <v/>
      </c>
    </row>
    <row r="94" spans="3:4" x14ac:dyDescent="0.25">
      <c r="C94" s="93" t="str">
        <f t="shared" si="2"/>
        <v/>
      </c>
      <c r="D94" s="93" t="str">
        <f t="shared" si="3"/>
        <v/>
      </c>
    </row>
    <row r="95" spans="3:4" x14ac:dyDescent="0.25">
      <c r="C95" s="93" t="str">
        <f t="shared" si="2"/>
        <v/>
      </c>
      <c r="D95" s="93" t="str">
        <f t="shared" si="3"/>
        <v/>
      </c>
    </row>
    <row r="96" spans="3:4" x14ac:dyDescent="0.25">
      <c r="C96" s="93" t="str">
        <f t="shared" si="2"/>
        <v/>
      </c>
      <c r="D96" s="93" t="str">
        <f t="shared" si="3"/>
        <v/>
      </c>
    </row>
    <row r="97" spans="3:4" x14ac:dyDescent="0.25">
      <c r="C97" s="93" t="str">
        <f t="shared" si="2"/>
        <v/>
      </c>
      <c r="D97" s="93" t="str">
        <f t="shared" si="3"/>
        <v/>
      </c>
    </row>
    <row r="98" spans="3:4" x14ac:dyDescent="0.25">
      <c r="C98" s="93" t="str">
        <f t="shared" si="2"/>
        <v/>
      </c>
      <c r="D98" s="93" t="str">
        <f t="shared" si="3"/>
        <v/>
      </c>
    </row>
    <row r="99" spans="3:4" x14ac:dyDescent="0.25">
      <c r="C99" s="93" t="str">
        <f t="shared" si="2"/>
        <v/>
      </c>
      <c r="D99" s="93" t="str">
        <f t="shared" si="3"/>
        <v/>
      </c>
    </row>
    <row r="100" spans="3:4" x14ac:dyDescent="0.25">
      <c r="C100" s="93" t="str">
        <f t="shared" si="2"/>
        <v/>
      </c>
      <c r="D100" s="93" t="str">
        <f t="shared" si="3"/>
        <v/>
      </c>
    </row>
    <row r="101" spans="3:4" x14ac:dyDescent="0.25">
      <c r="C101" s="93" t="str">
        <f t="shared" si="2"/>
        <v/>
      </c>
      <c r="D101" s="93" t="str">
        <f t="shared" si="3"/>
        <v/>
      </c>
    </row>
    <row r="102" spans="3:4" x14ac:dyDescent="0.25">
      <c r="C102" s="93" t="str">
        <f t="shared" si="2"/>
        <v/>
      </c>
      <c r="D102" s="93" t="str">
        <f t="shared" si="3"/>
        <v/>
      </c>
    </row>
    <row r="103" spans="3:4" x14ac:dyDescent="0.25">
      <c r="C103" s="93" t="str">
        <f t="shared" si="2"/>
        <v/>
      </c>
      <c r="D103" s="93" t="str">
        <f t="shared" si="3"/>
        <v/>
      </c>
    </row>
    <row r="104" spans="3:4" x14ac:dyDescent="0.25">
      <c r="C104" s="93" t="str">
        <f t="shared" si="2"/>
        <v/>
      </c>
      <c r="D104" s="93" t="str">
        <f t="shared" si="3"/>
        <v/>
      </c>
    </row>
    <row r="105" spans="3:4" x14ac:dyDescent="0.25">
      <c r="C105" s="93" t="str">
        <f t="shared" si="2"/>
        <v/>
      </c>
      <c r="D105" s="93" t="str">
        <f t="shared" si="3"/>
        <v/>
      </c>
    </row>
    <row r="106" spans="3:4" x14ac:dyDescent="0.25">
      <c r="C106" s="93" t="str">
        <f t="shared" si="2"/>
        <v/>
      </c>
      <c r="D106" s="93" t="str">
        <f t="shared" si="3"/>
        <v/>
      </c>
    </row>
    <row r="107" spans="3:4" x14ac:dyDescent="0.25">
      <c r="C107" s="93" t="str">
        <f t="shared" si="2"/>
        <v/>
      </c>
      <c r="D107" s="93" t="str">
        <f t="shared" si="3"/>
        <v/>
      </c>
    </row>
    <row r="108" spans="3:4" x14ac:dyDescent="0.25">
      <c r="C108" s="93" t="str">
        <f t="shared" si="2"/>
        <v/>
      </c>
      <c r="D108" s="93" t="str">
        <f t="shared" si="3"/>
        <v/>
      </c>
    </row>
    <row r="109" spans="3:4" x14ac:dyDescent="0.25">
      <c r="C109" s="93" t="str">
        <f t="shared" si="2"/>
        <v/>
      </c>
      <c r="D109" s="93" t="str">
        <f t="shared" si="3"/>
        <v/>
      </c>
    </row>
    <row r="110" spans="3:4" x14ac:dyDescent="0.25">
      <c r="C110" s="93" t="str">
        <f t="shared" si="2"/>
        <v/>
      </c>
      <c r="D110" s="93" t="str">
        <f t="shared" si="3"/>
        <v/>
      </c>
    </row>
    <row r="111" spans="3:4" x14ac:dyDescent="0.25">
      <c r="C111" s="93" t="str">
        <f t="shared" si="2"/>
        <v/>
      </c>
      <c r="D111" s="93" t="str">
        <f t="shared" si="3"/>
        <v/>
      </c>
    </row>
    <row r="112" spans="3:4" x14ac:dyDescent="0.25">
      <c r="C112" s="93" t="str">
        <f t="shared" si="2"/>
        <v/>
      </c>
      <c r="D112" s="93" t="str">
        <f t="shared" si="3"/>
        <v/>
      </c>
    </row>
    <row r="113" spans="3:4" x14ac:dyDescent="0.25">
      <c r="C113" s="93" t="str">
        <f t="shared" si="2"/>
        <v/>
      </c>
      <c r="D113" s="93" t="str">
        <f t="shared" si="3"/>
        <v/>
      </c>
    </row>
    <row r="114" spans="3:4" x14ac:dyDescent="0.25">
      <c r="C114" s="93" t="str">
        <f t="shared" si="2"/>
        <v/>
      </c>
      <c r="D114" s="93" t="str">
        <f t="shared" si="3"/>
        <v/>
      </c>
    </row>
    <row r="115" spans="3:4" x14ac:dyDescent="0.25">
      <c r="C115" s="93" t="str">
        <f t="shared" si="2"/>
        <v/>
      </c>
      <c r="D115" s="93" t="str">
        <f t="shared" si="3"/>
        <v/>
      </c>
    </row>
    <row r="116" spans="3:4" x14ac:dyDescent="0.25">
      <c r="C116" s="93" t="str">
        <f t="shared" si="2"/>
        <v/>
      </c>
      <c r="D116" s="93" t="str">
        <f t="shared" si="3"/>
        <v/>
      </c>
    </row>
    <row r="117" spans="3:4" x14ac:dyDescent="0.25">
      <c r="C117" s="93" t="str">
        <f t="shared" si="2"/>
        <v/>
      </c>
      <c r="D117" s="93" t="str">
        <f t="shared" si="3"/>
        <v/>
      </c>
    </row>
    <row r="118" spans="3:4" x14ac:dyDescent="0.25">
      <c r="C118" s="93" t="str">
        <f t="shared" si="2"/>
        <v/>
      </c>
      <c r="D118" s="93" t="str">
        <f t="shared" si="3"/>
        <v/>
      </c>
    </row>
    <row r="119" spans="3:4" x14ac:dyDescent="0.25">
      <c r="C119" s="93" t="str">
        <f t="shared" si="2"/>
        <v/>
      </c>
      <c r="D119" s="93" t="str">
        <f t="shared" si="3"/>
        <v/>
      </c>
    </row>
    <row r="120" spans="3:4" x14ac:dyDescent="0.25">
      <c r="C120" s="93" t="str">
        <f t="shared" si="2"/>
        <v/>
      </c>
      <c r="D120" s="93" t="str">
        <f t="shared" si="3"/>
        <v/>
      </c>
    </row>
    <row r="121" spans="3:4" x14ac:dyDescent="0.25">
      <c r="C121" s="93" t="str">
        <f t="shared" si="2"/>
        <v/>
      </c>
      <c r="D121" s="93" t="str">
        <f t="shared" si="3"/>
        <v/>
      </c>
    </row>
    <row r="122" spans="3:4" x14ac:dyDescent="0.25">
      <c r="C122" s="93" t="str">
        <f t="shared" si="2"/>
        <v/>
      </c>
      <c r="D122" s="93" t="str">
        <f t="shared" si="3"/>
        <v/>
      </c>
    </row>
    <row r="123" spans="3:4" x14ac:dyDescent="0.25">
      <c r="C123" s="93" t="str">
        <f t="shared" si="2"/>
        <v/>
      </c>
      <c r="D123" s="93" t="str">
        <f t="shared" si="3"/>
        <v/>
      </c>
    </row>
    <row r="124" spans="3:4" x14ac:dyDescent="0.25">
      <c r="C124" s="93" t="str">
        <f t="shared" si="2"/>
        <v/>
      </c>
      <c r="D124" s="93" t="str">
        <f t="shared" si="3"/>
        <v/>
      </c>
    </row>
    <row r="125" spans="3:4" x14ac:dyDescent="0.25">
      <c r="C125" s="93" t="str">
        <f t="shared" si="2"/>
        <v/>
      </c>
      <c r="D125" s="93" t="str">
        <f t="shared" si="3"/>
        <v/>
      </c>
    </row>
    <row r="126" spans="3:4" x14ac:dyDescent="0.25">
      <c r="C126" s="93" t="str">
        <f t="shared" si="2"/>
        <v/>
      </c>
      <c r="D126" s="93" t="str">
        <f t="shared" si="3"/>
        <v/>
      </c>
    </row>
    <row r="127" spans="3:4" x14ac:dyDescent="0.25">
      <c r="C127" s="93" t="str">
        <f t="shared" si="2"/>
        <v/>
      </c>
      <c r="D127" s="93" t="str">
        <f t="shared" si="3"/>
        <v/>
      </c>
    </row>
    <row r="128" spans="3:4" x14ac:dyDescent="0.25">
      <c r="C128" s="93" t="str">
        <f t="shared" si="2"/>
        <v/>
      </c>
      <c r="D128" s="93" t="str">
        <f t="shared" si="3"/>
        <v/>
      </c>
    </row>
    <row r="129" spans="3:4" x14ac:dyDescent="0.25">
      <c r="C129" s="93" t="str">
        <f t="shared" si="2"/>
        <v/>
      </c>
      <c r="D129" s="93" t="str">
        <f t="shared" si="3"/>
        <v/>
      </c>
    </row>
    <row r="130" spans="3:4" x14ac:dyDescent="0.25">
      <c r="C130" s="93" t="str">
        <f t="shared" si="2"/>
        <v/>
      </c>
      <c r="D130" s="93" t="str">
        <f t="shared" si="3"/>
        <v/>
      </c>
    </row>
    <row r="131" spans="3:4" x14ac:dyDescent="0.25">
      <c r="C131" s="93" t="str">
        <f t="shared" si="2"/>
        <v/>
      </c>
      <c r="D131" s="93" t="str">
        <f t="shared" si="3"/>
        <v/>
      </c>
    </row>
    <row r="132" spans="3:4" x14ac:dyDescent="0.25">
      <c r="C132" s="93" t="str">
        <f t="shared" si="2"/>
        <v/>
      </c>
      <c r="D132" s="93" t="str">
        <f t="shared" si="3"/>
        <v/>
      </c>
    </row>
    <row r="133" spans="3:4" x14ac:dyDescent="0.25">
      <c r="C133" s="93" t="str">
        <f t="shared" si="2"/>
        <v/>
      </c>
      <c r="D133" s="93" t="str">
        <f t="shared" si="3"/>
        <v/>
      </c>
    </row>
    <row r="134" spans="3:4" x14ac:dyDescent="0.25">
      <c r="C134" s="93" t="str">
        <f t="shared" si="2"/>
        <v/>
      </c>
      <c r="D134" s="93" t="str">
        <f t="shared" si="3"/>
        <v/>
      </c>
    </row>
    <row r="135" spans="3:4" x14ac:dyDescent="0.25">
      <c r="C135" s="93" t="str">
        <f t="shared" si="2"/>
        <v/>
      </c>
      <c r="D135" s="93" t="str">
        <f t="shared" si="3"/>
        <v/>
      </c>
    </row>
    <row r="136" spans="3:4" x14ac:dyDescent="0.25">
      <c r="C136" s="93" t="str">
        <f t="shared" si="2"/>
        <v/>
      </c>
      <c r="D136" s="93" t="str">
        <f t="shared" si="3"/>
        <v/>
      </c>
    </row>
    <row r="137" spans="3:4" x14ac:dyDescent="0.25">
      <c r="C137" s="93" t="str">
        <f t="shared" si="2"/>
        <v/>
      </c>
      <c r="D137" s="93" t="str">
        <f t="shared" si="3"/>
        <v/>
      </c>
    </row>
    <row r="138" spans="3:4" x14ac:dyDescent="0.25">
      <c r="C138" s="93" t="str">
        <f t="shared" si="2"/>
        <v/>
      </c>
      <c r="D138" s="93" t="str">
        <f t="shared" si="3"/>
        <v/>
      </c>
    </row>
    <row r="139" spans="3:4" x14ac:dyDescent="0.25">
      <c r="C139" s="93" t="str">
        <f t="shared" si="2"/>
        <v/>
      </c>
      <c r="D139" s="93" t="str">
        <f t="shared" si="3"/>
        <v/>
      </c>
    </row>
    <row r="140" spans="3:4" x14ac:dyDescent="0.25">
      <c r="C140" s="93" t="str">
        <f t="shared" si="2"/>
        <v/>
      </c>
      <c r="D140" s="93" t="str">
        <f t="shared" si="3"/>
        <v/>
      </c>
    </row>
    <row r="141" spans="3:4" x14ac:dyDescent="0.25">
      <c r="C141" s="93" t="str">
        <f t="shared" si="2"/>
        <v/>
      </c>
      <c r="D141" s="93" t="str">
        <f t="shared" si="3"/>
        <v/>
      </c>
    </row>
    <row r="142" spans="3:4" x14ac:dyDescent="0.25">
      <c r="C142" s="93" t="str">
        <f t="shared" ref="C142:C205" si="4">IF(A142=0,"",VLOOKUP(B142,MatDB,2,FALSE))</f>
        <v/>
      </c>
      <c r="D142" s="93" t="str">
        <f t="shared" si="3"/>
        <v/>
      </c>
    </row>
    <row r="143" spans="3:4" x14ac:dyDescent="0.25">
      <c r="C143" s="93" t="str">
        <f t="shared" si="4"/>
        <v/>
      </c>
      <c r="D143" s="93" t="str">
        <f t="shared" ref="D143:D206" si="5">IF(A143=0,"","Concrete04")</f>
        <v/>
      </c>
    </row>
    <row r="144" spans="3:4" x14ac:dyDescent="0.25">
      <c r="C144" s="93" t="str">
        <f t="shared" si="4"/>
        <v/>
      </c>
      <c r="D144" s="93" t="str">
        <f t="shared" si="5"/>
        <v/>
      </c>
    </row>
    <row r="145" spans="3:4" x14ac:dyDescent="0.25">
      <c r="C145" s="93" t="str">
        <f t="shared" si="4"/>
        <v/>
      </c>
      <c r="D145" s="93" t="str">
        <f t="shared" si="5"/>
        <v/>
      </c>
    </row>
    <row r="146" spans="3:4" x14ac:dyDescent="0.25">
      <c r="C146" s="93" t="str">
        <f t="shared" si="4"/>
        <v/>
      </c>
      <c r="D146" s="93" t="str">
        <f t="shared" si="5"/>
        <v/>
      </c>
    </row>
    <row r="147" spans="3:4" x14ac:dyDescent="0.25">
      <c r="C147" s="93" t="str">
        <f t="shared" si="4"/>
        <v/>
      </c>
      <c r="D147" s="93" t="str">
        <f t="shared" si="5"/>
        <v/>
      </c>
    </row>
    <row r="148" spans="3:4" x14ac:dyDescent="0.25">
      <c r="C148" s="93" t="str">
        <f t="shared" si="4"/>
        <v/>
      </c>
      <c r="D148" s="93" t="str">
        <f t="shared" si="5"/>
        <v/>
      </c>
    </row>
    <row r="149" spans="3:4" x14ac:dyDescent="0.25">
      <c r="C149" s="93" t="str">
        <f t="shared" si="4"/>
        <v/>
      </c>
      <c r="D149" s="93" t="str">
        <f t="shared" si="5"/>
        <v/>
      </c>
    </row>
    <row r="150" spans="3:4" x14ac:dyDescent="0.25">
      <c r="C150" s="93" t="str">
        <f t="shared" si="4"/>
        <v/>
      </c>
      <c r="D150" s="93" t="str">
        <f t="shared" si="5"/>
        <v/>
      </c>
    </row>
    <row r="151" spans="3:4" x14ac:dyDescent="0.25">
      <c r="C151" s="93" t="str">
        <f t="shared" si="4"/>
        <v/>
      </c>
      <c r="D151" s="93" t="str">
        <f t="shared" si="5"/>
        <v/>
      </c>
    </row>
    <row r="152" spans="3:4" x14ac:dyDescent="0.25">
      <c r="C152" s="93" t="str">
        <f t="shared" si="4"/>
        <v/>
      </c>
      <c r="D152" s="93" t="str">
        <f t="shared" si="5"/>
        <v/>
      </c>
    </row>
    <row r="153" spans="3:4" x14ac:dyDescent="0.25">
      <c r="C153" s="93" t="str">
        <f t="shared" si="4"/>
        <v/>
      </c>
      <c r="D153" s="93" t="str">
        <f t="shared" si="5"/>
        <v/>
      </c>
    </row>
    <row r="154" spans="3:4" x14ac:dyDescent="0.25">
      <c r="C154" s="93" t="str">
        <f t="shared" si="4"/>
        <v/>
      </c>
      <c r="D154" s="93" t="str">
        <f t="shared" si="5"/>
        <v/>
      </c>
    </row>
    <row r="155" spans="3:4" x14ac:dyDescent="0.25">
      <c r="C155" s="93" t="str">
        <f t="shared" si="4"/>
        <v/>
      </c>
      <c r="D155" s="93" t="str">
        <f t="shared" si="5"/>
        <v/>
      </c>
    </row>
    <row r="156" spans="3:4" x14ac:dyDescent="0.25">
      <c r="C156" s="93" t="str">
        <f t="shared" si="4"/>
        <v/>
      </c>
      <c r="D156" s="93" t="str">
        <f t="shared" si="5"/>
        <v/>
      </c>
    </row>
    <row r="157" spans="3:4" x14ac:dyDescent="0.25">
      <c r="C157" s="93" t="str">
        <f t="shared" si="4"/>
        <v/>
      </c>
      <c r="D157" s="93" t="str">
        <f t="shared" si="5"/>
        <v/>
      </c>
    </row>
    <row r="158" spans="3:4" x14ac:dyDescent="0.25">
      <c r="C158" s="93" t="str">
        <f t="shared" si="4"/>
        <v/>
      </c>
      <c r="D158" s="93" t="str">
        <f t="shared" si="5"/>
        <v/>
      </c>
    </row>
    <row r="159" spans="3:4" x14ac:dyDescent="0.25">
      <c r="C159" s="93" t="str">
        <f t="shared" si="4"/>
        <v/>
      </c>
      <c r="D159" s="93" t="str">
        <f t="shared" si="5"/>
        <v/>
      </c>
    </row>
    <row r="160" spans="3:4" x14ac:dyDescent="0.25">
      <c r="C160" s="93" t="str">
        <f t="shared" si="4"/>
        <v/>
      </c>
      <c r="D160" s="93" t="str">
        <f t="shared" si="5"/>
        <v/>
      </c>
    </row>
    <row r="161" spans="3:4" x14ac:dyDescent="0.25">
      <c r="C161" s="93" t="str">
        <f t="shared" si="4"/>
        <v/>
      </c>
      <c r="D161" s="93" t="str">
        <f t="shared" si="5"/>
        <v/>
      </c>
    </row>
    <row r="162" spans="3:4" x14ac:dyDescent="0.25">
      <c r="C162" s="93" t="str">
        <f t="shared" si="4"/>
        <v/>
      </c>
      <c r="D162" s="93" t="str">
        <f t="shared" si="5"/>
        <v/>
      </c>
    </row>
    <row r="163" spans="3:4" x14ac:dyDescent="0.25">
      <c r="C163" s="93" t="str">
        <f t="shared" si="4"/>
        <v/>
      </c>
      <c r="D163" s="93" t="str">
        <f t="shared" si="5"/>
        <v/>
      </c>
    </row>
    <row r="164" spans="3:4" x14ac:dyDescent="0.25">
      <c r="C164" s="93" t="str">
        <f t="shared" si="4"/>
        <v/>
      </c>
      <c r="D164" s="93" t="str">
        <f t="shared" si="5"/>
        <v/>
      </c>
    </row>
    <row r="165" spans="3:4" x14ac:dyDescent="0.25">
      <c r="C165" s="93" t="str">
        <f t="shared" si="4"/>
        <v/>
      </c>
      <c r="D165" s="93" t="str">
        <f t="shared" si="5"/>
        <v/>
      </c>
    </row>
    <row r="166" spans="3:4" x14ac:dyDescent="0.25">
      <c r="C166" s="93" t="str">
        <f t="shared" si="4"/>
        <v/>
      </c>
      <c r="D166" s="93" t="str">
        <f t="shared" si="5"/>
        <v/>
      </c>
    </row>
    <row r="167" spans="3:4" x14ac:dyDescent="0.25">
      <c r="C167" s="93" t="str">
        <f t="shared" si="4"/>
        <v/>
      </c>
      <c r="D167" s="93" t="str">
        <f t="shared" si="5"/>
        <v/>
      </c>
    </row>
    <row r="168" spans="3:4" x14ac:dyDescent="0.25">
      <c r="C168" s="93" t="str">
        <f t="shared" si="4"/>
        <v/>
      </c>
      <c r="D168" s="93" t="str">
        <f t="shared" si="5"/>
        <v/>
      </c>
    </row>
    <row r="169" spans="3:4" x14ac:dyDescent="0.25">
      <c r="C169" s="93" t="str">
        <f t="shared" si="4"/>
        <v/>
      </c>
      <c r="D169" s="93" t="str">
        <f t="shared" si="5"/>
        <v/>
      </c>
    </row>
    <row r="170" spans="3:4" x14ac:dyDescent="0.25">
      <c r="C170" s="93" t="str">
        <f t="shared" si="4"/>
        <v/>
      </c>
      <c r="D170" s="93" t="str">
        <f t="shared" si="5"/>
        <v/>
      </c>
    </row>
    <row r="171" spans="3:4" x14ac:dyDescent="0.25">
      <c r="C171" s="93" t="str">
        <f t="shared" si="4"/>
        <v/>
      </c>
      <c r="D171" s="93" t="str">
        <f t="shared" si="5"/>
        <v/>
      </c>
    </row>
    <row r="172" spans="3:4" x14ac:dyDescent="0.25">
      <c r="C172" s="93" t="str">
        <f t="shared" si="4"/>
        <v/>
      </c>
      <c r="D172" s="93" t="str">
        <f t="shared" si="5"/>
        <v/>
      </c>
    </row>
    <row r="173" spans="3:4" x14ac:dyDescent="0.25">
      <c r="C173" s="93" t="str">
        <f t="shared" si="4"/>
        <v/>
      </c>
      <c r="D173" s="93" t="str">
        <f t="shared" si="5"/>
        <v/>
      </c>
    </row>
    <row r="174" spans="3:4" x14ac:dyDescent="0.25">
      <c r="C174" s="93" t="str">
        <f t="shared" si="4"/>
        <v/>
      </c>
      <c r="D174" s="93" t="str">
        <f t="shared" si="5"/>
        <v/>
      </c>
    </row>
    <row r="175" spans="3:4" x14ac:dyDescent="0.25">
      <c r="C175" s="93" t="str">
        <f t="shared" si="4"/>
        <v/>
      </c>
      <c r="D175" s="93" t="str">
        <f t="shared" si="5"/>
        <v/>
      </c>
    </row>
    <row r="176" spans="3:4" x14ac:dyDescent="0.25">
      <c r="C176" s="93" t="str">
        <f t="shared" si="4"/>
        <v/>
      </c>
      <c r="D176" s="93" t="str">
        <f t="shared" si="5"/>
        <v/>
      </c>
    </row>
    <row r="177" spans="3:4" x14ac:dyDescent="0.25">
      <c r="C177" s="93" t="str">
        <f t="shared" si="4"/>
        <v/>
      </c>
      <c r="D177" s="93" t="str">
        <f t="shared" si="5"/>
        <v/>
      </c>
    </row>
    <row r="178" spans="3:4" x14ac:dyDescent="0.25">
      <c r="C178" s="93" t="str">
        <f t="shared" si="4"/>
        <v/>
      </c>
      <c r="D178" s="93" t="str">
        <f t="shared" si="5"/>
        <v/>
      </c>
    </row>
    <row r="179" spans="3:4" x14ac:dyDescent="0.25">
      <c r="C179" s="93" t="str">
        <f t="shared" si="4"/>
        <v/>
      </c>
      <c r="D179" s="93" t="str">
        <f t="shared" si="5"/>
        <v/>
      </c>
    </row>
    <row r="180" spans="3:4" x14ac:dyDescent="0.25">
      <c r="C180" s="93" t="str">
        <f t="shared" si="4"/>
        <v/>
      </c>
      <c r="D180" s="93" t="str">
        <f t="shared" si="5"/>
        <v/>
      </c>
    </row>
    <row r="181" spans="3:4" x14ac:dyDescent="0.25">
      <c r="C181" s="93" t="str">
        <f t="shared" si="4"/>
        <v/>
      </c>
      <c r="D181" s="93" t="str">
        <f t="shared" si="5"/>
        <v/>
      </c>
    </row>
    <row r="182" spans="3:4" x14ac:dyDescent="0.25">
      <c r="C182" s="93" t="str">
        <f t="shared" si="4"/>
        <v/>
      </c>
      <c r="D182" s="93" t="str">
        <f t="shared" si="5"/>
        <v/>
      </c>
    </row>
    <row r="183" spans="3:4" x14ac:dyDescent="0.25">
      <c r="C183" s="93" t="str">
        <f t="shared" si="4"/>
        <v/>
      </c>
      <c r="D183" s="93" t="str">
        <f t="shared" si="5"/>
        <v/>
      </c>
    </row>
    <row r="184" spans="3:4" x14ac:dyDescent="0.25">
      <c r="C184" s="93" t="str">
        <f t="shared" si="4"/>
        <v/>
      </c>
      <c r="D184" s="93" t="str">
        <f t="shared" si="5"/>
        <v/>
      </c>
    </row>
    <row r="185" spans="3:4" x14ac:dyDescent="0.25">
      <c r="C185" s="93" t="str">
        <f t="shared" si="4"/>
        <v/>
      </c>
      <c r="D185" s="93" t="str">
        <f t="shared" si="5"/>
        <v/>
      </c>
    </row>
    <row r="186" spans="3:4" x14ac:dyDescent="0.25">
      <c r="C186" s="93" t="str">
        <f t="shared" si="4"/>
        <v/>
      </c>
      <c r="D186" s="93" t="str">
        <f t="shared" si="5"/>
        <v/>
      </c>
    </row>
    <row r="187" spans="3:4" x14ac:dyDescent="0.25">
      <c r="C187" s="93" t="str">
        <f t="shared" si="4"/>
        <v/>
      </c>
      <c r="D187" s="93" t="str">
        <f t="shared" si="5"/>
        <v/>
      </c>
    </row>
    <row r="188" spans="3:4" x14ac:dyDescent="0.25">
      <c r="C188" s="93" t="str">
        <f t="shared" si="4"/>
        <v/>
      </c>
      <c r="D188" s="93" t="str">
        <f t="shared" si="5"/>
        <v/>
      </c>
    </row>
    <row r="189" spans="3:4" x14ac:dyDescent="0.25">
      <c r="C189" s="93" t="str">
        <f t="shared" si="4"/>
        <v/>
      </c>
      <c r="D189" s="93" t="str">
        <f t="shared" si="5"/>
        <v/>
      </c>
    </row>
    <row r="190" spans="3:4" x14ac:dyDescent="0.25">
      <c r="C190" s="93" t="str">
        <f t="shared" si="4"/>
        <v/>
      </c>
      <c r="D190" s="93" t="str">
        <f t="shared" si="5"/>
        <v/>
      </c>
    </row>
    <row r="191" spans="3:4" x14ac:dyDescent="0.25">
      <c r="C191" s="93" t="str">
        <f t="shared" si="4"/>
        <v/>
      </c>
      <c r="D191" s="93" t="str">
        <f t="shared" si="5"/>
        <v/>
      </c>
    </row>
    <row r="192" spans="3:4" x14ac:dyDescent="0.25">
      <c r="C192" s="93" t="str">
        <f t="shared" si="4"/>
        <v/>
      </c>
      <c r="D192" s="93" t="str">
        <f t="shared" si="5"/>
        <v/>
      </c>
    </row>
    <row r="193" spans="3:4" x14ac:dyDescent="0.25">
      <c r="C193" s="93" t="str">
        <f t="shared" si="4"/>
        <v/>
      </c>
      <c r="D193" s="93" t="str">
        <f t="shared" si="5"/>
        <v/>
      </c>
    </row>
    <row r="194" spans="3:4" x14ac:dyDescent="0.25">
      <c r="C194" s="93" t="str">
        <f t="shared" si="4"/>
        <v/>
      </c>
      <c r="D194" s="93" t="str">
        <f t="shared" si="5"/>
        <v/>
      </c>
    </row>
    <row r="195" spans="3:4" x14ac:dyDescent="0.25">
      <c r="C195" s="93" t="str">
        <f t="shared" si="4"/>
        <v/>
      </c>
      <c r="D195" s="93" t="str">
        <f t="shared" si="5"/>
        <v/>
      </c>
    </row>
    <row r="196" spans="3:4" x14ac:dyDescent="0.25">
      <c r="C196" s="93" t="str">
        <f t="shared" si="4"/>
        <v/>
      </c>
      <c r="D196" s="93" t="str">
        <f t="shared" si="5"/>
        <v/>
      </c>
    </row>
    <row r="197" spans="3:4" x14ac:dyDescent="0.25">
      <c r="C197" s="93" t="str">
        <f t="shared" si="4"/>
        <v/>
      </c>
      <c r="D197" s="93" t="str">
        <f t="shared" si="5"/>
        <v/>
      </c>
    </row>
    <row r="198" spans="3:4" x14ac:dyDescent="0.25">
      <c r="C198" s="93" t="str">
        <f t="shared" si="4"/>
        <v/>
      </c>
      <c r="D198" s="93" t="str">
        <f t="shared" si="5"/>
        <v/>
      </c>
    </row>
    <row r="199" spans="3:4" x14ac:dyDescent="0.25">
      <c r="C199" s="93" t="str">
        <f t="shared" si="4"/>
        <v/>
      </c>
      <c r="D199" s="93" t="str">
        <f t="shared" si="5"/>
        <v/>
      </c>
    </row>
    <row r="200" spans="3:4" x14ac:dyDescent="0.25">
      <c r="C200" s="93" t="str">
        <f t="shared" si="4"/>
        <v/>
      </c>
      <c r="D200" s="93" t="str">
        <f t="shared" si="5"/>
        <v/>
      </c>
    </row>
    <row r="201" spans="3:4" x14ac:dyDescent="0.25">
      <c r="C201" s="93" t="str">
        <f t="shared" si="4"/>
        <v/>
      </c>
      <c r="D201" s="93" t="str">
        <f t="shared" si="5"/>
        <v/>
      </c>
    </row>
    <row r="202" spans="3:4" x14ac:dyDescent="0.25">
      <c r="C202" s="93" t="str">
        <f t="shared" si="4"/>
        <v/>
      </c>
      <c r="D202" s="93" t="str">
        <f t="shared" si="5"/>
        <v/>
      </c>
    </row>
    <row r="203" spans="3:4" x14ac:dyDescent="0.25">
      <c r="C203" s="93" t="str">
        <f t="shared" si="4"/>
        <v/>
      </c>
      <c r="D203" s="93" t="str">
        <f t="shared" si="5"/>
        <v/>
      </c>
    </row>
    <row r="204" spans="3:4" x14ac:dyDescent="0.25">
      <c r="C204" s="93" t="str">
        <f t="shared" si="4"/>
        <v/>
      </c>
      <c r="D204" s="93" t="str">
        <f t="shared" si="5"/>
        <v/>
      </c>
    </row>
    <row r="205" spans="3:4" x14ac:dyDescent="0.25">
      <c r="C205" s="93" t="str">
        <f t="shared" si="4"/>
        <v/>
      </c>
      <c r="D205" s="93" t="str">
        <f t="shared" si="5"/>
        <v/>
      </c>
    </row>
    <row r="206" spans="3:4" x14ac:dyDescent="0.25">
      <c r="C206" s="93" t="str">
        <f t="shared" ref="C206:C269" si="6">IF(A206=0,"",VLOOKUP(B206,MatDB,2,FALSE))</f>
        <v/>
      </c>
      <c r="D206" s="93" t="str">
        <f t="shared" si="5"/>
        <v/>
      </c>
    </row>
    <row r="207" spans="3:4" x14ac:dyDescent="0.25">
      <c r="C207" s="93" t="str">
        <f t="shared" si="6"/>
        <v/>
      </c>
      <c r="D207" s="93" t="str">
        <f t="shared" ref="D207:D270" si="7">IF(A207=0,"","Concrete04")</f>
        <v/>
      </c>
    </row>
    <row r="208" spans="3:4" x14ac:dyDescent="0.25">
      <c r="C208" s="93" t="str">
        <f t="shared" si="6"/>
        <v/>
      </c>
      <c r="D208" s="93" t="str">
        <f t="shared" si="7"/>
        <v/>
      </c>
    </row>
    <row r="209" spans="3:4" x14ac:dyDescent="0.25">
      <c r="C209" s="93" t="str">
        <f t="shared" si="6"/>
        <v/>
      </c>
      <c r="D209" s="93" t="str">
        <f t="shared" si="7"/>
        <v/>
      </c>
    </row>
    <row r="210" spans="3:4" x14ac:dyDescent="0.25">
      <c r="C210" s="93" t="str">
        <f t="shared" si="6"/>
        <v/>
      </c>
      <c r="D210" s="93" t="str">
        <f t="shared" si="7"/>
        <v/>
      </c>
    </row>
    <row r="211" spans="3:4" x14ac:dyDescent="0.25">
      <c r="C211" s="93" t="str">
        <f t="shared" si="6"/>
        <v/>
      </c>
      <c r="D211" s="93" t="str">
        <f t="shared" si="7"/>
        <v/>
      </c>
    </row>
    <row r="212" spans="3:4" x14ac:dyDescent="0.25">
      <c r="C212" s="93" t="str">
        <f t="shared" si="6"/>
        <v/>
      </c>
      <c r="D212" s="93" t="str">
        <f t="shared" si="7"/>
        <v/>
      </c>
    </row>
    <row r="213" spans="3:4" x14ac:dyDescent="0.25">
      <c r="C213" s="93" t="str">
        <f t="shared" si="6"/>
        <v/>
      </c>
      <c r="D213" s="93" t="str">
        <f t="shared" si="7"/>
        <v/>
      </c>
    </row>
    <row r="214" spans="3:4" x14ac:dyDescent="0.25">
      <c r="C214" s="93" t="str">
        <f t="shared" si="6"/>
        <v/>
      </c>
      <c r="D214" s="93" t="str">
        <f t="shared" si="7"/>
        <v/>
      </c>
    </row>
    <row r="215" spans="3:4" x14ac:dyDescent="0.25">
      <c r="C215" s="93" t="str">
        <f t="shared" si="6"/>
        <v/>
      </c>
      <c r="D215" s="93" t="str">
        <f t="shared" si="7"/>
        <v/>
      </c>
    </row>
    <row r="216" spans="3:4" x14ac:dyDescent="0.25">
      <c r="C216" s="93" t="str">
        <f t="shared" si="6"/>
        <v/>
      </c>
      <c r="D216" s="93" t="str">
        <f t="shared" si="7"/>
        <v/>
      </c>
    </row>
    <row r="217" spans="3:4" x14ac:dyDescent="0.25">
      <c r="C217" s="93" t="str">
        <f t="shared" si="6"/>
        <v/>
      </c>
      <c r="D217" s="93" t="str">
        <f t="shared" si="7"/>
        <v/>
      </c>
    </row>
    <row r="218" spans="3:4" x14ac:dyDescent="0.25">
      <c r="C218" s="93" t="str">
        <f t="shared" si="6"/>
        <v/>
      </c>
      <c r="D218" s="93" t="str">
        <f t="shared" si="7"/>
        <v/>
      </c>
    </row>
    <row r="219" spans="3:4" x14ac:dyDescent="0.25">
      <c r="C219" s="93" t="str">
        <f t="shared" si="6"/>
        <v/>
      </c>
      <c r="D219" s="93" t="str">
        <f t="shared" si="7"/>
        <v/>
      </c>
    </row>
    <row r="220" spans="3:4" x14ac:dyDescent="0.25">
      <c r="C220" s="93" t="str">
        <f t="shared" si="6"/>
        <v/>
      </c>
      <c r="D220" s="93" t="str">
        <f t="shared" si="7"/>
        <v/>
      </c>
    </row>
    <row r="221" spans="3:4" x14ac:dyDescent="0.25">
      <c r="C221" s="93" t="str">
        <f t="shared" si="6"/>
        <v/>
      </c>
      <c r="D221" s="93" t="str">
        <f t="shared" si="7"/>
        <v/>
      </c>
    </row>
    <row r="222" spans="3:4" x14ac:dyDescent="0.25">
      <c r="C222" s="93" t="str">
        <f t="shared" si="6"/>
        <v/>
      </c>
      <c r="D222" s="93" t="str">
        <f t="shared" si="7"/>
        <v/>
      </c>
    </row>
    <row r="223" spans="3:4" x14ac:dyDescent="0.25">
      <c r="C223" s="93" t="str">
        <f t="shared" si="6"/>
        <v/>
      </c>
      <c r="D223" s="93" t="str">
        <f t="shared" si="7"/>
        <v/>
      </c>
    </row>
    <row r="224" spans="3:4" x14ac:dyDescent="0.25">
      <c r="C224" s="93" t="str">
        <f t="shared" si="6"/>
        <v/>
      </c>
      <c r="D224" s="93" t="str">
        <f t="shared" si="7"/>
        <v/>
      </c>
    </row>
    <row r="225" spans="3:4" x14ac:dyDescent="0.25">
      <c r="C225" s="93" t="str">
        <f t="shared" si="6"/>
        <v/>
      </c>
      <c r="D225" s="93" t="str">
        <f t="shared" si="7"/>
        <v/>
      </c>
    </row>
    <row r="226" spans="3:4" x14ac:dyDescent="0.25">
      <c r="C226" s="93" t="str">
        <f t="shared" si="6"/>
        <v/>
      </c>
      <c r="D226" s="93" t="str">
        <f t="shared" si="7"/>
        <v/>
      </c>
    </row>
    <row r="227" spans="3:4" x14ac:dyDescent="0.25">
      <c r="C227" s="93" t="str">
        <f t="shared" si="6"/>
        <v/>
      </c>
      <c r="D227" s="93" t="str">
        <f t="shared" si="7"/>
        <v/>
      </c>
    </row>
    <row r="228" spans="3:4" x14ac:dyDescent="0.25">
      <c r="C228" s="93" t="str">
        <f t="shared" si="6"/>
        <v/>
      </c>
      <c r="D228" s="93" t="str">
        <f t="shared" si="7"/>
        <v/>
      </c>
    </row>
    <row r="229" spans="3:4" x14ac:dyDescent="0.25">
      <c r="C229" s="93" t="str">
        <f t="shared" si="6"/>
        <v/>
      </c>
      <c r="D229" s="93" t="str">
        <f t="shared" si="7"/>
        <v/>
      </c>
    </row>
    <row r="230" spans="3:4" x14ac:dyDescent="0.25">
      <c r="C230" s="93" t="str">
        <f t="shared" si="6"/>
        <v/>
      </c>
      <c r="D230" s="93" t="str">
        <f t="shared" si="7"/>
        <v/>
      </c>
    </row>
    <row r="231" spans="3:4" x14ac:dyDescent="0.25">
      <c r="C231" s="93" t="str">
        <f t="shared" si="6"/>
        <v/>
      </c>
      <c r="D231" s="93" t="str">
        <f t="shared" si="7"/>
        <v/>
      </c>
    </row>
    <row r="232" spans="3:4" x14ac:dyDescent="0.25">
      <c r="C232" s="93" t="str">
        <f t="shared" si="6"/>
        <v/>
      </c>
      <c r="D232" s="93" t="str">
        <f t="shared" si="7"/>
        <v/>
      </c>
    </row>
    <row r="233" spans="3:4" x14ac:dyDescent="0.25">
      <c r="C233" s="93" t="str">
        <f t="shared" si="6"/>
        <v/>
      </c>
      <c r="D233" s="93" t="str">
        <f t="shared" si="7"/>
        <v/>
      </c>
    </row>
    <row r="234" spans="3:4" x14ac:dyDescent="0.25">
      <c r="C234" s="93" t="str">
        <f t="shared" si="6"/>
        <v/>
      </c>
      <c r="D234" s="93" t="str">
        <f t="shared" si="7"/>
        <v/>
      </c>
    </row>
    <row r="235" spans="3:4" x14ac:dyDescent="0.25">
      <c r="C235" s="93" t="str">
        <f t="shared" si="6"/>
        <v/>
      </c>
      <c r="D235" s="93" t="str">
        <f t="shared" si="7"/>
        <v/>
      </c>
    </row>
    <row r="236" spans="3:4" x14ac:dyDescent="0.25">
      <c r="C236" s="93" t="str">
        <f t="shared" si="6"/>
        <v/>
      </c>
      <c r="D236" s="93" t="str">
        <f t="shared" si="7"/>
        <v/>
      </c>
    </row>
    <row r="237" spans="3:4" x14ac:dyDescent="0.25">
      <c r="C237" s="93" t="str">
        <f t="shared" si="6"/>
        <v/>
      </c>
      <c r="D237" s="93" t="str">
        <f t="shared" si="7"/>
        <v/>
      </c>
    </row>
    <row r="238" spans="3:4" x14ac:dyDescent="0.25">
      <c r="C238" s="93" t="str">
        <f t="shared" si="6"/>
        <v/>
      </c>
      <c r="D238" s="93" t="str">
        <f t="shared" si="7"/>
        <v/>
      </c>
    </row>
    <row r="239" spans="3:4" x14ac:dyDescent="0.25">
      <c r="C239" s="93" t="str">
        <f t="shared" si="6"/>
        <v/>
      </c>
      <c r="D239" s="93" t="str">
        <f t="shared" si="7"/>
        <v/>
      </c>
    </row>
    <row r="240" spans="3:4" x14ac:dyDescent="0.25">
      <c r="C240" s="93" t="str">
        <f t="shared" si="6"/>
        <v/>
      </c>
      <c r="D240" s="93" t="str">
        <f t="shared" si="7"/>
        <v/>
      </c>
    </row>
    <row r="241" spans="3:4" x14ac:dyDescent="0.25">
      <c r="C241" s="93" t="str">
        <f t="shared" si="6"/>
        <v/>
      </c>
      <c r="D241" s="93" t="str">
        <f t="shared" si="7"/>
        <v/>
      </c>
    </row>
    <row r="242" spans="3:4" x14ac:dyDescent="0.25">
      <c r="C242" s="93" t="str">
        <f t="shared" si="6"/>
        <v/>
      </c>
      <c r="D242" s="93" t="str">
        <f t="shared" si="7"/>
        <v/>
      </c>
    </row>
    <row r="243" spans="3:4" x14ac:dyDescent="0.25">
      <c r="C243" s="93" t="str">
        <f t="shared" si="6"/>
        <v/>
      </c>
      <c r="D243" s="93" t="str">
        <f t="shared" si="7"/>
        <v/>
      </c>
    </row>
    <row r="244" spans="3:4" x14ac:dyDescent="0.25">
      <c r="C244" s="93" t="str">
        <f t="shared" si="6"/>
        <v/>
      </c>
      <c r="D244" s="93" t="str">
        <f t="shared" si="7"/>
        <v/>
      </c>
    </row>
    <row r="245" spans="3:4" x14ac:dyDescent="0.25">
      <c r="C245" s="93" t="str">
        <f t="shared" si="6"/>
        <v/>
      </c>
      <c r="D245" s="93" t="str">
        <f t="shared" si="7"/>
        <v/>
      </c>
    </row>
    <row r="246" spans="3:4" x14ac:dyDescent="0.25">
      <c r="C246" s="93" t="str">
        <f t="shared" si="6"/>
        <v/>
      </c>
      <c r="D246" s="93" t="str">
        <f t="shared" si="7"/>
        <v/>
      </c>
    </row>
    <row r="247" spans="3:4" x14ac:dyDescent="0.25">
      <c r="C247" s="93" t="str">
        <f t="shared" si="6"/>
        <v/>
      </c>
      <c r="D247" s="93" t="str">
        <f t="shared" si="7"/>
        <v/>
      </c>
    </row>
    <row r="248" spans="3:4" x14ac:dyDescent="0.25">
      <c r="C248" s="93" t="str">
        <f t="shared" si="6"/>
        <v/>
      </c>
      <c r="D248" s="93" t="str">
        <f t="shared" si="7"/>
        <v/>
      </c>
    </row>
    <row r="249" spans="3:4" x14ac:dyDescent="0.25">
      <c r="C249" s="93" t="str">
        <f t="shared" si="6"/>
        <v/>
      </c>
      <c r="D249" s="93" t="str">
        <f t="shared" si="7"/>
        <v/>
      </c>
    </row>
    <row r="250" spans="3:4" x14ac:dyDescent="0.25">
      <c r="C250" s="93" t="str">
        <f t="shared" si="6"/>
        <v/>
      </c>
      <c r="D250" s="93" t="str">
        <f t="shared" si="7"/>
        <v/>
      </c>
    </row>
    <row r="251" spans="3:4" x14ac:dyDescent="0.25">
      <c r="C251" s="93" t="str">
        <f t="shared" si="6"/>
        <v/>
      </c>
      <c r="D251" s="93" t="str">
        <f t="shared" si="7"/>
        <v/>
      </c>
    </row>
    <row r="252" spans="3:4" x14ac:dyDescent="0.25">
      <c r="C252" s="93" t="str">
        <f t="shared" si="6"/>
        <v/>
      </c>
      <c r="D252" s="93" t="str">
        <f t="shared" si="7"/>
        <v/>
      </c>
    </row>
    <row r="253" spans="3:4" x14ac:dyDescent="0.25">
      <c r="C253" s="93" t="str">
        <f t="shared" si="6"/>
        <v/>
      </c>
      <c r="D253" s="93" t="str">
        <f t="shared" si="7"/>
        <v/>
      </c>
    </row>
    <row r="254" spans="3:4" x14ac:dyDescent="0.25">
      <c r="C254" s="93" t="str">
        <f t="shared" si="6"/>
        <v/>
      </c>
      <c r="D254" s="93" t="str">
        <f t="shared" si="7"/>
        <v/>
      </c>
    </row>
    <row r="255" spans="3:4" x14ac:dyDescent="0.25">
      <c r="C255" s="93" t="str">
        <f t="shared" si="6"/>
        <v/>
      </c>
      <c r="D255" s="93" t="str">
        <f t="shared" si="7"/>
        <v/>
      </c>
    </row>
    <row r="256" spans="3:4" x14ac:dyDescent="0.25">
      <c r="C256" s="93" t="str">
        <f t="shared" si="6"/>
        <v/>
      </c>
      <c r="D256" s="93" t="str">
        <f t="shared" si="7"/>
        <v/>
      </c>
    </row>
    <row r="257" spans="3:4" x14ac:dyDescent="0.25">
      <c r="C257" s="93" t="str">
        <f t="shared" si="6"/>
        <v/>
      </c>
      <c r="D257" s="93" t="str">
        <f t="shared" si="7"/>
        <v/>
      </c>
    </row>
    <row r="258" spans="3:4" x14ac:dyDescent="0.25">
      <c r="C258" s="93" t="str">
        <f t="shared" si="6"/>
        <v/>
      </c>
      <c r="D258" s="93" t="str">
        <f t="shared" si="7"/>
        <v/>
      </c>
    </row>
    <row r="259" spans="3:4" x14ac:dyDescent="0.25">
      <c r="C259" s="93" t="str">
        <f t="shared" si="6"/>
        <v/>
      </c>
      <c r="D259" s="93" t="str">
        <f t="shared" si="7"/>
        <v/>
      </c>
    </row>
    <row r="260" spans="3:4" x14ac:dyDescent="0.25">
      <c r="C260" s="93" t="str">
        <f t="shared" si="6"/>
        <v/>
      </c>
      <c r="D260" s="93" t="str">
        <f t="shared" si="7"/>
        <v/>
      </c>
    </row>
    <row r="261" spans="3:4" x14ac:dyDescent="0.25">
      <c r="C261" s="93" t="str">
        <f t="shared" si="6"/>
        <v/>
      </c>
      <c r="D261" s="93" t="str">
        <f t="shared" si="7"/>
        <v/>
      </c>
    </row>
    <row r="262" spans="3:4" x14ac:dyDescent="0.25">
      <c r="C262" s="93" t="str">
        <f t="shared" si="6"/>
        <v/>
      </c>
      <c r="D262" s="93" t="str">
        <f t="shared" si="7"/>
        <v/>
      </c>
    </row>
    <row r="263" spans="3:4" x14ac:dyDescent="0.25">
      <c r="C263" s="93" t="str">
        <f t="shared" si="6"/>
        <v/>
      </c>
      <c r="D263" s="93" t="str">
        <f t="shared" si="7"/>
        <v/>
      </c>
    </row>
    <row r="264" spans="3:4" x14ac:dyDescent="0.25">
      <c r="C264" s="93" t="str">
        <f t="shared" si="6"/>
        <v/>
      </c>
      <c r="D264" s="93" t="str">
        <f t="shared" si="7"/>
        <v/>
      </c>
    </row>
    <row r="265" spans="3:4" x14ac:dyDescent="0.25">
      <c r="C265" s="93" t="str">
        <f t="shared" si="6"/>
        <v/>
      </c>
      <c r="D265" s="93" t="str">
        <f t="shared" si="7"/>
        <v/>
      </c>
    </row>
    <row r="266" spans="3:4" x14ac:dyDescent="0.25">
      <c r="C266" s="93" t="str">
        <f t="shared" si="6"/>
        <v/>
      </c>
      <c r="D266" s="93" t="str">
        <f t="shared" si="7"/>
        <v/>
      </c>
    </row>
    <row r="267" spans="3:4" x14ac:dyDescent="0.25">
      <c r="C267" s="93" t="str">
        <f t="shared" si="6"/>
        <v/>
      </c>
      <c r="D267" s="93" t="str">
        <f t="shared" si="7"/>
        <v/>
      </c>
    </row>
    <row r="268" spans="3:4" x14ac:dyDescent="0.25">
      <c r="C268" s="93" t="str">
        <f t="shared" si="6"/>
        <v/>
      </c>
      <c r="D268" s="93" t="str">
        <f t="shared" si="7"/>
        <v/>
      </c>
    </row>
    <row r="269" spans="3:4" x14ac:dyDescent="0.25">
      <c r="C269" s="93" t="str">
        <f t="shared" si="6"/>
        <v/>
      </c>
      <c r="D269" s="93" t="str">
        <f t="shared" si="7"/>
        <v/>
      </c>
    </row>
    <row r="270" spans="3:4" x14ac:dyDescent="0.25">
      <c r="C270" s="93" t="str">
        <f t="shared" ref="C270:C333" si="8">IF(A270=0,"",VLOOKUP(B270,MatDB,2,FALSE))</f>
        <v/>
      </c>
      <c r="D270" s="93" t="str">
        <f t="shared" si="7"/>
        <v/>
      </c>
    </row>
    <row r="271" spans="3:4" x14ac:dyDescent="0.25">
      <c r="C271" s="93" t="str">
        <f t="shared" si="8"/>
        <v/>
      </c>
      <c r="D271" s="93" t="str">
        <f t="shared" ref="D271:D334" si="9">IF(A271=0,"","Concrete04")</f>
        <v/>
      </c>
    </row>
    <row r="272" spans="3:4" x14ac:dyDescent="0.25">
      <c r="C272" s="93" t="str">
        <f t="shared" si="8"/>
        <v/>
      </c>
      <c r="D272" s="93" t="str">
        <f t="shared" si="9"/>
        <v/>
      </c>
    </row>
    <row r="273" spans="3:4" x14ac:dyDescent="0.25">
      <c r="C273" s="93" t="str">
        <f t="shared" si="8"/>
        <v/>
      </c>
      <c r="D273" s="93" t="str">
        <f t="shared" si="9"/>
        <v/>
      </c>
    </row>
    <row r="274" spans="3:4" x14ac:dyDescent="0.25">
      <c r="C274" s="93" t="str">
        <f t="shared" si="8"/>
        <v/>
      </c>
      <c r="D274" s="93" t="str">
        <f t="shared" si="9"/>
        <v/>
      </c>
    </row>
    <row r="275" spans="3:4" x14ac:dyDescent="0.25">
      <c r="C275" s="93" t="str">
        <f t="shared" si="8"/>
        <v/>
      </c>
      <c r="D275" s="93" t="str">
        <f t="shared" si="9"/>
        <v/>
      </c>
    </row>
    <row r="276" spans="3:4" x14ac:dyDescent="0.25">
      <c r="C276" s="93" t="str">
        <f t="shared" si="8"/>
        <v/>
      </c>
      <c r="D276" s="93" t="str">
        <f t="shared" si="9"/>
        <v/>
      </c>
    </row>
    <row r="277" spans="3:4" x14ac:dyDescent="0.25">
      <c r="C277" s="93" t="str">
        <f t="shared" si="8"/>
        <v/>
      </c>
      <c r="D277" s="93" t="str">
        <f t="shared" si="9"/>
        <v/>
      </c>
    </row>
    <row r="278" spans="3:4" x14ac:dyDescent="0.25">
      <c r="C278" s="93" t="str">
        <f t="shared" si="8"/>
        <v/>
      </c>
      <c r="D278" s="93" t="str">
        <f t="shared" si="9"/>
        <v/>
      </c>
    </row>
    <row r="279" spans="3:4" x14ac:dyDescent="0.25">
      <c r="C279" s="93" t="str">
        <f t="shared" si="8"/>
        <v/>
      </c>
      <c r="D279" s="93" t="str">
        <f t="shared" si="9"/>
        <v/>
      </c>
    </row>
    <row r="280" spans="3:4" x14ac:dyDescent="0.25">
      <c r="C280" s="93" t="str">
        <f t="shared" si="8"/>
        <v/>
      </c>
      <c r="D280" s="93" t="str">
        <f t="shared" si="9"/>
        <v/>
      </c>
    </row>
    <row r="281" spans="3:4" x14ac:dyDescent="0.25">
      <c r="C281" s="93" t="str">
        <f t="shared" si="8"/>
        <v/>
      </c>
      <c r="D281" s="93" t="str">
        <f t="shared" si="9"/>
        <v/>
      </c>
    </row>
    <row r="282" spans="3:4" x14ac:dyDescent="0.25">
      <c r="C282" s="93" t="str">
        <f t="shared" si="8"/>
        <v/>
      </c>
      <c r="D282" s="93" t="str">
        <f t="shared" si="9"/>
        <v/>
      </c>
    </row>
    <row r="283" spans="3:4" x14ac:dyDescent="0.25">
      <c r="C283" s="93" t="str">
        <f t="shared" si="8"/>
        <v/>
      </c>
      <c r="D283" s="93" t="str">
        <f t="shared" si="9"/>
        <v/>
      </c>
    </row>
    <row r="284" spans="3:4" x14ac:dyDescent="0.25">
      <c r="C284" s="93" t="str">
        <f t="shared" si="8"/>
        <v/>
      </c>
      <c r="D284" s="93" t="str">
        <f t="shared" si="9"/>
        <v/>
      </c>
    </row>
    <row r="285" spans="3:4" x14ac:dyDescent="0.25">
      <c r="C285" s="93" t="str">
        <f t="shared" si="8"/>
        <v/>
      </c>
      <c r="D285" s="93" t="str">
        <f t="shared" si="9"/>
        <v/>
      </c>
    </row>
    <row r="286" spans="3:4" x14ac:dyDescent="0.25">
      <c r="C286" s="93" t="str">
        <f t="shared" si="8"/>
        <v/>
      </c>
      <c r="D286" s="93" t="str">
        <f t="shared" si="9"/>
        <v/>
      </c>
    </row>
    <row r="287" spans="3:4" x14ac:dyDescent="0.25">
      <c r="C287" s="93" t="str">
        <f t="shared" si="8"/>
        <v/>
      </c>
      <c r="D287" s="93" t="str">
        <f t="shared" si="9"/>
        <v/>
      </c>
    </row>
    <row r="288" spans="3:4" x14ac:dyDescent="0.25">
      <c r="C288" s="93" t="str">
        <f t="shared" si="8"/>
        <v/>
      </c>
      <c r="D288" s="93" t="str">
        <f t="shared" si="9"/>
        <v/>
      </c>
    </row>
    <row r="289" spans="3:4" x14ac:dyDescent="0.25">
      <c r="C289" s="93" t="str">
        <f t="shared" si="8"/>
        <v/>
      </c>
      <c r="D289" s="93" t="str">
        <f t="shared" si="9"/>
        <v/>
      </c>
    </row>
    <row r="290" spans="3:4" x14ac:dyDescent="0.25">
      <c r="C290" s="93" t="str">
        <f t="shared" si="8"/>
        <v/>
      </c>
      <c r="D290" s="93" t="str">
        <f t="shared" si="9"/>
        <v/>
      </c>
    </row>
    <row r="291" spans="3:4" x14ac:dyDescent="0.25">
      <c r="C291" s="93" t="str">
        <f t="shared" si="8"/>
        <v/>
      </c>
      <c r="D291" s="93" t="str">
        <f t="shared" si="9"/>
        <v/>
      </c>
    </row>
    <row r="292" spans="3:4" x14ac:dyDescent="0.25">
      <c r="C292" s="93" t="str">
        <f t="shared" si="8"/>
        <v/>
      </c>
      <c r="D292" s="93" t="str">
        <f t="shared" si="9"/>
        <v/>
      </c>
    </row>
    <row r="293" spans="3:4" x14ac:dyDescent="0.25">
      <c r="C293" s="93" t="str">
        <f t="shared" si="8"/>
        <v/>
      </c>
      <c r="D293" s="93" t="str">
        <f t="shared" si="9"/>
        <v/>
      </c>
    </row>
    <row r="294" spans="3:4" x14ac:dyDescent="0.25">
      <c r="C294" s="93" t="str">
        <f t="shared" si="8"/>
        <v/>
      </c>
      <c r="D294" s="93" t="str">
        <f t="shared" si="9"/>
        <v/>
      </c>
    </row>
    <row r="295" spans="3:4" x14ac:dyDescent="0.25">
      <c r="C295" s="93" t="str">
        <f t="shared" si="8"/>
        <v/>
      </c>
      <c r="D295" s="93" t="str">
        <f t="shared" si="9"/>
        <v/>
      </c>
    </row>
    <row r="296" spans="3:4" x14ac:dyDescent="0.25">
      <c r="C296" s="93" t="str">
        <f t="shared" si="8"/>
        <v/>
      </c>
      <c r="D296" s="93" t="str">
        <f t="shared" si="9"/>
        <v/>
      </c>
    </row>
    <row r="297" spans="3:4" x14ac:dyDescent="0.25">
      <c r="C297" s="93" t="str">
        <f t="shared" si="8"/>
        <v/>
      </c>
      <c r="D297" s="93" t="str">
        <f t="shared" si="9"/>
        <v/>
      </c>
    </row>
    <row r="298" spans="3:4" x14ac:dyDescent="0.25">
      <c r="C298" s="93" t="str">
        <f t="shared" si="8"/>
        <v/>
      </c>
      <c r="D298" s="93" t="str">
        <f t="shared" si="9"/>
        <v/>
      </c>
    </row>
    <row r="299" spans="3:4" x14ac:dyDescent="0.25">
      <c r="C299" s="93" t="str">
        <f t="shared" si="8"/>
        <v/>
      </c>
      <c r="D299" s="93" t="str">
        <f t="shared" si="9"/>
        <v/>
      </c>
    </row>
    <row r="300" spans="3:4" x14ac:dyDescent="0.25">
      <c r="C300" s="93" t="str">
        <f t="shared" si="8"/>
        <v/>
      </c>
      <c r="D300" s="93" t="str">
        <f t="shared" si="9"/>
        <v/>
      </c>
    </row>
    <row r="301" spans="3:4" x14ac:dyDescent="0.25">
      <c r="C301" s="93" t="str">
        <f t="shared" si="8"/>
        <v/>
      </c>
      <c r="D301" s="93" t="str">
        <f t="shared" si="9"/>
        <v/>
      </c>
    </row>
    <row r="302" spans="3:4" x14ac:dyDescent="0.25">
      <c r="C302" s="93" t="str">
        <f t="shared" si="8"/>
        <v/>
      </c>
      <c r="D302" s="93" t="str">
        <f t="shared" si="9"/>
        <v/>
      </c>
    </row>
    <row r="303" spans="3:4" x14ac:dyDescent="0.25">
      <c r="C303" s="93" t="str">
        <f t="shared" si="8"/>
        <v/>
      </c>
      <c r="D303" s="93" t="str">
        <f t="shared" si="9"/>
        <v/>
      </c>
    </row>
    <row r="304" spans="3:4" x14ac:dyDescent="0.25">
      <c r="C304" s="93" t="str">
        <f t="shared" si="8"/>
        <v/>
      </c>
      <c r="D304" s="93" t="str">
        <f t="shared" si="9"/>
        <v/>
      </c>
    </row>
    <row r="305" spans="3:4" x14ac:dyDescent="0.25">
      <c r="C305" s="93" t="str">
        <f t="shared" si="8"/>
        <v/>
      </c>
      <c r="D305" s="93" t="str">
        <f t="shared" si="9"/>
        <v/>
      </c>
    </row>
    <row r="306" spans="3:4" x14ac:dyDescent="0.25">
      <c r="C306" s="93" t="str">
        <f t="shared" si="8"/>
        <v/>
      </c>
      <c r="D306" s="93" t="str">
        <f t="shared" si="9"/>
        <v/>
      </c>
    </row>
    <row r="307" spans="3:4" x14ac:dyDescent="0.25">
      <c r="C307" s="93" t="str">
        <f t="shared" si="8"/>
        <v/>
      </c>
      <c r="D307" s="93" t="str">
        <f t="shared" si="9"/>
        <v/>
      </c>
    </row>
    <row r="308" spans="3:4" x14ac:dyDescent="0.25">
      <c r="C308" s="93" t="str">
        <f t="shared" si="8"/>
        <v/>
      </c>
      <c r="D308" s="93" t="str">
        <f t="shared" si="9"/>
        <v/>
      </c>
    </row>
    <row r="309" spans="3:4" x14ac:dyDescent="0.25">
      <c r="C309" s="93" t="str">
        <f t="shared" si="8"/>
        <v/>
      </c>
      <c r="D309" s="93" t="str">
        <f t="shared" si="9"/>
        <v/>
      </c>
    </row>
    <row r="310" spans="3:4" x14ac:dyDescent="0.25">
      <c r="C310" s="93" t="str">
        <f t="shared" si="8"/>
        <v/>
      </c>
      <c r="D310" s="93" t="str">
        <f t="shared" si="9"/>
        <v/>
      </c>
    </row>
    <row r="311" spans="3:4" x14ac:dyDescent="0.25">
      <c r="C311" s="93" t="str">
        <f t="shared" si="8"/>
        <v/>
      </c>
      <c r="D311" s="93" t="str">
        <f t="shared" si="9"/>
        <v/>
      </c>
    </row>
    <row r="312" spans="3:4" x14ac:dyDescent="0.25">
      <c r="C312" s="93" t="str">
        <f t="shared" si="8"/>
        <v/>
      </c>
      <c r="D312" s="93" t="str">
        <f t="shared" si="9"/>
        <v/>
      </c>
    </row>
    <row r="313" spans="3:4" x14ac:dyDescent="0.25">
      <c r="C313" s="93" t="str">
        <f t="shared" si="8"/>
        <v/>
      </c>
      <c r="D313" s="93" t="str">
        <f t="shared" si="9"/>
        <v/>
      </c>
    </row>
    <row r="314" spans="3:4" x14ac:dyDescent="0.25">
      <c r="C314" s="93" t="str">
        <f t="shared" si="8"/>
        <v/>
      </c>
      <c r="D314" s="93" t="str">
        <f t="shared" si="9"/>
        <v/>
      </c>
    </row>
    <row r="315" spans="3:4" x14ac:dyDescent="0.25">
      <c r="C315" s="93" t="str">
        <f t="shared" si="8"/>
        <v/>
      </c>
      <c r="D315" s="93" t="str">
        <f t="shared" si="9"/>
        <v/>
      </c>
    </row>
    <row r="316" spans="3:4" x14ac:dyDescent="0.25">
      <c r="C316" s="93" t="str">
        <f t="shared" si="8"/>
        <v/>
      </c>
      <c r="D316" s="93" t="str">
        <f t="shared" si="9"/>
        <v/>
      </c>
    </row>
    <row r="317" spans="3:4" x14ac:dyDescent="0.25">
      <c r="C317" s="93" t="str">
        <f t="shared" si="8"/>
        <v/>
      </c>
      <c r="D317" s="93" t="str">
        <f t="shared" si="9"/>
        <v/>
      </c>
    </row>
    <row r="318" spans="3:4" x14ac:dyDescent="0.25">
      <c r="C318" s="93" t="str">
        <f t="shared" si="8"/>
        <v/>
      </c>
      <c r="D318" s="93" t="str">
        <f t="shared" si="9"/>
        <v/>
      </c>
    </row>
    <row r="319" spans="3:4" x14ac:dyDescent="0.25">
      <c r="C319" s="93" t="str">
        <f t="shared" si="8"/>
        <v/>
      </c>
      <c r="D319" s="93" t="str">
        <f t="shared" si="9"/>
        <v/>
      </c>
    </row>
    <row r="320" spans="3:4" x14ac:dyDescent="0.25">
      <c r="C320" s="93" t="str">
        <f t="shared" si="8"/>
        <v/>
      </c>
      <c r="D320" s="93" t="str">
        <f t="shared" si="9"/>
        <v/>
      </c>
    </row>
    <row r="321" spans="3:4" x14ac:dyDescent="0.25">
      <c r="C321" s="93" t="str">
        <f t="shared" si="8"/>
        <v/>
      </c>
      <c r="D321" s="93" t="str">
        <f t="shared" si="9"/>
        <v/>
      </c>
    </row>
    <row r="322" spans="3:4" x14ac:dyDescent="0.25">
      <c r="C322" s="93" t="str">
        <f t="shared" si="8"/>
        <v/>
      </c>
      <c r="D322" s="93" t="str">
        <f t="shared" si="9"/>
        <v/>
      </c>
    </row>
    <row r="323" spans="3:4" x14ac:dyDescent="0.25">
      <c r="C323" s="93" t="str">
        <f t="shared" si="8"/>
        <v/>
      </c>
      <c r="D323" s="93" t="str">
        <f t="shared" si="9"/>
        <v/>
      </c>
    </row>
    <row r="324" spans="3:4" x14ac:dyDescent="0.25">
      <c r="C324" s="93" t="str">
        <f t="shared" si="8"/>
        <v/>
      </c>
      <c r="D324" s="93" t="str">
        <f t="shared" si="9"/>
        <v/>
      </c>
    </row>
    <row r="325" spans="3:4" x14ac:dyDescent="0.25">
      <c r="C325" s="93" t="str">
        <f t="shared" si="8"/>
        <v/>
      </c>
      <c r="D325" s="93" t="str">
        <f t="shared" si="9"/>
        <v/>
      </c>
    </row>
    <row r="326" spans="3:4" x14ac:dyDescent="0.25">
      <c r="C326" s="93" t="str">
        <f t="shared" si="8"/>
        <v/>
      </c>
      <c r="D326" s="93" t="str">
        <f t="shared" si="9"/>
        <v/>
      </c>
    </row>
    <row r="327" spans="3:4" x14ac:dyDescent="0.25">
      <c r="C327" s="93" t="str">
        <f t="shared" si="8"/>
        <v/>
      </c>
      <c r="D327" s="93" t="str">
        <f t="shared" si="9"/>
        <v/>
      </c>
    </row>
    <row r="328" spans="3:4" x14ac:dyDescent="0.25">
      <c r="C328" s="93" t="str">
        <f t="shared" si="8"/>
        <v/>
      </c>
      <c r="D328" s="93" t="str">
        <f t="shared" si="9"/>
        <v/>
      </c>
    </row>
    <row r="329" spans="3:4" x14ac:dyDescent="0.25">
      <c r="C329" s="93" t="str">
        <f t="shared" si="8"/>
        <v/>
      </c>
      <c r="D329" s="93" t="str">
        <f t="shared" si="9"/>
        <v/>
      </c>
    </row>
    <row r="330" spans="3:4" x14ac:dyDescent="0.25">
      <c r="C330" s="93" t="str">
        <f t="shared" si="8"/>
        <v/>
      </c>
      <c r="D330" s="93" t="str">
        <f t="shared" si="9"/>
        <v/>
      </c>
    </row>
    <row r="331" spans="3:4" x14ac:dyDescent="0.25">
      <c r="C331" s="93" t="str">
        <f t="shared" si="8"/>
        <v/>
      </c>
      <c r="D331" s="93" t="str">
        <f t="shared" si="9"/>
        <v/>
      </c>
    </row>
    <row r="332" spans="3:4" x14ac:dyDescent="0.25">
      <c r="C332" s="93" t="str">
        <f t="shared" si="8"/>
        <v/>
      </c>
      <c r="D332" s="93" t="str">
        <f t="shared" si="9"/>
        <v/>
      </c>
    </row>
    <row r="333" spans="3:4" x14ac:dyDescent="0.25">
      <c r="C333" s="93" t="str">
        <f t="shared" si="8"/>
        <v/>
      </c>
      <c r="D333" s="93" t="str">
        <f t="shared" si="9"/>
        <v/>
      </c>
    </row>
    <row r="334" spans="3:4" x14ac:dyDescent="0.25">
      <c r="C334" s="93" t="str">
        <f t="shared" ref="C334:C397" si="10">IF(A334=0,"",VLOOKUP(B334,MatDB,2,FALSE))</f>
        <v/>
      </c>
      <c r="D334" s="93" t="str">
        <f t="shared" si="9"/>
        <v/>
      </c>
    </row>
    <row r="335" spans="3:4" x14ac:dyDescent="0.25">
      <c r="C335" s="93" t="str">
        <f t="shared" si="10"/>
        <v/>
      </c>
      <c r="D335" s="93" t="str">
        <f t="shared" ref="D335:D398" si="11">IF(A335=0,"","Concrete04")</f>
        <v/>
      </c>
    </row>
    <row r="336" spans="3:4" x14ac:dyDescent="0.25">
      <c r="C336" s="93" t="str">
        <f t="shared" si="10"/>
        <v/>
      </c>
      <c r="D336" s="93" t="str">
        <f t="shared" si="11"/>
        <v/>
      </c>
    </row>
    <row r="337" spans="3:4" x14ac:dyDescent="0.25">
      <c r="C337" s="93" t="str">
        <f t="shared" si="10"/>
        <v/>
      </c>
      <c r="D337" s="93" t="str">
        <f t="shared" si="11"/>
        <v/>
      </c>
    </row>
    <row r="338" spans="3:4" x14ac:dyDescent="0.25">
      <c r="C338" s="93" t="str">
        <f t="shared" si="10"/>
        <v/>
      </c>
      <c r="D338" s="93" t="str">
        <f t="shared" si="11"/>
        <v/>
      </c>
    </row>
    <row r="339" spans="3:4" x14ac:dyDescent="0.25">
      <c r="C339" s="93" t="str">
        <f t="shared" si="10"/>
        <v/>
      </c>
      <c r="D339" s="93" t="str">
        <f t="shared" si="11"/>
        <v/>
      </c>
    </row>
    <row r="340" spans="3:4" x14ac:dyDescent="0.25">
      <c r="C340" s="93" t="str">
        <f t="shared" si="10"/>
        <v/>
      </c>
      <c r="D340" s="93" t="str">
        <f t="shared" si="11"/>
        <v/>
      </c>
    </row>
    <row r="341" spans="3:4" x14ac:dyDescent="0.25">
      <c r="C341" s="93" t="str">
        <f t="shared" si="10"/>
        <v/>
      </c>
      <c r="D341" s="93" t="str">
        <f t="shared" si="11"/>
        <v/>
      </c>
    </row>
    <row r="342" spans="3:4" x14ac:dyDescent="0.25">
      <c r="C342" s="93" t="str">
        <f t="shared" si="10"/>
        <v/>
      </c>
      <c r="D342" s="93" t="str">
        <f t="shared" si="11"/>
        <v/>
      </c>
    </row>
    <row r="343" spans="3:4" x14ac:dyDescent="0.25">
      <c r="C343" s="93" t="str">
        <f t="shared" si="10"/>
        <v/>
      </c>
      <c r="D343" s="93" t="str">
        <f t="shared" si="11"/>
        <v/>
      </c>
    </row>
    <row r="344" spans="3:4" x14ac:dyDescent="0.25">
      <c r="C344" s="93" t="str">
        <f t="shared" si="10"/>
        <v/>
      </c>
      <c r="D344" s="93" t="str">
        <f t="shared" si="11"/>
        <v/>
      </c>
    </row>
    <row r="345" spans="3:4" x14ac:dyDescent="0.25">
      <c r="C345" s="93" t="str">
        <f t="shared" si="10"/>
        <v/>
      </c>
      <c r="D345" s="93" t="str">
        <f t="shared" si="11"/>
        <v/>
      </c>
    </row>
    <row r="346" spans="3:4" x14ac:dyDescent="0.25">
      <c r="C346" s="93" t="str">
        <f t="shared" si="10"/>
        <v/>
      </c>
      <c r="D346" s="93" t="str">
        <f t="shared" si="11"/>
        <v/>
      </c>
    </row>
    <row r="347" spans="3:4" x14ac:dyDescent="0.25">
      <c r="C347" s="93" t="str">
        <f t="shared" si="10"/>
        <v/>
      </c>
      <c r="D347" s="93" t="str">
        <f t="shared" si="11"/>
        <v/>
      </c>
    </row>
    <row r="348" spans="3:4" x14ac:dyDescent="0.25">
      <c r="C348" s="93" t="str">
        <f t="shared" si="10"/>
        <v/>
      </c>
      <c r="D348" s="93" t="str">
        <f t="shared" si="11"/>
        <v/>
      </c>
    </row>
    <row r="349" spans="3:4" x14ac:dyDescent="0.25">
      <c r="C349" s="93" t="str">
        <f t="shared" si="10"/>
        <v/>
      </c>
      <c r="D349" s="93" t="str">
        <f t="shared" si="11"/>
        <v/>
      </c>
    </row>
    <row r="350" spans="3:4" x14ac:dyDescent="0.25">
      <c r="C350" s="93" t="str">
        <f t="shared" si="10"/>
        <v/>
      </c>
      <c r="D350" s="93" t="str">
        <f t="shared" si="11"/>
        <v/>
      </c>
    </row>
    <row r="351" spans="3:4" x14ac:dyDescent="0.25">
      <c r="C351" s="93" t="str">
        <f t="shared" si="10"/>
        <v/>
      </c>
      <c r="D351" s="93" t="str">
        <f t="shared" si="11"/>
        <v/>
      </c>
    </row>
    <row r="352" spans="3:4" x14ac:dyDescent="0.25">
      <c r="C352" s="93" t="str">
        <f t="shared" si="10"/>
        <v/>
      </c>
      <c r="D352" s="93" t="str">
        <f t="shared" si="11"/>
        <v/>
      </c>
    </row>
    <row r="353" spans="3:4" x14ac:dyDescent="0.25">
      <c r="C353" s="93" t="str">
        <f t="shared" si="10"/>
        <v/>
      </c>
      <c r="D353" s="93" t="str">
        <f t="shared" si="11"/>
        <v/>
      </c>
    </row>
    <row r="354" spans="3:4" x14ac:dyDescent="0.25">
      <c r="C354" s="93" t="str">
        <f t="shared" si="10"/>
        <v/>
      </c>
      <c r="D354" s="93" t="str">
        <f t="shared" si="11"/>
        <v/>
      </c>
    </row>
    <row r="355" spans="3:4" x14ac:dyDescent="0.25">
      <c r="C355" s="93" t="str">
        <f t="shared" si="10"/>
        <v/>
      </c>
      <c r="D355" s="93" t="str">
        <f t="shared" si="11"/>
        <v/>
      </c>
    </row>
    <row r="356" spans="3:4" x14ac:dyDescent="0.25">
      <c r="C356" s="93" t="str">
        <f t="shared" si="10"/>
        <v/>
      </c>
      <c r="D356" s="93" t="str">
        <f t="shared" si="11"/>
        <v/>
      </c>
    </row>
    <row r="357" spans="3:4" x14ac:dyDescent="0.25">
      <c r="C357" s="93" t="str">
        <f t="shared" si="10"/>
        <v/>
      </c>
      <c r="D357" s="93" t="str">
        <f t="shared" si="11"/>
        <v/>
      </c>
    </row>
    <row r="358" spans="3:4" x14ac:dyDescent="0.25">
      <c r="C358" s="93" t="str">
        <f t="shared" si="10"/>
        <v/>
      </c>
      <c r="D358" s="93" t="str">
        <f t="shared" si="11"/>
        <v/>
      </c>
    </row>
    <row r="359" spans="3:4" x14ac:dyDescent="0.25">
      <c r="C359" s="93" t="str">
        <f t="shared" si="10"/>
        <v/>
      </c>
      <c r="D359" s="93" t="str">
        <f t="shared" si="11"/>
        <v/>
      </c>
    </row>
    <row r="360" spans="3:4" x14ac:dyDescent="0.25">
      <c r="C360" s="93" t="str">
        <f t="shared" si="10"/>
        <v/>
      </c>
      <c r="D360" s="93" t="str">
        <f t="shared" si="11"/>
        <v/>
      </c>
    </row>
    <row r="361" spans="3:4" x14ac:dyDescent="0.25">
      <c r="C361" s="93" t="str">
        <f t="shared" si="10"/>
        <v/>
      </c>
      <c r="D361" s="93" t="str">
        <f t="shared" si="11"/>
        <v/>
      </c>
    </row>
    <row r="362" spans="3:4" x14ac:dyDescent="0.25">
      <c r="C362" s="93" t="str">
        <f t="shared" si="10"/>
        <v/>
      </c>
      <c r="D362" s="93" t="str">
        <f t="shared" si="11"/>
        <v/>
      </c>
    </row>
    <row r="363" spans="3:4" x14ac:dyDescent="0.25">
      <c r="C363" s="93" t="str">
        <f t="shared" si="10"/>
        <v/>
      </c>
      <c r="D363" s="93" t="str">
        <f t="shared" si="11"/>
        <v/>
      </c>
    </row>
    <row r="364" spans="3:4" x14ac:dyDescent="0.25">
      <c r="C364" s="93" t="str">
        <f t="shared" si="10"/>
        <v/>
      </c>
      <c r="D364" s="93" t="str">
        <f t="shared" si="11"/>
        <v/>
      </c>
    </row>
    <row r="365" spans="3:4" x14ac:dyDescent="0.25">
      <c r="C365" s="93" t="str">
        <f t="shared" si="10"/>
        <v/>
      </c>
      <c r="D365" s="93" t="str">
        <f t="shared" si="11"/>
        <v/>
      </c>
    </row>
    <row r="366" spans="3:4" x14ac:dyDescent="0.25">
      <c r="C366" s="93" t="str">
        <f t="shared" si="10"/>
        <v/>
      </c>
      <c r="D366" s="93" t="str">
        <f t="shared" si="11"/>
        <v/>
      </c>
    </row>
    <row r="367" spans="3:4" x14ac:dyDescent="0.25">
      <c r="C367" s="93" t="str">
        <f t="shared" si="10"/>
        <v/>
      </c>
      <c r="D367" s="93" t="str">
        <f t="shared" si="11"/>
        <v/>
      </c>
    </row>
    <row r="368" spans="3:4" x14ac:dyDescent="0.25">
      <c r="C368" s="93" t="str">
        <f t="shared" si="10"/>
        <v/>
      </c>
      <c r="D368" s="93" t="str">
        <f t="shared" si="11"/>
        <v/>
      </c>
    </row>
    <row r="369" spans="3:4" x14ac:dyDescent="0.25">
      <c r="C369" s="93" t="str">
        <f t="shared" si="10"/>
        <v/>
      </c>
      <c r="D369" s="93" t="str">
        <f t="shared" si="11"/>
        <v/>
      </c>
    </row>
    <row r="370" spans="3:4" x14ac:dyDescent="0.25">
      <c r="C370" s="93" t="str">
        <f t="shared" si="10"/>
        <v/>
      </c>
      <c r="D370" s="93" t="str">
        <f t="shared" si="11"/>
        <v/>
      </c>
    </row>
    <row r="371" spans="3:4" x14ac:dyDescent="0.25">
      <c r="C371" s="93" t="str">
        <f t="shared" si="10"/>
        <v/>
      </c>
      <c r="D371" s="93" t="str">
        <f t="shared" si="11"/>
        <v/>
      </c>
    </row>
    <row r="372" spans="3:4" x14ac:dyDescent="0.25">
      <c r="C372" s="93" t="str">
        <f t="shared" si="10"/>
        <v/>
      </c>
      <c r="D372" s="93" t="str">
        <f t="shared" si="11"/>
        <v/>
      </c>
    </row>
    <row r="373" spans="3:4" x14ac:dyDescent="0.25">
      <c r="C373" s="93" t="str">
        <f t="shared" si="10"/>
        <v/>
      </c>
      <c r="D373" s="93" t="str">
        <f t="shared" si="11"/>
        <v/>
      </c>
    </row>
    <row r="374" spans="3:4" x14ac:dyDescent="0.25">
      <c r="C374" s="93" t="str">
        <f t="shared" si="10"/>
        <v/>
      </c>
      <c r="D374" s="93" t="str">
        <f t="shared" si="11"/>
        <v/>
      </c>
    </row>
    <row r="375" spans="3:4" x14ac:dyDescent="0.25">
      <c r="C375" s="93" t="str">
        <f t="shared" si="10"/>
        <v/>
      </c>
      <c r="D375" s="93" t="str">
        <f t="shared" si="11"/>
        <v/>
      </c>
    </row>
    <row r="376" spans="3:4" x14ac:dyDescent="0.25">
      <c r="C376" s="93" t="str">
        <f t="shared" si="10"/>
        <v/>
      </c>
      <c r="D376" s="93" t="str">
        <f t="shared" si="11"/>
        <v/>
      </c>
    </row>
    <row r="377" spans="3:4" x14ac:dyDescent="0.25">
      <c r="C377" s="93" t="str">
        <f t="shared" si="10"/>
        <v/>
      </c>
      <c r="D377" s="93" t="str">
        <f t="shared" si="11"/>
        <v/>
      </c>
    </row>
    <row r="378" spans="3:4" x14ac:dyDescent="0.25">
      <c r="C378" s="93" t="str">
        <f t="shared" si="10"/>
        <v/>
      </c>
      <c r="D378" s="93" t="str">
        <f t="shared" si="11"/>
        <v/>
      </c>
    </row>
    <row r="379" spans="3:4" x14ac:dyDescent="0.25">
      <c r="C379" s="93" t="str">
        <f t="shared" si="10"/>
        <v/>
      </c>
      <c r="D379" s="93" t="str">
        <f t="shared" si="11"/>
        <v/>
      </c>
    </row>
    <row r="380" spans="3:4" x14ac:dyDescent="0.25">
      <c r="C380" s="93" t="str">
        <f t="shared" si="10"/>
        <v/>
      </c>
      <c r="D380" s="93" t="str">
        <f t="shared" si="11"/>
        <v/>
      </c>
    </row>
    <row r="381" spans="3:4" x14ac:dyDescent="0.25">
      <c r="C381" s="93" t="str">
        <f t="shared" si="10"/>
        <v/>
      </c>
      <c r="D381" s="93" t="str">
        <f t="shared" si="11"/>
        <v/>
      </c>
    </row>
    <row r="382" spans="3:4" x14ac:dyDescent="0.25">
      <c r="C382" s="93" t="str">
        <f t="shared" si="10"/>
        <v/>
      </c>
      <c r="D382" s="93" t="str">
        <f t="shared" si="11"/>
        <v/>
      </c>
    </row>
    <row r="383" spans="3:4" x14ac:dyDescent="0.25">
      <c r="C383" s="93" t="str">
        <f t="shared" si="10"/>
        <v/>
      </c>
      <c r="D383" s="93" t="str">
        <f t="shared" si="11"/>
        <v/>
      </c>
    </row>
    <row r="384" spans="3:4" x14ac:dyDescent="0.25">
      <c r="C384" s="93" t="str">
        <f t="shared" si="10"/>
        <v/>
      </c>
      <c r="D384" s="93" t="str">
        <f t="shared" si="11"/>
        <v/>
      </c>
    </row>
    <row r="385" spans="3:4" x14ac:dyDescent="0.25">
      <c r="C385" s="93" t="str">
        <f t="shared" si="10"/>
        <v/>
      </c>
      <c r="D385" s="93" t="str">
        <f t="shared" si="11"/>
        <v/>
      </c>
    </row>
    <row r="386" spans="3:4" x14ac:dyDescent="0.25">
      <c r="C386" s="93" t="str">
        <f t="shared" si="10"/>
        <v/>
      </c>
      <c r="D386" s="93" t="str">
        <f t="shared" si="11"/>
        <v/>
      </c>
    </row>
    <row r="387" spans="3:4" x14ac:dyDescent="0.25">
      <c r="C387" s="93" t="str">
        <f t="shared" si="10"/>
        <v/>
      </c>
      <c r="D387" s="93" t="str">
        <f t="shared" si="11"/>
        <v/>
      </c>
    </row>
    <row r="388" spans="3:4" x14ac:dyDescent="0.25">
      <c r="C388" s="93" t="str">
        <f t="shared" si="10"/>
        <v/>
      </c>
      <c r="D388" s="93" t="str">
        <f t="shared" si="11"/>
        <v/>
      </c>
    </row>
    <row r="389" spans="3:4" x14ac:dyDescent="0.25">
      <c r="C389" s="93" t="str">
        <f t="shared" si="10"/>
        <v/>
      </c>
      <c r="D389" s="93" t="str">
        <f t="shared" si="11"/>
        <v/>
      </c>
    </row>
    <row r="390" spans="3:4" x14ac:dyDescent="0.25">
      <c r="C390" s="93" t="str">
        <f t="shared" si="10"/>
        <v/>
      </c>
      <c r="D390" s="93" t="str">
        <f t="shared" si="11"/>
        <v/>
      </c>
    </row>
    <row r="391" spans="3:4" x14ac:dyDescent="0.25">
      <c r="C391" s="93" t="str">
        <f t="shared" si="10"/>
        <v/>
      </c>
      <c r="D391" s="93" t="str">
        <f t="shared" si="11"/>
        <v/>
      </c>
    </row>
    <row r="392" spans="3:4" x14ac:dyDescent="0.25">
      <c r="C392" s="93" t="str">
        <f t="shared" si="10"/>
        <v/>
      </c>
      <c r="D392" s="93" t="str">
        <f t="shared" si="11"/>
        <v/>
      </c>
    </row>
    <row r="393" spans="3:4" x14ac:dyDescent="0.25">
      <c r="C393" s="93" t="str">
        <f t="shared" si="10"/>
        <v/>
      </c>
      <c r="D393" s="93" t="str">
        <f t="shared" si="11"/>
        <v/>
      </c>
    </row>
    <row r="394" spans="3:4" x14ac:dyDescent="0.25">
      <c r="C394" s="93" t="str">
        <f t="shared" si="10"/>
        <v/>
      </c>
      <c r="D394" s="93" t="str">
        <f t="shared" si="11"/>
        <v/>
      </c>
    </row>
    <row r="395" spans="3:4" x14ac:dyDescent="0.25">
      <c r="C395" s="93" t="str">
        <f t="shared" si="10"/>
        <v/>
      </c>
      <c r="D395" s="93" t="str">
        <f t="shared" si="11"/>
        <v/>
      </c>
    </row>
    <row r="396" spans="3:4" x14ac:dyDescent="0.25">
      <c r="C396" s="93" t="str">
        <f t="shared" si="10"/>
        <v/>
      </c>
      <c r="D396" s="93" t="str">
        <f t="shared" si="11"/>
        <v/>
      </c>
    </row>
    <row r="397" spans="3:4" x14ac:dyDescent="0.25">
      <c r="C397" s="93" t="str">
        <f t="shared" si="10"/>
        <v/>
      </c>
      <c r="D397" s="93" t="str">
        <f t="shared" si="11"/>
        <v/>
      </c>
    </row>
    <row r="398" spans="3:4" x14ac:dyDescent="0.25">
      <c r="C398" s="93" t="str">
        <f t="shared" ref="C398:C461" si="12">IF(A398=0,"",VLOOKUP(B398,MatDB,2,FALSE))</f>
        <v/>
      </c>
      <c r="D398" s="93" t="str">
        <f t="shared" si="11"/>
        <v/>
      </c>
    </row>
    <row r="399" spans="3:4" x14ac:dyDescent="0.25">
      <c r="C399" s="93" t="str">
        <f t="shared" si="12"/>
        <v/>
      </c>
      <c r="D399" s="93" t="str">
        <f t="shared" ref="D399:D462" si="13">IF(A399=0,"","Concrete04")</f>
        <v/>
      </c>
    </row>
    <row r="400" spans="3:4" x14ac:dyDescent="0.25">
      <c r="C400" s="93" t="str">
        <f t="shared" si="12"/>
        <v/>
      </c>
      <c r="D400" s="93" t="str">
        <f t="shared" si="13"/>
        <v/>
      </c>
    </row>
    <row r="401" spans="3:4" x14ac:dyDescent="0.25">
      <c r="C401" s="93" t="str">
        <f t="shared" si="12"/>
        <v/>
      </c>
      <c r="D401" s="93" t="str">
        <f t="shared" si="13"/>
        <v/>
      </c>
    </row>
    <row r="402" spans="3:4" x14ac:dyDescent="0.25">
      <c r="C402" s="93" t="str">
        <f t="shared" si="12"/>
        <v/>
      </c>
      <c r="D402" s="93" t="str">
        <f t="shared" si="13"/>
        <v/>
      </c>
    </row>
    <row r="403" spans="3:4" x14ac:dyDescent="0.25">
      <c r="C403" s="93" t="str">
        <f t="shared" si="12"/>
        <v/>
      </c>
      <c r="D403" s="93" t="str">
        <f t="shared" si="13"/>
        <v/>
      </c>
    </row>
    <row r="404" spans="3:4" x14ac:dyDescent="0.25">
      <c r="C404" s="93" t="str">
        <f t="shared" si="12"/>
        <v/>
      </c>
      <c r="D404" s="93" t="str">
        <f t="shared" si="13"/>
        <v/>
      </c>
    </row>
    <row r="405" spans="3:4" x14ac:dyDescent="0.25">
      <c r="C405" s="93" t="str">
        <f t="shared" si="12"/>
        <v/>
      </c>
      <c r="D405" s="93" t="str">
        <f t="shared" si="13"/>
        <v/>
      </c>
    </row>
    <row r="406" spans="3:4" x14ac:dyDescent="0.25">
      <c r="C406" s="93" t="str">
        <f t="shared" si="12"/>
        <v/>
      </c>
      <c r="D406" s="93" t="str">
        <f t="shared" si="13"/>
        <v/>
      </c>
    </row>
    <row r="407" spans="3:4" x14ac:dyDescent="0.25">
      <c r="C407" s="93" t="str">
        <f t="shared" si="12"/>
        <v/>
      </c>
      <c r="D407" s="93" t="str">
        <f t="shared" si="13"/>
        <v/>
      </c>
    </row>
    <row r="408" spans="3:4" x14ac:dyDescent="0.25">
      <c r="C408" s="93" t="str">
        <f t="shared" si="12"/>
        <v/>
      </c>
      <c r="D408" s="93" t="str">
        <f t="shared" si="13"/>
        <v/>
      </c>
    </row>
    <row r="409" spans="3:4" x14ac:dyDescent="0.25">
      <c r="C409" s="93" t="str">
        <f t="shared" si="12"/>
        <v/>
      </c>
      <c r="D409" s="93" t="str">
        <f t="shared" si="13"/>
        <v/>
      </c>
    </row>
    <row r="410" spans="3:4" x14ac:dyDescent="0.25">
      <c r="C410" s="93" t="str">
        <f t="shared" si="12"/>
        <v/>
      </c>
      <c r="D410" s="93" t="str">
        <f t="shared" si="13"/>
        <v/>
      </c>
    </row>
    <row r="411" spans="3:4" x14ac:dyDescent="0.25">
      <c r="C411" s="93" t="str">
        <f t="shared" si="12"/>
        <v/>
      </c>
      <c r="D411" s="93" t="str">
        <f t="shared" si="13"/>
        <v/>
      </c>
    </row>
    <row r="412" spans="3:4" x14ac:dyDescent="0.25">
      <c r="C412" s="93" t="str">
        <f t="shared" si="12"/>
        <v/>
      </c>
      <c r="D412" s="93" t="str">
        <f t="shared" si="13"/>
        <v/>
      </c>
    </row>
    <row r="413" spans="3:4" x14ac:dyDescent="0.25">
      <c r="C413" s="93" t="str">
        <f t="shared" si="12"/>
        <v/>
      </c>
      <c r="D413" s="93" t="str">
        <f t="shared" si="13"/>
        <v/>
      </c>
    </row>
    <row r="414" spans="3:4" x14ac:dyDescent="0.25">
      <c r="C414" s="93" t="str">
        <f t="shared" si="12"/>
        <v/>
      </c>
      <c r="D414" s="93" t="str">
        <f t="shared" si="13"/>
        <v/>
      </c>
    </row>
    <row r="415" spans="3:4" x14ac:dyDescent="0.25">
      <c r="C415" s="93" t="str">
        <f t="shared" si="12"/>
        <v/>
      </c>
      <c r="D415" s="93" t="str">
        <f t="shared" si="13"/>
        <v/>
      </c>
    </row>
    <row r="416" spans="3:4" x14ac:dyDescent="0.25">
      <c r="C416" s="93" t="str">
        <f t="shared" si="12"/>
        <v/>
      </c>
      <c r="D416" s="93" t="str">
        <f t="shared" si="13"/>
        <v/>
      </c>
    </row>
    <row r="417" spans="3:4" x14ac:dyDescent="0.25">
      <c r="C417" s="93" t="str">
        <f t="shared" si="12"/>
        <v/>
      </c>
      <c r="D417" s="93" t="str">
        <f t="shared" si="13"/>
        <v/>
      </c>
    </row>
    <row r="418" spans="3:4" x14ac:dyDescent="0.25">
      <c r="C418" s="93" t="str">
        <f t="shared" si="12"/>
        <v/>
      </c>
      <c r="D418" s="93" t="str">
        <f t="shared" si="13"/>
        <v/>
      </c>
    </row>
    <row r="419" spans="3:4" x14ac:dyDescent="0.25">
      <c r="C419" s="93" t="str">
        <f t="shared" si="12"/>
        <v/>
      </c>
      <c r="D419" s="93" t="str">
        <f t="shared" si="13"/>
        <v/>
      </c>
    </row>
    <row r="420" spans="3:4" x14ac:dyDescent="0.25">
      <c r="C420" s="93" t="str">
        <f t="shared" si="12"/>
        <v/>
      </c>
      <c r="D420" s="93" t="str">
        <f t="shared" si="13"/>
        <v/>
      </c>
    </row>
    <row r="421" spans="3:4" x14ac:dyDescent="0.25">
      <c r="C421" s="93" t="str">
        <f t="shared" si="12"/>
        <v/>
      </c>
      <c r="D421" s="93" t="str">
        <f t="shared" si="13"/>
        <v/>
      </c>
    </row>
    <row r="422" spans="3:4" x14ac:dyDescent="0.25">
      <c r="C422" s="93" t="str">
        <f t="shared" si="12"/>
        <v/>
      </c>
      <c r="D422" s="93" t="str">
        <f t="shared" si="13"/>
        <v/>
      </c>
    </row>
    <row r="423" spans="3:4" x14ac:dyDescent="0.25">
      <c r="C423" s="93" t="str">
        <f t="shared" si="12"/>
        <v/>
      </c>
      <c r="D423" s="93" t="str">
        <f t="shared" si="13"/>
        <v/>
      </c>
    </row>
    <row r="424" spans="3:4" x14ac:dyDescent="0.25">
      <c r="C424" s="93" t="str">
        <f t="shared" si="12"/>
        <v/>
      </c>
      <c r="D424" s="93" t="str">
        <f t="shared" si="13"/>
        <v/>
      </c>
    </row>
    <row r="425" spans="3:4" x14ac:dyDescent="0.25">
      <c r="C425" s="93" t="str">
        <f t="shared" si="12"/>
        <v/>
      </c>
      <c r="D425" s="93" t="str">
        <f t="shared" si="13"/>
        <v/>
      </c>
    </row>
    <row r="426" spans="3:4" x14ac:dyDescent="0.25">
      <c r="C426" s="93" t="str">
        <f t="shared" si="12"/>
        <v/>
      </c>
      <c r="D426" s="93" t="str">
        <f t="shared" si="13"/>
        <v/>
      </c>
    </row>
    <row r="427" spans="3:4" x14ac:dyDescent="0.25">
      <c r="C427" s="93" t="str">
        <f t="shared" si="12"/>
        <v/>
      </c>
      <c r="D427" s="93" t="str">
        <f t="shared" si="13"/>
        <v/>
      </c>
    </row>
    <row r="428" spans="3:4" x14ac:dyDescent="0.25">
      <c r="C428" s="93" t="str">
        <f t="shared" si="12"/>
        <v/>
      </c>
      <c r="D428" s="93" t="str">
        <f t="shared" si="13"/>
        <v/>
      </c>
    </row>
    <row r="429" spans="3:4" x14ac:dyDescent="0.25">
      <c r="C429" s="93" t="str">
        <f t="shared" si="12"/>
        <v/>
      </c>
      <c r="D429" s="93" t="str">
        <f t="shared" si="13"/>
        <v/>
      </c>
    </row>
    <row r="430" spans="3:4" x14ac:dyDescent="0.25">
      <c r="C430" s="93" t="str">
        <f t="shared" si="12"/>
        <v/>
      </c>
      <c r="D430" s="93" t="str">
        <f t="shared" si="13"/>
        <v/>
      </c>
    </row>
    <row r="431" spans="3:4" x14ac:dyDescent="0.25">
      <c r="C431" s="93" t="str">
        <f t="shared" si="12"/>
        <v/>
      </c>
      <c r="D431" s="93" t="str">
        <f t="shared" si="13"/>
        <v/>
      </c>
    </row>
    <row r="432" spans="3:4" x14ac:dyDescent="0.25">
      <c r="C432" s="93" t="str">
        <f t="shared" si="12"/>
        <v/>
      </c>
      <c r="D432" s="93" t="str">
        <f t="shared" si="13"/>
        <v/>
      </c>
    </row>
    <row r="433" spans="3:4" x14ac:dyDescent="0.25">
      <c r="C433" s="93" t="str">
        <f t="shared" si="12"/>
        <v/>
      </c>
      <c r="D433" s="93" t="str">
        <f t="shared" si="13"/>
        <v/>
      </c>
    </row>
    <row r="434" spans="3:4" x14ac:dyDescent="0.25">
      <c r="C434" s="93" t="str">
        <f t="shared" si="12"/>
        <v/>
      </c>
      <c r="D434" s="93" t="str">
        <f t="shared" si="13"/>
        <v/>
      </c>
    </row>
    <row r="435" spans="3:4" x14ac:dyDescent="0.25">
      <c r="C435" s="93" t="str">
        <f t="shared" si="12"/>
        <v/>
      </c>
      <c r="D435" s="93" t="str">
        <f t="shared" si="13"/>
        <v/>
      </c>
    </row>
    <row r="436" spans="3:4" x14ac:dyDescent="0.25">
      <c r="C436" s="93" t="str">
        <f t="shared" si="12"/>
        <v/>
      </c>
      <c r="D436" s="93" t="str">
        <f t="shared" si="13"/>
        <v/>
      </c>
    </row>
    <row r="437" spans="3:4" x14ac:dyDescent="0.25">
      <c r="C437" s="93" t="str">
        <f t="shared" si="12"/>
        <v/>
      </c>
      <c r="D437" s="93" t="str">
        <f t="shared" si="13"/>
        <v/>
      </c>
    </row>
    <row r="438" spans="3:4" x14ac:dyDescent="0.25">
      <c r="C438" s="93" t="str">
        <f t="shared" si="12"/>
        <v/>
      </c>
      <c r="D438" s="93" t="str">
        <f t="shared" si="13"/>
        <v/>
      </c>
    </row>
    <row r="439" spans="3:4" x14ac:dyDescent="0.25">
      <c r="C439" s="93" t="str">
        <f t="shared" si="12"/>
        <v/>
      </c>
      <c r="D439" s="93" t="str">
        <f t="shared" si="13"/>
        <v/>
      </c>
    </row>
    <row r="440" spans="3:4" x14ac:dyDescent="0.25">
      <c r="C440" s="93" t="str">
        <f t="shared" si="12"/>
        <v/>
      </c>
      <c r="D440" s="93" t="str">
        <f t="shared" si="13"/>
        <v/>
      </c>
    </row>
    <row r="441" spans="3:4" x14ac:dyDescent="0.25">
      <c r="C441" s="93" t="str">
        <f t="shared" si="12"/>
        <v/>
      </c>
      <c r="D441" s="93" t="str">
        <f t="shared" si="13"/>
        <v/>
      </c>
    </row>
    <row r="442" spans="3:4" x14ac:dyDescent="0.25">
      <c r="C442" s="93" t="str">
        <f t="shared" si="12"/>
        <v/>
      </c>
      <c r="D442" s="93" t="str">
        <f t="shared" si="13"/>
        <v/>
      </c>
    </row>
    <row r="443" spans="3:4" x14ac:dyDescent="0.25">
      <c r="C443" s="93" t="str">
        <f t="shared" si="12"/>
        <v/>
      </c>
      <c r="D443" s="93" t="str">
        <f t="shared" si="13"/>
        <v/>
      </c>
    </row>
    <row r="444" spans="3:4" x14ac:dyDescent="0.25">
      <c r="C444" s="93" t="str">
        <f t="shared" si="12"/>
        <v/>
      </c>
      <c r="D444" s="93" t="str">
        <f t="shared" si="13"/>
        <v/>
      </c>
    </row>
    <row r="445" spans="3:4" x14ac:dyDescent="0.25">
      <c r="C445" s="93" t="str">
        <f t="shared" si="12"/>
        <v/>
      </c>
      <c r="D445" s="93" t="str">
        <f t="shared" si="13"/>
        <v/>
      </c>
    </row>
    <row r="446" spans="3:4" x14ac:dyDescent="0.25">
      <c r="C446" s="93" t="str">
        <f t="shared" si="12"/>
        <v/>
      </c>
      <c r="D446" s="93" t="str">
        <f t="shared" si="13"/>
        <v/>
      </c>
    </row>
    <row r="447" spans="3:4" x14ac:dyDescent="0.25">
      <c r="C447" s="93" t="str">
        <f t="shared" si="12"/>
        <v/>
      </c>
      <c r="D447" s="93" t="str">
        <f t="shared" si="13"/>
        <v/>
      </c>
    </row>
    <row r="448" spans="3:4" x14ac:dyDescent="0.25">
      <c r="C448" s="93" t="str">
        <f t="shared" si="12"/>
        <v/>
      </c>
      <c r="D448" s="93" t="str">
        <f t="shared" si="13"/>
        <v/>
      </c>
    </row>
    <row r="449" spans="3:4" x14ac:dyDescent="0.25">
      <c r="C449" s="93" t="str">
        <f t="shared" si="12"/>
        <v/>
      </c>
      <c r="D449" s="93" t="str">
        <f t="shared" si="13"/>
        <v/>
      </c>
    </row>
    <row r="450" spans="3:4" x14ac:dyDescent="0.25">
      <c r="C450" s="93" t="str">
        <f t="shared" si="12"/>
        <v/>
      </c>
      <c r="D450" s="93" t="str">
        <f t="shared" si="13"/>
        <v/>
      </c>
    </row>
    <row r="451" spans="3:4" x14ac:dyDescent="0.25">
      <c r="C451" s="93" t="str">
        <f t="shared" si="12"/>
        <v/>
      </c>
      <c r="D451" s="93" t="str">
        <f t="shared" si="13"/>
        <v/>
      </c>
    </row>
    <row r="452" spans="3:4" x14ac:dyDescent="0.25">
      <c r="C452" s="93" t="str">
        <f t="shared" si="12"/>
        <v/>
      </c>
      <c r="D452" s="93" t="str">
        <f t="shared" si="13"/>
        <v/>
      </c>
    </row>
    <row r="453" spans="3:4" x14ac:dyDescent="0.25">
      <c r="C453" s="93" t="str">
        <f t="shared" si="12"/>
        <v/>
      </c>
      <c r="D453" s="93" t="str">
        <f t="shared" si="13"/>
        <v/>
      </c>
    </row>
    <row r="454" spans="3:4" x14ac:dyDescent="0.25">
      <c r="C454" s="93" t="str">
        <f t="shared" si="12"/>
        <v/>
      </c>
      <c r="D454" s="93" t="str">
        <f t="shared" si="13"/>
        <v/>
      </c>
    </row>
    <row r="455" spans="3:4" x14ac:dyDescent="0.25">
      <c r="C455" s="93" t="str">
        <f t="shared" si="12"/>
        <v/>
      </c>
      <c r="D455" s="93" t="str">
        <f t="shared" si="13"/>
        <v/>
      </c>
    </row>
    <row r="456" spans="3:4" x14ac:dyDescent="0.25">
      <c r="C456" s="93" t="str">
        <f t="shared" si="12"/>
        <v/>
      </c>
      <c r="D456" s="93" t="str">
        <f t="shared" si="13"/>
        <v/>
      </c>
    </row>
    <row r="457" spans="3:4" x14ac:dyDescent="0.25">
      <c r="C457" s="93" t="str">
        <f t="shared" si="12"/>
        <v/>
      </c>
      <c r="D457" s="93" t="str">
        <f t="shared" si="13"/>
        <v/>
      </c>
    </row>
    <row r="458" spans="3:4" x14ac:dyDescent="0.25">
      <c r="C458" s="93" t="str">
        <f t="shared" si="12"/>
        <v/>
      </c>
      <c r="D458" s="93" t="str">
        <f t="shared" si="13"/>
        <v/>
      </c>
    </row>
    <row r="459" spans="3:4" x14ac:dyDescent="0.25">
      <c r="C459" s="93" t="str">
        <f t="shared" si="12"/>
        <v/>
      </c>
      <c r="D459" s="93" t="str">
        <f t="shared" si="13"/>
        <v/>
      </c>
    </row>
    <row r="460" spans="3:4" x14ac:dyDescent="0.25">
      <c r="C460" s="93" t="str">
        <f t="shared" si="12"/>
        <v/>
      </c>
      <c r="D460" s="93" t="str">
        <f t="shared" si="13"/>
        <v/>
      </c>
    </row>
    <row r="461" spans="3:4" x14ac:dyDescent="0.25">
      <c r="C461" s="93" t="str">
        <f t="shared" si="12"/>
        <v/>
      </c>
      <c r="D461" s="93" t="str">
        <f t="shared" si="13"/>
        <v/>
      </c>
    </row>
    <row r="462" spans="3:4" x14ac:dyDescent="0.25">
      <c r="C462" s="93" t="str">
        <f t="shared" ref="C462:C525" si="14">IF(A462=0,"",VLOOKUP(B462,MatDB,2,FALSE))</f>
        <v/>
      </c>
      <c r="D462" s="93" t="str">
        <f t="shared" si="13"/>
        <v/>
      </c>
    </row>
    <row r="463" spans="3:4" x14ac:dyDescent="0.25">
      <c r="C463" s="93" t="str">
        <f t="shared" si="14"/>
        <v/>
      </c>
      <c r="D463" s="93" t="str">
        <f t="shared" ref="D463:D526" si="15">IF(A463=0,"","Concrete04")</f>
        <v/>
      </c>
    </row>
    <row r="464" spans="3:4" x14ac:dyDescent="0.25">
      <c r="C464" s="93" t="str">
        <f t="shared" si="14"/>
        <v/>
      </c>
      <c r="D464" s="93" t="str">
        <f t="shared" si="15"/>
        <v/>
      </c>
    </row>
    <row r="465" spans="3:4" x14ac:dyDescent="0.25">
      <c r="C465" s="93" t="str">
        <f t="shared" si="14"/>
        <v/>
      </c>
      <c r="D465" s="93" t="str">
        <f t="shared" si="15"/>
        <v/>
      </c>
    </row>
    <row r="466" spans="3:4" x14ac:dyDescent="0.25">
      <c r="C466" s="93" t="str">
        <f t="shared" si="14"/>
        <v/>
      </c>
      <c r="D466" s="93" t="str">
        <f t="shared" si="15"/>
        <v/>
      </c>
    </row>
    <row r="467" spans="3:4" x14ac:dyDescent="0.25">
      <c r="C467" s="93" t="str">
        <f t="shared" si="14"/>
        <v/>
      </c>
      <c r="D467" s="93" t="str">
        <f t="shared" si="15"/>
        <v/>
      </c>
    </row>
    <row r="468" spans="3:4" x14ac:dyDescent="0.25">
      <c r="C468" s="93" t="str">
        <f t="shared" si="14"/>
        <v/>
      </c>
      <c r="D468" s="93" t="str">
        <f t="shared" si="15"/>
        <v/>
      </c>
    </row>
    <row r="469" spans="3:4" x14ac:dyDescent="0.25">
      <c r="C469" s="93" t="str">
        <f t="shared" si="14"/>
        <v/>
      </c>
      <c r="D469" s="93" t="str">
        <f t="shared" si="15"/>
        <v/>
      </c>
    </row>
    <row r="470" spans="3:4" x14ac:dyDescent="0.25">
      <c r="C470" s="93" t="str">
        <f t="shared" si="14"/>
        <v/>
      </c>
      <c r="D470" s="93" t="str">
        <f t="shared" si="15"/>
        <v/>
      </c>
    </row>
    <row r="471" spans="3:4" x14ac:dyDescent="0.25">
      <c r="C471" s="93" t="str">
        <f t="shared" si="14"/>
        <v/>
      </c>
      <c r="D471" s="93" t="str">
        <f t="shared" si="15"/>
        <v/>
      </c>
    </row>
    <row r="472" spans="3:4" x14ac:dyDescent="0.25">
      <c r="C472" s="93" t="str">
        <f t="shared" si="14"/>
        <v/>
      </c>
      <c r="D472" s="93" t="str">
        <f t="shared" si="15"/>
        <v/>
      </c>
    </row>
    <row r="473" spans="3:4" x14ac:dyDescent="0.25">
      <c r="C473" s="93" t="str">
        <f t="shared" si="14"/>
        <v/>
      </c>
      <c r="D473" s="93" t="str">
        <f t="shared" si="15"/>
        <v/>
      </c>
    </row>
    <row r="474" spans="3:4" x14ac:dyDescent="0.25">
      <c r="C474" s="93" t="str">
        <f t="shared" si="14"/>
        <v/>
      </c>
      <c r="D474" s="93" t="str">
        <f t="shared" si="15"/>
        <v/>
      </c>
    </row>
    <row r="475" spans="3:4" x14ac:dyDescent="0.25">
      <c r="C475" s="93" t="str">
        <f t="shared" si="14"/>
        <v/>
      </c>
      <c r="D475" s="93" t="str">
        <f t="shared" si="15"/>
        <v/>
      </c>
    </row>
    <row r="476" spans="3:4" x14ac:dyDescent="0.25">
      <c r="C476" s="93" t="str">
        <f t="shared" si="14"/>
        <v/>
      </c>
      <c r="D476" s="93" t="str">
        <f t="shared" si="15"/>
        <v/>
      </c>
    </row>
    <row r="477" spans="3:4" x14ac:dyDescent="0.25">
      <c r="C477" s="93" t="str">
        <f t="shared" si="14"/>
        <v/>
      </c>
      <c r="D477" s="93" t="str">
        <f t="shared" si="15"/>
        <v/>
      </c>
    </row>
    <row r="478" spans="3:4" x14ac:dyDescent="0.25">
      <c r="C478" s="93" t="str">
        <f t="shared" si="14"/>
        <v/>
      </c>
      <c r="D478" s="93" t="str">
        <f t="shared" si="15"/>
        <v/>
      </c>
    </row>
    <row r="479" spans="3:4" x14ac:dyDescent="0.25">
      <c r="C479" s="93" t="str">
        <f t="shared" si="14"/>
        <v/>
      </c>
      <c r="D479" s="93" t="str">
        <f t="shared" si="15"/>
        <v/>
      </c>
    </row>
    <row r="480" spans="3:4" x14ac:dyDescent="0.25">
      <c r="C480" s="93" t="str">
        <f t="shared" si="14"/>
        <v/>
      </c>
      <c r="D480" s="93" t="str">
        <f t="shared" si="15"/>
        <v/>
      </c>
    </row>
    <row r="481" spans="3:4" x14ac:dyDescent="0.25">
      <c r="C481" s="93" t="str">
        <f t="shared" si="14"/>
        <v/>
      </c>
      <c r="D481" s="93" t="str">
        <f t="shared" si="15"/>
        <v/>
      </c>
    </row>
    <row r="482" spans="3:4" x14ac:dyDescent="0.25">
      <c r="C482" s="93" t="str">
        <f t="shared" si="14"/>
        <v/>
      </c>
      <c r="D482" s="93" t="str">
        <f t="shared" si="15"/>
        <v/>
      </c>
    </row>
    <row r="483" spans="3:4" x14ac:dyDescent="0.25">
      <c r="C483" s="93" t="str">
        <f t="shared" si="14"/>
        <v/>
      </c>
      <c r="D483" s="93" t="str">
        <f t="shared" si="15"/>
        <v/>
      </c>
    </row>
    <row r="484" spans="3:4" x14ac:dyDescent="0.25">
      <c r="C484" s="93" t="str">
        <f t="shared" si="14"/>
        <v/>
      </c>
      <c r="D484" s="93" t="str">
        <f t="shared" si="15"/>
        <v/>
      </c>
    </row>
    <row r="485" spans="3:4" x14ac:dyDescent="0.25">
      <c r="C485" s="93" t="str">
        <f t="shared" si="14"/>
        <v/>
      </c>
      <c r="D485" s="93" t="str">
        <f t="shared" si="15"/>
        <v/>
      </c>
    </row>
    <row r="486" spans="3:4" x14ac:dyDescent="0.25">
      <c r="C486" s="93" t="str">
        <f t="shared" si="14"/>
        <v/>
      </c>
      <c r="D486" s="93" t="str">
        <f t="shared" si="15"/>
        <v/>
      </c>
    </row>
    <row r="487" spans="3:4" x14ac:dyDescent="0.25">
      <c r="C487" s="93" t="str">
        <f t="shared" si="14"/>
        <v/>
      </c>
      <c r="D487" s="93" t="str">
        <f t="shared" si="15"/>
        <v/>
      </c>
    </row>
    <row r="488" spans="3:4" x14ac:dyDescent="0.25">
      <c r="C488" s="93" t="str">
        <f t="shared" si="14"/>
        <v/>
      </c>
      <c r="D488" s="93" t="str">
        <f t="shared" si="15"/>
        <v/>
      </c>
    </row>
    <row r="489" spans="3:4" x14ac:dyDescent="0.25">
      <c r="C489" s="93" t="str">
        <f t="shared" si="14"/>
        <v/>
      </c>
      <c r="D489" s="93" t="str">
        <f t="shared" si="15"/>
        <v/>
      </c>
    </row>
    <row r="490" spans="3:4" x14ac:dyDescent="0.25">
      <c r="C490" s="93" t="str">
        <f t="shared" si="14"/>
        <v/>
      </c>
      <c r="D490" s="93" t="str">
        <f t="shared" si="15"/>
        <v/>
      </c>
    </row>
    <row r="491" spans="3:4" x14ac:dyDescent="0.25">
      <c r="C491" s="93" t="str">
        <f t="shared" si="14"/>
        <v/>
      </c>
      <c r="D491" s="93" t="str">
        <f t="shared" si="15"/>
        <v/>
      </c>
    </row>
    <row r="492" spans="3:4" x14ac:dyDescent="0.25">
      <c r="C492" s="93" t="str">
        <f t="shared" si="14"/>
        <v/>
      </c>
      <c r="D492" s="93" t="str">
        <f t="shared" si="15"/>
        <v/>
      </c>
    </row>
    <row r="493" spans="3:4" x14ac:dyDescent="0.25">
      <c r="C493" s="93" t="str">
        <f t="shared" si="14"/>
        <v/>
      </c>
      <c r="D493" s="93" t="str">
        <f t="shared" si="15"/>
        <v/>
      </c>
    </row>
    <row r="494" spans="3:4" x14ac:dyDescent="0.25">
      <c r="C494" s="93" t="str">
        <f t="shared" si="14"/>
        <v/>
      </c>
      <c r="D494" s="93" t="str">
        <f t="shared" si="15"/>
        <v/>
      </c>
    </row>
    <row r="495" spans="3:4" x14ac:dyDescent="0.25">
      <c r="C495" s="93" t="str">
        <f t="shared" si="14"/>
        <v/>
      </c>
      <c r="D495" s="93" t="str">
        <f t="shared" si="15"/>
        <v/>
      </c>
    </row>
    <row r="496" spans="3:4" x14ac:dyDescent="0.25">
      <c r="C496" s="93" t="str">
        <f t="shared" si="14"/>
        <v/>
      </c>
      <c r="D496" s="93" t="str">
        <f t="shared" si="15"/>
        <v/>
      </c>
    </row>
    <row r="497" spans="3:4" x14ac:dyDescent="0.25">
      <c r="C497" s="93" t="str">
        <f t="shared" si="14"/>
        <v/>
      </c>
      <c r="D497" s="93" t="str">
        <f t="shared" si="15"/>
        <v/>
      </c>
    </row>
    <row r="498" spans="3:4" x14ac:dyDescent="0.25">
      <c r="C498" s="93" t="str">
        <f t="shared" si="14"/>
        <v/>
      </c>
      <c r="D498" s="93" t="str">
        <f t="shared" si="15"/>
        <v/>
      </c>
    </row>
    <row r="499" spans="3:4" x14ac:dyDescent="0.25">
      <c r="C499" s="93" t="str">
        <f t="shared" si="14"/>
        <v/>
      </c>
      <c r="D499" s="93" t="str">
        <f t="shared" si="15"/>
        <v/>
      </c>
    </row>
    <row r="500" spans="3:4" x14ac:dyDescent="0.25">
      <c r="C500" s="93" t="str">
        <f t="shared" si="14"/>
        <v/>
      </c>
      <c r="D500" s="93" t="str">
        <f t="shared" si="15"/>
        <v/>
      </c>
    </row>
    <row r="501" spans="3:4" x14ac:dyDescent="0.25">
      <c r="C501" s="93" t="str">
        <f t="shared" si="14"/>
        <v/>
      </c>
      <c r="D501" s="93" t="str">
        <f t="shared" si="15"/>
        <v/>
      </c>
    </row>
    <row r="502" spans="3:4" x14ac:dyDescent="0.25">
      <c r="C502" s="93" t="str">
        <f t="shared" si="14"/>
        <v/>
      </c>
      <c r="D502" s="93" t="str">
        <f t="shared" si="15"/>
        <v/>
      </c>
    </row>
    <row r="503" spans="3:4" x14ac:dyDescent="0.25">
      <c r="C503" s="93" t="str">
        <f t="shared" si="14"/>
        <v/>
      </c>
      <c r="D503" s="93" t="str">
        <f t="shared" si="15"/>
        <v/>
      </c>
    </row>
    <row r="504" spans="3:4" x14ac:dyDescent="0.25">
      <c r="C504" s="93" t="str">
        <f t="shared" si="14"/>
        <v/>
      </c>
      <c r="D504" s="93" t="str">
        <f t="shared" si="15"/>
        <v/>
      </c>
    </row>
    <row r="505" spans="3:4" x14ac:dyDescent="0.25">
      <c r="C505" s="93" t="str">
        <f t="shared" si="14"/>
        <v/>
      </c>
      <c r="D505" s="93" t="str">
        <f t="shared" si="15"/>
        <v/>
      </c>
    </row>
    <row r="506" spans="3:4" x14ac:dyDescent="0.25">
      <c r="C506" s="93" t="str">
        <f t="shared" si="14"/>
        <v/>
      </c>
      <c r="D506" s="93" t="str">
        <f t="shared" si="15"/>
        <v/>
      </c>
    </row>
    <row r="507" spans="3:4" x14ac:dyDescent="0.25">
      <c r="C507" s="93" t="str">
        <f t="shared" si="14"/>
        <v/>
      </c>
      <c r="D507" s="93" t="str">
        <f t="shared" si="15"/>
        <v/>
      </c>
    </row>
    <row r="508" spans="3:4" x14ac:dyDescent="0.25">
      <c r="C508" s="93" t="str">
        <f t="shared" si="14"/>
        <v/>
      </c>
      <c r="D508" s="93" t="str">
        <f t="shared" si="15"/>
        <v/>
      </c>
    </row>
    <row r="509" spans="3:4" x14ac:dyDescent="0.25">
      <c r="C509" s="93" t="str">
        <f t="shared" si="14"/>
        <v/>
      </c>
      <c r="D509" s="93" t="str">
        <f t="shared" si="15"/>
        <v/>
      </c>
    </row>
    <row r="510" spans="3:4" x14ac:dyDescent="0.25">
      <c r="C510" s="93" t="str">
        <f t="shared" si="14"/>
        <v/>
      </c>
      <c r="D510" s="93" t="str">
        <f t="shared" si="15"/>
        <v/>
      </c>
    </row>
    <row r="511" spans="3:4" x14ac:dyDescent="0.25">
      <c r="C511" s="93" t="str">
        <f t="shared" si="14"/>
        <v/>
      </c>
      <c r="D511" s="93" t="str">
        <f t="shared" si="15"/>
        <v/>
      </c>
    </row>
    <row r="512" spans="3:4" x14ac:dyDescent="0.25">
      <c r="C512" s="93" t="str">
        <f t="shared" si="14"/>
        <v/>
      </c>
      <c r="D512" s="93" t="str">
        <f t="shared" si="15"/>
        <v/>
      </c>
    </row>
    <row r="513" spans="3:4" x14ac:dyDescent="0.25">
      <c r="C513" s="93" t="str">
        <f t="shared" si="14"/>
        <v/>
      </c>
      <c r="D513" s="93" t="str">
        <f t="shared" si="15"/>
        <v/>
      </c>
    </row>
    <row r="514" spans="3:4" x14ac:dyDescent="0.25">
      <c r="C514" s="93" t="str">
        <f t="shared" si="14"/>
        <v/>
      </c>
      <c r="D514" s="93" t="str">
        <f t="shared" si="15"/>
        <v/>
      </c>
    </row>
    <row r="515" spans="3:4" x14ac:dyDescent="0.25">
      <c r="C515" s="93" t="str">
        <f t="shared" si="14"/>
        <v/>
      </c>
      <c r="D515" s="93" t="str">
        <f t="shared" si="15"/>
        <v/>
      </c>
    </row>
    <row r="516" spans="3:4" x14ac:dyDescent="0.25">
      <c r="C516" s="93" t="str">
        <f t="shared" si="14"/>
        <v/>
      </c>
      <c r="D516" s="93" t="str">
        <f t="shared" si="15"/>
        <v/>
      </c>
    </row>
    <row r="517" spans="3:4" x14ac:dyDescent="0.25">
      <c r="C517" s="93" t="str">
        <f t="shared" si="14"/>
        <v/>
      </c>
      <c r="D517" s="93" t="str">
        <f t="shared" si="15"/>
        <v/>
      </c>
    </row>
    <row r="518" spans="3:4" x14ac:dyDescent="0.25">
      <c r="C518" s="93" t="str">
        <f t="shared" si="14"/>
        <v/>
      </c>
      <c r="D518" s="93" t="str">
        <f t="shared" si="15"/>
        <v/>
      </c>
    </row>
    <row r="519" spans="3:4" x14ac:dyDescent="0.25">
      <c r="C519" s="93" t="str">
        <f t="shared" si="14"/>
        <v/>
      </c>
      <c r="D519" s="93" t="str">
        <f t="shared" si="15"/>
        <v/>
      </c>
    </row>
    <row r="520" spans="3:4" x14ac:dyDescent="0.25">
      <c r="C520" s="93" t="str">
        <f t="shared" si="14"/>
        <v/>
      </c>
      <c r="D520" s="93" t="str">
        <f t="shared" si="15"/>
        <v/>
      </c>
    </row>
    <row r="521" spans="3:4" x14ac:dyDescent="0.25">
      <c r="C521" s="93" t="str">
        <f t="shared" si="14"/>
        <v/>
      </c>
      <c r="D521" s="93" t="str">
        <f t="shared" si="15"/>
        <v/>
      </c>
    </row>
    <row r="522" spans="3:4" x14ac:dyDescent="0.25">
      <c r="C522" s="93" t="str">
        <f t="shared" si="14"/>
        <v/>
      </c>
      <c r="D522" s="93" t="str">
        <f t="shared" si="15"/>
        <v/>
      </c>
    </row>
    <row r="523" spans="3:4" x14ac:dyDescent="0.25">
      <c r="C523" s="93" t="str">
        <f t="shared" si="14"/>
        <v/>
      </c>
      <c r="D523" s="93" t="str">
        <f t="shared" si="15"/>
        <v/>
      </c>
    </row>
    <row r="524" spans="3:4" x14ac:dyDescent="0.25">
      <c r="C524" s="93" t="str">
        <f t="shared" si="14"/>
        <v/>
      </c>
      <c r="D524" s="93" t="str">
        <f t="shared" si="15"/>
        <v/>
      </c>
    </row>
    <row r="525" spans="3:4" x14ac:dyDescent="0.25">
      <c r="C525" s="93" t="str">
        <f t="shared" si="14"/>
        <v/>
      </c>
      <c r="D525" s="93" t="str">
        <f t="shared" si="15"/>
        <v/>
      </c>
    </row>
    <row r="526" spans="3:4" x14ac:dyDescent="0.25">
      <c r="C526" s="93" t="str">
        <f t="shared" ref="C526:C589" si="16">IF(A526=0,"",VLOOKUP(B526,MatDB,2,FALSE))</f>
        <v/>
      </c>
      <c r="D526" s="93" t="str">
        <f t="shared" si="15"/>
        <v/>
      </c>
    </row>
    <row r="527" spans="3:4" x14ac:dyDescent="0.25">
      <c r="C527" s="93" t="str">
        <f t="shared" si="16"/>
        <v/>
      </c>
      <c r="D527" s="93" t="str">
        <f t="shared" ref="D527:D590" si="17">IF(A527=0,"","Concrete04")</f>
        <v/>
      </c>
    </row>
    <row r="528" spans="3:4" x14ac:dyDescent="0.25">
      <c r="C528" s="93" t="str">
        <f t="shared" si="16"/>
        <v/>
      </c>
      <c r="D528" s="93" t="str">
        <f t="shared" si="17"/>
        <v/>
      </c>
    </row>
    <row r="529" spans="3:4" x14ac:dyDescent="0.25">
      <c r="C529" s="93" t="str">
        <f t="shared" si="16"/>
        <v/>
      </c>
      <c r="D529" s="93" t="str">
        <f t="shared" si="17"/>
        <v/>
      </c>
    </row>
    <row r="530" spans="3:4" x14ac:dyDescent="0.25">
      <c r="C530" s="93" t="str">
        <f t="shared" si="16"/>
        <v/>
      </c>
      <c r="D530" s="93" t="str">
        <f t="shared" si="17"/>
        <v/>
      </c>
    </row>
    <row r="531" spans="3:4" x14ac:dyDescent="0.25">
      <c r="C531" s="93" t="str">
        <f t="shared" si="16"/>
        <v/>
      </c>
      <c r="D531" s="93" t="str">
        <f t="shared" si="17"/>
        <v/>
      </c>
    </row>
    <row r="532" spans="3:4" x14ac:dyDescent="0.25">
      <c r="C532" s="93" t="str">
        <f t="shared" si="16"/>
        <v/>
      </c>
      <c r="D532" s="93" t="str">
        <f t="shared" si="17"/>
        <v/>
      </c>
    </row>
    <row r="533" spans="3:4" x14ac:dyDescent="0.25">
      <c r="C533" s="93" t="str">
        <f t="shared" si="16"/>
        <v/>
      </c>
      <c r="D533" s="93" t="str">
        <f t="shared" si="17"/>
        <v/>
      </c>
    </row>
    <row r="534" spans="3:4" x14ac:dyDescent="0.25">
      <c r="C534" s="93" t="str">
        <f t="shared" si="16"/>
        <v/>
      </c>
      <c r="D534" s="93" t="str">
        <f t="shared" si="17"/>
        <v/>
      </c>
    </row>
    <row r="535" spans="3:4" x14ac:dyDescent="0.25">
      <c r="C535" s="93" t="str">
        <f t="shared" si="16"/>
        <v/>
      </c>
      <c r="D535" s="93" t="str">
        <f t="shared" si="17"/>
        <v/>
      </c>
    </row>
    <row r="536" spans="3:4" x14ac:dyDescent="0.25">
      <c r="C536" s="93" t="str">
        <f t="shared" si="16"/>
        <v/>
      </c>
      <c r="D536" s="93" t="str">
        <f t="shared" si="17"/>
        <v/>
      </c>
    </row>
    <row r="537" spans="3:4" x14ac:dyDescent="0.25">
      <c r="C537" s="93" t="str">
        <f t="shared" si="16"/>
        <v/>
      </c>
      <c r="D537" s="93" t="str">
        <f t="shared" si="17"/>
        <v/>
      </c>
    </row>
    <row r="538" spans="3:4" x14ac:dyDescent="0.25">
      <c r="C538" s="93" t="str">
        <f t="shared" si="16"/>
        <v/>
      </c>
      <c r="D538" s="93" t="str">
        <f t="shared" si="17"/>
        <v/>
      </c>
    </row>
    <row r="539" spans="3:4" x14ac:dyDescent="0.25">
      <c r="C539" s="93" t="str">
        <f t="shared" si="16"/>
        <v/>
      </c>
      <c r="D539" s="93" t="str">
        <f t="shared" si="17"/>
        <v/>
      </c>
    </row>
    <row r="540" spans="3:4" x14ac:dyDescent="0.25">
      <c r="C540" s="93" t="str">
        <f t="shared" si="16"/>
        <v/>
      </c>
      <c r="D540" s="93" t="str">
        <f t="shared" si="17"/>
        <v/>
      </c>
    </row>
    <row r="541" spans="3:4" x14ac:dyDescent="0.25">
      <c r="C541" s="93" t="str">
        <f t="shared" si="16"/>
        <v/>
      </c>
      <c r="D541" s="93" t="str">
        <f t="shared" si="17"/>
        <v/>
      </c>
    </row>
    <row r="542" spans="3:4" x14ac:dyDescent="0.25">
      <c r="C542" s="93" t="str">
        <f t="shared" si="16"/>
        <v/>
      </c>
      <c r="D542" s="93" t="str">
        <f t="shared" si="17"/>
        <v/>
      </c>
    </row>
    <row r="543" spans="3:4" x14ac:dyDescent="0.25">
      <c r="C543" s="93" t="str">
        <f t="shared" si="16"/>
        <v/>
      </c>
      <c r="D543" s="93" t="str">
        <f t="shared" si="17"/>
        <v/>
      </c>
    </row>
    <row r="544" spans="3:4" x14ac:dyDescent="0.25">
      <c r="C544" s="93" t="str">
        <f t="shared" si="16"/>
        <v/>
      </c>
      <c r="D544" s="93" t="str">
        <f t="shared" si="17"/>
        <v/>
      </c>
    </row>
    <row r="545" spans="3:4" x14ac:dyDescent="0.25">
      <c r="C545" s="93" t="str">
        <f t="shared" si="16"/>
        <v/>
      </c>
      <c r="D545" s="93" t="str">
        <f t="shared" si="17"/>
        <v/>
      </c>
    </row>
    <row r="546" spans="3:4" x14ac:dyDescent="0.25">
      <c r="C546" s="93" t="str">
        <f t="shared" si="16"/>
        <v/>
      </c>
      <c r="D546" s="93" t="str">
        <f t="shared" si="17"/>
        <v/>
      </c>
    </row>
    <row r="547" spans="3:4" x14ac:dyDescent="0.25">
      <c r="C547" s="93" t="str">
        <f t="shared" si="16"/>
        <v/>
      </c>
      <c r="D547" s="93" t="str">
        <f t="shared" si="17"/>
        <v/>
      </c>
    </row>
    <row r="548" spans="3:4" x14ac:dyDescent="0.25">
      <c r="C548" s="93" t="str">
        <f t="shared" si="16"/>
        <v/>
      </c>
      <c r="D548" s="93" t="str">
        <f t="shared" si="17"/>
        <v/>
      </c>
    </row>
    <row r="549" spans="3:4" x14ac:dyDescent="0.25">
      <c r="C549" s="93" t="str">
        <f t="shared" si="16"/>
        <v/>
      </c>
      <c r="D549" s="93" t="str">
        <f t="shared" si="17"/>
        <v/>
      </c>
    </row>
    <row r="550" spans="3:4" x14ac:dyDescent="0.25">
      <c r="C550" s="93" t="str">
        <f t="shared" si="16"/>
        <v/>
      </c>
      <c r="D550" s="93" t="str">
        <f t="shared" si="17"/>
        <v/>
      </c>
    </row>
    <row r="551" spans="3:4" x14ac:dyDescent="0.25">
      <c r="C551" s="93" t="str">
        <f t="shared" si="16"/>
        <v/>
      </c>
      <c r="D551" s="93" t="str">
        <f t="shared" si="17"/>
        <v/>
      </c>
    </row>
    <row r="552" spans="3:4" x14ac:dyDescent="0.25">
      <c r="C552" s="93" t="str">
        <f t="shared" si="16"/>
        <v/>
      </c>
      <c r="D552" s="93" t="str">
        <f t="shared" si="17"/>
        <v/>
      </c>
    </row>
    <row r="553" spans="3:4" x14ac:dyDescent="0.25">
      <c r="C553" s="93" t="str">
        <f t="shared" si="16"/>
        <v/>
      </c>
      <c r="D553" s="93" t="str">
        <f t="shared" si="17"/>
        <v/>
      </c>
    </row>
    <row r="554" spans="3:4" x14ac:dyDescent="0.25">
      <c r="C554" s="93" t="str">
        <f t="shared" si="16"/>
        <v/>
      </c>
      <c r="D554" s="93" t="str">
        <f t="shared" si="17"/>
        <v/>
      </c>
    </row>
    <row r="555" spans="3:4" x14ac:dyDescent="0.25">
      <c r="C555" s="93" t="str">
        <f t="shared" si="16"/>
        <v/>
      </c>
      <c r="D555" s="93" t="str">
        <f t="shared" si="17"/>
        <v/>
      </c>
    </row>
    <row r="556" spans="3:4" x14ac:dyDescent="0.25">
      <c r="C556" s="93" t="str">
        <f t="shared" si="16"/>
        <v/>
      </c>
      <c r="D556" s="93" t="str">
        <f t="shared" si="17"/>
        <v/>
      </c>
    </row>
    <row r="557" spans="3:4" x14ac:dyDescent="0.25">
      <c r="C557" s="93" t="str">
        <f t="shared" si="16"/>
        <v/>
      </c>
      <c r="D557" s="93" t="str">
        <f t="shared" si="17"/>
        <v/>
      </c>
    </row>
    <row r="558" spans="3:4" x14ac:dyDescent="0.25">
      <c r="C558" s="93" t="str">
        <f t="shared" si="16"/>
        <v/>
      </c>
      <c r="D558" s="93" t="str">
        <f t="shared" si="17"/>
        <v/>
      </c>
    </row>
    <row r="559" spans="3:4" x14ac:dyDescent="0.25">
      <c r="C559" s="93" t="str">
        <f t="shared" si="16"/>
        <v/>
      </c>
      <c r="D559" s="93" t="str">
        <f t="shared" si="17"/>
        <v/>
      </c>
    </row>
    <row r="560" spans="3:4" x14ac:dyDescent="0.25">
      <c r="C560" s="93" t="str">
        <f t="shared" si="16"/>
        <v/>
      </c>
      <c r="D560" s="93" t="str">
        <f t="shared" si="17"/>
        <v/>
      </c>
    </row>
    <row r="561" spans="3:4" x14ac:dyDescent="0.25">
      <c r="C561" s="93" t="str">
        <f t="shared" si="16"/>
        <v/>
      </c>
      <c r="D561" s="93" t="str">
        <f t="shared" si="17"/>
        <v/>
      </c>
    </row>
    <row r="562" spans="3:4" x14ac:dyDescent="0.25">
      <c r="C562" s="93" t="str">
        <f t="shared" si="16"/>
        <v/>
      </c>
      <c r="D562" s="93" t="str">
        <f t="shared" si="17"/>
        <v/>
      </c>
    </row>
    <row r="563" spans="3:4" x14ac:dyDescent="0.25">
      <c r="C563" s="93" t="str">
        <f t="shared" si="16"/>
        <v/>
      </c>
      <c r="D563" s="93" t="str">
        <f t="shared" si="17"/>
        <v/>
      </c>
    </row>
    <row r="564" spans="3:4" x14ac:dyDescent="0.25">
      <c r="C564" s="93" t="str">
        <f t="shared" si="16"/>
        <v/>
      </c>
      <c r="D564" s="93" t="str">
        <f t="shared" si="17"/>
        <v/>
      </c>
    </row>
    <row r="565" spans="3:4" x14ac:dyDescent="0.25">
      <c r="C565" s="93" t="str">
        <f t="shared" si="16"/>
        <v/>
      </c>
      <c r="D565" s="93" t="str">
        <f t="shared" si="17"/>
        <v/>
      </c>
    </row>
    <row r="566" spans="3:4" x14ac:dyDescent="0.25">
      <c r="C566" s="93" t="str">
        <f t="shared" si="16"/>
        <v/>
      </c>
      <c r="D566" s="93" t="str">
        <f t="shared" si="17"/>
        <v/>
      </c>
    </row>
    <row r="567" spans="3:4" x14ac:dyDescent="0.25">
      <c r="C567" s="93" t="str">
        <f t="shared" si="16"/>
        <v/>
      </c>
      <c r="D567" s="93" t="str">
        <f t="shared" si="17"/>
        <v/>
      </c>
    </row>
    <row r="568" spans="3:4" x14ac:dyDescent="0.25">
      <c r="C568" s="93" t="str">
        <f t="shared" si="16"/>
        <v/>
      </c>
      <c r="D568" s="93" t="str">
        <f t="shared" si="17"/>
        <v/>
      </c>
    </row>
    <row r="569" spans="3:4" x14ac:dyDescent="0.25">
      <c r="C569" s="93" t="str">
        <f t="shared" si="16"/>
        <v/>
      </c>
      <c r="D569" s="93" t="str">
        <f t="shared" si="17"/>
        <v/>
      </c>
    </row>
    <row r="570" spans="3:4" x14ac:dyDescent="0.25">
      <c r="C570" s="93" t="str">
        <f t="shared" si="16"/>
        <v/>
      </c>
      <c r="D570" s="93" t="str">
        <f t="shared" si="17"/>
        <v/>
      </c>
    </row>
    <row r="571" spans="3:4" x14ac:dyDescent="0.25">
      <c r="C571" s="93" t="str">
        <f t="shared" si="16"/>
        <v/>
      </c>
      <c r="D571" s="93" t="str">
        <f t="shared" si="17"/>
        <v/>
      </c>
    </row>
    <row r="572" spans="3:4" x14ac:dyDescent="0.25">
      <c r="C572" s="93" t="str">
        <f t="shared" si="16"/>
        <v/>
      </c>
      <c r="D572" s="93" t="str">
        <f t="shared" si="17"/>
        <v/>
      </c>
    </row>
    <row r="573" spans="3:4" x14ac:dyDescent="0.25">
      <c r="C573" s="93" t="str">
        <f t="shared" si="16"/>
        <v/>
      </c>
      <c r="D573" s="93" t="str">
        <f t="shared" si="17"/>
        <v/>
      </c>
    </row>
    <row r="574" spans="3:4" x14ac:dyDescent="0.25">
      <c r="C574" s="93" t="str">
        <f t="shared" si="16"/>
        <v/>
      </c>
      <c r="D574" s="93" t="str">
        <f t="shared" si="17"/>
        <v/>
      </c>
    </row>
    <row r="575" spans="3:4" x14ac:dyDescent="0.25">
      <c r="C575" s="93" t="str">
        <f t="shared" si="16"/>
        <v/>
      </c>
      <c r="D575" s="93" t="str">
        <f t="shared" si="17"/>
        <v/>
      </c>
    </row>
    <row r="576" spans="3:4" x14ac:dyDescent="0.25">
      <c r="C576" s="93" t="str">
        <f t="shared" si="16"/>
        <v/>
      </c>
      <c r="D576" s="93" t="str">
        <f t="shared" si="17"/>
        <v/>
      </c>
    </row>
    <row r="577" spans="3:4" x14ac:dyDescent="0.25">
      <c r="C577" s="93" t="str">
        <f t="shared" si="16"/>
        <v/>
      </c>
      <c r="D577" s="93" t="str">
        <f t="shared" si="17"/>
        <v/>
      </c>
    </row>
    <row r="578" spans="3:4" x14ac:dyDescent="0.25">
      <c r="C578" s="93" t="str">
        <f t="shared" si="16"/>
        <v/>
      </c>
      <c r="D578" s="93" t="str">
        <f t="shared" si="17"/>
        <v/>
      </c>
    </row>
    <row r="579" spans="3:4" x14ac:dyDescent="0.25">
      <c r="C579" s="93" t="str">
        <f t="shared" si="16"/>
        <v/>
      </c>
      <c r="D579" s="93" t="str">
        <f t="shared" si="17"/>
        <v/>
      </c>
    </row>
    <row r="580" spans="3:4" x14ac:dyDescent="0.25">
      <c r="C580" s="93" t="str">
        <f t="shared" si="16"/>
        <v/>
      </c>
      <c r="D580" s="93" t="str">
        <f t="shared" si="17"/>
        <v/>
      </c>
    </row>
    <row r="581" spans="3:4" x14ac:dyDescent="0.25">
      <c r="C581" s="93" t="str">
        <f t="shared" si="16"/>
        <v/>
      </c>
      <c r="D581" s="93" t="str">
        <f t="shared" si="17"/>
        <v/>
      </c>
    </row>
    <row r="582" spans="3:4" x14ac:dyDescent="0.25">
      <c r="C582" s="93" t="str">
        <f t="shared" si="16"/>
        <v/>
      </c>
      <c r="D582" s="93" t="str">
        <f t="shared" si="17"/>
        <v/>
      </c>
    </row>
    <row r="583" spans="3:4" x14ac:dyDescent="0.25">
      <c r="C583" s="93" t="str">
        <f t="shared" si="16"/>
        <v/>
      </c>
      <c r="D583" s="93" t="str">
        <f t="shared" si="17"/>
        <v/>
      </c>
    </row>
    <row r="584" spans="3:4" x14ac:dyDescent="0.25">
      <c r="C584" s="93" t="str">
        <f t="shared" si="16"/>
        <v/>
      </c>
      <c r="D584" s="93" t="str">
        <f t="shared" si="17"/>
        <v/>
      </c>
    </row>
    <row r="585" spans="3:4" x14ac:dyDescent="0.25">
      <c r="C585" s="93" t="str">
        <f t="shared" si="16"/>
        <v/>
      </c>
      <c r="D585" s="93" t="str">
        <f t="shared" si="17"/>
        <v/>
      </c>
    </row>
    <row r="586" spans="3:4" x14ac:dyDescent="0.25">
      <c r="C586" s="93" t="str">
        <f t="shared" si="16"/>
        <v/>
      </c>
      <c r="D586" s="93" t="str">
        <f t="shared" si="17"/>
        <v/>
      </c>
    </row>
    <row r="587" spans="3:4" x14ac:dyDescent="0.25">
      <c r="C587" s="93" t="str">
        <f t="shared" si="16"/>
        <v/>
      </c>
      <c r="D587" s="93" t="str">
        <f t="shared" si="17"/>
        <v/>
      </c>
    </row>
    <row r="588" spans="3:4" x14ac:dyDescent="0.25">
      <c r="C588" s="93" t="str">
        <f t="shared" si="16"/>
        <v/>
      </c>
      <c r="D588" s="93" t="str">
        <f t="shared" si="17"/>
        <v/>
      </c>
    </row>
    <row r="589" spans="3:4" x14ac:dyDescent="0.25">
      <c r="C589" s="93" t="str">
        <f t="shared" si="16"/>
        <v/>
      </c>
      <c r="D589" s="93" t="str">
        <f t="shared" si="17"/>
        <v/>
      </c>
    </row>
    <row r="590" spans="3:4" x14ac:dyDescent="0.25">
      <c r="C590" s="93" t="str">
        <f t="shared" ref="C590:C653" si="18">IF(A590=0,"",VLOOKUP(B590,MatDB,2,FALSE))</f>
        <v/>
      </c>
      <c r="D590" s="93" t="str">
        <f t="shared" si="17"/>
        <v/>
      </c>
    </row>
    <row r="591" spans="3:4" x14ac:dyDescent="0.25">
      <c r="C591" s="93" t="str">
        <f t="shared" si="18"/>
        <v/>
      </c>
      <c r="D591" s="93" t="str">
        <f t="shared" ref="D591:D654" si="19">IF(A591=0,"","Concrete04")</f>
        <v/>
      </c>
    </row>
    <row r="592" spans="3:4" x14ac:dyDescent="0.25">
      <c r="C592" s="93" t="str">
        <f t="shared" si="18"/>
        <v/>
      </c>
      <c r="D592" s="93" t="str">
        <f t="shared" si="19"/>
        <v/>
      </c>
    </row>
    <row r="593" spans="3:4" x14ac:dyDescent="0.25">
      <c r="C593" s="93" t="str">
        <f t="shared" si="18"/>
        <v/>
      </c>
      <c r="D593" s="93" t="str">
        <f t="shared" si="19"/>
        <v/>
      </c>
    </row>
    <row r="594" spans="3:4" x14ac:dyDescent="0.25">
      <c r="C594" s="93" t="str">
        <f t="shared" si="18"/>
        <v/>
      </c>
      <c r="D594" s="93" t="str">
        <f t="shared" si="19"/>
        <v/>
      </c>
    </row>
    <row r="595" spans="3:4" x14ac:dyDescent="0.25">
      <c r="C595" s="93" t="str">
        <f t="shared" si="18"/>
        <v/>
      </c>
      <c r="D595" s="93" t="str">
        <f t="shared" si="19"/>
        <v/>
      </c>
    </row>
    <row r="596" spans="3:4" x14ac:dyDescent="0.25">
      <c r="C596" s="93" t="str">
        <f t="shared" si="18"/>
        <v/>
      </c>
      <c r="D596" s="93" t="str">
        <f t="shared" si="19"/>
        <v/>
      </c>
    </row>
    <row r="597" spans="3:4" x14ac:dyDescent="0.25">
      <c r="C597" s="93" t="str">
        <f t="shared" si="18"/>
        <v/>
      </c>
      <c r="D597" s="93" t="str">
        <f t="shared" si="19"/>
        <v/>
      </c>
    </row>
    <row r="598" spans="3:4" x14ac:dyDescent="0.25">
      <c r="C598" s="93" t="str">
        <f t="shared" si="18"/>
        <v/>
      </c>
      <c r="D598" s="93" t="str">
        <f t="shared" si="19"/>
        <v/>
      </c>
    </row>
    <row r="599" spans="3:4" x14ac:dyDescent="0.25">
      <c r="C599" s="93" t="str">
        <f t="shared" si="18"/>
        <v/>
      </c>
      <c r="D599" s="93" t="str">
        <f t="shared" si="19"/>
        <v/>
      </c>
    </row>
    <row r="600" spans="3:4" x14ac:dyDescent="0.25">
      <c r="C600" s="93" t="str">
        <f t="shared" si="18"/>
        <v/>
      </c>
      <c r="D600" s="93" t="str">
        <f t="shared" si="19"/>
        <v/>
      </c>
    </row>
    <row r="601" spans="3:4" x14ac:dyDescent="0.25">
      <c r="C601" s="93" t="str">
        <f t="shared" si="18"/>
        <v/>
      </c>
      <c r="D601" s="93" t="str">
        <f t="shared" si="19"/>
        <v/>
      </c>
    </row>
    <row r="602" spans="3:4" x14ac:dyDescent="0.25">
      <c r="C602" s="93" t="str">
        <f t="shared" si="18"/>
        <v/>
      </c>
      <c r="D602" s="93" t="str">
        <f t="shared" si="19"/>
        <v/>
      </c>
    </row>
    <row r="603" spans="3:4" x14ac:dyDescent="0.25">
      <c r="C603" s="93" t="str">
        <f t="shared" si="18"/>
        <v/>
      </c>
      <c r="D603" s="93" t="str">
        <f t="shared" si="19"/>
        <v/>
      </c>
    </row>
    <row r="604" spans="3:4" x14ac:dyDescent="0.25">
      <c r="C604" s="93" t="str">
        <f t="shared" si="18"/>
        <v/>
      </c>
      <c r="D604" s="93" t="str">
        <f t="shared" si="19"/>
        <v/>
      </c>
    </row>
    <row r="605" spans="3:4" x14ac:dyDescent="0.25">
      <c r="C605" s="93" t="str">
        <f t="shared" si="18"/>
        <v/>
      </c>
      <c r="D605" s="93" t="str">
        <f t="shared" si="19"/>
        <v/>
      </c>
    </row>
    <row r="606" spans="3:4" x14ac:dyDescent="0.25">
      <c r="C606" s="93" t="str">
        <f t="shared" si="18"/>
        <v/>
      </c>
      <c r="D606" s="93" t="str">
        <f t="shared" si="19"/>
        <v/>
      </c>
    </row>
    <row r="607" spans="3:4" x14ac:dyDescent="0.25">
      <c r="C607" s="93" t="str">
        <f t="shared" si="18"/>
        <v/>
      </c>
      <c r="D607" s="93" t="str">
        <f t="shared" si="19"/>
        <v/>
      </c>
    </row>
    <row r="608" spans="3:4" x14ac:dyDescent="0.25">
      <c r="C608" s="93" t="str">
        <f t="shared" si="18"/>
        <v/>
      </c>
      <c r="D608" s="93" t="str">
        <f t="shared" si="19"/>
        <v/>
      </c>
    </row>
    <row r="609" spans="3:4" x14ac:dyDescent="0.25">
      <c r="C609" s="93" t="str">
        <f t="shared" si="18"/>
        <v/>
      </c>
      <c r="D609" s="93" t="str">
        <f t="shared" si="19"/>
        <v/>
      </c>
    </row>
    <row r="610" spans="3:4" x14ac:dyDescent="0.25">
      <c r="C610" s="93" t="str">
        <f t="shared" si="18"/>
        <v/>
      </c>
      <c r="D610" s="93" t="str">
        <f t="shared" si="19"/>
        <v/>
      </c>
    </row>
    <row r="611" spans="3:4" x14ac:dyDescent="0.25">
      <c r="C611" s="93" t="str">
        <f t="shared" si="18"/>
        <v/>
      </c>
      <c r="D611" s="93" t="str">
        <f t="shared" si="19"/>
        <v/>
      </c>
    </row>
    <row r="612" spans="3:4" x14ac:dyDescent="0.25">
      <c r="C612" s="93" t="str">
        <f t="shared" si="18"/>
        <v/>
      </c>
      <c r="D612" s="93" t="str">
        <f t="shared" si="19"/>
        <v/>
      </c>
    </row>
    <row r="613" spans="3:4" x14ac:dyDescent="0.25">
      <c r="C613" s="93" t="str">
        <f t="shared" si="18"/>
        <v/>
      </c>
      <c r="D613" s="93" t="str">
        <f t="shared" si="19"/>
        <v/>
      </c>
    </row>
    <row r="614" spans="3:4" x14ac:dyDescent="0.25">
      <c r="C614" s="93" t="str">
        <f t="shared" si="18"/>
        <v/>
      </c>
      <c r="D614" s="93" t="str">
        <f t="shared" si="19"/>
        <v/>
      </c>
    </row>
    <row r="615" spans="3:4" x14ac:dyDescent="0.25">
      <c r="C615" s="93" t="str">
        <f t="shared" si="18"/>
        <v/>
      </c>
      <c r="D615" s="93" t="str">
        <f t="shared" si="19"/>
        <v/>
      </c>
    </row>
    <row r="616" spans="3:4" x14ac:dyDescent="0.25">
      <c r="C616" s="93" t="str">
        <f t="shared" si="18"/>
        <v/>
      </c>
      <c r="D616" s="93" t="str">
        <f t="shared" si="19"/>
        <v/>
      </c>
    </row>
    <row r="617" spans="3:4" x14ac:dyDescent="0.25">
      <c r="C617" s="93" t="str">
        <f t="shared" si="18"/>
        <v/>
      </c>
      <c r="D617" s="93" t="str">
        <f t="shared" si="19"/>
        <v/>
      </c>
    </row>
    <row r="618" spans="3:4" x14ac:dyDescent="0.25">
      <c r="C618" s="93" t="str">
        <f t="shared" si="18"/>
        <v/>
      </c>
      <c r="D618" s="93" t="str">
        <f t="shared" si="19"/>
        <v/>
      </c>
    </row>
    <row r="619" spans="3:4" x14ac:dyDescent="0.25">
      <c r="C619" s="93" t="str">
        <f t="shared" si="18"/>
        <v/>
      </c>
      <c r="D619" s="93" t="str">
        <f t="shared" si="19"/>
        <v/>
      </c>
    </row>
    <row r="620" spans="3:4" x14ac:dyDescent="0.25">
      <c r="C620" s="93" t="str">
        <f t="shared" si="18"/>
        <v/>
      </c>
      <c r="D620" s="93" t="str">
        <f t="shared" si="19"/>
        <v/>
      </c>
    </row>
    <row r="621" spans="3:4" x14ac:dyDescent="0.25">
      <c r="C621" s="93" t="str">
        <f t="shared" si="18"/>
        <v/>
      </c>
      <c r="D621" s="93" t="str">
        <f t="shared" si="19"/>
        <v/>
      </c>
    </row>
    <row r="622" spans="3:4" x14ac:dyDescent="0.25">
      <c r="C622" s="93" t="str">
        <f t="shared" si="18"/>
        <v/>
      </c>
      <c r="D622" s="93" t="str">
        <f t="shared" si="19"/>
        <v/>
      </c>
    </row>
    <row r="623" spans="3:4" x14ac:dyDescent="0.25">
      <c r="C623" s="93" t="str">
        <f t="shared" si="18"/>
        <v/>
      </c>
      <c r="D623" s="93" t="str">
        <f t="shared" si="19"/>
        <v/>
      </c>
    </row>
    <row r="624" spans="3:4" x14ac:dyDescent="0.25">
      <c r="C624" s="93" t="str">
        <f t="shared" si="18"/>
        <v/>
      </c>
      <c r="D624" s="93" t="str">
        <f t="shared" si="19"/>
        <v/>
      </c>
    </row>
    <row r="625" spans="3:4" x14ac:dyDescent="0.25">
      <c r="C625" s="93" t="str">
        <f t="shared" si="18"/>
        <v/>
      </c>
      <c r="D625" s="93" t="str">
        <f t="shared" si="19"/>
        <v/>
      </c>
    </row>
    <row r="626" spans="3:4" x14ac:dyDescent="0.25">
      <c r="C626" s="93" t="str">
        <f t="shared" si="18"/>
        <v/>
      </c>
      <c r="D626" s="93" t="str">
        <f t="shared" si="19"/>
        <v/>
      </c>
    </row>
    <row r="627" spans="3:4" x14ac:dyDescent="0.25">
      <c r="C627" s="93" t="str">
        <f t="shared" si="18"/>
        <v/>
      </c>
      <c r="D627" s="93" t="str">
        <f t="shared" si="19"/>
        <v/>
      </c>
    </row>
    <row r="628" spans="3:4" x14ac:dyDescent="0.25">
      <c r="C628" s="93" t="str">
        <f t="shared" si="18"/>
        <v/>
      </c>
      <c r="D628" s="93" t="str">
        <f t="shared" si="19"/>
        <v/>
      </c>
    </row>
    <row r="629" spans="3:4" x14ac:dyDescent="0.25">
      <c r="C629" s="93" t="str">
        <f t="shared" si="18"/>
        <v/>
      </c>
      <c r="D629" s="93" t="str">
        <f t="shared" si="19"/>
        <v/>
      </c>
    </row>
    <row r="630" spans="3:4" x14ac:dyDescent="0.25">
      <c r="C630" s="93" t="str">
        <f t="shared" si="18"/>
        <v/>
      </c>
      <c r="D630" s="93" t="str">
        <f t="shared" si="19"/>
        <v/>
      </c>
    </row>
    <row r="631" spans="3:4" x14ac:dyDescent="0.25">
      <c r="C631" s="93" t="str">
        <f t="shared" si="18"/>
        <v/>
      </c>
      <c r="D631" s="93" t="str">
        <f t="shared" si="19"/>
        <v/>
      </c>
    </row>
    <row r="632" spans="3:4" x14ac:dyDescent="0.25">
      <c r="C632" s="93" t="str">
        <f t="shared" si="18"/>
        <v/>
      </c>
      <c r="D632" s="93" t="str">
        <f t="shared" si="19"/>
        <v/>
      </c>
    </row>
    <row r="633" spans="3:4" x14ac:dyDescent="0.25">
      <c r="C633" s="93" t="str">
        <f t="shared" si="18"/>
        <v/>
      </c>
      <c r="D633" s="93" t="str">
        <f t="shared" si="19"/>
        <v/>
      </c>
    </row>
    <row r="634" spans="3:4" x14ac:dyDescent="0.25">
      <c r="C634" s="93" t="str">
        <f t="shared" si="18"/>
        <v/>
      </c>
      <c r="D634" s="93" t="str">
        <f t="shared" si="19"/>
        <v/>
      </c>
    </row>
    <row r="635" spans="3:4" x14ac:dyDescent="0.25">
      <c r="C635" s="93" t="str">
        <f t="shared" si="18"/>
        <v/>
      </c>
      <c r="D635" s="93" t="str">
        <f t="shared" si="19"/>
        <v/>
      </c>
    </row>
    <row r="636" spans="3:4" x14ac:dyDescent="0.25">
      <c r="C636" s="93" t="str">
        <f t="shared" si="18"/>
        <v/>
      </c>
      <c r="D636" s="93" t="str">
        <f t="shared" si="19"/>
        <v/>
      </c>
    </row>
    <row r="637" spans="3:4" x14ac:dyDescent="0.25">
      <c r="C637" s="93" t="str">
        <f t="shared" si="18"/>
        <v/>
      </c>
      <c r="D637" s="93" t="str">
        <f t="shared" si="19"/>
        <v/>
      </c>
    </row>
    <row r="638" spans="3:4" x14ac:dyDescent="0.25">
      <c r="C638" s="93" t="str">
        <f t="shared" si="18"/>
        <v/>
      </c>
      <c r="D638" s="93" t="str">
        <f t="shared" si="19"/>
        <v/>
      </c>
    </row>
    <row r="639" spans="3:4" x14ac:dyDescent="0.25">
      <c r="C639" s="93" t="str">
        <f t="shared" si="18"/>
        <v/>
      </c>
      <c r="D639" s="93" t="str">
        <f t="shared" si="19"/>
        <v/>
      </c>
    </row>
    <row r="640" spans="3:4" x14ac:dyDescent="0.25">
      <c r="C640" s="93" t="str">
        <f t="shared" si="18"/>
        <v/>
      </c>
      <c r="D640" s="93" t="str">
        <f t="shared" si="19"/>
        <v/>
      </c>
    </row>
    <row r="641" spans="3:4" x14ac:dyDescent="0.25">
      <c r="C641" s="93" t="str">
        <f t="shared" si="18"/>
        <v/>
      </c>
      <c r="D641" s="93" t="str">
        <f t="shared" si="19"/>
        <v/>
      </c>
    </row>
    <row r="642" spans="3:4" x14ac:dyDescent="0.25">
      <c r="C642" s="93" t="str">
        <f t="shared" si="18"/>
        <v/>
      </c>
      <c r="D642" s="93" t="str">
        <f t="shared" si="19"/>
        <v/>
      </c>
    </row>
    <row r="643" spans="3:4" x14ac:dyDescent="0.25">
      <c r="C643" s="93" t="str">
        <f t="shared" si="18"/>
        <v/>
      </c>
      <c r="D643" s="93" t="str">
        <f t="shared" si="19"/>
        <v/>
      </c>
    </row>
    <row r="644" spans="3:4" x14ac:dyDescent="0.25">
      <c r="C644" s="93" t="str">
        <f t="shared" si="18"/>
        <v/>
      </c>
      <c r="D644" s="93" t="str">
        <f t="shared" si="19"/>
        <v/>
      </c>
    </row>
    <row r="645" spans="3:4" x14ac:dyDescent="0.25">
      <c r="C645" s="93" t="str">
        <f t="shared" si="18"/>
        <v/>
      </c>
      <c r="D645" s="93" t="str">
        <f t="shared" si="19"/>
        <v/>
      </c>
    </row>
    <row r="646" spans="3:4" x14ac:dyDescent="0.25">
      <c r="C646" s="93" t="str">
        <f t="shared" si="18"/>
        <v/>
      </c>
      <c r="D646" s="93" t="str">
        <f t="shared" si="19"/>
        <v/>
      </c>
    </row>
    <row r="647" spans="3:4" x14ac:dyDescent="0.25">
      <c r="C647" s="93" t="str">
        <f t="shared" si="18"/>
        <v/>
      </c>
      <c r="D647" s="93" t="str">
        <f t="shared" si="19"/>
        <v/>
      </c>
    </row>
    <row r="648" spans="3:4" x14ac:dyDescent="0.25">
      <c r="C648" s="93" t="str">
        <f t="shared" si="18"/>
        <v/>
      </c>
      <c r="D648" s="93" t="str">
        <f t="shared" si="19"/>
        <v/>
      </c>
    </row>
    <row r="649" spans="3:4" x14ac:dyDescent="0.25">
      <c r="C649" s="93" t="str">
        <f t="shared" si="18"/>
        <v/>
      </c>
      <c r="D649" s="93" t="str">
        <f t="shared" si="19"/>
        <v/>
      </c>
    </row>
    <row r="650" spans="3:4" x14ac:dyDescent="0.25">
      <c r="C650" s="93" t="str">
        <f t="shared" si="18"/>
        <v/>
      </c>
      <c r="D650" s="93" t="str">
        <f t="shared" si="19"/>
        <v/>
      </c>
    </row>
    <row r="651" spans="3:4" x14ac:dyDescent="0.25">
      <c r="C651" s="93" t="str">
        <f t="shared" si="18"/>
        <v/>
      </c>
      <c r="D651" s="93" t="str">
        <f t="shared" si="19"/>
        <v/>
      </c>
    </row>
    <row r="652" spans="3:4" x14ac:dyDescent="0.25">
      <c r="C652" s="93" t="str">
        <f t="shared" si="18"/>
        <v/>
      </c>
      <c r="D652" s="93" t="str">
        <f t="shared" si="19"/>
        <v/>
      </c>
    </row>
    <row r="653" spans="3:4" x14ac:dyDescent="0.25">
      <c r="C653" s="93" t="str">
        <f t="shared" si="18"/>
        <v/>
      </c>
      <c r="D653" s="93" t="str">
        <f t="shared" si="19"/>
        <v/>
      </c>
    </row>
    <row r="654" spans="3:4" x14ac:dyDescent="0.25">
      <c r="C654" s="93" t="str">
        <f t="shared" ref="C654:C717" si="20">IF(A654=0,"",VLOOKUP(B654,MatDB,2,FALSE))</f>
        <v/>
      </c>
      <c r="D654" s="93" t="str">
        <f t="shared" si="19"/>
        <v/>
      </c>
    </row>
    <row r="655" spans="3:4" x14ac:dyDescent="0.25">
      <c r="C655" s="93" t="str">
        <f t="shared" si="20"/>
        <v/>
      </c>
      <c r="D655" s="93" t="str">
        <f t="shared" ref="D655:D718" si="21">IF(A655=0,"","Concrete04")</f>
        <v/>
      </c>
    </row>
    <row r="656" spans="3:4" x14ac:dyDescent="0.25">
      <c r="C656" s="93" t="str">
        <f t="shared" si="20"/>
        <v/>
      </c>
      <c r="D656" s="93" t="str">
        <f t="shared" si="21"/>
        <v/>
      </c>
    </row>
    <row r="657" spans="3:4" x14ac:dyDescent="0.25">
      <c r="C657" s="93" t="str">
        <f t="shared" si="20"/>
        <v/>
      </c>
      <c r="D657" s="93" t="str">
        <f t="shared" si="21"/>
        <v/>
      </c>
    </row>
    <row r="658" spans="3:4" x14ac:dyDescent="0.25">
      <c r="C658" s="93" t="str">
        <f t="shared" si="20"/>
        <v/>
      </c>
      <c r="D658" s="93" t="str">
        <f t="shared" si="21"/>
        <v/>
      </c>
    </row>
    <row r="659" spans="3:4" x14ac:dyDescent="0.25">
      <c r="C659" s="93" t="str">
        <f t="shared" si="20"/>
        <v/>
      </c>
      <c r="D659" s="93" t="str">
        <f t="shared" si="21"/>
        <v/>
      </c>
    </row>
    <row r="660" spans="3:4" x14ac:dyDescent="0.25">
      <c r="C660" s="93" t="str">
        <f t="shared" si="20"/>
        <v/>
      </c>
      <c r="D660" s="93" t="str">
        <f t="shared" si="21"/>
        <v/>
      </c>
    </row>
    <row r="661" spans="3:4" x14ac:dyDescent="0.25">
      <c r="C661" s="93" t="str">
        <f t="shared" si="20"/>
        <v/>
      </c>
      <c r="D661" s="93" t="str">
        <f t="shared" si="21"/>
        <v/>
      </c>
    </row>
    <row r="662" spans="3:4" x14ac:dyDescent="0.25">
      <c r="C662" s="93" t="str">
        <f t="shared" si="20"/>
        <v/>
      </c>
      <c r="D662" s="93" t="str">
        <f t="shared" si="21"/>
        <v/>
      </c>
    </row>
    <row r="663" spans="3:4" x14ac:dyDescent="0.25">
      <c r="C663" s="93" t="str">
        <f t="shared" si="20"/>
        <v/>
      </c>
      <c r="D663" s="93" t="str">
        <f t="shared" si="21"/>
        <v/>
      </c>
    </row>
    <row r="664" spans="3:4" x14ac:dyDescent="0.25">
      <c r="C664" s="93" t="str">
        <f t="shared" si="20"/>
        <v/>
      </c>
      <c r="D664" s="93" t="str">
        <f t="shared" si="21"/>
        <v/>
      </c>
    </row>
    <row r="665" spans="3:4" x14ac:dyDescent="0.25">
      <c r="C665" s="93" t="str">
        <f t="shared" si="20"/>
        <v/>
      </c>
      <c r="D665" s="93" t="str">
        <f t="shared" si="21"/>
        <v/>
      </c>
    </row>
    <row r="666" spans="3:4" x14ac:dyDescent="0.25">
      <c r="C666" s="93" t="str">
        <f t="shared" si="20"/>
        <v/>
      </c>
      <c r="D666" s="93" t="str">
        <f t="shared" si="21"/>
        <v/>
      </c>
    </row>
    <row r="667" spans="3:4" x14ac:dyDescent="0.25">
      <c r="C667" s="93" t="str">
        <f t="shared" si="20"/>
        <v/>
      </c>
      <c r="D667" s="93" t="str">
        <f t="shared" si="21"/>
        <v/>
      </c>
    </row>
    <row r="668" spans="3:4" x14ac:dyDescent="0.25">
      <c r="C668" s="93" t="str">
        <f t="shared" si="20"/>
        <v/>
      </c>
      <c r="D668" s="93" t="str">
        <f t="shared" si="21"/>
        <v/>
      </c>
    </row>
    <row r="669" spans="3:4" x14ac:dyDescent="0.25">
      <c r="C669" s="93" t="str">
        <f t="shared" si="20"/>
        <v/>
      </c>
      <c r="D669" s="93" t="str">
        <f t="shared" si="21"/>
        <v/>
      </c>
    </row>
    <row r="670" spans="3:4" x14ac:dyDescent="0.25">
      <c r="C670" s="93" t="str">
        <f t="shared" si="20"/>
        <v/>
      </c>
      <c r="D670" s="93" t="str">
        <f t="shared" si="21"/>
        <v/>
      </c>
    </row>
    <row r="671" spans="3:4" x14ac:dyDescent="0.25">
      <c r="C671" s="93" t="str">
        <f t="shared" si="20"/>
        <v/>
      </c>
      <c r="D671" s="93" t="str">
        <f t="shared" si="21"/>
        <v/>
      </c>
    </row>
    <row r="672" spans="3:4" x14ac:dyDescent="0.25">
      <c r="C672" s="93" t="str">
        <f t="shared" si="20"/>
        <v/>
      </c>
      <c r="D672" s="93" t="str">
        <f t="shared" si="21"/>
        <v/>
      </c>
    </row>
    <row r="673" spans="3:4" x14ac:dyDescent="0.25">
      <c r="C673" s="93" t="str">
        <f t="shared" si="20"/>
        <v/>
      </c>
      <c r="D673" s="93" t="str">
        <f t="shared" si="21"/>
        <v/>
      </c>
    </row>
    <row r="674" spans="3:4" x14ac:dyDescent="0.25">
      <c r="C674" s="93" t="str">
        <f t="shared" si="20"/>
        <v/>
      </c>
      <c r="D674" s="93" t="str">
        <f t="shared" si="21"/>
        <v/>
      </c>
    </row>
    <row r="675" spans="3:4" x14ac:dyDescent="0.25">
      <c r="C675" s="93" t="str">
        <f t="shared" si="20"/>
        <v/>
      </c>
      <c r="D675" s="93" t="str">
        <f t="shared" si="21"/>
        <v/>
      </c>
    </row>
    <row r="676" spans="3:4" x14ac:dyDescent="0.25">
      <c r="C676" s="93" t="str">
        <f t="shared" si="20"/>
        <v/>
      </c>
      <c r="D676" s="93" t="str">
        <f t="shared" si="21"/>
        <v/>
      </c>
    </row>
    <row r="677" spans="3:4" x14ac:dyDescent="0.25">
      <c r="C677" s="93" t="str">
        <f t="shared" si="20"/>
        <v/>
      </c>
      <c r="D677" s="93" t="str">
        <f t="shared" si="21"/>
        <v/>
      </c>
    </row>
    <row r="678" spans="3:4" x14ac:dyDescent="0.25">
      <c r="C678" s="93" t="str">
        <f t="shared" si="20"/>
        <v/>
      </c>
      <c r="D678" s="93" t="str">
        <f t="shared" si="21"/>
        <v/>
      </c>
    </row>
    <row r="679" spans="3:4" x14ac:dyDescent="0.25">
      <c r="C679" s="93" t="str">
        <f t="shared" si="20"/>
        <v/>
      </c>
      <c r="D679" s="93" t="str">
        <f t="shared" si="21"/>
        <v/>
      </c>
    </row>
    <row r="680" spans="3:4" x14ac:dyDescent="0.25">
      <c r="C680" s="93" t="str">
        <f t="shared" si="20"/>
        <v/>
      </c>
      <c r="D680" s="93" t="str">
        <f t="shared" si="21"/>
        <v/>
      </c>
    </row>
    <row r="681" spans="3:4" x14ac:dyDescent="0.25">
      <c r="C681" s="93" t="str">
        <f t="shared" si="20"/>
        <v/>
      </c>
      <c r="D681" s="93" t="str">
        <f t="shared" si="21"/>
        <v/>
      </c>
    </row>
    <row r="682" spans="3:4" x14ac:dyDescent="0.25">
      <c r="C682" s="93" t="str">
        <f t="shared" si="20"/>
        <v/>
      </c>
      <c r="D682" s="93" t="str">
        <f t="shared" si="21"/>
        <v/>
      </c>
    </row>
    <row r="683" spans="3:4" x14ac:dyDescent="0.25">
      <c r="C683" s="93" t="str">
        <f t="shared" si="20"/>
        <v/>
      </c>
      <c r="D683" s="93" t="str">
        <f t="shared" si="21"/>
        <v/>
      </c>
    </row>
    <row r="684" spans="3:4" x14ac:dyDescent="0.25">
      <c r="C684" s="93" t="str">
        <f t="shared" si="20"/>
        <v/>
      </c>
      <c r="D684" s="93" t="str">
        <f t="shared" si="21"/>
        <v/>
      </c>
    </row>
    <row r="685" spans="3:4" x14ac:dyDescent="0.25">
      <c r="C685" s="93" t="str">
        <f t="shared" si="20"/>
        <v/>
      </c>
      <c r="D685" s="93" t="str">
        <f t="shared" si="21"/>
        <v/>
      </c>
    </row>
    <row r="686" spans="3:4" x14ac:dyDescent="0.25">
      <c r="C686" s="93" t="str">
        <f t="shared" si="20"/>
        <v/>
      </c>
      <c r="D686" s="93" t="str">
        <f t="shared" si="21"/>
        <v/>
      </c>
    </row>
    <row r="687" spans="3:4" x14ac:dyDescent="0.25">
      <c r="C687" s="93" t="str">
        <f t="shared" si="20"/>
        <v/>
      </c>
      <c r="D687" s="93" t="str">
        <f t="shared" si="21"/>
        <v/>
      </c>
    </row>
    <row r="688" spans="3:4" x14ac:dyDescent="0.25">
      <c r="C688" s="93" t="str">
        <f t="shared" si="20"/>
        <v/>
      </c>
      <c r="D688" s="93" t="str">
        <f t="shared" si="21"/>
        <v/>
      </c>
    </row>
    <row r="689" spans="3:4" x14ac:dyDescent="0.25">
      <c r="C689" s="93" t="str">
        <f t="shared" si="20"/>
        <v/>
      </c>
      <c r="D689" s="93" t="str">
        <f t="shared" si="21"/>
        <v/>
      </c>
    </row>
    <row r="690" spans="3:4" x14ac:dyDescent="0.25">
      <c r="C690" s="93" t="str">
        <f t="shared" si="20"/>
        <v/>
      </c>
      <c r="D690" s="93" t="str">
        <f t="shared" si="21"/>
        <v/>
      </c>
    </row>
    <row r="691" spans="3:4" x14ac:dyDescent="0.25">
      <c r="C691" s="93" t="str">
        <f t="shared" si="20"/>
        <v/>
      </c>
      <c r="D691" s="93" t="str">
        <f t="shared" si="21"/>
        <v/>
      </c>
    </row>
    <row r="692" spans="3:4" x14ac:dyDescent="0.25">
      <c r="C692" s="93" t="str">
        <f t="shared" si="20"/>
        <v/>
      </c>
      <c r="D692" s="93" t="str">
        <f t="shared" si="21"/>
        <v/>
      </c>
    </row>
    <row r="693" spans="3:4" x14ac:dyDescent="0.25">
      <c r="C693" s="93" t="str">
        <f t="shared" si="20"/>
        <v/>
      </c>
      <c r="D693" s="93" t="str">
        <f t="shared" si="21"/>
        <v/>
      </c>
    </row>
    <row r="694" spans="3:4" x14ac:dyDescent="0.25">
      <c r="C694" s="93" t="str">
        <f t="shared" si="20"/>
        <v/>
      </c>
      <c r="D694" s="93" t="str">
        <f t="shared" si="21"/>
        <v/>
      </c>
    </row>
    <row r="695" spans="3:4" x14ac:dyDescent="0.25">
      <c r="C695" s="93" t="str">
        <f t="shared" si="20"/>
        <v/>
      </c>
      <c r="D695" s="93" t="str">
        <f t="shared" si="21"/>
        <v/>
      </c>
    </row>
    <row r="696" spans="3:4" x14ac:dyDescent="0.25">
      <c r="C696" s="93" t="str">
        <f t="shared" si="20"/>
        <v/>
      </c>
      <c r="D696" s="93" t="str">
        <f t="shared" si="21"/>
        <v/>
      </c>
    </row>
    <row r="697" spans="3:4" x14ac:dyDescent="0.25">
      <c r="C697" s="93" t="str">
        <f t="shared" si="20"/>
        <v/>
      </c>
      <c r="D697" s="93" t="str">
        <f t="shared" si="21"/>
        <v/>
      </c>
    </row>
    <row r="698" spans="3:4" x14ac:dyDescent="0.25">
      <c r="C698" s="93" t="str">
        <f t="shared" si="20"/>
        <v/>
      </c>
      <c r="D698" s="93" t="str">
        <f t="shared" si="21"/>
        <v/>
      </c>
    </row>
    <row r="699" spans="3:4" x14ac:dyDescent="0.25">
      <c r="C699" s="93" t="str">
        <f t="shared" si="20"/>
        <v/>
      </c>
      <c r="D699" s="93" t="str">
        <f t="shared" si="21"/>
        <v/>
      </c>
    </row>
    <row r="700" spans="3:4" x14ac:dyDescent="0.25">
      <c r="C700" s="93" t="str">
        <f t="shared" si="20"/>
        <v/>
      </c>
      <c r="D700" s="93" t="str">
        <f t="shared" si="21"/>
        <v/>
      </c>
    </row>
    <row r="701" spans="3:4" x14ac:dyDescent="0.25">
      <c r="C701" s="93" t="str">
        <f t="shared" si="20"/>
        <v/>
      </c>
      <c r="D701" s="93" t="str">
        <f t="shared" si="21"/>
        <v/>
      </c>
    </row>
    <row r="702" spans="3:4" x14ac:dyDescent="0.25">
      <c r="C702" s="93" t="str">
        <f t="shared" si="20"/>
        <v/>
      </c>
      <c r="D702" s="93" t="str">
        <f t="shared" si="21"/>
        <v/>
      </c>
    </row>
    <row r="703" spans="3:4" x14ac:dyDescent="0.25">
      <c r="C703" s="93" t="str">
        <f t="shared" si="20"/>
        <v/>
      </c>
      <c r="D703" s="93" t="str">
        <f t="shared" si="21"/>
        <v/>
      </c>
    </row>
    <row r="704" spans="3:4" x14ac:dyDescent="0.25">
      <c r="C704" s="93" t="str">
        <f t="shared" si="20"/>
        <v/>
      </c>
      <c r="D704" s="93" t="str">
        <f t="shared" si="21"/>
        <v/>
      </c>
    </row>
    <row r="705" spans="3:4" x14ac:dyDescent="0.25">
      <c r="C705" s="93" t="str">
        <f t="shared" si="20"/>
        <v/>
      </c>
      <c r="D705" s="93" t="str">
        <f t="shared" si="21"/>
        <v/>
      </c>
    </row>
    <row r="706" spans="3:4" x14ac:dyDescent="0.25">
      <c r="C706" s="93" t="str">
        <f t="shared" si="20"/>
        <v/>
      </c>
      <c r="D706" s="93" t="str">
        <f t="shared" si="21"/>
        <v/>
      </c>
    </row>
    <row r="707" spans="3:4" x14ac:dyDescent="0.25">
      <c r="C707" s="93" t="str">
        <f t="shared" si="20"/>
        <v/>
      </c>
      <c r="D707" s="93" t="str">
        <f t="shared" si="21"/>
        <v/>
      </c>
    </row>
    <row r="708" spans="3:4" x14ac:dyDescent="0.25">
      <c r="C708" s="93" t="str">
        <f t="shared" si="20"/>
        <v/>
      </c>
      <c r="D708" s="93" t="str">
        <f t="shared" si="21"/>
        <v/>
      </c>
    </row>
    <row r="709" spans="3:4" x14ac:dyDescent="0.25">
      <c r="C709" s="93" t="str">
        <f t="shared" si="20"/>
        <v/>
      </c>
      <c r="D709" s="93" t="str">
        <f t="shared" si="21"/>
        <v/>
      </c>
    </row>
    <row r="710" spans="3:4" x14ac:dyDescent="0.25">
      <c r="C710" s="93" t="str">
        <f t="shared" si="20"/>
        <v/>
      </c>
      <c r="D710" s="93" t="str">
        <f t="shared" si="21"/>
        <v/>
      </c>
    </row>
    <row r="711" spans="3:4" x14ac:dyDescent="0.25">
      <c r="C711" s="93" t="str">
        <f t="shared" si="20"/>
        <v/>
      </c>
      <c r="D711" s="93" t="str">
        <f t="shared" si="21"/>
        <v/>
      </c>
    </row>
    <row r="712" spans="3:4" x14ac:dyDescent="0.25">
      <c r="C712" s="93" t="str">
        <f t="shared" si="20"/>
        <v/>
      </c>
      <c r="D712" s="93" t="str">
        <f t="shared" si="21"/>
        <v/>
      </c>
    </row>
    <row r="713" spans="3:4" x14ac:dyDescent="0.25">
      <c r="C713" s="93" t="str">
        <f t="shared" si="20"/>
        <v/>
      </c>
      <c r="D713" s="93" t="str">
        <f t="shared" si="21"/>
        <v/>
      </c>
    </row>
    <row r="714" spans="3:4" x14ac:dyDescent="0.25">
      <c r="C714" s="93" t="str">
        <f t="shared" si="20"/>
        <v/>
      </c>
      <c r="D714" s="93" t="str">
        <f t="shared" si="21"/>
        <v/>
      </c>
    </row>
    <row r="715" spans="3:4" x14ac:dyDescent="0.25">
      <c r="C715" s="93" t="str">
        <f t="shared" si="20"/>
        <v/>
      </c>
      <c r="D715" s="93" t="str">
        <f t="shared" si="21"/>
        <v/>
      </c>
    </row>
    <row r="716" spans="3:4" x14ac:dyDescent="0.25">
      <c r="C716" s="93" t="str">
        <f t="shared" si="20"/>
        <v/>
      </c>
      <c r="D716" s="93" t="str">
        <f t="shared" si="21"/>
        <v/>
      </c>
    </row>
    <row r="717" spans="3:4" x14ac:dyDescent="0.25">
      <c r="C717" s="93" t="str">
        <f t="shared" si="20"/>
        <v/>
      </c>
      <c r="D717" s="93" t="str">
        <f t="shared" si="21"/>
        <v/>
      </c>
    </row>
    <row r="718" spans="3:4" x14ac:dyDescent="0.25">
      <c r="C718" s="93" t="str">
        <f t="shared" ref="C718:C781" si="22">IF(A718=0,"",VLOOKUP(B718,MatDB,2,FALSE))</f>
        <v/>
      </c>
      <c r="D718" s="93" t="str">
        <f t="shared" si="21"/>
        <v/>
      </c>
    </row>
    <row r="719" spans="3:4" x14ac:dyDescent="0.25">
      <c r="C719" s="93" t="str">
        <f t="shared" si="22"/>
        <v/>
      </c>
      <c r="D719" s="93" t="str">
        <f t="shared" ref="D719:D782" si="23">IF(A719=0,"","Concrete04")</f>
        <v/>
      </c>
    </row>
    <row r="720" spans="3:4" x14ac:dyDescent="0.25">
      <c r="C720" s="93" t="str">
        <f t="shared" si="22"/>
        <v/>
      </c>
      <c r="D720" s="93" t="str">
        <f t="shared" si="23"/>
        <v/>
      </c>
    </row>
    <row r="721" spans="3:4" x14ac:dyDescent="0.25">
      <c r="C721" s="93" t="str">
        <f t="shared" si="22"/>
        <v/>
      </c>
      <c r="D721" s="93" t="str">
        <f t="shared" si="23"/>
        <v/>
      </c>
    </row>
    <row r="722" spans="3:4" x14ac:dyDescent="0.25">
      <c r="C722" s="93" t="str">
        <f t="shared" si="22"/>
        <v/>
      </c>
      <c r="D722" s="93" t="str">
        <f t="shared" si="23"/>
        <v/>
      </c>
    </row>
    <row r="723" spans="3:4" x14ac:dyDescent="0.25">
      <c r="C723" s="93" t="str">
        <f t="shared" si="22"/>
        <v/>
      </c>
      <c r="D723" s="93" t="str">
        <f t="shared" si="23"/>
        <v/>
      </c>
    </row>
    <row r="724" spans="3:4" x14ac:dyDescent="0.25">
      <c r="C724" s="93" t="str">
        <f t="shared" si="22"/>
        <v/>
      </c>
      <c r="D724" s="93" t="str">
        <f t="shared" si="23"/>
        <v/>
      </c>
    </row>
    <row r="725" spans="3:4" x14ac:dyDescent="0.25">
      <c r="C725" s="93" t="str">
        <f t="shared" si="22"/>
        <v/>
      </c>
      <c r="D725" s="93" t="str">
        <f t="shared" si="23"/>
        <v/>
      </c>
    </row>
    <row r="726" spans="3:4" x14ac:dyDescent="0.25">
      <c r="C726" s="93" t="str">
        <f t="shared" si="22"/>
        <v/>
      </c>
      <c r="D726" s="93" t="str">
        <f t="shared" si="23"/>
        <v/>
      </c>
    </row>
    <row r="727" spans="3:4" x14ac:dyDescent="0.25">
      <c r="C727" s="93" t="str">
        <f t="shared" si="22"/>
        <v/>
      </c>
      <c r="D727" s="93" t="str">
        <f t="shared" si="23"/>
        <v/>
      </c>
    </row>
    <row r="728" spans="3:4" x14ac:dyDescent="0.25">
      <c r="C728" s="93" t="str">
        <f t="shared" si="22"/>
        <v/>
      </c>
      <c r="D728" s="93" t="str">
        <f t="shared" si="23"/>
        <v/>
      </c>
    </row>
    <row r="729" spans="3:4" x14ac:dyDescent="0.25">
      <c r="C729" s="93" t="str">
        <f t="shared" si="22"/>
        <v/>
      </c>
      <c r="D729" s="93" t="str">
        <f t="shared" si="23"/>
        <v/>
      </c>
    </row>
    <row r="730" spans="3:4" x14ac:dyDescent="0.25">
      <c r="C730" s="93" t="str">
        <f t="shared" si="22"/>
        <v/>
      </c>
      <c r="D730" s="93" t="str">
        <f t="shared" si="23"/>
        <v/>
      </c>
    </row>
    <row r="731" spans="3:4" x14ac:dyDescent="0.25">
      <c r="C731" s="93" t="str">
        <f t="shared" si="22"/>
        <v/>
      </c>
      <c r="D731" s="93" t="str">
        <f t="shared" si="23"/>
        <v/>
      </c>
    </row>
    <row r="732" spans="3:4" x14ac:dyDescent="0.25">
      <c r="C732" s="93" t="str">
        <f t="shared" si="22"/>
        <v/>
      </c>
      <c r="D732" s="93" t="str">
        <f t="shared" si="23"/>
        <v/>
      </c>
    </row>
    <row r="733" spans="3:4" x14ac:dyDescent="0.25">
      <c r="C733" s="93" t="str">
        <f t="shared" si="22"/>
        <v/>
      </c>
      <c r="D733" s="93" t="str">
        <f t="shared" si="23"/>
        <v/>
      </c>
    </row>
    <row r="734" spans="3:4" x14ac:dyDescent="0.25">
      <c r="C734" s="93" t="str">
        <f t="shared" si="22"/>
        <v/>
      </c>
      <c r="D734" s="93" t="str">
        <f t="shared" si="23"/>
        <v/>
      </c>
    </row>
    <row r="735" spans="3:4" x14ac:dyDescent="0.25">
      <c r="C735" s="93" t="str">
        <f t="shared" si="22"/>
        <v/>
      </c>
      <c r="D735" s="93" t="str">
        <f t="shared" si="23"/>
        <v/>
      </c>
    </row>
    <row r="736" spans="3:4" x14ac:dyDescent="0.25">
      <c r="C736" s="93" t="str">
        <f t="shared" si="22"/>
        <v/>
      </c>
      <c r="D736" s="93" t="str">
        <f t="shared" si="23"/>
        <v/>
      </c>
    </row>
    <row r="737" spans="3:4" x14ac:dyDescent="0.25">
      <c r="C737" s="93" t="str">
        <f t="shared" si="22"/>
        <v/>
      </c>
      <c r="D737" s="93" t="str">
        <f t="shared" si="23"/>
        <v/>
      </c>
    </row>
    <row r="738" spans="3:4" x14ac:dyDescent="0.25">
      <c r="C738" s="93" t="str">
        <f t="shared" si="22"/>
        <v/>
      </c>
      <c r="D738" s="93" t="str">
        <f t="shared" si="23"/>
        <v/>
      </c>
    </row>
    <row r="739" spans="3:4" x14ac:dyDescent="0.25">
      <c r="C739" s="93" t="str">
        <f t="shared" si="22"/>
        <v/>
      </c>
      <c r="D739" s="93" t="str">
        <f t="shared" si="23"/>
        <v/>
      </c>
    </row>
    <row r="740" spans="3:4" x14ac:dyDescent="0.25">
      <c r="C740" s="93" t="str">
        <f t="shared" si="22"/>
        <v/>
      </c>
      <c r="D740" s="93" t="str">
        <f t="shared" si="23"/>
        <v/>
      </c>
    </row>
    <row r="741" spans="3:4" x14ac:dyDescent="0.25">
      <c r="C741" s="93" t="str">
        <f t="shared" si="22"/>
        <v/>
      </c>
      <c r="D741" s="93" t="str">
        <f t="shared" si="23"/>
        <v/>
      </c>
    </row>
    <row r="742" spans="3:4" x14ac:dyDescent="0.25">
      <c r="C742" s="93" t="str">
        <f t="shared" si="22"/>
        <v/>
      </c>
      <c r="D742" s="93" t="str">
        <f t="shared" si="23"/>
        <v/>
      </c>
    </row>
    <row r="743" spans="3:4" x14ac:dyDescent="0.25">
      <c r="C743" s="93" t="str">
        <f t="shared" si="22"/>
        <v/>
      </c>
      <c r="D743" s="93" t="str">
        <f t="shared" si="23"/>
        <v/>
      </c>
    </row>
    <row r="744" spans="3:4" x14ac:dyDescent="0.25">
      <c r="C744" s="93" t="str">
        <f t="shared" si="22"/>
        <v/>
      </c>
      <c r="D744" s="93" t="str">
        <f t="shared" si="23"/>
        <v/>
      </c>
    </row>
    <row r="745" spans="3:4" x14ac:dyDescent="0.25">
      <c r="C745" s="93" t="str">
        <f t="shared" si="22"/>
        <v/>
      </c>
      <c r="D745" s="93" t="str">
        <f t="shared" si="23"/>
        <v/>
      </c>
    </row>
    <row r="746" spans="3:4" x14ac:dyDescent="0.25">
      <c r="C746" s="93" t="str">
        <f t="shared" si="22"/>
        <v/>
      </c>
      <c r="D746" s="93" t="str">
        <f t="shared" si="23"/>
        <v/>
      </c>
    </row>
    <row r="747" spans="3:4" x14ac:dyDescent="0.25">
      <c r="C747" s="93" t="str">
        <f t="shared" si="22"/>
        <v/>
      </c>
      <c r="D747" s="93" t="str">
        <f t="shared" si="23"/>
        <v/>
      </c>
    </row>
    <row r="748" spans="3:4" x14ac:dyDescent="0.25">
      <c r="C748" s="93" t="str">
        <f t="shared" si="22"/>
        <v/>
      </c>
      <c r="D748" s="93" t="str">
        <f t="shared" si="23"/>
        <v/>
      </c>
    </row>
    <row r="749" spans="3:4" x14ac:dyDescent="0.25">
      <c r="C749" s="93" t="str">
        <f t="shared" si="22"/>
        <v/>
      </c>
      <c r="D749" s="93" t="str">
        <f t="shared" si="23"/>
        <v/>
      </c>
    </row>
    <row r="750" spans="3:4" x14ac:dyDescent="0.25">
      <c r="C750" s="93" t="str">
        <f t="shared" si="22"/>
        <v/>
      </c>
      <c r="D750" s="93" t="str">
        <f t="shared" si="23"/>
        <v/>
      </c>
    </row>
    <row r="751" spans="3:4" x14ac:dyDescent="0.25">
      <c r="C751" s="93" t="str">
        <f t="shared" si="22"/>
        <v/>
      </c>
      <c r="D751" s="93" t="str">
        <f t="shared" si="23"/>
        <v/>
      </c>
    </row>
    <row r="752" spans="3:4" x14ac:dyDescent="0.25">
      <c r="C752" s="93" t="str">
        <f t="shared" si="22"/>
        <v/>
      </c>
      <c r="D752" s="93" t="str">
        <f t="shared" si="23"/>
        <v/>
      </c>
    </row>
    <row r="753" spans="3:4" x14ac:dyDescent="0.25">
      <c r="C753" s="93" t="str">
        <f t="shared" si="22"/>
        <v/>
      </c>
      <c r="D753" s="93" t="str">
        <f t="shared" si="23"/>
        <v/>
      </c>
    </row>
    <row r="754" spans="3:4" x14ac:dyDescent="0.25">
      <c r="C754" s="93" t="str">
        <f t="shared" si="22"/>
        <v/>
      </c>
      <c r="D754" s="93" t="str">
        <f t="shared" si="23"/>
        <v/>
      </c>
    </row>
    <row r="755" spans="3:4" x14ac:dyDescent="0.25">
      <c r="C755" s="93" t="str">
        <f t="shared" si="22"/>
        <v/>
      </c>
      <c r="D755" s="93" t="str">
        <f t="shared" si="23"/>
        <v/>
      </c>
    </row>
    <row r="756" spans="3:4" x14ac:dyDescent="0.25">
      <c r="C756" s="93" t="str">
        <f t="shared" si="22"/>
        <v/>
      </c>
      <c r="D756" s="93" t="str">
        <f t="shared" si="23"/>
        <v/>
      </c>
    </row>
    <row r="757" spans="3:4" x14ac:dyDescent="0.25">
      <c r="C757" s="93" t="str">
        <f t="shared" si="22"/>
        <v/>
      </c>
      <c r="D757" s="93" t="str">
        <f t="shared" si="23"/>
        <v/>
      </c>
    </row>
    <row r="758" spans="3:4" x14ac:dyDescent="0.25">
      <c r="C758" s="93" t="str">
        <f t="shared" si="22"/>
        <v/>
      </c>
      <c r="D758" s="93" t="str">
        <f t="shared" si="23"/>
        <v/>
      </c>
    </row>
    <row r="759" spans="3:4" x14ac:dyDescent="0.25">
      <c r="C759" s="93" t="str">
        <f t="shared" si="22"/>
        <v/>
      </c>
      <c r="D759" s="93" t="str">
        <f t="shared" si="23"/>
        <v/>
      </c>
    </row>
    <row r="760" spans="3:4" x14ac:dyDescent="0.25">
      <c r="C760" s="93" t="str">
        <f t="shared" si="22"/>
        <v/>
      </c>
      <c r="D760" s="93" t="str">
        <f t="shared" si="23"/>
        <v/>
      </c>
    </row>
    <row r="761" spans="3:4" x14ac:dyDescent="0.25">
      <c r="C761" s="93" t="str">
        <f t="shared" si="22"/>
        <v/>
      </c>
      <c r="D761" s="93" t="str">
        <f t="shared" si="23"/>
        <v/>
      </c>
    </row>
    <row r="762" spans="3:4" x14ac:dyDescent="0.25">
      <c r="C762" s="93" t="str">
        <f t="shared" si="22"/>
        <v/>
      </c>
      <c r="D762" s="93" t="str">
        <f t="shared" si="23"/>
        <v/>
      </c>
    </row>
    <row r="763" spans="3:4" x14ac:dyDescent="0.25">
      <c r="C763" s="93" t="str">
        <f t="shared" si="22"/>
        <v/>
      </c>
      <c r="D763" s="93" t="str">
        <f t="shared" si="23"/>
        <v/>
      </c>
    </row>
    <row r="764" spans="3:4" x14ac:dyDescent="0.25">
      <c r="C764" s="93" t="str">
        <f t="shared" si="22"/>
        <v/>
      </c>
      <c r="D764" s="93" t="str">
        <f t="shared" si="23"/>
        <v/>
      </c>
    </row>
    <row r="765" spans="3:4" x14ac:dyDescent="0.25">
      <c r="C765" s="93" t="str">
        <f t="shared" si="22"/>
        <v/>
      </c>
      <c r="D765" s="93" t="str">
        <f t="shared" si="23"/>
        <v/>
      </c>
    </row>
    <row r="766" spans="3:4" x14ac:dyDescent="0.25">
      <c r="C766" s="93" t="str">
        <f t="shared" si="22"/>
        <v/>
      </c>
      <c r="D766" s="93" t="str">
        <f t="shared" si="23"/>
        <v/>
      </c>
    </row>
    <row r="767" spans="3:4" x14ac:dyDescent="0.25">
      <c r="C767" s="93" t="str">
        <f t="shared" si="22"/>
        <v/>
      </c>
      <c r="D767" s="93" t="str">
        <f t="shared" si="23"/>
        <v/>
      </c>
    </row>
    <row r="768" spans="3:4" x14ac:dyDescent="0.25">
      <c r="C768" s="93" t="str">
        <f t="shared" si="22"/>
        <v/>
      </c>
      <c r="D768" s="93" t="str">
        <f t="shared" si="23"/>
        <v/>
      </c>
    </row>
    <row r="769" spans="3:4" x14ac:dyDescent="0.25">
      <c r="C769" s="93" t="str">
        <f t="shared" si="22"/>
        <v/>
      </c>
      <c r="D769" s="93" t="str">
        <f t="shared" si="23"/>
        <v/>
      </c>
    </row>
    <row r="770" spans="3:4" x14ac:dyDescent="0.25">
      <c r="C770" s="93" t="str">
        <f t="shared" si="22"/>
        <v/>
      </c>
      <c r="D770" s="93" t="str">
        <f t="shared" si="23"/>
        <v/>
      </c>
    </row>
    <row r="771" spans="3:4" x14ac:dyDescent="0.25">
      <c r="C771" s="93" t="str">
        <f t="shared" si="22"/>
        <v/>
      </c>
      <c r="D771" s="93" t="str">
        <f t="shared" si="23"/>
        <v/>
      </c>
    </row>
    <row r="772" spans="3:4" x14ac:dyDescent="0.25">
      <c r="C772" s="93" t="str">
        <f t="shared" si="22"/>
        <v/>
      </c>
      <c r="D772" s="93" t="str">
        <f t="shared" si="23"/>
        <v/>
      </c>
    </row>
    <row r="773" spans="3:4" x14ac:dyDescent="0.25">
      <c r="C773" s="93" t="str">
        <f t="shared" si="22"/>
        <v/>
      </c>
      <c r="D773" s="93" t="str">
        <f t="shared" si="23"/>
        <v/>
      </c>
    </row>
    <row r="774" spans="3:4" x14ac:dyDescent="0.25">
      <c r="C774" s="93" t="str">
        <f t="shared" si="22"/>
        <v/>
      </c>
      <c r="D774" s="93" t="str">
        <f t="shared" si="23"/>
        <v/>
      </c>
    </row>
    <row r="775" spans="3:4" x14ac:dyDescent="0.25">
      <c r="C775" s="93" t="str">
        <f t="shared" si="22"/>
        <v/>
      </c>
      <c r="D775" s="93" t="str">
        <f t="shared" si="23"/>
        <v/>
      </c>
    </row>
    <row r="776" spans="3:4" x14ac:dyDescent="0.25">
      <c r="C776" s="93" t="str">
        <f t="shared" si="22"/>
        <v/>
      </c>
      <c r="D776" s="93" t="str">
        <f t="shared" si="23"/>
        <v/>
      </c>
    </row>
    <row r="777" spans="3:4" x14ac:dyDescent="0.25">
      <c r="C777" s="93" t="str">
        <f t="shared" si="22"/>
        <v/>
      </c>
      <c r="D777" s="93" t="str">
        <f t="shared" si="23"/>
        <v/>
      </c>
    </row>
    <row r="778" spans="3:4" x14ac:dyDescent="0.25">
      <c r="C778" s="93" t="str">
        <f t="shared" si="22"/>
        <v/>
      </c>
      <c r="D778" s="93" t="str">
        <f t="shared" si="23"/>
        <v/>
      </c>
    </row>
    <row r="779" spans="3:4" x14ac:dyDescent="0.25">
      <c r="C779" s="93" t="str">
        <f t="shared" si="22"/>
        <v/>
      </c>
      <c r="D779" s="93" t="str">
        <f t="shared" si="23"/>
        <v/>
      </c>
    </row>
    <row r="780" spans="3:4" x14ac:dyDescent="0.25">
      <c r="C780" s="93" t="str">
        <f t="shared" si="22"/>
        <v/>
      </c>
      <c r="D780" s="93" t="str">
        <f t="shared" si="23"/>
        <v/>
      </c>
    </row>
    <row r="781" spans="3:4" x14ac:dyDescent="0.25">
      <c r="C781" s="93" t="str">
        <f t="shared" si="22"/>
        <v/>
      </c>
      <c r="D781" s="93" t="str">
        <f t="shared" si="23"/>
        <v/>
      </c>
    </row>
    <row r="782" spans="3:4" x14ac:dyDescent="0.25">
      <c r="C782" s="93" t="str">
        <f t="shared" ref="C782:C845" si="24">IF(A782=0,"",VLOOKUP(B782,MatDB,2,FALSE))</f>
        <v/>
      </c>
      <c r="D782" s="93" t="str">
        <f t="shared" si="23"/>
        <v/>
      </c>
    </row>
    <row r="783" spans="3:4" x14ac:dyDescent="0.25">
      <c r="C783" s="93" t="str">
        <f t="shared" si="24"/>
        <v/>
      </c>
      <c r="D783" s="93" t="str">
        <f t="shared" ref="D783:D846" si="25">IF(A783=0,"","Concrete04")</f>
        <v/>
      </c>
    </row>
    <row r="784" spans="3:4" x14ac:dyDescent="0.25">
      <c r="C784" s="93" t="str">
        <f t="shared" si="24"/>
        <v/>
      </c>
      <c r="D784" s="93" t="str">
        <f t="shared" si="25"/>
        <v/>
      </c>
    </row>
    <row r="785" spans="3:4" x14ac:dyDescent="0.25">
      <c r="C785" s="93" t="str">
        <f t="shared" si="24"/>
        <v/>
      </c>
      <c r="D785" s="93" t="str">
        <f t="shared" si="25"/>
        <v/>
      </c>
    </row>
    <row r="786" spans="3:4" x14ac:dyDescent="0.25">
      <c r="C786" s="93" t="str">
        <f t="shared" si="24"/>
        <v/>
      </c>
      <c r="D786" s="93" t="str">
        <f t="shared" si="25"/>
        <v/>
      </c>
    </row>
    <row r="787" spans="3:4" x14ac:dyDescent="0.25">
      <c r="C787" s="93" t="str">
        <f t="shared" si="24"/>
        <v/>
      </c>
      <c r="D787" s="93" t="str">
        <f t="shared" si="25"/>
        <v/>
      </c>
    </row>
    <row r="788" spans="3:4" x14ac:dyDescent="0.25">
      <c r="C788" s="93" t="str">
        <f t="shared" si="24"/>
        <v/>
      </c>
      <c r="D788" s="93" t="str">
        <f t="shared" si="25"/>
        <v/>
      </c>
    </row>
    <row r="789" spans="3:4" x14ac:dyDescent="0.25">
      <c r="C789" s="93" t="str">
        <f t="shared" si="24"/>
        <v/>
      </c>
      <c r="D789" s="93" t="str">
        <f t="shared" si="25"/>
        <v/>
      </c>
    </row>
    <row r="790" spans="3:4" x14ac:dyDescent="0.25">
      <c r="C790" s="93" t="str">
        <f t="shared" si="24"/>
        <v/>
      </c>
      <c r="D790" s="93" t="str">
        <f t="shared" si="25"/>
        <v/>
      </c>
    </row>
    <row r="791" spans="3:4" x14ac:dyDescent="0.25">
      <c r="C791" s="93" t="str">
        <f t="shared" si="24"/>
        <v/>
      </c>
      <c r="D791" s="93" t="str">
        <f t="shared" si="25"/>
        <v/>
      </c>
    </row>
    <row r="792" spans="3:4" x14ac:dyDescent="0.25">
      <c r="C792" s="93" t="str">
        <f t="shared" si="24"/>
        <v/>
      </c>
      <c r="D792" s="93" t="str">
        <f t="shared" si="25"/>
        <v/>
      </c>
    </row>
    <row r="793" spans="3:4" x14ac:dyDescent="0.25">
      <c r="C793" s="93" t="str">
        <f t="shared" si="24"/>
        <v/>
      </c>
      <c r="D793" s="93" t="str">
        <f t="shared" si="25"/>
        <v/>
      </c>
    </row>
    <row r="794" spans="3:4" x14ac:dyDescent="0.25">
      <c r="C794" s="93" t="str">
        <f t="shared" si="24"/>
        <v/>
      </c>
      <c r="D794" s="93" t="str">
        <f t="shared" si="25"/>
        <v/>
      </c>
    </row>
    <row r="795" spans="3:4" x14ac:dyDescent="0.25">
      <c r="C795" s="93" t="str">
        <f t="shared" si="24"/>
        <v/>
      </c>
      <c r="D795" s="93" t="str">
        <f t="shared" si="25"/>
        <v/>
      </c>
    </row>
    <row r="796" spans="3:4" x14ac:dyDescent="0.25">
      <c r="C796" s="93" t="str">
        <f t="shared" si="24"/>
        <v/>
      </c>
      <c r="D796" s="93" t="str">
        <f t="shared" si="25"/>
        <v/>
      </c>
    </row>
    <row r="797" spans="3:4" x14ac:dyDescent="0.25">
      <c r="C797" s="93" t="str">
        <f t="shared" si="24"/>
        <v/>
      </c>
      <c r="D797" s="93" t="str">
        <f t="shared" si="25"/>
        <v/>
      </c>
    </row>
    <row r="798" spans="3:4" x14ac:dyDescent="0.25">
      <c r="C798" s="93" t="str">
        <f t="shared" si="24"/>
        <v/>
      </c>
      <c r="D798" s="93" t="str">
        <f t="shared" si="25"/>
        <v/>
      </c>
    </row>
    <row r="799" spans="3:4" x14ac:dyDescent="0.25">
      <c r="C799" s="93" t="str">
        <f t="shared" si="24"/>
        <v/>
      </c>
      <c r="D799" s="93" t="str">
        <f t="shared" si="25"/>
        <v/>
      </c>
    </row>
    <row r="800" spans="3:4" x14ac:dyDescent="0.25">
      <c r="C800" s="93" t="str">
        <f t="shared" si="24"/>
        <v/>
      </c>
      <c r="D800" s="93" t="str">
        <f t="shared" si="25"/>
        <v/>
      </c>
    </row>
    <row r="801" spans="3:4" x14ac:dyDescent="0.25">
      <c r="C801" s="93" t="str">
        <f t="shared" si="24"/>
        <v/>
      </c>
      <c r="D801" s="93" t="str">
        <f t="shared" si="25"/>
        <v/>
      </c>
    </row>
    <row r="802" spans="3:4" x14ac:dyDescent="0.25">
      <c r="C802" s="93" t="str">
        <f t="shared" si="24"/>
        <v/>
      </c>
      <c r="D802" s="93" t="str">
        <f t="shared" si="25"/>
        <v/>
      </c>
    </row>
    <row r="803" spans="3:4" x14ac:dyDescent="0.25">
      <c r="C803" s="93" t="str">
        <f t="shared" si="24"/>
        <v/>
      </c>
      <c r="D803" s="93" t="str">
        <f t="shared" si="25"/>
        <v/>
      </c>
    </row>
    <row r="804" spans="3:4" x14ac:dyDescent="0.25">
      <c r="C804" s="93" t="str">
        <f t="shared" si="24"/>
        <v/>
      </c>
      <c r="D804" s="93" t="str">
        <f t="shared" si="25"/>
        <v/>
      </c>
    </row>
    <row r="805" spans="3:4" x14ac:dyDescent="0.25">
      <c r="C805" s="93" t="str">
        <f t="shared" si="24"/>
        <v/>
      </c>
      <c r="D805" s="93" t="str">
        <f t="shared" si="25"/>
        <v/>
      </c>
    </row>
    <row r="806" spans="3:4" x14ac:dyDescent="0.25">
      <c r="C806" s="93" t="str">
        <f t="shared" si="24"/>
        <v/>
      </c>
      <c r="D806" s="93" t="str">
        <f t="shared" si="25"/>
        <v/>
      </c>
    </row>
    <row r="807" spans="3:4" x14ac:dyDescent="0.25">
      <c r="C807" s="93" t="str">
        <f t="shared" si="24"/>
        <v/>
      </c>
      <c r="D807" s="93" t="str">
        <f t="shared" si="25"/>
        <v/>
      </c>
    </row>
    <row r="808" spans="3:4" x14ac:dyDescent="0.25">
      <c r="C808" s="93" t="str">
        <f t="shared" si="24"/>
        <v/>
      </c>
      <c r="D808" s="93" t="str">
        <f t="shared" si="25"/>
        <v/>
      </c>
    </row>
    <row r="809" spans="3:4" x14ac:dyDescent="0.25">
      <c r="C809" s="93" t="str">
        <f t="shared" si="24"/>
        <v/>
      </c>
      <c r="D809" s="93" t="str">
        <f t="shared" si="25"/>
        <v/>
      </c>
    </row>
    <row r="810" spans="3:4" x14ac:dyDescent="0.25">
      <c r="C810" s="93" t="str">
        <f t="shared" si="24"/>
        <v/>
      </c>
      <c r="D810" s="93" t="str">
        <f t="shared" si="25"/>
        <v/>
      </c>
    </row>
    <row r="811" spans="3:4" x14ac:dyDescent="0.25">
      <c r="C811" s="93" t="str">
        <f t="shared" si="24"/>
        <v/>
      </c>
      <c r="D811" s="93" t="str">
        <f t="shared" si="25"/>
        <v/>
      </c>
    </row>
    <row r="812" spans="3:4" x14ac:dyDescent="0.25">
      <c r="C812" s="93" t="str">
        <f t="shared" si="24"/>
        <v/>
      </c>
      <c r="D812" s="93" t="str">
        <f t="shared" si="25"/>
        <v/>
      </c>
    </row>
    <row r="813" spans="3:4" x14ac:dyDescent="0.25">
      <c r="C813" s="93" t="str">
        <f t="shared" si="24"/>
        <v/>
      </c>
      <c r="D813" s="93" t="str">
        <f t="shared" si="25"/>
        <v/>
      </c>
    </row>
    <row r="814" spans="3:4" x14ac:dyDescent="0.25">
      <c r="C814" s="93" t="str">
        <f t="shared" si="24"/>
        <v/>
      </c>
      <c r="D814" s="93" t="str">
        <f t="shared" si="25"/>
        <v/>
      </c>
    </row>
    <row r="815" spans="3:4" x14ac:dyDescent="0.25">
      <c r="C815" s="93" t="str">
        <f t="shared" si="24"/>
        <v/>
      </c>
      <c r="D815" s="93" t="str">
        <f t="shared" si="25"/>
        <v/>
      </c>
    </row>
    <row r="816" spans="3:4" x14ac:dyDescent="0.25">
      <c r="C816" s="93" t="str">
        <f t="shared" si="24"/>
        <v/>
      </c>
      <c r="D816" s="93" t="str">
        <f t="shared" si="25"/>
        <v/>
      </c>
    </row>
    <row r="817" spans="3:4" x14ac:dyDescent="0.25">
      <c r="C817" s="93" t="str">
        <f t="shared" si="24"/>
        <v/>
      </c>
      <c r="D817" s="93" t="str">
        <f t="shared" si="25"/>
        <v/>
      </c>
    </row>
    <row r="818" spans="3:4" x14ac:dyDescent="0.25">
      <c r="C818" s="93" t="str">
        <f t="shared" si="24"/>
        <v/>
      </c>
      <c r="D818" s="93" t="str">
        <f t="shared" si="25"/>
        <v/>
      </c>
    </row>
    <row r="819" spans="3:4" x14ac:dyDescent="0.25">
      <c r="C819" s="93" t="str">
        <f t="shared" si="24"/>
        <v/>
      </c>
      <c r="D819" s="93" t="str">
        <f t="shared" si="25"/>
        <v/>
      </c>
    </row>
    <row r="820" spans="3:4" x14ac:dyDescent="0.25">
      <c r="C820" s="93" t="str">
        <f t="shared" si="24"/>
        <v/>
      </c>
      <c r="D820" s="93" t="str">
        <f t="shared" si="25"/>
        <v/>
      </c>
    </row>
    <row r="821" spans="3:4" x14ac:dyDescent="0.25">
      <c r="C821" s="93" t="str">
        <f t="shared" si="24"/>
        <v/>
      </c>
      <c r="D821" s="93" t="str">
        <f t="shared" si="25"/>
        <v/>
      </c>
    </row>
    <row r="822" spans="3:4" x14ac:dyDescent="0.25">
      <c r="C822" s="93" t="str">
        <f t="shared" si="24"/>
        <v/>
      </c>
      <c r="D822" s="93" t="str">
        <f t="shared" si="25"/>
        <v/>
      </c>
    </row>
    <row r="823" spans="3:4" x14ac:dyDescent="0.25">
      <c r="C823" s="93" t="str">
        <f t="shared" si="24"/>
        <v/>
      </c>
      <c r="D823" s="93" t="str">
        <f t="shared" si="25"/>
        <v/>
      </c>
    </row>
    <row r="824" spans="3:4" x14ac:dyDescent="0.25">
      <c r="C824" s="93" t="str">
        <f t="shared" si="24"/>
        <v/>
      </c>
      <c r="D824" s="93" t="str">
        <f t="shared" si="25"/>
        <v/>
      </c>
    </row>
    <row r="825" spans="3:4" x14ac:dyDescent="0.25">
      <c r="C825" s="93" t="str">
        <f t="shared" si="24"/>
        <v/>
      </c>
      <c r="D825" s="93" t="str">
        <f t="shared" si="25"/>
        <v/>
      </c>
    </row>
    <row r="826" spans="3:4" x14ac:dyDescent="0.25">
      <c r="C826" s="93" t="str">
        <f t="shared" si="24"/>
        <v/>
      </c>
      <c r="D826" s="93" t="str">
        <f t="shared" si="25"/>
        <v/>
      </c>
    </row>
    <row r="827" spans="3:4" x14ac:dyDescent="0.25">
      <c r="C827" s="93" t="str">
        <f t="shared" si="24"/>
        <v/>
      </c>
      <c r="D827" s="93" t="str">
        <f t="shared" si="25"/>
        <v/>
      </c>
    </row>
    <row r="828" spans="3:4" x14ac:dyDescent="0.25">
      <c r="C828" s="93" t="str">
        <f t="shared" si="24"/>
        <v/>
      </c>
      <c r="D828" s="93" t="str">
        <f t="shared" si="25"/>
        <v/>
      </c>
    </row>
    <row r="829" spans="3:4" x14ac:dyDescent="0.25">
      <c r="C829" s="93" t="str">
        <f t="shared" si="24"/>
        <v/>
      </c>
      <c r="D829" s="93" t="str">
        <f t="shared" si="25"/>
        <v/>
      </c>
    </row>
    <row r="830" spans="3:4" x14ac:dyDescent="0.25">
      <c r="C830" s="93" t="str">
        <f t="shared" si="24"/>
        <v/>
      </c>
      <c r="D830" s="93" t="str">
        <f t="shared" si="25"/>
        <v/>
      </c>
    </row>
    <row r="831" spans="3:4" x14ac:dyDescent="0.25">
      <c r="C831" s="93" t="str">
        <f t="shared" si="24"/>
        <v/>
      </c>
      <c r="D831" s="93" t="str">
        <f t="shared" si="25"/>
        <v/>
      </c>
    </row>
    <row r="832" spans="3:4" x14ac:dyDescent="0.25">
      <c r="C832" s="93" t="str">
        <f t="shared" si="24"/>
        <v/>
      </c>
      <c r="D832" s="93" t="str">
        <f t="shared" si="25"/>
        <v/>
      </c>
    </row>
    <row r="833" spans="3:4" x14ac:dyDescent="0.25">
      <c r="C833" s="93" t="str">
        <f t="shared" si="24"/>
        <v/>
      </c>
      <c r="D833" s="93" t="str">
        <f t="shared" si="25"/>
        <v/>
      </c>
    </row>
    <row r="834" spans="3:4" x14ac:dyDescent="0.25">
      <c r="C834" s="93" t="str">
        <f t="shared" si="24"/>
        <v/>
      </c>
      <c r="D834" s="93" t="str">
        <f t="shared" si="25"/>
        <v/>
      </c>
    </row>
    <row r="835" spans="3:4" x14ac:dyDescent="0.25">
      <c r="C835" s="93" t="str">
        <f t="shared" si="24"/>
        <v/>
      </c>
      <c r="D835" s="93" t="str">
        <f t="shared" si="25"/>
        <v/>
      </c>
    </row>
    <row r="836" spans="3:4" x14ac:dyDescent="0.25">
      <c r="C836" s="93" t="str">
        <f t="shared" si="24"/>
        <v/>
      </c>
      <c r="D836" s="93" t="str">
        <f t="shared" si="25"/>
        <v/>
      </c>
    </row>
    <row r="837" spans="3:4" x14ac:dyDescent="0.25">
      <c r="C837" s="93" t="str">
        <f t="shared" si="24"/>
        <v/>
      </c>
      <c r="D837" s="93" t="str">
        <f t="shared" si="25"/>
        <v/>
      </c>
    </row>
    <row r="838" spans="3:4" x14ac:dyDescent="0.25">
      <c r="C838" s="93" t="str">
        <f t="shared" si="24"/>
        <v/>
      </c>
      <c r="D838" s="93" t="str">
        <f t="shared" si="25"/>
        <v/>
      </c>
    </row>
    <row r="839" spans="3:4" x14ac:dyDescent="0.25">
      <c r="C839" s="93" t="str">
        <f t="shared" si="24"/>
        <v/>
      </c>
      <c r="D839" s="93" t="str">
        <f t="shared" si="25"/>
        <v/>
      </c>
    </row>
    <row r="840" spans="3:4" x14ac:dyDescent="0.25">
      <c r="C840" s="93" t="str">
        <f t="shared" si="24"/>
        <v/>
      </c>
      <c r="D840" s="93" t="str">
        <f t="shared" si="25"/>
        <v/>
      </c>
    </row>
    <row r="841" spans="3:4" x14ac:dyDescent="0.25">
      <c r="C841" s="93" t="str">
        <f t="shared" si="24"/>
        <v/>
      </c>
      <c r="D841" s="93" t="str">
        <f t="shared" si="25"/>
        <v/>
      </c>
    </row>
    <row r="842" spans="3:4" x14ac:dyDescent="0.25">
      <c r="C842" s="93" t="str">
        <f t="shared" si="24"/>
        <v/>
      </c>
      <c r="D842" s="93" t="str">
        <f t="shared" si="25"/>
        <v/>
      </c>
    </row>
    <row r="843" spans="3:4" x14ac:dyDescent="0.25">
      <c r="C843" s="93" t="str">
        <f t="shared" si="24"/>
        <v/>
      </c>
      <c r="D843" s="93" t="str">
        <f t="shared" si="25"/>
        <v/>
      </c>
    </row>
    <row r="844" spans="3:4" x14ac:dyDescent="0.25">
      <c r="C844" s="93" t="str">
        <f t="shared" si="24"/>
        <v/>
      </c>
      <c r="D844" s="93" t="str">
        <f t="shared" si="25"/>
        <v/>
      </c>
    </row>
    <row r="845" spans="3:4" x14ac:dyDescent="0.25">
      <c r="C845" s="93" t="str">
        <f t="shared" si="24"/>
        <v/>
      </c>
      <c r="D845" s="93" t="str">
        <f t="shared" si="25"/>
        <v/>
      </c>
    </row>
    <row r="846" spans="3:4" x14ac:dyDescent="0.25">
      <c r="C846" s="93" t="str">
        <f t="shared" ref="C846:C909" si="26">IF(A846=0,"",VLOOKUP(B846,MatDB,2,FALSE))</f>
        <v/>
      </c>
      <c r="D846" s="93" t="str">
        <f t="shared" si="25"/>
        <v/>
      </c>
    </row>
    <row r="847" spans="3:4" x14ac:dyDescent="0.25">
      <c r="C847" s="93" t="str">
        <f t="shared" si="26"/>
        <v/>
      </c>
      <c r="D847" s="93" t="str">
        <f t="shared" ref="D847:D910" si="27">IF(A847=0,"","Concrete04")</f>
        <v/>
      </c>
    </row>
    <row r="848" spans="3:4" x14ac:dyDescent="0.25">
      <c r="C848" s="93" t="str">
        <f t="shared" si="26"/>
        <v/>
      </c>
      <c r="D848" s="93" t="str">
        <f t="shared" si="27"/>
        <v/>
      </c>
    </row>
    <row r="849" spans="3:4" x14ac:dyDescent="0.25">
      <c r="C849" s="93" t="str">
        <f t="shared" si="26"/>
        <v/>
      </c>
      <c r="D849" s="93" t="str">
        <f t="shared" si="27"/>
        <v/>
      </c>
    </row>
    <row r="850" spans="3:4" x14ac:dyDescent="0.25">
      <c r="C850" s="93" t="str">
        <f t="shared" si="26"/>
        <v/>
      </c>
      <c r="D850" s="93" t="str">
        <f t="shared" si="27"/>
        <v/>
      </c>
    </row>
    <row r="851" spans="3:4" x14ac:dyDescent="0.25">
      <c r="C851" s="93" t="str">
        <f t="shared" si="26"/>
        <v/>
      </c>
      <c r="D851" s="93" t="str">
        <f t="shared" si="27"/>
        <v/>
      </c>
    </row>
    <row r="852" spans="3:4" x14ac:dyDescent="0.25">
      <c r="C852" s="93" t="str">
        <f t="shared" si="26"/>
        <v/>
      </c>
      <c r="D852" s="93" t="str">
        <f t="shared" si="27"/>
        <v/>
      </c>
    </row>
    <row r="853" spans="3:4" x14ac:dyDescent="0.25">
      <c r="C853" s="93" t="str">
        <f t="shared" si="26"/>
        <v/>
      </c>
      <c r="D853" s="93" t="str">
        <f t="shared" si="27"/>
        <v/>
      </c>
    </row>
    <row r="854" spans="3:4" x14ac:dyDescent="0.25">
      <c r="C854" s="93" t="str">
        <f t="shared" si="26"/>
        <v/>
      </c>
      <c r="D854" s="93" t="str">
        <f t="shared" si="27"/>
        <v/>
      </c>
    </row>
    <row r="855" spans="3:4" x14ac:dyDescent="0.25">
      <c r="C855" s="93" t="str">
        <f t="shared" si="26"/>
        <v/>
      </c>
      <c r="D855" s="93" t="str">
        <f t="shared" si="27"/>
        <v/>
      </c>
    </row>
    <row r="856" spans="3:4" x14ac:dyDescent="0.25">
      <c r="C856" s="93" t="str">
        <f t="shared" si="26"/>
        <v/>
      </c>
      <c r="D856" s="93" t="str">
        <f t="shared" si="27"/>
        <v/>
      </c>
    </row>
    <row r="857" spans="3:4" x14ac:dyDescent="0.25">
      <c r="C857" s="93" t="str">
        <f t="shared" si="26"/>
        <v/>
      </c>
      <c r="D857" s="93" t="str">
        <f t="shared" si="27"/>
        <v/>
      </c>
    </row>
    <row r="858" spans="3:4" x14ac:dyDescent="0.25">
      <c r="C858" s="93" t="str">
        <f t="shared" si="26"/>
        <v/>
      </c>
      <c r="D858" s="93" t="str">
        <f t="shared" si="27"/>
        <v/>
      </c>
    </row>
    <row r="859" spans="3:4" x14ac:dyDescent="0.25">
      <c r="C859" s="93" t="str">
        <f t="shared" si="26"/>
        <v/>
      </c>
      <c r="D859" s="93" t="str">
        <f t="shared" si="27"/>
        <v/>
      </c>
    </row>
    <row r="860" spans="3:4" x14ac:dyDescent="0.25">
      <c r="C860" s="93" t="str">
        <f t="shared" si="26"/>
        <v/>
      </c>
      <c r="D860" s="93" t="str">
        <f t="shared" si="27"/>
        <v/>
      </c>
    </row>
    <row r="861" spans="3:4" x14ac:dyDescent="0.25">
      <c r="C861" s="93" t="str">
        <f t="shared" si="26"/>
        <v/>
      </c>
      <c r="D861" s="93" t="str">
        <f t="shared" si="27"/>
        <v/>
      </c>
    </row>
    <row r="862" spans="3:4" x14ac:dyDescent="0.25">
      <c r="C862" s="93" t="str">
        <f t="shared" si="26"/>
        <v/>
      </c>
      <c r="D862" s="93" t="str">
        <f t="shared" si="27"/>
        <v/>
      </c>
    </row>
    <row r="863" spans="3:4" x14ac:dyDescent="0.25">
      <c r="C863" s="93" t="str">
        <f t="shared" si="26"/>
        <v/>
      </c>
      <c r="D863" s="93" t="str">
        <f t="shared" si="27"/>
        <v/>
      </c>
    </row>
    <row r="864" spans="3:4" x14ac:dyDescent="0.25">
      <c r="C864" s="93" t="str">
        <f t="shared" si="26"/>
        <v/>
      </c>
      <c r="D864" s="93" t="str">
        <f t="shared" si="27"/>
        <v/>
      </c>
    </row>
    <row r="865" spans="3:4" x14ac:dyDescent="0.25">
      <c r="C865" s="93" t="str">
        <f t="shared" si="26"/>
        <v/>
      </c>
      <c r="D865" s="93" t="str">
        <f t="shared" si="27"/>
        <v/>
      </c>
    </row>
    <row r="866" spans="3:4" x14ac:dyDescent="0.25">
      <c r="C866" s="93" t="str">
        <f t="shared" si="26"/>
        <v/>
      </c>
      <c r="D866" s="93" t="str">
        <f t="shared" si="27"/>
        <v/>
      </c>
    </row>
    <row r="867" spans="3:4" x14ac:dyDescent="0.25">
      <c r="C867" s="93" t="str">
        <f t="shared" si="26"/>
        <v/>
      </c>
      <c r="D867" s="93" t="str">
        <f t="shared" si="27"/>
        <v/>
      </c>
    </row>
    <row r="868" spans="3:4" x14ac:dyDescent="0.25">
      <c r="C868" s="93" t="str">
        <f t="shared" si="26"/>
        <v/>
      </c>
      <c r="D868" s="93" t="str">
        <f t="shared" si="27"/>
        <v/>
      </c>
    </row>
    <row r="869" spans="3:4" x14ac:dyDescent="0.25">
      <c r="C869" s="93" t="str">
        <f t="shared" si="26"/>
        <v/>
      </c>
      <c r="D869" s="93" t="str">
        <f t="shared" si="27"/>
        <v/>
      </c>
    </row>
    <row r="870" spans="3:4" x14ac:dyDescent="0.25">
      <c r="C870" s="93" t="str">
        <f t="shared" si="26"/>
        <v/>
      </c>
      <c r="D870" s="93" t="str">
        <f t="shared" si="27"/>
        <v/>
      </c>
    </row>
    <row r="871" spans="3:4" x14ac:dyDescent="0.25">
      <c r="C871" s="93" t="str">
        <f t="shared" si="26"/>
        <v/>
      </c>
      <c r="D871" s="93" t="str">
        <f t="shared" si="27"/>
        <v/>
      </c>
    </row>
    <row r="872" spans="3:4" x14ac:dyDescent="0.25">
      <c r="C872" s="93" t="str">
        <f t="shared" si="26"/>
        <v/>
      </c>
      <c r="D872" s="93" t="str">
        <f t="shared" si="27"/>
        <v/>
      </c>
    </row>
    <row r="873" spans="3:4" x14ac:dyDescent="0.25">
      <c r="C873" s="93" t="str">
        <f t="shared" si="26"/>
        <v/>
      </c>
      <c r="D873" s="93" t="str">
        <f t="shared" si="27"/>
        <v/>
      </c>
    </row>
    <row r="874" spans="3:4" x14ac:dyDescent="0.25">
      <c r="C874" s="93" t="str">
        <f t="shared" si="26"/>
        <v/>
      </c>
      <c r="D874" s="93" t="str">
        <f t="shared" si="27"/>
        <v/>
      </c>
    </row>
    <row r="875" spans="3:4" x14ac:dyDescent="0.25">
      <c r="C875" s="93" t="str">
        <f t="shared" si="26"/>
        <v/>
      </c>
      <c r="D875" s="93" t="str">
        <f t="shared" si="27"/>
        <v/>
      </c>
    </row>
    <row r="876" spans="3:4" x14ac:dyDescent="0.25">
      <c r="C876" s="93" t="str">
        <f t="shared" si="26"/>
        <v/>
      </c>
      <c r="D876" s="93" t="str">
        <f t="shared" si="27"/>
        <v/>
      </c>
    </row>
    <row r="877" spans="3:4" x14ac:dyDescent="0.25">
      <c r="C877" s="93" t="str">
        <f t="shared" si="26"/>
        <v/>
      </c>
      <c r="D877" s="93" t="str">
        <f t="shared" si="27"/>
        <v/>
      </c>
    </row>
    <row r="878" spans="3:4" x14ac:dyDescent="0.25">
      <c r="C878" s="93" t="str">
        <f t="shared" si="26"/>
        <v/>
      </c>
      <c r="D878" s="93" t="str">
        <f t="shared" si="27"/>
        <v/>
      </c>
    </row>
    <row r="879" spans="3:4" x14ac:dyDescent="0.25">
      <c r="C879" s="93" t="str">
        <f t="shared" si="26"/>
        <v/>
      </c>
      <c r="D879" s="93" t="str">
        <f t="shared" si="27"/>
        <v/>
      </c>
    </row>
    <row r="880" spans="3:4" x14ac:dyDescent="0.25">
      <c r="C880" s="93" t="str">
        <f t="shared" si="26"/>
        <v/>
      </c>
      <c r="D880" s="93" t="str">
        <f t="shared" si="27"/>
        <v/>
      </c>
    </row>
    <row r="881" spans="3:4" x14ac:dyDescent="0.25">
      <c r="C881" s="93" t="str">
        <f t="shared" si="26"/>
        <v/>
      </c>
      <c r="D881" s="93" t="str">
        <f t="shared" si="27"/>
        <v/>
      </c>
    </row>
    <row r="882" spans="3:4" x14ac:dyDescent="0.25">
      <c r="C882" s="93" t="str">
        <f t="shared" si="26"/>
        <v/>
      </c>
      <c r="D882" s="93" t="str">
        <f t="shared" si="27"/>
        <v/>
      </c>
    </row>
    <row r="883" spans="3:4" x14ac:dyDescent="0.25">
      <c r="C883" s="93" t="str">
        <f t="shared" si="26"/>
        <v/>
      </c>
      <c r="D883" s="93" t="str">
        <f t="shared" si="27"/>
        <v/>
      </c>
    </row>
    <row r="884" spans="3:4" x14ac:dyDescent="0.25">
      <c r="C884" s="93" t="str">
        <f t="shared" si="26"/>
        <v/>
      </c>
      <c r="D884" s="93" t="str">
        <f t="shared" si="27"/>
        <v/>
      </c>
    </row>
    <row r="885" spans="3:4" x14ac:dyDescent="0.25">
      <c r="C885" s="93" t="str">
        <f t="shared" si="26"/>
        <v/>
      </c>
      <c r="D885" s="93" t="str">
        <f t="shared" si="27"/>
        <v/>
      </c>
    </row>
    <row r="886" spans="3:4" x14ac:dyDescent="0.25">
      <c r="C886" s="93" t="str">
        <f t="shared" si="26"/>
        <v/>
      </c>
      <c r="D886" s="93" t="str">
        <f t="shared" si="27"/>
        <v/>
      </c>
    </row>
    <row r="887" spans="3:4" x14ac:dyDescent="0.25">
      <c r="C887" s="93" t="str">
        <f t="shared" si="26"/>
        <v/>
      </c>
      <c r="D887" s="93" t="str">
        <f t="shared" si="27"/>
        <v/>
      </c>
    </row>
    <row r="888" spans="3:4" x14ac:dyDescent="0.25">
      <c r="C888" s="93" t="str">
        <f t="shared" si="26"/>
        <v/>
      </c>
      <c r="D888" s="93" t="str">
        <f t="shared" si="27"/>
        <v/>
      </c>
    </row>
    <row r="889" spans="3:4" x14ac:dyDescent="0.25">
      <c r="C889" s="93" t="str">
        <f t="shared" si="26"/>
        <v/>
      </c>
      <c r="D889" s="93" t="str">
        <f t="shared" si="27"/>
        <v/>
      </c>
    </row>
    <row r="890" spans="3:4" x14ac:dyDescent="0.25">
      <c r="C890" s="93" t="str">
        <f t="shared" si="26"/>
        <v/>
      </c>
      <c r="D890" s="93" t="str">
        <f t="shared" si="27"/>
        <v/>
      </c>
    </row>
    <row r="891" spans="3:4" x14ac:dyDescent="0.25">
      <c r="C891" s="93" t="str">
        <f t="shared" si="26"/>
        <v/>
      </c>
      <c r="D891" s="93" t="str">
        <f t="shared" si="27"/>
        <v/>
      </c>
    </row>
    <row r="892" spans="3:4" x14ac:dyDescent="0.25">
      <c r="C892" s="93" t="str">
        <f t="shared" si="26"/>
        <v/>
      </c>
      <c r="D892" s="93" t="str">
        <f t="shared" si="27"/>
        <v/>
      </c>
    </row>
    <row r="893" spans="3:4" x14ac:dyDescent="0.25">
      <c r="C893" s="93" t="str">
        <f t="shared" si="26"/>
        <v/>
      </c>
      <c r="D893" s="93" t="str">
        <f t="shared" si="27"/>
        <v/>
      </c>
    </row>
    <row r="894" spans="3:4" x14ac:dyDescent="0.25">
      <c r="C894" s="93" t="str">
        <f t="shared" si="26"/>
        <v/>
      </c>
      <c r="D894" s="93" t="str">
        <f t="shared" si="27"/>
        <v/>
      </c>
    </row>
    <row r="895" spans="3:4" x14ac:dyDescent="0.25">
      <c r="C895" s="93" t="str">
        <f t="shared" si="26"/>
        <v/>
      </c>
      <c r="D895" s="93" t="str">
        <f t="shared" si="27"/>
        <v/>
      </c>
    </row>
    <row r="896" spans="3:4" x14ac:dyDescent="0.25">
      <c r="C896" s="93" t="str">
        <f t="shared" si="26"/>
        <v/>
      </c>
      <c r="D896" s="93" t="str">
        <f t="shared" si="27"/>
        <v/>
      </c>
    </row>
    <row r="897" spans="3:4" x14ac:dyDescent="0.25">
      <c r="C897" s="93" t="str">
        <f t="shared" si="26"/>
        <v/>
      </c>
      <c r="D897" s="93" t="str">
        <f t="shared" si="27"/>
        <v/>
      </c>
    </row>
    <row r="898" spans="3:4" x14ac:dyDescent="0.25">
      <c r="C898" s="93" t="str">
        <f t="shared" si="26"/>
        <v/>
      </c>
      <c r="D898" s="93" t="str">
        <f t="shared" si="27"/>
        <v/>
      </c>
    </row>
    <row r="899" spans="3:4" x14ac:dyDescent="0.25">
      <c r="C899" s="93" t="str">
        <f t="shared" si="26"/>
        <v/>
      </c>
      <c r="D899" s="93" t="str">
        <f t="shared" si="27"/>
        <v/>
      </c>
    </row>
    <row r="900" spans="3:4" x14ac:dyDescent="0.25">
      <c r="C900" s="93" t="str">
        <f t="shared" si="26"/>
        <v/>
      </c>
      <c r="D900" s="93" t="str">
        <f t="shared" si="27"/>
        <v/>
      </c>
    </row>
    <row r="901" spans="3:4" x14ac:dyDescent="0.25">
      <c r="C901" s="93" t="str">
        <f t="shared" si="26"/>
        <v/>
      </c>
      <c r="D901" s="93" t="str">
        <f t="shared" si="27"/>
        <v/>
      </c>
    </row>
    <row r="902" spans="3:4" x14ac:dyDescent="0.25">
      <c r="C902" s="93" t="str">
        <f t="shared" si="26"/>
        <v/>
      </c>
      <c r="D902" s="93" t="str">
        <f t="shared" si="27"/>
        <v/>
      </c>
    </row>
    <row r="903" spans="3:4" x14ac:dyDescent="0.25">
      <c r="C903" s="93" t="str">
        <f t="shared" si="26"/>
        <v/>
      </c>
      <c r="D903" s="93" t="str">
        <f t="shared" si="27"/>
        <v/>
      </c>
    </row>
    <row r="904" spans="3:4" x14ac:dyDescent="0.25">
      <c r="C904" s="93" t="str">
        <f t="shared" si="26"/>
        <v/>
      </c>
      <c r="D904" s="93" t="str">
        <f t="shared" si="27"/>
        <v/>
      </c>
    </row>
    <row r="905" spans="3:4" x14ac:dyDescent="0.25">
      <c r="C905" s="93" t="str">
        <f t="shared" si="26"/>
        <v/>
      </c>
      <c r="D905" s="93" t="str">
        <f t="shared" si="27"/>
        <v/>
      </c>
    </row>
    <row r="906" spans="3:4" x14ac:dyDescent="0.25">
      <c r="C906" s="93" t="str">
        <f t="shared" si="26"/>
        <v/>
      </c>
      <c r="D906" s="93" t="str">
        <f t="shared" si="27"/>
        <v/>
      </c>
    </row>
    <row r="907" spans="3:4" x14ac:dyDescent="0.25">
      <c r="C907" s="93" t="str">
        <f t="shared" si="26"/>
        <v/>
      </c>
      <c r="D907" s="93" t="str">
        <f t="shared" si="27"/>
        <v/>
      </c>
    </row>
    <row r="908" spans="3:4" x14ac:dyDescent="0.25">
      <c r="C908" s="93" t="str">
        <f t="shared" si="26"/>
        <v/>
      </c>
      <c r="D908" s="93" t="str">
        <f t="shared" si="27"/>
        <v/>
      </c>
    </row>
    <row r="909" spans="3:4" x14ac:dyDescent="0.25">
      <c r="C909" s="93" t="str">
        <f t="shared" si="26"/>
        <v/>
      </c>
      <c r="D909" s="93" t="str">
        <f t="shared" si="27"/>
        <v/>
      </c>
    </row>
    <row r="910" spans="3:4" x14ac:dyDescent="0.25">
      <c r="C910" s="93" t="str">
        <f t="shared" ref="C910:C973" si="28">IF(A910=0,"",VLOOKUP(B910,MatDB,2,FALSE))</f>
        <v/>
      </c>
      <c r="D910" s="93" t="str">
        <f t="shared" si="27"/>
        <v/>
      </c>
    </row>
    <row r="911" spans="3:4" x14ac:dyDescent="0.25">
      <c r="C911" s="93" t="str">
        <f t="shared" si="28"/>
        <v/>
      </c>
      <c r="D911" s="93" t="str">
        <f t="shared" ref="D911:D974" si="29">IF(A911=0,"","Concrete04")</f>
        <v/>
      </c>
    </row>
    <row r="912" spans="3:4" x14ac:dyDescent="0.25">
      <c r="C912" s="93" t="str">
        <f t="shared" si="28"/>
        <v/>
      </c>
      <c r="D912" s="93" t="str">
        <f t="shared" si="29"/>
        <v/>
      </c>
    </row>
    <row r="913" spans="3:4" x14ac:dyDescent="0.25">
      <c r="C913" s="93" t="str">
        <f t="shared" si="28"/>
        <v/>
      </c>
      <c r="D913" s="93" t="str">
        <f t="shared" si="29"/>
        <v/>
      </c>
    </row>
    <row r="914" spans="3:4" x14ac:dyDescent="0.25">
      <c r="C914" s="93" t="str">
        <f t="shared" si="28"/>
        <v/>
      </c>
      <c r="D914" s="93" t="str">
        <f t="shared" si="29"/>
        <v/>
      </c>
    </row>
    <row r="915" spans="3:4" x14ac:dyDescent="0.25">
      <c r="C915" s="93" t="str">
        <f t="shared" si="28"/>
        <v/>
      </c>
      <c r="D915" s="93" t="str">
        <f t="shared" si="29"/>
        <v/>
      </c>
    </row>
    <row r="916" spans="3:4" x14ac:dyDescent="0.25">
      <c r="C916" s="93" t="str">
        <f t="shared" si="28"/>
        <v/>
      </c>
      <c r="D916" s="93" t="str">
        <f t="shared" si="29"/>
        <v/>
      </c>
    </row>
    <row r="917" spans="3:4" x14ac:dyDescent="0.25">
      <c r="C917" s="93" t="str">
        <f t="shared" si="28"/>
        <v/>
      </c>
      <c r="D917" s="93" t="str">
        <f t="shared" si="29"/>
        <v/>
      </c>
    </row>
    <row r="918" spans="3:4" x14ac:dyDescent="0.25">
      <c r="C918" s="93" t="str">
        <f t="shared" si="28"/>
        <v/>
      </c>
      <c r="D918" s="93" t="str">
        <f t="shared" si="29"/>
        <v/>
      </c>
    </row>
    <row r="919" spans="3:4" x14ac:dyDescent="0.25">
      <c r="C919" s="93" t="str">
        <f t="shared" si="28"/>
        <v/>
      </c>
      <c r="D919" s="93" t="str">
        <f t="shared" si="29"/>
        <v/>
      </c>
    </row>
    <row r="920" spans="3:4" x14ac:dyDescent="0.25">
      <c r="C920" s="93" t="str">
        <f t="shared" si="28"/>
        <v/>
      </c>
      <c r="D920" s="93" t="str">
        <f t="shared" si="29"/>
        <v/>
      </c>
    </row>
    <row r="921" spans="3:4" x14ac:dyDescent="0.25">
      <c r="C921" s="93" t="str">
        <f t="shared" si="28"/>
        <v/>
      </c>
      <c r="D921" s="93" t="str">
        <f t="shared" si="29"/>
        <v/>
      </c>
    </row>
    <row r="922" spans="3:4" x14ac:dyDescent="0.25">
      <c r="C922" s="93" t="str">
        <f t="shared" si="28"/>
        <v/>
      </c>
      <c r="D922" s="93" t="str">
        <f t="shared" si="29"/>
        <v/>
      </c>
    </row>
    <row r="923" spans="3:4" x14ac:dyDescent="0.25">
      <c r="C923" s="93" t="str">
        <f t="shared" si="28"/>
        <v/>
      </c>
      <c r="D923" s="93" t="str">
        <f t="shared" si="29"/>
        <v/>
      </c>
    </row>
    <row r="924" spans="3:4" x14ac:dyDescent="0.25">
      <c r="C924" s="93" t="str">
        <f t="shared" si="28"/>
        <v/>
      </c>
      <c r="D924" s="93" t="str">
        <f t="shared" si="29"/>
        <v/>
      </c>
    </row>
    <row r="925" spans="3:4" x14ac:dyDescent="0.25">
      <c r="C925" s="93" t="str">
        <f t="shared" si="28"/>
        <v/>
      </c>
      <c r="D925" s="93" t="str">
        <f t="shared" si="29"/>
        <v/>
      </c>
    </row>
    <row r="926" spans="3:4" x14ac:dyDescent="0.25">
      <c r="C926" s="93" t="str">
        <f t="shared" si="28"/>
        <v/>
      </c>
      <c r="D926" s="93" t="str">
        <f t="shared" si="29"/>
        <v/>
      </c>
    </row>
    <row r="927" spans="3:4" x14ac:dyDescent="0.25">
      <c r="C927" s="93" t="str">
        <f t="shared" si="28"/>
        <v/>
      </c>
      <c r="D927" s="93" t="str">
        <f t="shared" si="29"/>
        <v/>
      </c>
    </row>
    <row r="928" spans="3:4" x14ac:dyDescent="0.25">
      <c r="C928" s="93" t="str">
        <f t="shared" si="28"/>
        <v/>
      </c>
      <c r="D928" s="93" t="str">
        <f t="shared" si="29"/>
        <v/>
      </c>
    </row>
    <row r="929" spans="3:4" x14ac:dyDescent="0.25">
      <c r="C929" s="93" t="str">
        <f t="shared" si="28"/>
        <v/>
      </c>
      <c r="D929" s="93" t="str">
        <f t="shared" si="29"/>
        <v/>
      </c>
    </row>
    <row r="930" spans="3:4" x14ac:dyDescent="0.25">
      <c r="C930" s="93" t="str">
        <f t="shared" si="28"/>
        <v/>
      </c>
      <c r="D930" s="93" t="str">
        <f t="shared" si="29"/>
        <v/>
      </c>
    </row>
    <row r="931" spans="3:4" x14ac:dyDescent="0.25">
      <c r="C931" s="93" t="str">
        <f t="shared" si="28"/>
        <v/>
      </c>
      <c r="D931" s="93" t="str">
        <f t="shared" si="29"/>
        <v/>
      </c>
    </row>
    <row r="932" spans="3:4" x14ac:dyDescent="0.25">
      <c r="C932" s="93" t="str">
        <f t="shared" si="28"/>
        <v/>
      </c>
      <c r="D932" s="93" t="str">
        <f t="shared" si="29"/>
        <v/>
      </c>
    </row>
    <row r="933" spans="3:4" x14ac:dyDescent="0.25">
      <c r="C933" s="93" t="str">
        <f t="shared" si="28"/>
        <v/>
      </c>
      <c r="D933" s="93" t="str">
        <f t="shared" si="29"/>
        <v/>
      </c>
    </row>
    <row r="934" spans="3:4" x14ac:dyDescent="0.25">
      <c r="C934" s="93" t="str">
        <f t="shared" si="28"/>
        <v/>
      </c>
      <c r="D934" s="93" t="str">
        <f t="shared" si="29"/>
        <v/>
      </c>
    </row>
    <row r="935" spans="3:4" x14ac:dyDescent="0.25">
      <c r="C935" s="93" t="str">
        <f t="shared" si="28"/>
        <v/>
      </c>
      <c r="D935" s="93" t="str">
        <f t="shared" si="29"/>
        <v/>
      </c>
    </row>
    <row r="936" spans="3:4" x14ac:dyDescent="0.25">
      <c r="C936" s="93" t="str">
        <f t="shared" si="28"/>
        <v/>
      </c>
      <c r="D936" s="93" t="str">
        <f t="shared" si="29"/>
        <v/>
      </c>
    </row>
    <row r="937" spans="3:4" x14ac:dyDescent="0.25">
      <c r="C937" s="93" t="str">
        <f t="shared" si="28"/>
        <v/>
      </c>
      <c r="D937" s="93" t="str">
        <f t="shared" si="29"/>
        <v/>
      </c>
    </row>
    <row r="938" spans="3:4" x14ac:dyDescent="0.25">
      <c r="C938" s="93" t="str">
        <f t="shared" si="28"/>
        <v/>
      </c>
      <c r="D938" s="93" t="str">
        <f t="shared" si="29"/>
        <v/>
      </c>
    </row>
    <row r="939" spans="3:4" x14ac:dyDescent="0.25">
      <c r="C939" s="93" t="str">
        <f t="shared" si="28"/>
        <v/>
      </c>
      <c r="D939" s="93" t="str">
        <f t="shared" si="29"/>
        <v/>
      </c>
    </row>
    <row r="940" spans="3:4" x14ac:dyDescent="0.25">
      <c r="C940" s="93" t="str">
        <f t="shared" si="28"/>
        <v/>
      </c>
      <c r="D940" s="93" t="str">
        <f t="shared" si="29"/>
        <v/>
      </c>
    </row>
    <row r="941" spans="3:4" x14ac:dyDescent="0.25">
      <c r="C941" s="93" t="str">
        <f t="shared" si="28"/>
        <v/>
      </c>
      <c r="D941" s="93" t="str">
        <f t="shared" si="29"/>
        <v/>
      </c>
    </row>
    <row r="942" spans="3:4" x14ac:dyDescent="0.25">
      <c r="C942" s="93" t="str">
        <f t="shared" si="28"/>
        <v/>
      </c>
      <c r="D942" s="93" t="str">
        <f t="shared" si="29"/>
        <v/>
      </c>
    </row>
    <row r="943" spans="3:4" x14ac:dyDescent="0.25">
      <c r="C943" s="93" t="str">
        <f t="shared" si="28"/>
        <v/>
      </c>
      <c r="D943" s="93" t="str">
        <f t="shared" si="29"/>
        <v/>
      </c>
    </row>
    <row r="944" spans="3:4" x14ac:dyDescent="0.25">
      <c r="C944" s="93" t="str">
        <f t="shared" si="28"/>
        <v/>
      </c>
      <c r="D944" s="93" t="str">
        <f t="shared" si="29"/>
        <v/>
      </c>
    </row>
    <row r="945" spans="3:4" x14ac:dyDescent="0.25">
      <c r="C945" s="93" t="str">
        <f t="shared" si="28"/>
        <v/>
      </c>
      <c r="D945" s="93" t="str">
        <f t="shared" si="29"/>
        <v/>
      </c>
    </row>
    <row r="946" spans="3:4" x14ac:dyDescent="0.25">
      <c r="C946" s="93" t="str">
        <f t="shared" si="28"/>
        <v/>
      </c>
      <c r="D946" s="93" t="str">
        <f t="shared" si="29"/>
        <v/>
      </c>
    </row>
    <row r="947" spans="3:4" x14ac:dyDescent="0.25">
      <c r="C947" s="93" t="str">
        <f t="shared" si="28"/>
        <v/>
      </c>
      <c r="D947" s="93" t="str">
        <f t="shared" si="29"/>
        <v/>
      </c>
    </row>
    <row r="948" spans="3:4" x14ac:dyDescent="0.25">
      <c r="C948" s="93" t="str">
        <f t="shared" si="28"/>
        <v/>
      </c>
      <c r="D948" s="93" t="str">
        <f t="shared" si="29"/>
        <v/>
      </c>
    </row>
    <row r="949" spans="3:4" x14ac:dyDescent="0.25">
      <c r="C949" s="93" t="str">
        <f t="shared" si="28"/>
        <v/>
      </c>
      <c r="D949" s="93" t="str">
        <f t="shared" si="29"/>
        <v/>
      </c>
    </row>
    <row r="950" spans="3:4" x14ac:dyDescent="0.25">
      <c r="C950" s="93" t="str">
        <f t="shared" si="28"/>
        <v/>
      </c>
      <c r="D950" s="93" t="str">
        <f t="shared" si="29"/>
        <v/>
      </c>
    </row>
    <row r="951" spans="3:4" x14ac:dyDescent="0.25">
      <c r="C951" s="93" t="str">
        <f t="shared" si="28"/>
        <v/>
      </c>
      <c r="D951" s="93" t="str">
        <f t="shared" si="29"/>
        <v/>
      </c>
    </row>
    <row r="952" spans="3:4" x14ac:dyDescent="0.25">
      <c r="C952" s="93" t="str">
        <f t="shared" si="28"/>
        <v/>
      </c>
      <c r="D952" s="93" t="str">
        <f t="shared" si="29"/>
        <v/>
      </c>
    </row>
    <row r="953" spans="3:4" x14ac:dyDescent="0.25">
      <c r="C953" s="93" t="str">
        <f t="shared" si="28"/>
        <v/>
      </c>
      <c r="D953" s="93" t="str">
        <f t="shared" si="29"/>
        <v/>
      </c>
    </row>
    <row r="954" spans="3:4" x14ac:dyDescent="0.25">
      <c r="C954" s="93" t="str">
        <f t="shared" si="28"/>
        <v/>
      </c>
      <c r="D954" s="93" t="str">
        <f t="shared" si="29"/>
        <v/>
      </c>
    </row>
    <row r="955" spans="3:4" x14ac:dyDescent="0.25">
      <c r="C955" s="93" t="str">
        <f t="shared" si="28"/>
        <v/>
      </c>
      <c r="D955" s="93" t="str">
        <f t="shared" si="29"/>
        <v/>
      </c>
    </row>
    <row r="956" spans="3:4" x14ac:dyDescent="0.25">
      <c r="C956" s="93" t="str">
        <f t="shared" si="28"/>
        <v/>
      </c>
      <c r="D956" s="93" t="str">
        <f t="shared" si="29"/>
        <v/>
      </c>
    </row>
    <row r="957" spans="3:4" x14ac:dyDescent="0.25">
      <c r="C957" s="93" t="str">
        <f t="shared" si="28"/>
        <v/>
      </c>
      <c r="D957" s="93" t="str">
        <f t="shared" si="29"/>
        <v/>
      </c>
    </row>
    <row r="958" spans="3:4" x14ac:dyDescent="0.25">
      <c r="C958" s="93" t="str">
        <f t="shared" si="28"/>
        <v/>
      </c>
      <c r="D958" s="93" t="str">
        <f t="shared" si="29"/>
        <v/>
      </c>
    </row>
    <row r="959" spans="3:4" x14ac:dyDescent="0.25">
      <c r="C959" s="93" t="str">
        <f t="shared" si="28"/>
        <v/>
      </c>
      <c r="D959" s="93" t="str">
        <f t="shared" si="29"/>
        <v/>
      </c>
    </row>
    <row r="960" spans="3:4" x14ac:dyDescent="0.25">
      <c r="C960" s="93" t="str">
        <f t="shared" si="28"/>
        <v/>
      </c>
      <c r="D960" s="93" t="str">
        <f t="shared" si="29"/>
        <v/>
      </c>
    </row>
    <row r="961" spans="3:4" x14ac:dyDescent="0.25">
      <c r="C961" s="93" t="str">
        <f t="shared" si="28"/>
        <v/>
      </c>
      <c r="D961" s="93" t="str">
        <f t="shared" si="29"/>
        <v/>
      </c>
    </row>
    <row r="962" spans="3:4" x14ac:dyDescent="0.25">
      <c r="C962" s="93" t="str">
        <f t="shared" si="28"/>
        <v/>
      </c>
      <c r="D962" s="93" t="str">
        <f t="shared" si="29"/>
        <v/>
      </c>
    </row>
    <row r="963" spans="3:4" x14ac:dyDescent="0.25">
      <c r="C963" s="93" t="str">
        <f t="shared" si="28"/>
        <v/>
      </c>
      <c r="D963" s="93" t="str">
        <f t="shared" si="29"/>
        <v/>
      </c>
    </row>
    <row r="964" spans="3:4" x14ac:dyDescent="0.25">
      <c r="C964" s="93" t="str">
        <f t="shared" si="28"/>
        <v/>
      </c>
      <c r="D964" s="93" t="str">
        <f t="shared" si="29"/>
        <v/>
      </c>
    </row>
    <row r="965" spans="3:4" x14ac:dyDescent="0.25">
      <c r="C965" s="93" t="str">
        <f t="shared" si="28"/>
        <v/>
      </c>
      <c r="D965" s="93" t="str">
        <f t="shared" si="29"/>
        <v/>
      </c>
    </row>
    <row r="966" spans="3:4" x14ac:dyDescent="0.25">
      <c r="C966" s="93" t="str">
        <f t="shared" si="28"/>
        <v/>
      </c>
      <c r="D966" s="93" t="str">
        <f t="shared" si="29"/>
        <v/>
      </c>
    </row>
    <row r="967" spans="3:4" x14ac:dyDescent="0.25">
      <c r="C967" s="93" t="str">
        <f t="shared" si="28"/>
        <v/>
      </c>
      <c r="D967" s="93" t="str">
        <f t="shared" si="29"/>
        <v/>
      </c>
    </row>
    <row r="968" spans="3:4" x14ac:dyDescent="0.25">
      <c r="C968" s="93" t="str">
        <f t="shared" si="28"/>
        <v/>
      </c>
      <c r="D968" s="93" t="str">
        <f t="shared" si="29"/>
        <v/>
      </c>
    </row>
    <row r="969" spans="3:4" x14ac:dyDescent="0.25">
      <c r="C969" s="93" t="str">
        <f t="shared" si="28"/>
        <v/>
      </c>
      <c r="D969" s="93" t="str">
        <f t="shared" si="29"/>
        <v/>
      </c>
    </row>
    <row r="970" spans="3:4" x14ac:dyDescent="0.25">
      <c r="C970" s="93" t="str">
        <f t="shared" si="28"/>
        <v/>
      </c>
      <c r="D970" s="93" t="str">
        <f t="shared" si="29"/>
        <v/>
      </c>
    </row>
    <row r="971" spans="3:4" x14ac:dyDescent="0.25">
      <c r="C971" s="93" t="str">
        <f t="shared" si="28"/>
        <v/>
      </c>
      <c r="D971" s="93" t="str">
        <f t="shared" si="29"/>
        <v/>
      </c>
    </row>
    <row r="972" spans="3:4" x14ac:dyDescent="0.25">
      <c r="C972" s="93" t="str">
        <f t="shared" si="28"/>
        <v/>
      </c>
      <c r="D972" s="93" t="str">
        <f t="shared" si="29"/>
        <v/>
      </c>
    </row>
    <row r="973" spans="3:4" x14ac:dyDescent="0.25">
      <c r="C973" s="93" t="str">
        <f t="shared" si="28"/>
        <v/>
      </c>
      <c r="D973" s="93" t="str">
        <f t="shared" si="29"/>
        <v/>
      </c>
    </row>
    <row r="974" spans="3:4" x14ac:dyDescent="0.25">
      <c r="C974" s="93" t="str">
        <f t="shared" ref="C974:C1013" si="30">IF(A974=0,"",VLOOKUP(B974,MatDB,2,FALSE))</f>
        <v/>
      </c>
      <c r="D974" s="93" t="str">
        <f t="shared" si="29"/>
        <v/>
      </c>
    </row>
    <row r="975" spans="3:4" x14ac:dyDescent="0.25">
      <c r="C975" s="93" t="str">
        <f t="shared" si="30"/>
        <v/>
      </c>
      <c r="D975" s="93" t="str">
        <f t="shared" ref="D975:D1013" si="31">IF(A975=0,"","Concrete04")</f>
        <v/>
      </c>
    </row>
    <row r="976" spans="3:4" x14ac:dyDescent="0.25">
      <c r="C976" s="93" t="str">
        <f t="shared" si="30"/>
        <v/>
      </c>
      <c r="D976" s="93" t="str">
        <f t="shared" si="31"/>
        <v/>
      </c>
    </row>
    <row r="977" spans="3:4" x14ac:dyDescent="0.25">
      <c r="C977" s="93" t="str">
        <f t="shared" si="30"/>
        <v/>
      </c>
      <c r="D977" s="93" t="str">
        <f t="shared" si="31"/>
        <v/>
      </c>
    </row>
    <row r="978" spans="3:4" x14ac:dyDescent="0.25">
      <c r="C978" s="93" t="str">
        <f t="shared" si="30"/>
        <v/>
      </c>
      <c r="D978" s="93" t="str">
        <f t="shared" si="31"/>
        <v/>
      </c>
    </row>
    <row r="979" spans="3:4" x14ac:dyDescent="0.25">
      <c r="C979" s="93" t="str">
        <f t="shared" si="30"/>
        <v/>
      </c>
      <c r="D979" s="93" t="str">
        <f t="shared" si="31"/>
        <v/>
      </c>
    </row>
    <row r="980" spans="3:4" x14ac:dyDescent="0.25">
      <c r="C980" s="93" t="str">
        <f t="shared" si="30"/>
        <v/>
      </c>
      <c r="D980" s="93" t="str">
        <f t="shared" si="31"/>
        <v/>
      </c>
    </row>
    <row r="981" spans="3:4" x14ac:dyDescent="0.25">
      <c r="C981" s="93" t="str">
        <f t="shared" si="30"/>
        <v/>
      </c>
      <c r="D981" s="93" t="str">
        <f t="shared" si="31"/>
        <v/>
      </c>
    </row>
    <row r="982" spans="3:4" x14ac:dyDescent="0.25">
      <c r="C982" s="93" t="str">
        <f t="shared" si="30"/>
        <v/>
      </c>
      <c r="D982" s="93" t="str">
        <f t="shared" si="31"/>
        <v/>
      </c>
    </row>
    <row r="983" spans="3:4" x14ac:dyDescent="0.25">
      <c r="C983" s="93" t="str">
        <f t="shared" si="30"/>
        <v/>
      </c>
      <c r="D983" s="93" t="str">
        <f t="shared" si="31"/>
        <v/>
      </c>
    </row>
    <row r="984" spans="3:4" x14ac:dyDescent="0.25">
      <c r="C984" s="93" t="str">
        <f t="shared" si="30"/>
        <v/>
      </c>
      <c r="D984" s="93" t="str">
        <f t="shared" si="31"/>
        <v/>
      </c>
    </row>
    <row r="985" spans="3:4" x14ac:dyDescent="0.25">
      <c r="C985" s="93" t="str">
        <f t="shared" si="30"/>
        <v/>
      </c>
      <c r="D985" s="93" t="str">
        <f t="shared" si="31"/>
        <v/>
      </c>
    </row>
    <row r="986" spans="3:4" x14ac:dyDescent="0.25">
      <c r="C986" s="93" t="str">
        <f t="shared" si="30"/>
        <v/>
      </c>
      <c r="D986" s="93" t="str">
        <f t="shared" si="31"/>
        <v/>
      </c>
    </row>
    <row r="987" spans="3:4" x14ac:dyDescent="0.25">
      <c r="C987" s="93" t="str">
        <f t="shared" si="30"/>
        <v/>
      </c>
      <c r="D987" s="93" t="str">
        <f t="shared" si="31"/>
        <v/>
      </c>
    </row>
    <row r="988" spans="3:4" x14ac:dyDescent="0.25">
      <c r="C988" s="93" t="str">
        <f t="shared" si="30"/>
        <v/>
      </c>
      <c r="D988" s="93" t="str">
        <f t="shared" si="31"/>
        <v/>
      </c>
    </row>
    <row r="989" spans="3:4" x14ac:dyDescent="0.25">
      <c r="C989" s="93" t="str">
        <f t="shared" si="30"/>
        <v/>
      </c>
      <c r="D989" s="93" t="str">
        <f t="shared" si="31"/>
        <v/>
      </c>
    </row>
    <row r="990" spans="3:4" x14ac:dyDescent="0.25">
      <c r="C990" s="93" t="str">
        <f t="shared" si="30"/>
        <v/>
      </c>
      <c r="D990" s="93" t="str">
        <f t="shared" si="31"/>
        <v/>
      </c>
    </row>
    <row r="991" spans="3:4" x14ac:dyDescent="0.25">
      <c r="C991" s="93" t="str">
        <f t="shared" si="30"/>
        <v/>
      </c>
      <c r="D991" s="93" t="str">
        <f t="shared" si="31"/>
        <v/>
      </c>
    </row>
    <row r="992" spans="3:4" x14ac:dyDescent="0.25">
      <c r="C992" s="93" t="str">
        <f t="shared" si="30"/>
        <v/>
      </c>
      <c r="D992" s="93" t="str">
        <f t="shared" si="31"/>
        <v/>
      </c>
    </row>
    <row r="993" spans="3:4" x14ac:dyDescent="0.25">
      <c r="C993" s="93" t="str">
        <f t="shared" si="30"/>
        <v/>
      </c>
      <c r="D993" s="93" t="str">
        <f t="shared" si="31"/>
        <v/>
      </c>
    </row>
    <row r="994" spans="3:4" x14ac:dyDescent="0.25">
      <c r="C994" s="93" t="str">
        <f t="shared" si="30"/>
        <v/>
      </c>
      <c r="D994" s="93" t="str">
        <f t="shared" si="31"/>
        <v/>
      </c>
    </row>
    <row r="995" spans="3:4" x14ac:dyDescent="0.25">
      <c r="C995" s="93" t="str">
        <f t="shared" si="30"/>
        <v/>
      </c>
      <c r="D995" s="93" t="str">
        <f t="shared" si="31"/>
        <v/>
      </c>
    </row>
    <row r="996" spans="3:4" x14ac:dyDescent="0.25">
      <c r="C996" s="93" t="str">
        <f t="shared" si="30"/>
        <v/>
      </c>
      <c r="D996" s="93" t="str">
        <f t="shared" si="31"/>
        <v/>
      </c>
    </row>
    <row r="997" spans="3:4" x14ac:dyDescent="0.25">
      <c r="C997" s="93" t="str">
        <f t="shared" si="30"/>
        <v/>
      </c>
      <c r="D997" s="93" t="str">
        <f t="shared" si="31"/>
        <v/>
      </c>
    </row>
    <row r="998" spans="3:4" x14ac:dyDescent="0.25">
      <c r="C998" s="93" t="str">
        <f t="shared" si="30"/>
        <v/>
      </c>
      <c r="D998" s="93" t="str">
        <f t="shared" si="31"/>
        <v/>
      </c>
    </row>
    <row r="999" spans="3:4" x14ac:dyDescent="0.25">
      <c r="C999" s="93" t="str">
        <f t="shared" si="30"/>
        <v/>
      </c>
      <c r="D999" s="93" t="str">
        <f t="shared" si="31"/>
        <v/>
      </c>
    </row>
    <row r="1000" spans="3:4" x14ac:dyDescent="0.25">
      <c r="C1000" s="93" t="str">
        <f t="shared" si="30"/>
        <v/>
      </c>
      <c r="D1000" s="93" t="str">
        <f t="shared" si="31"/>
        <v/>
      </c>
    </row>
    <row r="1001" spans="3:4" x14ac:dyDescent="0.25">
      <c r="C1001" s="93" t="str">
        <f t="shared" si="30"/>
        <v/>
      </c>
      <c r="D1001" s="93" t="str">
        <f t="shared" si="31"/>
        <v/>
      </c>
    </row>
    <row r="1002" spans="3:4" x14ac:dyDescent="0.25">
      <c r="C1002" s="93" t="str">
        <f t="shared" si="30"/>
        <v/>
      </c>
      <c r="D1002" s="93" t="str">
        <f t="shared" si="31"/>
        <v/>
      </c>
    </row>
    <row r="1003" spans="3:4" x14ac:dyDescent="0.25">
      <c r="C1003" s="93" t="str">
        <f t="shared" si="30"/>
        <v/>
      </c>
      <c r="D1003" s="93" t="str">
        <f t="shared" si="31"/>
        <v/>
      </c>
    </row>
    <row r="1004" spans="3:4" x14ac:dyDescent="0.25">
      <c r="C1004" s="93" t="str">
        <f t="shared" si="30"/>
        <v/>
      </c>
      <c r="D1004" s="93" t="str">
        <f t="shared" si="31"/>
        <v/>
      </c>
    </row>
    <row r="1005" spans="3:4" x14ac:dyDescent="0.25">
      <c r="C1005" s="93" t="str">
        <f t="shared" si="30"/>
        <v/>
      </c>
      <c r="D1005" s="93" t="str">
        <f t="shared" si="31"/>
        <v/>
      </c>
    </row>
    <row r="1006" spans="3:4" x14ac:dyDescent="0.25">
      <c r="C1006" s="93" t="str">
        <f t="shared" si="30"/>
        <v/>
      </c>
      <c r="D1006" s="93" t="str">
        <f t="shared" si="31"/>
        <v/>
      </c>
    </row>
    <row r="1007" spans="3:4" x14ac:dyDescent="0.25">
      <c r="C1007" s="93" t="str">
        <f t="shared" si="30"/>
        <v/>
      </c>
      <c r="D1007" s="93" t="str">
        <f t="shared" si="31"/>
        <v/>
      </c>
    </row>
    <row r="1008" spans="3:4" x14ac:dyDescent="0.25">
      <c r="C1008" s="93" t="str">
        <f t="shared" si="30"/>
        <v/>
      </c>
      <c r="D1008" s="93" t="str">
        <f t="shared" si="31"/>
        <v/>
      </c>
    </row>
    <row r="1009" spans="3:4" x14ac:dyDescent="0.25">
      <c r="C1009" s="93" t="str">
        <f t="shared" si="30"/>
        <v/>
      </c>
      <c r="D1009" s="93" t="str">
        <f t="shared" si="31"/>
        <v/>
      </c>
    </row>
    <row r="1010" spans="3:4" x14ac:dyDescent="0.25">
      <c r="C1010" s="93" t="str">
        <f t="shared" si="30"/>
        <v/>
      </c>
      <c r="D1010" s="93" t="str">
        <f t="shared" si="31"/>
        <v/>
      </c>
    </row>
    <row r="1011" spans="3:4" x14ac:dyDescent="0.25">
      <c r="C1011" s="93" t="str">
        <f t="shared" si="30"/>
        <v/>
      </c>
      <c r="D1011" s="93" t="str">
        <f t="shared" si="31"/>
        <v/>
      </c>
    </row>
    <row r="1012" spans="3:4" x14ac:dyDescent="0.25">
      <c r="C1012" s="93" t="str">
        <f t="shared" si="30"/>
        <v/>
      </c>
      <c r="D1012" s="93" t="str">
        <f t="shared" si="31"/>
        <v/>
      </c>
    </row>
    <row r="1013" spans="3:4" x14ac:dyDescent="0.25">
      <c r="C1013" s="93" t="str">
        <f t="shared" si="30"/>
        <v/>
      </c>
      <c r="D1013" s="93" t="str">
        <f t="shared" si="31"/>
        <v/>
      </c>
    </row>
  </sheetData>
  <dataValidations xWindow="1277" yWindow="694" count="3">
    <dataValidation type="list" showInputMessage="1" showErrorMessage="1" errorTitle="Invalid Input" error="Choose from the list" sqref="B14:B1048576" xr:uid="{38EDBE46-D010-4584-B5C9-ACF83AFEAFB3}">
      <formula1>Base_Mat_Conc</formula1>
    </dataValidation>
    <dataValidation type="textLength" allowBlank="1" showInputMessage="1" showErrorMessage="1" errorTitle="Invalid Input" error="Please enter maximum 32 characters only." sqref="A14:A1048576" xr:uid="{1A6E5A41-C015-43F3-9799-90BDFA26683A}">
      <formula1>1</formula1>
      <formula2>32</formula2>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21" sqref="A21"/>
    </sheetView>
  </sheetViews>
  <sheetFormatPr defaultColWidth="8.85546875" defaultRowHeight="15" x14ac:dyDescent="0.25"/>
  <cols>
    <col min="1" max="2" width="20.7109375" style="137" customWidth="1"/>
    <col min="3" max="4" width="20.7109375" style="125" customWidth="1"/>
    <col min="5" max="8" width="10.7109375" style="136" customWidth="1"/>
    <col min="9" max="9" width="10.7109375" style="138" customWidth="1"/>
    <col min="10" max="16" width="10.7109375" style="136" customWidth="1"/>
    <col min="17" max="16384" width="8.85546875" style="127"/>
  </cols>
  <sheetData>
    <row r="1" spans="1:11" s="127" customFormat="1" ht="15.75" x14ac:dyDescent="0.25">
      <c r="A1" s="124" t="s">
        <v>199</v>
      </c>
      <c r="B1" s="125"/>
      <c r="C1" s="125"/>
      <c r="D1" s="125"/>
      <c r="E1" s="126"/>
      <c r="F1" s="126"/>
      <c r="G1" s="126"/>
      <c r="H1" s="126"/>
      <c r="I1" s="126"/>
      <c r="J1" s="126"/>
      <c r="K1" s="126"/>
    </row>
    <row r="2" spans="1:11" s="127" customFormat="1" ht="15.75" x14ac:dyDescent="0.25">
      <c r="A2" s="96" t="s">
        <v>231</v>
      </c>
      <c r="B2" s="125"/>
      <c r="C2" s="125"/>
      <c r="D2" s="125"/>
      <c r="E2" s="126"/>
      <c r="F2" s="126"/>
      <c r="G2" s="126"/>
      <c r="H2" s="126"/>
      <c r="I2" s="126"/>
      <c r="J2" s="126"/>
      <c r="K2" s="126"/>
    </row>
    <row r="3" spans="1:11" s="127" customFormat="1" ht="15.75" x14ac:dyDescent="0.25">
      <c r="A3" s="96" t="s">
        <v>232</v>
      </c>
      <c r="B3" s="125"/>
      <c r="C3" s="125"/>
      <c r="D3" s="125"/>
      <c r="E3" s="126"/>
      <c r="F3" s="126"/>
      <c r="G3" s="126"/>
      <c r="H3" s="126"/>
      <c r="I3" s="126"/>
      <c r="J3" s="126"/>
      <c r="K3" s="126"/>
    </row>
    <row r="4" spans="1:11" s="127" customFormat="1" ht="15.75" x14ac:dyDescent="0.25">
      <c r="A4" s="96" t="s">
        <v>261</v>
      </c>
      <c r="B4" s="125"/>
      <c r="C4" s="125"/>
      <c r="D4" s="125"/>
      <c r="E4" s="126"/>
      <c r="F4" s="126"/>
      <c r="G4" s="126"/>
      <c r="H4" s="126"/>
      <c r="I4" s="126"/>
      <c r="J4" s="126"/>
      <c r="K4" s="126"/>
    </row>
    <row r="5" spans="1:11" s="127" customFormat="1" ht="15.75" x14ac:dyDescent="0.25">
      <c r="A5" s="96" t="s">
        <v>233</v>
      </c>
      <c r="B5" s="125"/>
      <c r="C5" s="125"/>
      <c r="D5" s="125"/>
      <c r="E5" s="126"/>
      <c r="F5" s="126"/>
      <c r="G5" s="126"/>
      <c r="H5" s="126"/>
      <c r="I5" s="126"/>
      <c r="J5" s="126"/>
      <c r="K5" s="126"/>
    </row>
    <row r="6" spans="1:11" s="127" customFormat="1" ht="15.75" x14ac:dyDescent="0.25">
      <c r="A6" s="128" t="str">
        <f>"- fy: Yield strength of rebar/steel (Input as float) ("&amp;'User Specified Unitsystem'!$B$13&amp;")"</f>
        <v>- fy: Yield strength of rebar/steel (Input as float) (MPa)</v>
      </c>
      <c r="B6" s="125"/>
      <c r="C6" s="125"/>
      <c r="D6" s="125"/>
      <c r="E6" s="126"/>
      <c r="F6" s="126"/>
      <c r="G6" s="126"/>
      <c r="H6" s="126"/>
      <c r="I6" s="126"/>
      <c r="J6" s="126"/>
      <c r="K6" s="126"/>
    </row>
    <row r="7" spans="1:11" s="127" customFormat="1" ht="15.75" x14ac:dyDescent="0.25">
      <c r="A7" s="128" t="str">
        <f>"- fu: Ultimate tensile strength of rebar/steel (Input as float) ("&amp;'User Specified Unitsystem'!$B$13&amp;")"</f>
        <v>- fu: Ultimate tensile strength of rebar/steel (Input as float) (MPa)</v>
      </c>
      <c r="B7" s="125"/>
      <c r="C7" s="125"/>
      <c r="D7" s="125"/>
      <c r="E7" s="126"/>
      <c r="F7" s="126"/>
      <c r="G7" s="126"/>
      <c r="H7" s="126"/>
      <c r="I7" s="126"/>
      <c r="J7" s="126"/>
      <c r="K7" s="126"/>
    </row>
    <row r="8" spans="1:11" s="127" customFormat="1" ht="15.75" x14ac:dyDescent="0.25">
      <c r="A8" s="128" t="s">
        <v>241</v>
      </c>
      <c r="B8" s="125"/>
      <c r="C8" s="125"/>
      <c r="D8" s="125"/>
      <c r="E8" s="126"/>
      <c r="F8" s="126"/>
      <c r="G8" s="126"/>
      <c r="H8" s="126"/>
      <c r="I8" s="126"/>
      <c r="J8" s="126"/>
      <c r="K8" s="126"/>
    </row>
    <row r="9" spans="1:11" s="127" customFormat="1" ht="15.75" x14ac:dyDescent="0.25">
      <c r="A9" s="128" t="s">
        <v>242</v>
      </c>
      <c r="B9" s="125"/>
      <c r="C9" s="125"/>
      <c r="D9" s="125"/>
      <c r="E9" s="126"/>
      <c r="F9" s="126"/>
      <c r="G9" s="126"/>
      <c r="H9" s="126"/>
      <c r="I9" s="126"/>
      <c r="J9" s="126"/>
      <c r="K9" s="126"/>
    </row>
    <row r="10" spans="1:11" s="127" customFormat="1" ht="15.75" x14ac:dyDescent="0.25">
      <c r="A10" s="128" t="s">
        <v>247</v>
      </c>
      <c r="B10" s="125"/>
      <c r="C10" s="125"/>
      <c r="D10" s="125"/>
      <c r="E10" s="126"/>
      <c r="F10" s="126"/>
      <c r="G10" s="126"/>
      <c r="H10" s="126"/>
      <c r="I10" s="126"/>
      <c r="J10" s="126"/>
      <c r="K10" s="126"/>
    </row>
    <row r="11" spans="1:11" s="127" customFormat="1" ht="15.75" x14ac:dyDescent="0.25">
      <c r="A11" s="128" t="s">
        <v>248</v>
      </c>
      <c r="B11" s="125"/>
      <c r="C11" s="125"/>
      <c r="D11" s="125"/>
      <c r="E11" s="126"/>
      <c r="F11" s="126"/>
      <c r="G11" s="126"/>
      <c r="H11" s="126"/>
      <c r="I11" s="126"/>
      <c r="J11" s="126"/>
      <c r="K11" s="126"/>
    </row>
    <row r="12" spans="1:11" s="127" customFormat="1" ht="15.75" x14ac:dyDescent="0.25">
      <c r="A12" s="128" t="s">
        <v>250</v>
      </c>
      <c r="B12" s="125"/>
      <c r="C12" s="125"/>
      <c r="D12" s="125"/>
      <c r="E12" s="126"/>
      <c r="F12" s="126"/>
      <c r="G12" s="126"/>
      <c r="H12" s="126"/>
      <c r="I12" s="126"/>
      <c r="J12" s="126"/>
      <c r="K12" s="126"/>
    </row>
    <row r="13" spans="1:11" s="127" customFormat="1" ht="15.75" x14ac:dyDescent="0.25">
      <c r="A13" s="128" t="s">
        <v>251</v>
      </c>
      <c r="B13" s="125"/>
      <c r="C13" s="125"/>
      <c r="D13" s="125"/>
      <c r="E13" s="126"/>
      <c r="F13" s="126"/>
      <c r="G13" s="126"/>
      <c r="H13" s="126"/>
      <c r="I13" s="126"/>
      <c r="J13" s="126"/>
      <c r="K13" s="126"/>
    </row>
    <row r="14" spans="1:11" s="127" customFormat="1" ht="15.75" x14ac:dyDescent="0.25">
      <c r="A14" s="128" t="s">
        <v>252</v>
      </c>
      <c r="B14" s="125"/>
      <c r="C14" s="125"/>
      <c r="D14" s="125"/>
      <c r="E14" s="126"/>
      <c r="F14" s="126"/>
      <c r="G14" s="126"/>
      <c r="H14" s="126"/>
      <c r="I14" s="126"/>
      <c r="J14" s="126"/>
      <c r="K14" s="126"/>
    </row>
    <row r="15" spans="1:11" s="127" customFormat="1" ht="15.75" x14ac:dyDescent="0.25">
      <c r="A15" s="128" t="s">
        <v>254</v>
      </c>
      <c r="B15" s="125"/>
      <c r="C15" s="125"/>
      <c r="D15" s="125"/>
      <c r="E15" s="126"/>
      <c r="F15" s="126"/>
      <c r="G15" s="126"/>
      <c r="H15" s="126"/>
      <c r="I15" s="126"/>
      <c r="J15" s="126"/>
      <c r="K15" s="126"/>
    </row>
    <row r="16" spans="1:11" s="127" customFormat="1" ht="15.75" x14ac:dyDescent="0.25">
      <c r="A16" s="128" t="s">
        <v>253</v>
      </c>
      <c r="B16" s="125"/>
      <c r="C16" s="125"/>
      <c r="D16" s="125"/>
      <c r="E16" s="126"/>
      <c r="F16" s="126"/>
      <c r="G16" s="126"/>
      <c r="H16" s="126"/>
      <c r="I16" s="126"/>
      <c r="J16" s="126"/>
      <c r="K16" s="126"/>
    </row>
    <row r="17" spans="1:16" ht="15.75" x14ac:dyDescent="0.25">
      <c r="A17" s="128" t="str">
        <f>"- f_init: Initial stress value, default value = 0.0 (Input as Float) ("&amp;'User Specified Unitsystem'!$B$13&amp;")"</f>
        <v>- f_init: Initial stress value, default value = 0.0 (Input as Float) (MPa)</v>
      </c>
      <c r="B17" s="125"/>
      <c r="E17" s="126"/>
      <c r="F17" s="126"/>
      <c r="G17" s="126"/>
      <c r="H17" s="126"/>
      <c r="I17" s="126"/>
      <c r="J17" s="126"/>
      <c r="K17" s="126"/>
      <c r="L17" s="127"/>
      <c r="M17" s="127"/>
      <c r="N17" s="127"/>
      <c r="O17" s="127"/>
      <c r="P17" s="127"/>
    </row>
    <row r="18" spans="1:16" ht="15.75" x14ac:dyDescent="0.25">
      <c r="A18" s="129"/>
      <c r="B18" s="130"/>
      <c r="C18" s="130"/>
      <c r="D18" s="130"/>
      <c r="E18" s="131"/>
      <c r="F18" s="131"/>
      <c r="G18" s="131"/>
      <c r="H18" s="131"/>
      <c r="I18" s="131"/>
      <c r="J18" s="131"/>
      <c r="K18" s="131"/>
      <c r="L18" s="127"/>
      <c r="M18" s="127"/>
      <c r="N18" s="127"/>
      <c r="O18" s="127"/>
      <c r="P18" s="127"/>
    </row>
    <row r="19" spans="1:16" s="133" customFormat="1" ht="15.75" x14ac:dyDescent="0.25">
      <c r="A19" s="85" t="s">
        <v>10</v>
      </c>
      <c r="B19" s="85" t="s">
        <v>18</v>
      </c>
      <c r="C19" s="85" t="s">
        <v>8</v>
      </c>
      <c r="D19" s="85" t="s">
        <v>19</v>
      </c>
      <c r="E19" s="85" t="s">
        <v>12</v>
      </c>
      <c r="F19" s="85" t="s">
        <v>13</v>
      </c>
      <c r="G19" s="85" t="s">
        <v>27</v>
      </c>
      <c r="H19" s="85" t="s">
        <v>28</v>
      </c>
      <c r="I19" s="85" t="s">
        <v>29</v>
      </c>
      <c r="J19" s="85" t="s">
        <v>30</v>
      </c>
      <c r="K19" s="85" t="s">
        <v>31</v>
      </c>
      <c r="L19" s="132" t="s">
        <v>243</v>
      </c>
      <c r="M19" s="132" t="s">
        <v>244</v>
      </c>
      <c r="N19" s="132" t="s">
        <v>245</v>
      </c>
      <c r="O19" s="132" t="s">
        <v>246</v>
      </c>
      <c r="P19" s="132" t="s">
        <v>249</v>
      </c>
    </row>
    <row r="20" spans="1:16" ht="15.75" x14ac:dyDescent="0.25">
      <c r="A20" s="105" t="s">
        <v>32</v>
      </c>
      <c r="B20" s="105" t="s">
        <v>17</v>
      </c>
      <c r="C20" s="93" t="str">
        <f t="shared" ref="C20:C83" si="0">IF(A20=0,"",VLOOKUP(B20,MatDB,2,FALSE))</f>
        <v>Rebar</v>
      </c>
      <c r="D20" s="93" t="str">
        <f>IF(A20=0,"","Steel02")</f>
        <v>Steel02</v>
      </c>
      <c r="E20" s="115">
        <f>420</f>
        <v>420</v>
      </c>
      <c r="F20" s="115">
        <f>525</f>
        <v>525</v>
      </c>
      <c r="G20" s="123">
        <v>0.08</v>
      </c>
      <c r="H20" s="123">
        <v>0</v>
      </c>
      <c r="I20" s="134">
        <v>20</v>
      </c>
      <c r="J20" s="135">
        <v>0.92500000000000004</v>
      </c>
      <c r="K20" s="135">
        <v>0.15</v>
      </c>
      <c r="L20" s="136">
        <v>0</v>
      </c>
      <c r="M20" s="136">
        <v>1</v>
      </c>
      <c r="N20" s="136">
        <v>0</v>
      </c>
      <c r="O20" s="136">
        <v>1</v>
      </c>
      <c r="P20" s="136">
        <v>0</v>
      </c>
    </row>
    <row r="21" spans="1:16" ht="15.75" x14ac:dyDescent="0.25">
      <c r="A21" s="187"/>
      <c r="B21" s="105"/>
      <c r="C21" s="93" t="str">
        <f t="shared" si="0"/>
        <v/>
      </c>
      <c r="D21" s="93" t="str">
        <f t="shared" ref="D21:D84" si="1">IF(A21=0,"","Steel02")</f>
        <v/>
      </c>
      <c r="E21" s="115"/>
      <c r="F21" s="115"/>
      <c r="G21" s="115"/>
      <c r="H21" s="115"/>
      <c r="I21" s="134"/>
      <c r="J21" s="115"/>
      <c r="K21" s="115"/>
    </row>
    <row r="22" spans="1:16" ht="15.75" x14ac:dyDescent="0.25">
      <c r="A22" s="105"/>
      <c r="B22" s="105"/>
      <c r="C22" s="93" t="str">
        <f t="shared" si="0"/>
        <v/>
      </c>
      <c r="D22" s="93" t="str">
        <f t="shared" si="1"/>
        <v/>
      </c>
      <c r="E22" s="115"/>
      <c r="F22" s="115"/>
      <c r="G22" s="115"/>
      <c r="H22" s="115"/>
      <c r="I22" s="134"/>
      <c r="J22" s="115"/>
      <c r="K22" s="115"/>
    </row>
    <row r="23" spans="1:16" ht="15.75" x14ac:dyDescent="0.25">
      <c r="A23" s="105"/>
      <c r="B23" s="105"/>
      <c r="C23" s="93" t="str">
        <f t="shared" si="0"/>
        <v/>
      </c>
      <c r="D23" s="93" t="str">
        <f t="shared" si="1"/>
        <v/>
      </c>
      <c r="E23" s="115"/>
      <c r="F23" s="115"/>
      <c r="G23" s="115"/>
      <c r="H23" s="115"/>
      <c r="I23" s="134"/>
      <c r="J23" s="115"/>
      <c r="K23" s="115"/>
    </row>
    <row r="24" spans="1:16" ht="15.75" x14ac:dyDescent="0.25">
      <c r="A24" s="105"/>
      <c r="B24" s="105"/>
      <c r="C24" s="93" t="str">
        <f t="shared" si="0"/>
        <v/>
      </c>
      <c r="D24" s="93" t="str">
        <f t="shared" si="1"/>
        <v/>
      </c>
      <c r="E24" s="115"/>
      <c r="F24" s="115"/>
      <c r="G24" s="115"/>
      <c r="H24" s="115"/>
      <c r="I24" s="134"/>
      <c r="J24" s="115"/>
      <c r="K24" s="115"/>
    </row>
    <row r="25" spans="1:16" ht="15.75" x14ac:dyDescent="0.25">
      <c r="A25" s="105"/>
      <c r="B25" s="179"/>
      <c r="C25" s="93" t="str">
        <f t="shared" si="0"/>
        <v/>
      </c>
      <c r="D25" s="93" t="str">
        <f t="shared" si="1"/>
        <v/>
      </c>
      <c r="E25" s="115"/>
      <c r="F25" s="115"/>
      <c r="G25" s="115"/>
      <c r="H25" s="115"/>
      <c r="I25" s="134"/>
      <c r="J25" s="115"/>
      <c r="K25" s="115"/>
    </row>
    <row r="26" spans="1:16" ht="15.75" x14ac:dyDescent="0.25">
      <c r="A26" s="105"/>
      <c r="B26" s="105"/>
      <c r="C26" s="93" t="str">
        <f t="shared" si="0"/>
        <v/>
      </c>
      <c r="D26" s="93" t="str">
        <f t="shared" si="1"/>
        <v/>
      </c>
      <c r="E26" s="115"/>
      <c r="F26" s="115"/>
      <c r="G26" s="115"/>
      <c r="H26" s="115"/>
      <c r="I26" s="134"/>
      <c r="J26" s="115"/>
      <c r="K26" s="115"/>
    </row>
    <row r="27" spans="1:16" ht="15.75" x14ac:dyDescent="0.25">
      <c r="A27" s="105"/>
      <c r="B27" s="105"/>
      <c r="C27" s="93" t="str">
        <f t="shared" si="0"/>
        <v/>
      </c>
      <c r="D27" s="93" t="str">
        <f t="shared" si="1"/>
        <v/>
      </c>
      <c r="E27" s="115"/>
      <c r="F27" s="115"/>
      <c r="G27" s="115"/>
      <c r="H27" s="115"/>
      <c r="I27" s="134"/>
      <c r="J27" s="115"/>
      <c r="K27" s="115"/>
    </row>
    <row r="28" spans="1:16" ht="15.75" x14ac:dyDescent="0.25">
      <c r="A28" s="105"/>
      <c r="B28" s="105"/>
      <c r="C28" s="93" t="str">
        <f t="shared" si="0"/>
        <v/>
      </c>
      <c r="D28" s="93" t="str">
        <f t="shared" si="1"/>
        <v/>
      </c>
      <c r="E28" s="115"/>
      <c r="F28" s="115"/>
      <c r="G28" s="115"/>
      <c r="H28" s="115"/>
      <c r="I28" s="134"/>
      <c r="J28" s="115"/>
      <c r="K28" s="115"/>
    </row>
    <row r="29" spans="1:16" ht="15.75" x14ac:dyDescent="0.25">
      <c r="A29" s="105"/>
      <c r="B29" s="105"/>
      <c r="C29" s="93" t="str">
        <f t="shared" si="0"/>
        <v/>
      </c>
      <c r="D29" s="93" t="str">
        <f t="shared" si="1"/>
        <v/>
      </c>
      <c r="E29" s="115"/>
      <c r="F29" s="115"/>
      <c r="G29" s="115"/>
      <c r="H29" s="115"/>
      <c r="I29" s="134"/>
      <c r="J29" s="115"/>
      <c r="K29" s="115"/>
    </row>
    <row r="30" spans="1:16" ht="15.75" x14ac:dyDescent="0.25">
      <c r="A30" s="105"/>
      <c r="B30" s="105"/>
      <c r="C30" s="93" t="str">
        <f t="shared" si="0"/>
        <v/>
      </c>
      <c r="D30" s="93" t="str">
        <f t="shared" si="1"/>
        <v/>
      </c>
      <c r="E30" s="115"/>
      <c r="F30" s="115"/>
      <c r="G30" s="115"/>
      <c r="H30" s="115"/>
      <c r="I30" s="134"/>
      <c r="J30" s="115"/>
      <c r="K30" s="115"/>
    </row>
    <row r="31" spans="1:16" ht="15.75" x14ac:dyDescent="0.25">
      <c r="A31" s="105"/>
      <c r="B31" s="105"/>
      <c r="C31" s="93" t="str">
        <f t="shared" si="0"/>
        <v/>
      </c>
      <c r="D31" s="93" t="str">
        <f t="shared" si="1"/>
        <v/>
      </c>
      <c r="E31" s="115"/>
      <c r="F31" s="115"/>
      <c r="G31" s="115"/>
      <c r="H31" s="115"/>
      <c r="I31" s="134"/>
      <c r="J31" s="115"/>
      <c r="K31" s="115"/>
    </row>
    <row r="32" spans="1:16" ht="15.75" x14ac:dyDescent="0.25">
      <c r="A32" s="105"/>
      <c r="B32" s="105"/>
      <c r="C32" s="93" t="str">
        <f t="shared" si="0"/>
        <v/>
      </c>
      <c r="D32" s="93" t="str">
        <f t="shared" si="1"/>
        <v/>
      </c>
      <c r="E32" s="115"/>
      <c r="F32" s="115"/>
      <c r="G32" s="115"/>
      <c r="H32" s="115"/>
      <c r="I32" s="134"/>
      <c r="J32" s="115"/>
      <c r="K32" s="115"/>
    </row>
    <row r="33" spans="1:11" ht="15.75" x14ac:dyDescent="0.25">
      <c r="A33" s="105"/>
      <c r="B33" s="105"/>
      <c r="C33" s="93" t="str">
        <f t="shared" si="0"/>
        <v/>
      </c>
      <c r="D33" s="93" t="str">
        <f t="shared" si="1"/>
        <v/>
      </c>
      <c r="E33" s="115"/>
      <c r="F33" s="115"/>
      <c r="G33" s="115"/>
      <c r="H33" s="115"/>
      <c r="I33" s="134"/>
      <c r="J33" s="115"/>
      <c r="K33" s="115"/>
    </row>
    <row r="34" spans="1:11" ht="15.75" x14ac:dyDescent="0.25">
      <c r="A34" s="105"/>
      <c r="B34" s="105"/>
      <c r="C34" s="93" t="str">
        <f t="shared" si="0"/>
        <v/>
      </c>
      <c r="D34" s="93" t="str">
        <f t="shared" si="1"/>
        <v/>
      </c>
      <c r="E34" s="115"/>
      <c r="F34" s="115"/>
      <c r="G34" s="115"/>
      <c r="H34" s="115"/>
      <c r="I34" s="134"/>
      <c r="J34" s="115"/>
      <c r="K34" s="115"/>
    </row>
    <row r="35" spans="1:11" ht="15.75" x14ac:dyDescent="0.25">
      <c r="A35" s="105"/>
      <c r="B35" s="105"/>
      <c r="C35" s="93" t="str">
        <f t="shared" si="0"/>
        <v/>
      </c>
      <c r="D35" s="93" t="str">
        <f t="shared" si="1"/>
        <v/>
      </c>
      <c r="E35" s="115"/>
      <c r="F35" s="115"/>
      <c r="G35" s="115"/>
      <c r="H35" s="115"/>
      <c r="I35" s="134"/>
      <c r="J35" s="115"/>
      <c r="K35" s="115"/>
    </row>
    <row r="36" spans="1:11" ht="15.75" x14ac:dyDescent="0.25">
      <c r="A36" s="105"/>
      <c r="B36" s="105"/>
      <c r="C36" s="93" t="str">
        <f t="shared" si="0"/>
        <v/>
      </c>
      <c r="D36" s="93" t="str">
        <f t="shared" si="1"/>
        <v/>
      </c>
      <c r="E36" s="115"/>
      <c r="F36" s="115"/>
      <c r="G36" s="115"/>
      <c r="H36" s="115"/>
      <c r="I36" s="134"/>
      <c r="J36" s="115"/>
      <c r="K36" s="115"/>
    </row>
    <row r="37" spans="1:11" ht="15.75" x14ac:dyDescent="0.25">
      <c r="A37" s="105"/>
      <c r="B37" s="105"/>
      <c r="C37" s="93" t="str">
        <f t="shared" si="0"/>
        <v/>
      </c>
      <c r="D37" s="93" t="str">
        <f t="shared" si="1"/>
        <v/>
      </c>
      <c r="E37" s="115"/>
      <c r="F37" s="115"/>
      <c r="G37" s="115"/>
      <c r="H37" s="115"/>
      <c r="I37" s="134"/>
      <c r="J37" s="115"/>
      <c r="K37" s="115"/>
    </row>
    <row r="38" spans="1:11" ht="15.75" x14ac:dyDescent="0.25">
      <c r="A38" s="105"/>
      <c r="B38" s="105"/>
      <c r="C38" s="93" t="str">
        <f t="shared" si="0"/>
        <v/>
      </c>
      <c r="D38" s="93" t="str">
        <f t="shared" si="1"/>
        <v/>
      </c>
      <c r="E38" s="115"/>
      <c r="F38" s="115"/>
      <c r="G38" s="115"/>
      <c r="H38" s="115"/>
      <c r="I38" s="134"/>
      <c r="J38" s="115"/>
      <c r="K38" s="115"/>
    </row>
    <row r="39" spans="1:11" ht="15.75" x14ac:dyDescent="0.25">
      <c r="A39" s="105"/>
      <c r="B39" s="105"/>
      <c r="C39" s="93" t="str">
        <f t="shared" si="0"/>
        <v/>
      </c>
      <c r="D39" s="93" t="str">
        <f t="shared" si="1"/>
        <v/>
      </c>
      <c r="E39" s="115"/>
      <c r="F39" s="115"/>
      <c r="G39" s="115"/>
      <c r="H39" s="115"/>
      <c r="I39" s="134"/>
      <c r="J39" s="115"/>
      <c r="K39" s="115"/>
    </row>
    <row r="40" spans="1:11" ht="15.75" x14ac:dyDescent="0.25">
      <c r="A40" s="105"/>
      <c r="B40" s="105"/>
      <c r="C40" s="93" t="str">
        <f t="shared" si="0"/>
        <v/>
      </c>
      <c r="D40" s="93" t="str">
        <f t="shared" si="1"/>
        <v/>
      </c>
      <c r="E40" s="115"/>
      <c r="F40" s="115"/>
      <c r="G40" s="115"/>
      <c r="H40" s="115"/>
      <c r="I40" s="134"/>
      <c r="J40" s="115"/>
      <c r="K40" s="115"/>
    </row>
    <row r="41" spans="1:11" ht="15.75" x14ac:dyDescent="0.25">
      <c r="A41" s="105"/>
      <c r="B41" s="105"/>
      <c r="C41" s="93" t="str">
        <f t="shared" si="0"/>
        <v/>
      </c>
      <c r="D41" s="93" t="str">
        <f t="shared" si="1"/>
        <v/>
      </c>
      <c r="E41" s="115"/>
      <c r="F41" s="115"/>
      <c r="G41" s="115"/>
      <c r="H41" s="115"/>
      <c r="I41" s="134"/>
      <c r="J41" s="115"/>
      <c r="K41" s="115"/>
    </row>
    <row r="42" spans="1:11" ht="15.75" x14ac:dyDescent="0.25">
      <c r="A42" s="105"/>
      <c r="B42" s="105"/>
      <c r="C42" s="93" t="str">
        <f t="shared" si="0"/>
        <v/>
      </c>
      <c r="D42" s="93" t="str">
        <f t="shared" si="1"/>
        <v/>
      </c>
      <c r="E42" s="115"/>
      <c r="F42" s="115"/>
      <c r="G42" s="115"/>
      <c r="H42" s="115"/>
      <c r="I42" s="134"/>
      <c r="J42" s="115"/>
      <c r="K42" s="115"/>
    </row>
    <row r="43" spans="1:11" ht="15.75" x14ac:dyDescent="0.25">
      <c r="A43" s="105"/>
      <c r="B43" s="105"/>
      <c r="C43" s="93" t="str">
        <f t="shared" si="0"/>
        <v/>
      </c>
      <c r="D43" s="93" t="str">
        <f t="shared" si="1"/>
        <v/>
      </c>
      <c r="E43" s="115"/>
      <c r="F43" s="115"/>
      <c r="G43" s="115"/>
      <c r="H43" s="115"/>
      <c r="I43" s="134"/>
      <c r="J43" s="115"/>
      <c r="K43" s="115"/>
    </row>
    <row r="44" spans="1:11" ht="15.75" x14ac:dyDescent="0.25">
      <c r="A44" s="105"/>
      <c r="B44" s="105"/>
      <c r="C44" s="93" t="str">
        <f t="shared" si="0"/>
        <v/>
      </c>
      <c r="D44" s="93" t="str">
        <f t="shared" si="1"/>
        <v/>
      </c>
      <c r="E44" s="115"/>
      <c r="F44" s="115"/>
      <c r="G44" s="115"/>
      <c r="H44" s="115"/>
      <c r="I44" s="134"/>
      <c r="J44" s="115"/>
      <c r="K44" s="115"/>
    </row>
    <row r="45" spans="1:11" ht="15.75" x14ac:dyDescent="0.25">
      <c r="A45" s="105"/>
      <c r="B45" s="105"/>
      <c r="C45" s="93" t="str">
        <f t="shared" si="0"/>
        <v/>
      </c>
      <c r="D45" s="93" t="str">
        <f t="shared" si="1"/>
        <v/>
      </c>
      <c r="E45" s="115"/>
      <c r="F45" s="115"/>
      <c r="G45" s="115"/>
      <c r="H45" s="115"/>
      <c r="I45" s="134"/>
      <c r="J45" s="115"/>
      <c r="K45" s="115"/>
    </row>
    <row r="46" spans="1:11" ht="15.75" x14ac:dyDescent="0.25">
      <c r="A46" s="105"/>
      <c r="B46" s="105"/>
      <c r="C46" s="93" t="str">
        <f t="shared" si="0"/>
        <v/>
      </c>
      <c r="D46" s="93" t="str">
        <f t="shared" si="1"/>
        <v/>
      </c>
      <c r="E46" s="115"/>
      <c r="F46" s="115"/>
      <c r="G46" s="115"/>
      <c r="H46" s="115"/>
      <c r="I46" s="134"/>
      <c r="J46" s="115"/>
      <c r="K46" s="115"/>
    </row>
    <row r="47" spans="1:11" ht="15.75" x14ac:dyDescent="0.25">
      <c r="A47" s="105"/>
      <c r="B47" s="105"/>
      <c r="C47" s="93" t="str">
        <f t="shared" si="0"/>
        <v/>
      </c>
      <c r="D47" s="93" t="str">
        <f t="shared" si="1"/>
        <v/>
      </c>
      <c r="E47" s="115"/>
      <c r="F47" s="115"/>
      <c r="G47" s="115"/>
      <c r="H47" s="115"/>
      <c r="I47" s="134"/>
      <c r="J47" s="115"/>
      <c r="K47" s="115"/>
    </row>
    <row r="48" spans="1:11" ht="15.75" x14ac:dyDescent="0.25">
      <c r="A48" s="105"/>
      <c r="B48" s="105"/>
      <c r="C48" s="93" t="str">
        <f t="shared" si="0"/>
        <v/>
      </c>
      <c r="D48" s="93" t="str">
        <f t="shared" si="1"/>
        <v/>
      </c>
      <c r="E48" s="115"/>
      <c r="F48" s="115"/>
      <c r="G48" s="115"/>
      <c r="H48" s="115"/>
      <c r="I48" s="134"/>
      <c r="J48" s="115"/>
      <c r="K48" s="115"/>
    </row>
    <row r="49" spans="1:11" ht="15.75" x14ac:dyDescent="0.25">
      <c r="A49" s="105"/>
      <c r="B49" s="105"/>
      <c r="C49" s="93" t="str">
        <f t="shared" si="0"/>
        <v/>
      </c>
      <c r="D49" s="93" t="str">
        <f t="shared" si="1"/>
        <v/>
      </c>
      <c r="E49" s="115"/>
      <c r="F49" s="115"/>
      <c r="G49" s="115"/>
      <c r="H49" s="115"/>
      <c r="I49" s="134"/>
      <c r="J49" s="115"/>
      <c r="K49" s="115"/>
    </row>
    <row r="50" spans="1:11" ht="15.75" x14ac:dyDescent="0.25">
      <c r="A50" s="105"/>
      <c r="B50" s="105"/>
      <c r="C50" s="93" t="str">
        <f t="shared" si="0"/>
        <v/>
      </c>
      <c r="D50" s="93" t="str">
        <f t="shared" si="1"/>
        <v/>
      </c>
      <c r="E50" s="115"/>
      <c r="F50" s="115"/>
      <c r="G50" s="115"/>
      <c r="H50" s="115"/>
      <c r="I50" s="134"/>
      <c r="J50" s="115"/>
      <c r="K50" s="115"/>
    </row>
    <row r="51" spans="1:11" ht="15.75" x14ac:dyDescent="0.25">
      <c r="A51" s="105"/>
      <c r="B51" s="105"/>
      <c r="C51" s="93" t="str">
        <f t="shared" si="0"/>
        <v/>
      </c>
      <c r="D51" s="93" t="str">
        <f t="shared" si="1"/>
        <v/>
      </c>
      <c r="E51" s="115"/>
      <c r="F51" s="115"/>
      <c r="G51" s="115"/>
      <c r="H51" s="115"/>
      <c r="I51" s="134"/>
      <c r="J51" s="115"/>
      <c r="K51" s="115"/>
    </row>
    <row r="52" spans="1:11" ht="15.75" x14ac:dyDescent="0.25">
      <c r="A52" s="105"/>
      <c r="B52" s="105"/>
      <c r="C52" s="93" t="str">
        <f t="shared" si="0"/>
        <v/>
      </c>
      <c r="D52" s="93" t="str">
        <f t="shared" si="1"/>
        <v/>
      </c>
      <c r="E52" s="115"/>
      <c r="F52" s="115"/>
      <c r="G52" s="115"/>
      <c r="H52" s="115"/>
      <c r="I52" s="134"/>
      <c r="J52" s="115"/>
      <c r="K52" s="115"/>
    </row>
    <row r="53" spans="1:11" ht="15.75" x14ac:dyDescent="0.25">
      <c r="A53" s="105"/>
      <c r="B53" s="105"/>
      <c r="C53" s="93" t="str">
        <f t="shared" si="0"/>
        <v/>
      </c>
      <c r="D53" s="93" t="str">
        <f t="shared" si="1"/>
        <v/>
      </c>
      <c r="E53" s="115"/>
      <c r="F53" s="115"/>
      <c r="G53" s="115"/>
      <c r="H53" s="115"/>
      <c r="I53" s="134"/>
      <c r="J53" s="115"/>
      <c r="K53" s="115"/>
    </row>
    <row r="54" spans="1:11" ht="15.75" x14ac:dyDescent="0.25">
      <c r="A54" s="105"/>
      <c r="B54" s="105"/>
      <c r="C54" s="93" t="str">
        <f t="shared" si="0"/>
        <v/>
      </c>
      <c r="D54" s="93" t="str">
        <f t="shared" si="1"/>
        <v/>
      </c>
      <c r="E54" s="115"/>
      <c r="F54" s="115"/>
      <c r="G54" s="115"/>
      <c r="H54" s="115"/>
      <c r="I54" s="134"/>
      <c r="J54" s="115"/>
      <c r="K54" s="115"/>
    </row>
    <row r="55" spans="1:11" ht="15.75" x14ac:dyDescent="0.25">
      <c r="A55" s="105"/>
      <c r="B55" s="105"/>
      <c r="C55" s="93" t="str">
        <f t="shared" si="0"/>
        <v/>
      </c>
      <c r="D55" s="93" t="str">
        <f t="shared" si="1"/>
        <v/>
      </c>
      <c r="E55" s="115"/>
      <c r="F55" s="115"/>
      <c r="G55" s="115"/>
      <c r="H55" s="115"/>
      <c r="I55" s="134"/>
      <c r="J55" s="115"/>
      <c r="K55" s="115"/>
    </row>
    <row r="56" spans="1:11" ht="15.75" x14ac:dyDescent="0.25">
      <c r="A56" s="105"/>
      <c r="B56" s="105"/>
      <c r="C56" s="93" t="str">
        <f t="shared" si="0"/>
        <v/>
      </c>
      <c r="D56" s="93" t="str">
        <f t="shared" si="1"/>
        <v/>
      </c>
      <c r="E56" s="115"/>
      <c r="F56" s="115"/>
      <c r="G56" s="115"/>
      <c r="H56" s="115"/>
      <c r="I56" s="134"/>
      <c r="J56" s="115"/>
      <c r="K56" s="115"/>
    </row>
    <row r="57" spans="1:11" ht="15.75" x14ac:dyDescent="0.25">
      <c r="A57" s="105"/>
      <c r="B57" s="105"/>
      <c r="C57" s="93" t="str">
        <f t="shared" si="0"/>
        <v/>
      </c>
      <c r="D57" s="93" t="str">
        <f t="shared" si="1"/>
        <v/>
      </c>
      <c r="E57" s="115"/>
      <c r="F57" s="115"/>
      <c r="G57" s="115"/>
      <c r="H57" s="115"/>
      <c r="I57" s="134"/>
      <c r="J57" s="115"/>
      <c r="K57" s="115"/>
    </row>
    <row r="58" spans="1:11" ht="15.75" x14ac:dyDescent="0.25">
      <c r="A58" s="105"/>
      <c r="B58" s="105"/>
      <c r="C58" s="93" t="str">
        <f t="shared" si="0"/>
        <v/>
      </c>
      <c r="D58" s="93" t="str">
        <f t="shared" si="1"/>
        <v/>
      </c>
      <c r="E58" s="115"/>
      <c r="F58" s="115"/>
      <c r="G58" s="115"/>
      <c r="H58" s="115"/>
      <c r="I58" s="134"/>
      <c r="J58" s="115"/>
      <c r="K58" s="115"/>
    </row>
    <row r="59" spans="1:11" ht="15.75" x14ac:dyDescent="0.25">
      <c r="A59" s="105"/>
      <c r="B59" s="105"/>
      <c r="C59" s="93" t="str">
        <f t="shared" si="0"/>
        <v/>
      </c>
      <c r="D59" s="93" t="str">
        <f t="shared" si="1"/>
        <v/>
      </c>
      <c r="E59" s="115"/>
      <c r="F59" s="115"/>
      <c r="G59" s="115"/>
      <c r="H59" s="115"/>
      <c r="I59" s="134"/>
      <c r="J59" s="115"/>
      <c r="K59" s="115"/>
    </row>
    <row r="60" spans="1:11" ht="15.75" x14ac:dyDescent="0.25">
      <c r="A60" s="105"/>
      <c r="B60" s="105"/>
      <c r="C60" s="93" t="str">
        <f t="shared" si="0"/>
        <v/>
      </c>
      <c r="D60" s="93" t="str">
        <f t="shared" si="1"/>
        <v/>
      </c>
      <c r="E60" s="115"/>
      <c r="F60" s="115"/>
      <c r="G60" s="115"/>
      <c r="H60" s="115"/>
      <c r="I60" s="134"/>
      <c r="J60" s="115"/>
      <c r="K60" s="115"/>
    </row>
    <row r="61" spans="1:11" ht="15.75" x14ac:dyDescent="0.25">
      <c r="A61" s="105"/>
      <c r="B61" s="105"/>
      <c r="C61" s="93" t="str">
        <f t="shared" si="0"/>
        <v/>
      </c>
      <c r="D61" s="93" t="str">
        <f t="shared" si="1"/>
        <v/>
      </c>
      <c r="E61" s="115"/>
      <c r="F61" s="115"/>
      <c r="G61" s="115"/>
      <c r="H61" s="115"/>
      <c r="I61" s="134"/>
      <c r="J61" s="115"/>
      <c r="K61" s="115"/>
    </row>
    <row r="62" spans="1:11" ht="15.75" x14ac:dyDescent="0.25">
      <c r="A62" s="105"/>
      <c r="B62" s="105"/>
      <c r="C62" s="93" t="str">
        <f t="shared" si="0"/>
        <v/>
      </c>
      <c r="D62" s="93" t="str">
        <f t="shared" si="1"/>
        <v/>
      </c>
      <c r="E62" s="115"/>
      <c r="F62" s="115"/>
      <c r="G62" s="115"/>
      <c r="H62" s="115"/>
      <c r="I62" s="134"/>
      <c r="J62" s="115"/>
      <c r="K62" s="115"/>
    </row>
    <row r="63" spans="1:11" ht="15.75" x14ac:dyDescent="0.25">
      <c r="A63" s="105"/>
      <c r="B63" s="105"/>
      <c r="C63" s="93" t="str">
        <f t="shared" si="0"/>
        <v/>
      </c>
      <c r="D63" s="93" t="str">
        <f t="shared" si="1"/>
        <v/>
      </c>
      <c r="E63" s="115"/>
      <c r="F63" s="115"/>
      <c r="G63" s="115"/>
      <c r="H63" s="115"/>
      <c r="I63" s="134"/>
      <c r="J63" s="115"/>
      <c r="K63" s="115"/>
    </row>
    <row r="64" spans="1:11" ht="15.75" x14ac:dyDescent="0.25">
      <c r="A64" s="105"/>
      <c r="B64" s="105"/>
      <c r="C64" s="93" t="str">
        <f t="shared" si="0"/>
        <v/>
      </c>
      <c r="D64" s="93" t="str">
        <f t="shared" si="1"/>
        <v/>
      </c>
      <c r="E64" s="115"/>
      <c r="F64" s="115"/>
      <c r="G64" s="115"/>
      <c r="H64" s="115"/>
      <c r="I64" s="134"/>
      <c r="J64" s="115"/>
      <c r="K64" s="115"/>
    </row>
    <row r="65" spans="1:11" ht="15.75" x14ac:dyDescent="0.25">
      <c r="A65" s="105"/>
      <c r="B65" s="105"/>
      <c r="C65" s="93" t="str">
        <f t="shared" si="0"/>
        <v/>
      </c>
      <c r="D65" s="93" t="str">
        <f t="shared" si="1"/>
        <v/>
      </c>
      <c r="E65" s="115"/>
      <c r="F65" s="115"/>
      <c r="G65" s="115"/>
      <c r="H65" s="115"/>
      <c r="I65" s="134"/>
      <c r="J65" s="115"/>
      <c r="K65" s="115"/>
    </row>
    <row r="66" spans="1:11" ht="15.75" x14ac:dyDescent="0.25">
      <c r="A66" s="105"/>
      <c r="B66" s="105"/>
      <c r="C66" s="93" t="str">
        <f t="shared" si="0"/>
        <v/>
      </c>
      <c r="D66" s="93" t="str">
        <f t="shared" si="1"/>
        <v/>
      </c>
      <c r="E66" s="115"/>
      <c r="F66" s="115"/>
      <c r="G66" s="115"/>
      <c r="H66" s="115"/>
      <c r="I66" s="134"/>
      <c r="J66" s="115"/>
      <c r="K66" s="115"/>
    </row>
    <row r="67" spans="1:11" ht="15.75" x14ac:dyDescent="0.25">
      <c r="A67" s="105"/>
      <c r="B67" s="105"/>
      <c r="C67" s="93" t="str">
        <f t="shared" si="0"/>
        <v/>
      </c>
      <c r="D67" s="93" t="str">
        <f t="shared" si="1"/>
        <v/>
      </c>
      <c r="E67" s="115"/>
      <c r="F67" s="115"/>
      <c r="G67" s="115"/>
      <c r="H67" s="115"/>
      <c r="I67" s="134"/>
      <c r="J67" s="115"/>
      <c r="K67" s="115"/>
    </row>
    <row r="68" spans="1:11" ht="15.75" x14ac:dyDescent="0.25">
      <c r="A68" s="105"/>
      <c r="B68" s="105"/>
      <c r="C68" s="93" t="str">
        <f t="shared" si="0"/>
        <v/>
      </c>
      <c r="D68" s="93" t="str">
        <f t="shared" si="1"/>
        <v/>
      </c>
      <c r="E68" s="115"/>
      <c r="F68" s="115"/>
      <c r="G68" s="115"/>
      <c r="H68" s="115"/>
      <c r="I68" s="134"/>
      <c r="J68" s="115"/>
      <c r="K68" s="115"/>
    </row>
    <row r="69" spans="1:11" ht="15.75" x14ac:dyDescent="0.25">
      <c r="A69" s="105"/>
      <c r="B69" s="105"/>
      <c r="C69" s="93" t="str">
        <f t="shared" si="0"/>
        <v/>
      </c>
      <c r="D69" s="93" t="str">
        <f t="shared" si="1"/>
        <v/>
      </c>
      <c r="E69" s="115"/>
      <c r="F69" s="115"/>
      <c r="G69" s="115"/>
      <c r="H69" s="115"/>
      <c r="I69" s="134"/>
      <c r="J69" s="115"/>
      <c r="K69" s="115"/>
    </row>
    <row r="70" spans="1:11" ht="15.75" x14ac:dyDescent="0.25">
      <c r="A70" s="105"/>
      <c r="B70" s="105"/>
      <c r="C70" s="93" t="str">
        <f t="shared" si="0"/>
        <v/>
      </c>
      <c r="D70" s="93" t="str">
        <f t="shared" si="1"/>
        <v/>
      </c>
      <c r="E70" s="115"/>
      <c r="F70" s="115"/>
      <c r="G70" s="115"/>
      <c r="H70" s="115"/>
      <c r="I70" s="134"/>
      <c r="J70" s="115"/>
      <c r="K70" s="115"/>
    </row>
    <row r="71" spans="1:11" ht="15.75" x14ac:dyDescent="0.25">
      <c r="A71" s="105"/>
      <c r="B71" s="105"/>
      <c r="C71" s="93" t="str">
        <f t="shared" si="0"/>
        <v/>
      </c>
      <c r="D71" s="93" t="str">
        <f t="shared" si="1"/>
        <v/>
      </c>
      <c r="E71" s="115"/>
      <c r="F71" s="115"/>
      <c r="G71" s="115"/>
      <c r="H71" s="115"/>
      <c r="I71" s="134"/>
      <c r="J71" s="115"/>
      <c r="K71" s="115"/>
    </row>
    <row r="72" spans="1:11" ht="15.75" x14ac:dyDescent="0.25">
      <c r="A72" s="105"/>
      <c r="B72" s="105"/>
      <c r="C72" s="93" t="str">
        <f t="shared" si="0"/>
        <v/>
      </c>
      <c r="D72" s="93" t="str">
        <f t="shared" si="1"/>
        <v/>
      </c>
      <c r="E72" s="115"/>
      <c r="F72" s="115"/>
      <c r="G72" s="115"/>
      <c r="H72" s="115"/>
      <c r="I72" s="134"/>
      <c r="J72" s="115"/>
      <c r="K72" s="115"/>
    </row>
    <row r="73" spans="1:11" ht="15.75" x14ac:dyDescent="0.25">
      <c r="A73" s="105"/>
      <c r="B73" s="105"/>
      <c r="C73" s="93" t="str">
        <f t="shared" si="0"/>
        <v/>
      </c>
      <c r="D73" s="93" t="str">
        <f t="shared" si="1"/>
        <v/>
      </c>
      <c r="E73" s="115"/>
      <c r="F73" s="115"/>
      <c r="G73" s="115"/>
      <c r="H73" s="115"/>
      <c r="I73" s="134"/>
      <c r="J73" s="115"/>
      <c r="K73" s="115"/>
    </row>
    <row r="74" spans="1:11" ht="15.75" x14ac:dyDescent="0.25">
      <c r="A74" s="105"/>
      <c r="B74" s="105"/>
      <c r="C74" s="93" t="str">
        <f t="shared" si="0"/>
        <v/>
      </c>
      <c r="D74" s="93" t="str">
        <f t="shared" si="1"/>
        <v/>
      </c>
      <c r="E74" s="115"/>
      <c r="F74" s="115"/>
      <c r="G74" s="115"/>
      <c r="H74" s="115"/>
      <c r="I74" s="134"/>
      <c r="J74" s="115"/>
      <c r="K74" s="115"/>
    </row>
    <row r="75" spans="1:11" ht="15.75" x14ac:dyDescent="0.25">
      <c r="A75" s="105"/>
      <c r="B75" s="105"/>
      <c r="C75" s="93" t="str">
        <f t="shared" si="0"/>
        <v/>
      </c>
      <c r="D75" s="93" t="str">
        <f t="shared" si="1"/>
        <v/>
      </c>
      <c r="E75" s="115"/>
      <c r="F75" s="115"/>
      <c r="G75" s="115"/>
      <c r="H75" s="115"/>
      <c r="I75" s="134"/>
      <c r="J75" s="115"/>
      <c r="K75" s="115"/>
    </row>
    <row r="76" spans="1:11" ht="15.75" x14ac:dyDescent="0.25">
      <c r="A76" s="105"/>
      <c r="B76" s="105"/>
      <c r="C76" s="93" t="str">
        <f t="shared" si="0"/>
        <v/>
      </c>
      <c r="D76" s="93" t="str">
        <f t="shared" si="1"/>
        <v/>
      </c>
      <c r="E76" s="115"/>
      <c r="F76" s="115"/>
      <c r="G76" s="115"/>
      <c r="H76" s="115"/>
      <c r="I76" s="134"/>
      <c r="J76" s="115"/>
      <c r="K76" s="115"/>
    </row>
    <row r="77" spans="1:11" ht="15.75" x14ac:dyDescent="0.25">
      <c r="A77" s="105"/>
      <c r="B77" s="105"/>
      <c r="C77" s="93" t="str">
        <f t="shared" si="0"/>
        <v/>
      </c>
      <c r="D77" s="93" t="str">
        <f t="shared" si="1"/>
        <v/>
      </c>
      <c r="E77" s="115"/>
      <c r="F77" s="115"/>
      <c r="G77" s="115"/>
      <c r="H77" s="115"/>
      <c r="I77" s="134"/>
      <c r="J77" s="115"/>
      <c r="K77" s="115"/>
    </row>
    <row r="78" spans="1:11" ht="15.75" x14ac:dyDescent="0.25">
      <c r="A78" s="105"/>
      <c r="B78" s="105"/>
      <c r="C78" s="93" t="str">
        <f t="shared" si="0"/>
        <v/>
      </c>
      <c r="D78" s="93" t="str">
        <f t="shared" si="1"/>
        <v/>
      </c>
      <c r="E78" s="115"/>
      <c r="F78" s="115"/>
      <c r="G78" s="115"/>
      <c r="H78" s="115"/>
      <c r="I78" s="134"/>
      <c r="J78" s="115"/>
      <c r="K78" s="115"/>
    </row>
    <row r="79" spans="1:11" ht="15.75" x14ac:dyDescent="0.25">
      <c r="A79" s="105"/>
      <c r="B79" s="105"/>
      <c r="C79" s="93" t="str">
        <f t="shared" si="0"/>
        <v/>
      </c>
      <c r="D79" s="93" t="str">
        <f t="shared" si="1"/>
        <v/>
      </c>
      <c r="E79" s="115"/>
      <c r="F79" s="115"/>
      <c r="G79" s="115"/>
      <c r="H79" s="115"/>
      <c r="I79" s="134"/>
      <c r="J79" s="115"/>
      <c r="K79" s="115"/>
    </row>
    <row r="80" spans="1:11" ht="15.75" x14ac:dyDescent="0.25">
      <c r="A80" s="105"/>
      <c r="B80" s="105"/>
      <c r="C80" s="93" t="str">
        <f t="shared" si="0"/>
        <v/>
      </c>
      <c r="D80" s="93" t="str">
        <f t="shared" si="1"/>
        <v/>
      </c>
      <c r="E80" s="115"/>
      <c r="F80" s="115"/>
      <c r="G80" s="115"/>
      <c r="H80" s="115"/>
      <c r="I80" s="134"/>
      <c r="J80" s="115"/>
      <c r="K80" s="115"/>
    </row>
    <row r="81" spans="1:11" ht="15.75" x14ac:dyDescent="0.25">
      <c r="A81" s="105"/>
      <c r="B81" s="105"/>
      <c r="C81" s="93" t="str">
        <f t="shared" si="0"/>
        <v/>
      </c>
      <c r="D81" s="93" t="str">
        <f t="shared" si="1"/>
        <v/>
      </c>
      <c r="E81" s="115"/>
      <c r="F81" s="115"/>
      <c r="G81" s="115"/>
      <c r="H81" s="115"/>
      <c r="I81" s="134"/>
      <c r="J81" s="115"/>
      <c r="K81" s="115"/>
    </row>
    <row r="82" spans="1:11" ht="15.75" x14ac:dyDescent="0.25">
      <c r="A82" s="105"/>
      <c r="B82" s="105"/>
      <c r="C82" s="93" t="str">
        <f t="shared" si="0"/>
        <v/>
      </c>
      <c r="D82" s="93" t="str">
        <f t="shared" si="1"/>
        <v/>
      </c>
      <c r="E82" s="115"/>
      <c r="F82" s="115"/>
      <c r="G82" s="115"/>
      <c r="H82" s="115"/>
      <c r="I82" s="134"/>
      <c r="J82" s="115"/>
      <c r="K82" s="115"/>
    </row>
    <row r="83" spans="1:11" ht="15.75" x14ac:dyDescent="0.25">
      <c r="A83" s="105"/>
      <c r="B83" s="105"/>
      <c r="C83" s="93" t="str">
        <f t="shared" si="0"/>
        <v/>
      </c>
      <c r="D83" s="93" t="str">
        <f t="shared" si="1"/>
        <v/>
      </c>
      <c r="E83" s="115"/>
      <c r="F83" s="115"/>
      <c r="G83" s="115"/>
      <c r="H83" s="115"/>
      <c r="I83" s="134"/>
      <c r="J83" s="115"/>
      <c r="K83" s="115"/>
    </row>
    <row r="84" spans="1:11" ht="15.75" x14ac:dyDescent="0.25">
      <c r="A84" s="105"/>
      <c r="B84" s="105"/>
      <c r="C84" s="93" t="str">
        <f t="shared" ref="C84:C147" si="2">IF(A84=0,"",VLOOKUP(B84,MatDB,2,FALSE))</f>
        <v/>
      </c>
      <c r="D84" s="93" t="str">
        <f t="shared" si="1"/>
        <v/>
      </c>
      <c r="E84" s="115"/>
      <c r="F84" s="115"/>
      <c r="G84" s="115"/>
      <c r="H84" s="115"/>
      <c r="I84" s="134"/>
      <c r="J84" s="115"/>
      <c r="K84" s="115"/>
    </row>
    <row r="85" spans="1:11" ht="15.75" x14ac:dyDescent="0.25">
      <c r="A85" s="105"/>
      <c r="B85" s="105"/>
      <c r="C85" s="93" t="str">
        <f t="shared" si="2"/>
        <v/>
      </c>
      <c r="D85" s="93" t="str">
        <f t="shared" ref="D85:D148" si="3">IF(A85=0,"","Steel02")</f>
        <v/>
      </c>
      <c r="E85" s="115"/>
      <c r="F85" s="115"/>
      <c r="G85" s="115"/>
      <c r="H85" s="115"/>
      <c r="I85" s="134"/>
      <c r="J85" s="115"/>
      <c r="K85" s="115"/>
    </row>
    <row r="86" spans="1:11" ht="15.75" x14ac:dyDescent="0.25">
      <c r="A86" s="105"/>
      <c r="B86" s="105"/>
      <c r="C86" s="93" t="str">
        <f t="shared" si="2"/>
        <v/>
      </c>
      <c r="D86" s="93" t="str">
        <f t="shared" si="3"/>
        <v/>
      </c>
      <c r="E86" s="115"/>
      <c r="F86" s="115"/>
      <c r="G86" s="115"/>
      <c r="H86" s="115"/>
      <c r="I86" s="134"/>
      <c r="J86" s="115"/>
      <c r="K86" s="115"/>
    </row>
    <row r="87" spans="1:11" ht="15.75" x14ac:dyDescent="0.25">
      <c r="A87" s="105"/>
      <c r="B87" s="105"/>
      <c r="C87" s="93" t="str">
        <f t="shared" si="2"/>
        <v/>
      </c>
      <c r="D87" s="93" t="str">
        <f t="shared" si="3"/>
        <v/>
      </c>
      <c r="E87" s="115"/>
      <c r="F87" s="115"/>
      <c r="G87" s="115"/>
      <c r="H87" s="115"/>
      <c r="I87" s="134"/>
      <c r="J87" s="115"/>
      <c r="K87" s="115"/>
    </row>
    <row r="88" spans="1:11" ht="15.75" x14ac:dyDescent="0.25">
      <c r="A88" s="105"/>
      <c r="B88" s="105"/>
      <c r="C88" s="93" t="str">
        <f t="shared" si="2"/>
        <v/>
      </c>
      <c r="D88" s="93" t="str">
        <f t="shared" si="3"/>
        <v/>
      </c>
      <c r="E88" s="115"/>
      <c r="F88" s="115"/>
      <c r="G88" s="115"/>
      <c r="H88" s="115"/>
      <c r="I88" s="134"/>
      <c r="J88" s="115"/>
      <c r="K88" s="115"/>
    </row>
    <row r="89" spans="1:11" ht="15.75" x14ac:dyDescent="0.25">
      <c r="A89" s="105"/>
      <c r="B89" s="105"/>
      <c r="C89" s="93" t="str">
        <f t="shared" si="2"/>
        <v/>
      </c>
      <c r="D89" s="93" t="str">
        <f t="shared" si="3"/>
        <v/>
      </c>
      <c r="E89" s="115"/>
      <c r="F89" s="115"/>
      <c r="G89" s="115"/>
      <c r="H89" s="115"/>
      <c r="I89" s="134"/>
      <c r="J89" s="115"/>
      <c r="K89" s="115"/>
    </row>
    <row r="90" spans="1:11" ht="15.75" x14ac:dyDescent="0.25">
      <c r="A90" s="105"/>
      <c r="B90" s="105"/>
      <c r="C90" s="93" t="str">
        <f t="shared" si="2"/>
        <v/>
      </c>
      <c r="D90" s="93" t="str">
        <f t="shared" si="3"/>
        <v/>
      </c>
      <c r="E90" s="115"/>
      <c r="F90" s="115"/>
      <c r="G90" s="115"/>
      <c r="H90" s="115"/>
      <c r="I90" s="134"/>
      <c r="J90" s="115"/>
      <c r="K90" s="115"/>
    </row>
    <row r="91" spans="1:11" ht="15.75" x14ac:dyDescent="0.25">
      <c r="A91" s="105"/>
      <c r="B91" s="105"/>
      <c r="C91" s="93" t="str">
        <f t="shared" si="2"/>
        <v/>
      </c>
      <c r="D91" s="93" t="str">
        <f t="shared" si="3"/>
        <v/>
      </c>
      <c r="E91" s="115"/>
      <c r="F91" s="115"/>
      <c r="G91" s="115"/>
      <c r="H91" s="115"/>
      <c r="I91" s="134"/>
      <c r="J91" s="115"/>
      <c r="K91" s="115"/>
    </row>
    <row r="92" spans="1:11" ht="15.75" x14ac:dyDescent="0.25">
      <c r="A92" s="105"/>
      <c r="B92" s="105"/>
      <c r="C92" s="93" t="str">
        <f t="shared" si="2"/>
        <v/>
      </c>
      <c r="D92" s="93" t="str">
        <f t="shared" si="3"/>
        <v/>
      </c>
      <c r="E92" s="115"/>
      <c r="F92" s="115"/>
      <c r="G92" s="115"/>
      <c r="H92" s="115"/>
      <c r="I92" s="134"/>
      <c r="J92" s="115"/>
      <c r="K92" s="115"/>
    </row>
    <row r="93" spans="1:11" ht="15.75" x14ac:dyDescent="0.25">
      <c r="A93" s="105"/>
      <c r="B93" s="105"/>
      <c r="C93" s="93" t="str">
        <f t="shared" si="2"/>
        <v/>
      </c>
      <c r="D93" s="93" t="str">
        <f t="shared" si="3"/>
        <v/>
      </c>
      <c r="E93" s="115"/>
      <c r="F93" s="115"/>
      <c r="G93" s="115"/>
      <c r="H93" s="115"/>
      <c r="I93" s="134"/>
      <c r="J93" s="115"/>
      <c r="K93" s="115"/>
    </row>
    <row r="94" spans="1:11" ht="15.75" x14ac:dyDescent="0.25">
      <c r="A94" s="105"/>
      <c r="B94" s="105"/>
      <c r="C94" s="93" t="str">
        <f t="shared" si="2"/>
        <v/>
      </c>
      <c r="D94" s="93" t="str">
        <f t="shared" si="3"/>
        <v/>
      </c>
      <c r="E94" s="115"/>
      <c r="F94" s="115"/>
      <c r="G94" s="115"/>
      <c r="H94" s="115"/>
      <c r="I94" s="134"/>
      <c r="J94" s="115"/>
      <c r="K94" s="115"/>
    </row>
    <row r="95" spans="1:11" ht="15.75" x14ac:dyDescent="0.25">
      <c r="A95" s="105"/>
      <c r="B95" s="105"/>
      <c r="C95" s="93" t="str">
        <f t="shared" si="2"/>
        <v/>
      </c>
      <c r="D95" s="93" t="str">
        <f t="shared" si="3"/>
        <v/>
      </c>
      <c r="E95" s="115"/>
      <c r="F95" s="115"/>
      <c r="G95" s="115"/>
      <c r="H95" s="115"/>
      <c r="I95" s="134"/>
      <c r="J95" s="115"/>
      <c r="K95" s="115"/>
    </row>
    <row r="96" spans="1:11" ht="15.75" x14ac:dyDescent="0.25">
      <c r="A96" s="105"/>
      <c r="B96" s="105"/>
      <c r="C96" s="93" t="str">
        <f t="shared" si="2"/>
        <v/>
      </c>
      <c r="D96" s="93" t="str">
        <f t="shared" si="3"/>
        <v/>
      </c>
      <c r="E96" s="115"/>
      <c r="F96" s="115"/>
      <c r="G96" s="115"/>
      <c r="H96" s="115"/>
      <c r="I96" s="134"/>
      <c r="J96" s="115"/>
      <c r="K96" s="115"/>
    </row>
    <row r="97" spans="1:11" ht="15.75" x14ac:dyDescent="0.25">
      <c r="A97" s="105"/>
      <c r="B97" s="105"/>
      <c r="C97" s="93" t="str">
        <f t="shared" si="2"/>
        <v/>
      </c>
      <c r="D97" s="93" t="str">
        <f t="shared" si="3"/>
        <v/>
      </c>
      <c r="E97" s="115"/>
      <c r="F97" s="115"/>
      <c r="G97" s="115"/>
      <c r="H97" s="115"/>
      <c r="I97" s="134"/>
      <c r="J97" s="115"/>
      <c r="K97" s="115"/>
    </row>
    <row r="98" spans="1:11" ht="15.75" x14ac:dyDescent="0.25">
      <c r="A98" s="105"/>
      <c r="B98" s="105"/>
      <c r="C98" s="93" t="str">
        <f t="shared" si="2"/>
        <v/>
      </c>
      <c r="D98" s="93" t="str">
        <f t="shared" si="3"/>
        <v/>
      </c>
      <c r="E98" s="115"/>
      <c r="F98" s="115"/>
      <c r="G98" s="115"/>
      <c r="H98" s="115"/>
      <c r="I98" s="134"/>
      <c r="J98" s="115"/>
      <c r="K98" s="115"/>
    </row>
    <row r="99" spans="1:11" ht="15.75" x14ac:dyDescent="0.25">
      <c r="A99" s="105"/>
      <c r="B99" s="105"/>
      <c r="C99" s="93" t="str">
        <f t="shared" si="2"/>
        <v/>
      </c>
      <c r="D99" s="93" t="str">
        <f t="shared" si="3"/>
        <v/>
      </c>
      <c r="E99" s="115"/>
      <c r="F99" s="115"/>
      <c r="G99" s="115"/>
      <c r="H99" s="115"/>
      <c r="I99" s="134"/>
      <c r="J99" s="115"/>
      <c r="K99" s="115"/>
    </row>
    <row r="100" spans="1:11" ht="15.75" x14ac:dyDescent="0.25">
      <c r="A100" s="105"/>
      <c r="B100" s="105"/>
      <c r="C100" s="93" t="str">
        <f t="shared" si="2"/>
        <v/>
      </c>
      <c r="D100" s="93" t="str">
        <f t="shared" si="3"/>
        <v/>
      </c>
      <c r="E100" s="115"/>
      <c r="F100" s="115"/>
      <c r="G100" s="115"/>
      <c r="H100" s="115"/>
      <c r="I100" s="134"/>
      <c r="J100" s="115"/>
      <c r="K100" s="115"/>
    </row>
    <row r="101" spans="1:11" ht="15.75" x14ac:dyDescent="0.25">
      <c r="A101" s="105"/>
      <c r="B101" s="105"/>
      <c r="C101" s="93" t="str">
        <f t="shared" si="2"/>
        <v/>
      </c>
      <c r="D101" s="93" t="str">
        <f t="shared" si="3"/>
        <v/>
      </c>
      <c r="E101" s="115"/>
      <c r="F101" s="115"/>
      <c r="G101" s="115"/>
      <c r="H101" s="115"/>
      <c r="I101" s="134"/>
      <c r="J101" s="115"/>
      <c r="K101" s="115"/>
    </row>
    <row r="102" spans="1:11" ht="15.75" x14ac:dyDescent="0.25">
      <c r="A102" s="105"/>
      <c r="B102" s="105"/>
      <c r="C102" s="93" t="str">
        <f t="shared" si="2"/>
        <v/>
      </c>
      <c r="D102" s="93" t="str">
        <f t="shared" si="3"/>
        <v/>
      </c>
      <c r="E102" s="115"/>
      <c r="F102" s="115"/>
      <c r="G102" s="115"/>
      <c r="H102" s="115"/>
      <c r="I102" s="134"/>
      <c r="J102" s="115"/>
      <c r="K102" s="115"/>
    </row>
    <row r="103" spans="1:11" ht="15.75" x14ac:dyDescent="0.25">
      <c r="A103" s="105"/>
      <c r="B103" s="105"/>
      <c r="C103" s="93" t="str">
        <f t="shared" si="2"/>
        <v/>
      </c>
      <c r="D103" s="93" t="str">
        <f t="shared" si="3"/>
        <v/>
      </c>
      <c r="E103" s="115"/>
      <c r="F103" s="115"/>
      <c r="G103" s="115"/>
      <c r="H103" s="115"/>
      <c r="I103" s="134"/>
      <c r="J103" s="115"/>
      <c r="K103" s="115"/>
    </row>
    <row r="104" spans="1:11" ht="15.75" x14ac:dyDescent="0.25">
      <c r="A104" s="105"/>
      <c r="B104" s="105"/>
      <c r="C104" s="93" t="str">
        <f t="shared" si="2"/>
        <v/>
      </c>
      <c r="D104" s="93" t="str">
        <f t="shared" si="3"/>
        <v/>
      </c>
      <c r="E104" s="115"/>
      <c r="F104" s="115"/>
      <c r="G104" s="115"/>
      <c r="H104" s="115"/>
      <c r="I104" s="134"/>
      <c r="J104" s="115"/>
      <c r="K104" s="115"/>
    </row>
    <row r="105" spans="1:11" ht="15.75" x14ac:dyDescent="0.25">
      <c r="A105" s="105"/>
      <c r="B105" s="105"/>
      <c r="C105" s="93" t="str">
        <f t="shared" si="2"/>
        <v/>
      </c>
      <c r="D105" s="93" t="str">
        <f t="shared" si="3"/>
        <v/>
      </c>
      <c r="E105" s="115"/>
      <c r="F105" s="115"/>
      <c r="G105" s="115"/>
      <c r="H105" s="115"/>
      <c r="I105" s="134"/>
      <c r="J105" s="115"/>
      <c r="K105" s="115"/>
    </row>
    <row r="106" spans="1:11" ht="15.75" x14ac:dyDescent="0.25">
      <c r="A106" s="105"/>
      <c r="B106" s="105"/>
      <c r="C106" s="93" t="str">
        <f t="shared" si="2"/>
        <v/>
      </c>
      <c r="D106" s="93" t="str">
        <f t="shared" si="3"/>
        <v/>
      </c>
      <c r="E106" s="115"/>
      <c r="F106" s="115"/>
      <c r="G106" s="115"/>
      <c r="H106" s="115"/>
      <c r="I106" s="134"/>
      <c r="J106" s="115"/>
      <c r="K106" s="115"/>
    </row>
    <row r="107" spans="1:11" ht="15.75" x14ac:dyDescent="0.25">
      <c r="A107" s="105"/>
      <c r="B107" s="105"/>
      <c r="C107" s="93" t="str">
        <f t="shared" si="2"/>
        <v/>
      </c>
      <c r="D107" s="93" t="str">
        <f t="shared" si="3"/>
        <v/>
      </c>
      <c r="E107" s="115"/>
      <c r="F107" s="115"/>
      <c r="G107" s="115"/>
      <c r="H107" s="115"/>
      <c r="I107" s="134"/>
      <c r="J107" s="115"/>
      <c r="K107" s="115"/>
    </row>
    <row r="108" spans="1:11" ht="15.75" x14ac:dyDescent="0.25">
      <c r="A108" s="105"/>
      <c r="B108" s="105"/>
      <c r="C108" s="93" t="str">
        <f t="shared" si="2"/>
        <v/>
      </c>
      <c r="D108" s="93" t="str">
        <f t="shared" si="3"/>
        <v/>
      </c>
      <c r="E108" s="115"/>
      <c r="F108" s="115"/>
      <c r="G108" s="115"/>
      <c r="H108" s="115"/>
      <c r="I108" s="134"/>
      <c r="J108" s="115"/>
      <c r="K108" s="115"/>
    </row>
    <row r="109" spans="1:11" ht="15.75" x14ac:dyDescent="0.25">
      <c r="A109" s="105"/>
      <c r="B109" s="105"/>
      <c r="C109" s="93" t="str">
        <f t="shared" si="2"/>
        <v/>
      </c>
      <c r="D109" s="93" t="str">
        <f t="shared" si="3"/>
        <v/>
      </c>
      <c r="E109" s="115"/>
      <c r="F109" s="115"/>
      <c r="G109" s="115"/>
      <c r="H109" s="115"/>
      <c r="I109" s="134"/>
      <c r="J109" s="115"/>
      <c r="K109" s="115"/>
    </row>
    <row r="110" spans="1:11" ht="15.75" x14ac:dyDescent="0.25">
      <c r="A110" s="105"/>
      <c r="B110" s="105"/>
      <c r="C110" s="93" t="str">
        <f t="shared" si="2"/>
        <v/>
      </c>
      <c r="D110" s="93" t="str">
        <f t="shared" si="3"/>
        <v/>
      </c>
      <c r="E110" s="115"/>
      <c r="F110" s="115"/>
      <c r="G110" s="115"/>
      <c r="H110" s="115"/>
      <c r="I110" s="134"/>
      <c r="J110" s="115"/>
      <c r="K110" s="115"/>
    </row>
    <row r="111" spans="1:11" ht="15.75" x14ac:dyDescent="0.25">
      <c r="A111" s="105"/>
      <c r="B111" s="105"/>
      <c r="C111" s="93" t="str">
        <f t="shared" si="2"/>
        <v/>
      </c>
      <c r="D111" s="93" t="str">
        <f t="shared" si="3"/>
        <v/>
      </c>
      <c r="E111" s="115"/>
      <c r="F111" s="115"/>
      <c r="G111" s="115"/>
      <c r="H111" s="115"/>
      <c r="I111" s="134"/>
      <c r="J111" s="115"/>
      <c r="K111" s="115"/>
    </row>
    <row r="112" spans="1:11" ht="15.75" x14ac:dyDescent="0.25">
      <c r="A112" s="105"/>
      <c r="B112" s="105"/>
      <c r="C112" s="93" t="str">
        <f t="shared" si="2"/>
        <v/>
      </c>
      <c r="D112" s="93" t="str">
        <f t="shared" si="3"/>
        <v/>
      </c>
      <c r="E112" s="115"/>
      <c r="F112" s="115"/>
      <c r="G112" s="115"/>
      <c r="H112" s="115"/>
      <c r="I112" s="134"/>
      <c r="J112" s="115"/>
      <c r="K112" s="115"/>
    </row>
    <row r="113" spans="1:11" ht="15.75" x14ac:dyDescent="0.25">
      <c r="A113" s="105"/>
      <c r="B113" s="105"/>
      <c r="C113" s="93" t="str">
        <f t="shared" si="2"/>
        <v/>
      </c>
      <c r="D113" s="93" t="str">
        <f t="shared" si="3"/>
        <v/>
      </c>
      <c r="E113" s="115"/>
      <c r="F113" s="115"/>
      <c r="G113" s="115"/>
      <c r="H113" s="115"/>
      <c r="I113" s="134"/>
      <c r="J113" s="115"/>
      <c r="K113" s="115"/>
    </row>
    <row r="114" spans="1:11" ht="15.75" x14ac:dyDescent="0.25">
      <c r="A114" s="105"/>
      <c r="B114" s="105"/>
      <c r="C114" s="93" t="str">
        <f t="shared" si="2"/>
        <v/>
      </c>
      <c r="D114" s="93" t="str">
        <f t="shared" si="3"/>
        <v/>
      </c>
      <c r="E114" s="115"/>
      <c r="F114" s="115"/>
      <c r="G114" s="115"/>
      <c r="H114" s="115"/>
      <c r="I114" s="134"/>
      <c r="J114" s="115"/>
      <c r="K114" s="115"/>
    </row>
    <row r="115" spans="1:11" ht="15.75" x14ac:dyDescent="0.25">
      <c r="A115" s="105"/>
      <c r="B115" s="105"/>
      <c r="C115" s="93" t="str">
        <f t="shared" si="2"/>
        <v/>
      </c>
      <c r="D115" s="93" t="str">
        <f t="shared" si="3"/>
        <v/>
      </c>
      <c r="E115" s="115"/>
      <c r="F115" s="115"/>
      <c r="G115" s="115"/>
      <c r="H115" s="115"/>
      <c r="I115" s="134"/>
      <c r="J115" s="115"/>
      <c r="K115" s="115"/>
    </row>
    <row r="116" spans="1:11" ht="15.75" x14ac:dyDescent="0.25">
      <c r="A116" s="105"/>
      <c r="B116" s="105"/>
      <c r="C116" s="93" t="str">
        <f t="shared" si="2"/>
        <v/>
      </c>
      <c r="D116" s="93" t="str">
        <f t="shared" si="3"/>
        <v/>
      </c>
      <c r="E116" s="115"/>
      <c r="F116" s="115"/>
      <c r="G116" s="115"/>
      <c r="H116" s="115"/>
      <c r="I116" s="134"/>
      <c r="J116" s="115"/>
      <c r="K116" s="115"/>
    </row>
    <row r="117" spans="1:11" ht="15.75" x14ac:dyDescent="0.25">
      <c r="A117" s="105"/>
      <c r="B117" s="105"/>
      <c r="C117" s="93" t="str">
        <f t="shared" si="2"/>
        <v/>
      </c>
      <c r="D117" s="93" t="str">
        <f t="shared" si="3"/>
        <v/>
      </c>
      <c r="E117" s="115"/>
      <c r="F117" s="115"/>
      <c r="G117" s="115"/>
      <c r="H117" s="115"/>
      <c r="I117" s="134"/>
      <c r="J117" s="115"/>
      <c r="K117" s="115"/>
    </row>
    <row r="118" spans="1:11" ht="15.75" x14ac:dyDescent="0.25">
      <c r="A118" s="105"/>
      <c r="B118" s="105"/>
      <c r="C118" s="93" t="str">
        <f t="shared" si="2"/>
        <v/>
      </c>
      <c r="D118" s="93" t="str">
        <f t="shared" si="3"/>
        <v/>
      </c>
      <c r="E118" s="115"/>
      <c r="F118" s="115"/>
      <c r="G118" s="115"/>
      <c r="H118" s="115"/>
      <c r="I118" s="134"/>
      <c r="J118" s="115"/>
      <c r="K118" s="115"/>
    </row>
    <row r="119" spans="1:11" ht="15.75" x14ac:dyDescent="0.25">
      <c r="A119" s="105"/>
      <c r="B119" s="105"/>
      <c r="C119" s="93" t="str">
        <f t="shared" si="2"/>
        <v/>
      </c>
      <c r="D119" s="93" t="str">
        <f t="shared" si="3"/>
        <v/>
      </c>
      <c r="E119" s="115"/>
      <c r="F119" s="115"/>
      <c r="G119" s="115"/>
      <c r="H119" s="115"/>
      <c r="I119" s="134"/>
      <c r="J119" s="115"/>
      <c r="K119" s="115"/>
    </row>
    <row r="120" spans="1:11" ht="15.75" x14ac:dyDescent="0.25">
      <c r="A120" s="105"/>
      <c r="B120" s="105"/>
      <c r="C120" s="93" t="str">
        <f t="shared" si="2"/>
        <v/>
      </c>
      <c r="D120" s="93" t="str">
        <f t="shared" si="3"/>
        <v/>
      </c>
      <c r="E120" s="115"/>
      <c r="F120" s="115"/>
      <c r="G120" s="115"/>
      <c r="H120" s="115"/>
      <c r="I120" s="134"/>
      <c r="J120" s="115"/>
      <c r="K120" s="115"/>
    </row>
    <row r="121" spans="1:11" ht="15.75" x14ac:dyDescent="0.25">
      <c r="A121" s="105"/>
      <c r="B121" s="105"/>
      <c r="C121" s="93" t="str">
        <f t="shared" si="2"/>
        <v/>
      </c>
      <c r="D121" s="93" t="str">
        <f t="shared" si="3"/>
        <v/>
      </c>
      <c r="E121" s="115"/>
      <c r="F121" s="115"/>
      <c r="G121" s="115"/>
      <c r="H121" s="115"/>
      <c r="I121" s="134"/>
      <c r="J121" s="115"/>
      <c r="K121" s="115"/>
    </row>
    <row r="122" spans="1:11" ht="15.75" x14ac:dyDescent="0.25">
      <c r="A122" s="105"/>
      <c r="B122" s="105"/>
      <c r="C122" s="93" t="str">
        <f t="shared" si="2"/>
        <v/>
      </c>
      <c r="D122" s="93" t="str">
        <f t="shared" si="3"/>
        <v/>
      </c>
      <c r="E122" s="115"/>
      <c r="F122" s="115"/>
      <c r="G122" s="115"/>
      <c r="H122" s="115"/>
      <c r="I122" s="134"/>
      <c r="J122" s="115"/>
      <c r="K122" s="115"/>
    </row>
    <row r="123" spans="1:11" ht="15.75" x14ac:dyDescent="0.25">
      <c r="A123" s="105"/>
      <c r="B123" s="105"/>
      <c r="C123" s="93" t="str">
        <f t="shared" si="2"/>
        <v/>
      </c>
      <c r="D123" s="93" t="str">
        <f t="shared" si="3"/>
        <v/>
      </c>
      <c r="E123" s="115"/>
      <c r="F123" s="115"/>
      <c r="G123" s="115"/>
      <c r="H123" s="115"/>
      <c r="I123" s="134"/>
      <c r="J123" s="115"/>
      <c r="K123" s="115"/>
    </row>
    <row r="124" spans="1:11" ht="15.75" x14ac:dyDescent="0.25">
      <c r="A124" s="105"/>
      <c r="B124" s="105"/>
      <c r="C124" s="93" t="str">
        <f t="shared" si="2"/>
        <v/>
      </c>
      <c r="D124" s="93" t="str">
        <f t="shared" si="3"/>
        <v/>
      </c>
      <c r="E124" s="115"/>
      <c r="F124" s="115"/>
      <c r="G124" s="115"/>
      <c r="H124" s="115"/>
      <c r="I124" s="134"/>
      <c r="J124" s="115"/>
      <c r="K124" s="115"/>
    </row>
    <row r="125" spans="1:11" ht="15.75" x14ac:dyDescent="0.25">
      <c r="A125" s="105"/>
      <c r="B125" s="105"/>
      <c r="C125" s="93" t="str">
        <f t="shared" si="2"/>
        <v/>
      </c>
      <c r="D125" s="93" t="str">
        <f t="shared" si="3"/>
        <v/>
      </c>
      <c r="E125" s="115"/>
      <c r="F125" s="115"/>
      <c r="G125" s="115"/>
      <c r="H125" s="115"/>
      <c r="I125" s="134"/>
      <c r="J125" s="115"/>
      <c r="K125" s="115"/>
    </row>
    <row r="126" spans="1:11" ht="15.75" x14ac:dyDescent="0.25">
      <c r="A126" s="105"/>
      <c r="B126" s="105"/>
      <c r="C126" s="93" t="str">
        <f t="shared" si="2"/>
        <v/>
      </c>
      <c r="D126" s="93" t="str">
        <f t="shared" si="3"/>
        <v/>
      </c>
      <c r="E126" s="115"/>
      <c r="F126" s="115"/>
      <c r="G126" s="115"/>
      <c r="H126" s="115"/>
      <c r="I126" s="134"/>
      <c r="J126" s="115"/>
      <c r="K126" s="115"/>
    </row>
    <row r="127" spans="1:11" ht="15.75" x14ac:dyDescent="0.25">
      <c r="A127" s="105"/>
      <c r="B127" s="105"/>
      <c r="C127" s="93" t="str">
        <f t="shared" si="2"/>
        <v/>
      </c>
      <c r="D127" s="93" t="str">
        <f t="shared" si="3"/>
        <v/>
      </c>
      <c r="E127" s="115"/>
      <c r="F127" s="115"/>
      <c r="G127" s="115"/>
      <c r="H127" s="115"/>
      <c r="I127" s="134"/>
      <c r="J127" s="115"/>
      <c r="K127" s="115"/>
    </row>
    <row r="128" spans="1:11" ht="15.75" x14ac:dyDescent="0.25">
      <c r="A128" s="105"/>
      <c r="B128" s="105"/>
      <c r="C128" s="93" t="str">
        <f t="shared" si="2"/>
        <v/>
      </c>
      <c r="D128" s="93" t="str">
        <f t="shared" si="3"/>
        <v/>
      </c>
      <c r="E128" s="115"/>
      <c r="F128" s="115"/>
      <c r="G128" s="115"/>
      <c r="H128" s="115"/>
      <c r="I128" s="134"/>
      <c r="J128" s="115"/>
      <c r="K128" s="115"/>
    </row>
    <row r="129" spans="1:11" ht="15.75" x14ac:dyDescent="0.25">
      <c r="A129" s="105"/>
      <c r="B129" s="105"/>
      <c r="C129" s="93" t="str">
        <f t="shared" si="2"/>
        <v/>
      </c>
      <c r="D129" s="93" t="str">
        <f t="shared" si="3"/>
        <v/>
      </c>
      <c r="E129" s="115"/>
      <c r="F129" s="115"/>
      <c r="G129" s="115"/>
      <c r="H129" s="115"/>
      <c r="I129" s="134"/>
      <c r="J129" s="115"/>
      <c r="K129" s="115"/>
    </row>
    <row r="130" spans="1:11" ht="15.75" x14ac:dyDescent="0.25">
      <c r="A130" s="105"/>
      <c r="B130" s="105"/>
      <c r="C130" s="93" t="str">
        <f t="shared" si="2"/>
        <v/>
      </c>
      <c r="D130" s="93" t="str">
        <f t="shared" si="3"/>
        <v/>
      </c>
      <c r="E130" s="115"/>
      <c r="F130" s="115"/>
      <c r="G130" s="115"/>
      <c r="H130" s="115"/>
      <c r="I130" s="134"/>
      <c r="J130" s="115"/>
      <c r="K130" s="115"/>
    </row>
    <row r="131" spans="1:11" ht="15.75" x14ac:dyDescent="0.25">
      <c r="A131" s="105"/>
      <c r="B131" s="105"/>
      <c r="C131" s="93" t="str">
        <f t="shared" si="2"/>
        <v/>
      </c>
      <c r="D131" s="93" t="str">
        <f t="shared" si="3"/>
        <v/>
      </c>
      <c r="E131" s="115"/>
      <c r="F131" s="115"/>
      <c r="G131" s="115"/>
      <c r="H131" s="115"/>
      <c r="I131" s="134"/>
      <c r="J131" s="115"/>
      <c r="K131" s="115"/>
    </row>
    <row r="132" spans="1:11" ht="15.75" x14ac:dyDescent="0.25">
      <c r="A132" s="105"/>
      <c r="B132" s="105"/>
      <c r="C132" s="93" t="str">
        <f t="shared" si="2"/>
        <v/>
      </c>
      <c r="D132" s="93" t="str">
        <f t="shared" si="3"/>
        <v/>
      </c>
      <c r="E132" s="115"/>
      <c r="F132" s="115"/>
      <c r="G132" s="115"/>
      <c r="H132" s="115"/>
      <c r="I132" s="134"/>
      <c r="J132" s="115"/>
      <c r="K132" s="115"/>
    </row>
    <row r="133" spans="1:11" ht="15.75" x14ac:dyDescent="0.25">
      <c r="A133" s="105"/>
      <c r="B133" s="105"/>
      <c r="C133" s="93" t="str">
        <f t="shared" si="2"/>
        <v/>
      </c>
      <c r="D133" s="93" t="str">
        <f t="shared" si="3"/>
        <v/>
      </c>
      <c r="E133" s="115"/>
      <c r="F133" s="115"/>
      <c r="G133" s="115"/>
      <c r="H133" s="115"/>
      <c r="I133" s="134"/>
      <c r="J133" s="115"/>
      <c r="K133" s="115"/>
    </row>
    <row r="134" spans="1:11" ht="15.75" x14ac:dyDescent="0.25">
      <c r="A134" s="105"/>
      <c r="B134" s="105"/>
      <c r="C134" s="93" t="str">
        <f t="shared" si="2"/>
        <v/>
      </c>
      <c r="D134" s="93" t="str">
        <f t="shared" si="3"/>
        <v/>
      </c>
      <c r="E134" s="115"/>
      <c r="F134" s="115"/>
      <c r="G134" s="115"/>
      <c r="H134" s="115"/>
      <c r="I134" s="134"/>
      <c r="J134" s="115"/>
      <c r="K134" s="115"/>
    </row>
    <row r="135" spans="1:11" ht="15.75" x14ac:dyDescent="0.25">
      <c r="A135" s="105"/>
      <c r="B135" s="105"/>
      <c r="C135" s="93" t="str">
        <f t="shared" si="2"/>
        <v/>
      </c>
      <c r="D135" s="93" t="str">
        <f t="shared" si="3"/>
        <v/>
      </c>
      <c r="E135" s="115"/>
      <c r="F135" s="115"/>
      <c r="G135" s="115"/>
      <c r="H135" s="115"/>
      <c r="I135" s="134"/>
      <c r="J135" s="115"/>
      <c r="K135" s="115"/>
    </row>
    <row r="136" spans="1:11" ht="15.75" x14ac:dyDescent="0.25">
      <c r="A136" s="105"/>
      <c r="B136" s="105"/>
      <c r="C136" s="93" t="str">
        <f t="shared" si="2"/>
        <v/>
      </c>
      <c r="D136" s="93" t="str">
        <f t="shared" si="3"/>
        <v/>
      </c>
      <c r="E136" s="115"/>
      <c r="F136" s="115"/>
      <c r="G136" s="115"/>
      <c r="H136" s="115"/>
      <c r="I136" s="134"/>
      <c r="J136" s="115"/>
      <c r="K136" s="115"/>
    </row>
    <row r="137" spans="1:11" ht="15.75" x14ac:dyDescent="0.25">
      <c r="A137" s="105"/>
      <c r="B137" s="105"/>
      <c r="C137" s="93" t="str">
        <f t="shared" si="2"/>
        <v/>
      </c>
      <c r="D137" s="93" t="str">
        <f t="shared" si="3"/>
        <v/>
      </c>
      <c r="E137" s="115"/>
      <c r="F137" s="115"/>
      <c r="G137" s="115"/>
      <c r="H137" s="115"/>
      <c r="I137" s="134"/>
      <c r="J137" s="115"/>
      <c r="K137" s="115"/>
    </row>
    <row r="138" spans="1:11" ht="15.75" x14ac:dyDescent="0.25">
      <c r="A138" s="105"/>
      <c r="B138" s="105"/>
      <c r="C138" s="93" t="str">
        <f t="shared" si="2"/>
        <v/>
      </c>
      <c r="D138" s="93" t="str">
        <f t="shared" si="3"/>
        <v/>
      </c>
      <c r="E138" s="115"/>
      <c r="F138" s="115"/>
      <c r="G138" s="115"/>
      <c r="H138" s="115"/>
      <c r="I138" s="134"/>
      <c r="J138" s="115"/>
      <c r="K138" s="115"/>
    </row>
    <row r="139" spans="1:11" ht="15.75" x14ac:dyDescent="0.25">
      <c r="A139" s="105"/>
      <c r="B139" s="105"/>
      <c r="C139" s="93" t="str">
        <f t="shared" si="2"/>
        <v/>
      </c>
      <c r="D139" s="93" t="str">
        <f t="shared" si="3"/>
        <v/>
      </c>
      <c r="E139" s="115"/>
      <c r="F139" s="115"/>
      <c r="G139" s="115"/>
      <c r="H139" s="115"/>
      <c r="I139" s="134"/>
      <c r="J139" s="115"/>
      <c r="K139" s="115"/>
    </row>
    <row r="140" spans="1:11" ht="15.75" x14ac:dyDescent="0.25">
      <c r="A140" s="105"/>
      <c r="B140" s="105"/>
      <c r="C140" s="93" t="str">
        <f t="shared" si="2"/>
        <v/>
      </c>
      <c r="D140" s="93" t="str">
        <f t="shared" si="3"/>
        <v/>
      </c>
      <c r="E140" s="115"/>
      <c r="F140" s="115"/>
      <c r="G140" s="115"/>
      <c r="H140" s="115"/>
      <c r="I140" s="134"/>
      <c r="J140" s="115"/>
      <c r="K140" s="115"/>
    </row>
    <row r="141" spans="1:11" ht="15.75" x14ac:dyDescent="0.25">
      <c r="A141" s="105"/>
      <c r="B141" s="105"/>
      <c r="C141" s="93" t="str">
        <f t="shared" si="2"/>
        <v/>
      </c>
      <c r="D141" s="93" t="str">
        <f t="shared" si="3"/>
        <v/>
      </c>
      <c r="E141" s="115"/>
      <c r="F141" s="115"/>
      <c r="G141" s="115"/>
      <c r="H141" s="115"/>
      <c r="I141" s="134"/>
      <c r="J141" s="115"/>
      <c r="K141" s="115"/>
    </row>
    <row r="142" spans="1:11" ht="15.75" x14ac:dyDescent="0.25">
      <c r="A142" s="105"/>
      <c r="B142" s="105"/>
      <c r="C142" s="93" t="str">
        <f t="shared" si="2"/>
        <v/>
      </c>
      <c r="D142" s="93" t="str">
        <f t="shared" si="3"/>
        <v/>
      </c>
      <c r="E142" s="115"/>
      <c r="F142" s="115"/>
      <c r="G142" s="115"/>
      <c r="H142" s="115"/>
      <c r="I142" s="134"/>
      <c r="J142" s="115"/>
      <c r="K142" s="115"/>
    </row>
    <row r="143" spans="1:11" ht="15.75" x14ac:dyDescent="0.25">
      <c r="A143" s="105"/>
      <c r="B143" s="105"/>
      <c r="C143" s="93" t="str">
        <f t="shared" si="2"/>
        <v/>
      </c>
      <c r="D143" s="93" t="str">
        <f t="shared" si="3"/>
        <v/>
      </c>
      <c r="E143" s="115"/>
      <c r="F143" s="115"/>
      <c r="G143" s="115"/>
      <c r="H143" s="115"/>
      <c r="I143" s="134"/>
      <c r="J143" s="115"/>
      <c r="K143" s="115"/>
    </row>
    <row r="144" spans="1:11" ht="15.75" x14ac:dyDescent="0.25">
      <c r="A144" s="105"/>
      <c r="B144" s="105"/>
      <c r="C144" s="93" t="str">
        <f t="shared" si="2"/>
        <v/>
      </c>
      <c r="D144" s="93" t="str">
        <f t="shared" si="3"/>
        <v/>
      </c>
      <c r="E144" s="115"/>
      <c r="F144" s="115"/>
      <c r="G144" s="115"/>
      <c r="H144" s="115"/>
      <c r="I144" s="134"/>
      <c r="J144" s="115"/>
      <c r="K144" s="115"/>
    </row>
    <row r="145" spans="1:11" ht="15.75" x14ac:dyDescent="0.25">
      <c r="A145" s="105"/>
      <c r="B145" s="105"/>
      <c r="C145" s="93" t="str">
        <f t="shared" si="2"/>
        <v/>
      </c>
      <c r="D145" s="93" t="str">
        <f t="shared" si="3"/>
        <v/>
      </c>
      <c r="E145" s="115"/>
      <c r="F145" s="115"/>
      <c r="G145" s="115"/>
      <c r="H145" s="115"/>
      <c r="I145" s="134"/>
      <c r="J145" s="115"/>
      <c r="K145" s="115"/>
    </row>
    <row r="146" spans="1:11" ht="15.75" x14ac:dyDescent="0.25">
      <c r="A146" s="105"/>
      <c r="B146" s="105"/>
      <c r="C146" s="93" t="str">
        <f t="shared" si="2"/>
        <v/>
      </c>
      <c r="D146" s="93" t="str">
        <f t="shared" si="3"/>
        <v/>
      </c>
      <c r="E146" s="115"/>
      <c r="F146" s="115"/>
      <c r="G146" s="115"/>
      <c r="H146" s="115"/>
      <c r="I146" s="134"/>
      <c r="J146" s="115"/>
      <c r="K146" s="115"/>
    </row>
    <row r="147" spans="1:11" ht="15.75" x14ac:dyDescent="0.25">
      <c r="A147" s="105"/>
      <c r="B147" s="105"/>
      <c r="C147" s="93" t="str">
        <f t="shared" si="2"/>
        <v/>
      </c>
      <c r="D147" s="93" t="str">
        <f t="shared" si="3"/>
        <v/>
      </c>
      <c r="E147" s="115"/>
      <c r="F147" s="115"/>
      <c r="G147" s="115"/>
      <c r="H147" s="115"/>
      <c r="I147" s="134"/>
      <c r="J147" s="115"/>
      <c r="K147" s="115"/>
    </row>
    <row r="148" spans="1:11" ht="15.75" x14ac:dyDescent="0.25">
      <c r="A148" s="105"/>
      <c r="B148" s="105"/>
      <c r="C148" s="93" t="str">
        <f t="shared" ref="C148:C211" si="4">IF(A148=0,"",VLOOKUP(B148,MatDB,2,FALSE))</f>
        <v/>
      </c>
      <c r="D148" s="93" t="str">
        <f t="shared" si="3"/>
        <v/>
      </c>
      <c r="E148" s="115"/>
      <c r="F148" s="115"/>
      <c r="G148" s="115"/>
      <c r="H148" s="115"/>
      <c r="I148" s="134"/>
      <c r="J148" s="115"/>
      <c r="K148" s="115"/>
    </row>
    <row r="149" spans="1:11" ht="15.75" x14ac:dyDescent="0.25">
      <c r="A149" s="105"/>
      <c r="B149" s="105"/>
      <c r="C149" s="93" t="str">
        <f t="shared" si="4"/>
        <v/>
      </c>
      <c r="D149" s="93" t="str">
        <f t="shared" ref="D149:D212" si="5">IF(A149=0,"","Steel02")</f>
        <v/>
      </c>
      <c r="E149" s="115"/>
      <c r="F149" s="115"/>
      <c r="G149" s="115"/>
      <c r="H149" s="115"/>
      <c r="I149" s="134"/>
      <c r="J149" s="115"/>
      <c r="K149" s="115"/>
    </row>
    <row r="150" spans="1:11" ht="15.75" x14ac:dyDescent="0.25">
      <c r="A150" s="105"/>
      <c r="B150" s="105"/>
      <c r="C150" s="93" t="str">
        <f t="shared" si="4"/>
        <v/>
      </c>
      <c r="D150" s="93" t="str">
        <f t="shared" si="5"/>
        <v/>
      </c>
      <c r="E150" s="115"/>
      <c r="F150" s="115"/>
      <c r="G150" s="115"/>
      <c r="H150" s="115"/>
      <c r="I150" s="134"/>
      <c r="J150" s="115"/>
      <c r="K150" s="115"/>
    </row>
    <row r="151" spans="1:11" ht="15.75" x14ac:dyDescent="0.25">
      <c r="A151" s="105"/>
      <c r="B151" s="105"/>
      <c r="C151" s="93" t="str">
        <f t="shared" si="4"/>
        <v/>
      </c>
      <c r="D151" s="93" t="str">
        <f t="shared" si="5"/>
        <v/>
      </c>
      <c r="E151" s="115"/>
      <c r="F151" s="115"/>
      <c r="G151" s="115"/>
      <c r="H151" s="115"/>
      <c r="I151" s="134"/>
      <c r="J151" s="115"/>
      <c r="K151" s="115"/>
    </row>
    <row r="152" spans="1:11" ht="15.75" x14ac:dyDescent="0.25">
      <c r="A152" s="105"/>
      <c r="B152" s="105"/>
      <c r="C152" s="93" t="str">
        <f t="shared" si="4"/>
        <v/>
      </c>
      <c r="D152" s="93" t="str">
        <f t="shared" si="5"/>
        <v/>
      </c>
      <c r="E152" s="115"/>
      <c r="F152" s="115"/>
      <c r="G152" s="115"/>
      <c r="H152" s="115"/>
      <c r="I152" s="134"/>
      <c r="J152" s="115"/>
      <c r="K152" s="115"/>
    </row>
    <row r="153" spans="1:11" ht="15.75" x14ac:dyDescent="0.25">
      <c r="A153" s="105"/>
      <c r="B153" s="105"/>
      <c r="C153" s="93" t="str">
        <f t="shared" si="4"/>
        <v/>
      </c>
      <c r="D153" s="93" t="str">
        <f t="shared" si="5"/>
        <v/>
      </c>
      <c r="E153" s="115"/>
      <c r="F153" s="115"/>
      <c r="G153" s="115"/>
      <c r="H153" s="115"/>
      <c r="I153" s="134"/>
      <c r="J153" s="115"/>
      <c r="K153" s="115"/>
    </row>
    <row r="154" spans="1:11" ht="15.75" x14ac:dyDescent="0.25">
      <c r="A154" s="105"/>
      <c r="B154" s="105"/>
      <c r="C154" s="93" t="str">
        <f t="shared" si="4"/>
        <v/>
      </c>
      <c r="D154" s="93" t="str">
        <f t="shared" si="5"/>
        <v/>
      </c>
      <c r="E154" s="115"/>
      <c r="F154" s="115"/>
      <c r="G154" s="115"/>
      <c r="H154" s="115"/>
      <c r="I154" s="134"/>
      <c r="J154" s="115"/>
      <c r="K154" s="115"/>
    </row>
    <row r="155" spans="1:11" ht="15.75" x14ac:dyDescent="0.25">
      <c r="A155" s="105"/>
      <c r="B155" s="105"/>
      <c r="C155" s="93" t="str">
        <f t="shared" si="4"/>
        <v/>
      </c>
      <c r="D155" s="93" t="str">
        <f t="shared" si="5"/>
        <v/>
      </c>
      <c r="E155" s="115"/>
      <c r="F155" s="115"/>
      <c r="G155" s="115"/>
      <c r="H155" s="115"/>
      <c r="I155" s="134"/>
      <c r="J155" s="115"/>
      <c r="K155" s="115"/>
    </row>
    <row r="156" spans="1:11" ht="15.75" x14ac:dyDescent="0.25">
      <c r="A156" s="105"/>
      <c r="B156" s="105"/>
      <c r="C156" s="93" t="str">
        <f t="shared" si="4"/>
        <v/>
      </c>
      <c r="D156" s="93" t="str">
        <f t="shared" si="5"/>
        <v/>
      </c>
      <c r="E156" s="115"/>
      <c r="F156" s="115"/>
      <c r="G156" s="115"/>
      <c r="H156" s="115"/>
      <c r="I156" s="134"/>
      <c r="J156" s="115"/>
      <c r="K156" s="115"/>
    </row>
    <row r="157" spans="1:11" ht="15.75" x14ac:dyDescent="0.25">
      <c r="A157" s="105"/>
      <c r="B157" s="105"/>
      <c r="C157" s="93" t="str">
        <f t="shared" si="4"/>
        <v/>
      </c>
      <c r="D157" s="93" t="str">
        <f t="shared" si="5"/>
        <v/>
      </c>
      <c r="E157" s="115"/>
      <c r="F157" s="115"/>
      <c r="G157" s="115"/>
      <c r="H157" s="115"/>
      <c r="I157" s="134"/>
      <c r="J157" s="115"/>
      <c r="K157" s="115"/>
    </row>
    <row r="158" spans="1:11" ht="15.75" x14ac:dyDescent="0.25">
      <c r="A158" s="105"/>
      <c r="B158" s="105"/>
      <c r="C158" s="93" t="str">
        <f t="shared" si="4"/>
        <v/>
      </c>
      <c r="D158" s="93" t="str">
        <f t="shared" si="5"/>
        <v/>
      </c>
      <c r="E158" s="115"/>
      <c r="F158" s="115"/>
      <c r="G158" s="115"/>
      <c r="H158" s="115"/>
      <c r="I158" s="134"/>
      <c r="J158" s="115"/>
      <c r="K158" s="115"/>
    </row>
    <row r="159" spans="1:11" ht="15.75" x14ac:dyDescent="0.25">
      <c r="A159" s="105"/>
      <c r="B159" s="105"/>
      <c r="C159" s="93" t="str">
        <f t="shared" si="4"/>
        <v/>
      </c>
      <c r="D159" s="93" t="str">
        <f t="shared" si="5"/>
        <v/>
      </c>
      <c r="E159" s="115"/>
      <c r="F159" s="115"/>
      <c r="G159" s="115"/>
      <c r="H159" s="115"/>
      <c r="I159" s="134"/>
      <c r="J159" s="115"/>
      <c r="K159" s="115"/>
    </row>
    <row r="160" spans="1:11" ht="15.75" x14ac:dyDescent="0.25">
      <c r="A160" s="105"/>
      <c r="B160" s="105"/>
      <c r="C160" s="93" t="str">
        <f t="shared" si="4"/>
        <v/>
      </c>
      <c r="D160" s="93" t="str">
        <f t="shared" si="5"/>
        <v/>
      </c>
      <c r="E160" s="115"/>
      <c r="F160" s="115"/>
      <c r="G160" s="115"/>
      <c r="H160" s="115"/>
      <c r="I160" s="134"/>
      <c r="J160" s="115"/>
      <c r="K160" s="115"/>
    </row>
    <row r="161" spans="1:11" ht="15.75" x14ac:dyDescent="0.25">
      <c r="A161" s="105"/>
      <c r="B161" s="105"/>
      <c r="C161" s="93" t="str">
        <f t="shared" si="4"/>
        <v/>
      </c>
      <c r="D161" s="93" t="str">
        <f t="shared" si="5"/>
        <v/>
      </c>
      <c r="E161" s="115"/>
      <c r="F161" s="115"/>
      <c r="G161" s="115"/>
      <c r="H161" s="115"/>
      <c r="I161" s="134"/>
      <c r="J161" s="115"/>
      <c r="K161" s="115"/>
    </row>
    <row r="162" spans="1:11" ht="15.75" x14ac:dyDescent="0.25">
      <c r="A162" s="105"/>
      <c r="B162" s="105"/>
      <c r="C162" s="93" t="str">
        <f t="shared" si="4"/>
        <v/>
      </c>
      <c r="D162" s="93" t="str">
        <f t="shared" si="5"/>
        <v/>
      </c>
      <c r="E162" s="115"/>
      <c r="F162" s="115"/>
      <c r="G162" s="115"/>
      <c r="H162" s="115"/>
      <c r="I162" s="134"/>
      <c r="J162" s="115"/>
      <c r="K162" s="115"/>
    </row>
    <row r="163" spans="1:11" ht="15.75" x14ac:dyDescent="0.25">
      <c r="A163" s="105"/>
      <c r="B163" s="105"/>
      <c r="C163" s="93" t="str">
        <f t="shared" si="4"/>
        <v/>
      </c>
      <c r="D163" s="93" t="str">
        <f t="shared" si="5"/>
        <v/>
      </c>
      <c r="E163" s="115"/>
      <c r="F163" s="115"/>
      <c r="G163" s="115"/>
      <c r="H163" s="115"/>
      <c r="I163" s="134"/>
      <c r="J163" s="115"/>
      <c r="K163" s="115"/>
    </row>
    <row r="164" spans="1:11" ht="15.75" x14ac:dyDescent="0.25">
      <c r="A164" s="105"/>
      <c r="B164" s="105"/>
      <c r="C164" s="93" t="str">
        <f t="shared" si="4"/>
        <v/>
      </c>
      <c r="D164" s="93" t="str">
        <f t="shared" si="5"/>
        <v/>
      </c>
      <c r="E164" s="115"/>
      <c r="F164" s="115"/>
      <c r="G164" s="115"/>
      <c r="H164" s="115"/>
      <c r="I164" s="134"/>
      <c r="J164" s="115"/>
      <c r="K164" s="115"/>
    </row>
    <row r="165" spans="1:11" ht="15.75" x14ac:dyDescent="0.25">
      <c r="A165" s="105"/>
      <c r="B165" s="105"/>
      <c r="C165" s="93" t="str">
        <f t="shared" si="4"/>
        <v/>
      </c>
      <c r="D165" s="93" t="str">
        <f t="shared" si="5"/>
        <v/>
      </c>
      <c r="E165" s="115"/>
      <c r="F165" s="115"/>
      <c r="G165" s="115"/>
      <c r="H165" s="115"/>
      <c r="I165" s="134"/>
      <c r="J165" s="115"/>
      <c r="K165" s="115"/>
    </row>
    <row r="166" spans="1:11" ht="15.75" x14ac:dyDescent="0.25">
      <c r="A166" s="105"/>
      <c r="B166" s="105"/>
      <c r="C166" s="93" t="str">
        <f t="shared" si="4"/>
        <v/>
      </c>
      <c r="D166" s="93" t="str">
        <f t="shared" si="5"/>
        <v/>
      </c>
      <c r="E166" s="115"/>
      <c r="F166" s="115"/>
      <c r="G166" s="115"/>
      <c r="H166" s="115"/>
      <c r="I166" s="134"/>
      <c r="J166" s="115"/>
      <c r="K166" s="115"/>
    </row>
    <row r="167" spans="1:11" ht="15.75" x14ac:dyDescent="0.25">
      <c r="A167" s="105"/>
      <c r="B167" s="105"/>
      <c r="C167" s="93" t="str">
        <f t="shared" si="4"/>
        <v/>
      </c>
      <c r="D167" s="93" t="str">
        <f t="shared" si="5"/>
        <v/>
      </c>
      <c r="E167" s="115"/>
      <c r="F167" s="115"/>
      <c r="G167" s="115"/>
      <c r="H167" s="115"/>
      <c r="I167" s="134"/>
      <c r="J167" s="115"/>
      <c r="K167" s="115"/>
    </row>
    <row r="168" spans="1:11" ht="15.75" x14ac:dyDescent="0.25">
      <c r="A168" s="105"/>
      <c r="B168" s="105"/>
      <c r="C168" s="93" t="str">
        <f t="shared" si="4"/>
        <v/>
      </c>
      <c r="D168" s="93" t="str">
        <f t="shared" si="5"/>
        <v/>
      </c>
      <c r="E168" s="115"/>
      <c r="F168" s="115"/>
      <c r="G168" s="115"/>
      <c r="H168" s="115"/>
      <c r="I168" s="134"/>
      <c r="J168" s="115"/>
      <c r="K168" s="115"/>
    </row>
    <row r="169" spans="1:11" ht="15.75" x14ac:dyDescent="0.25">
      <c r="A169" s="105"/>
      <c r="B169" s="105"/>
      <c r="C169" s="93" t="str">
        <f t="shared" si="4"/>
        <v/>
      </c>
      <c r="D169" s="93" t="str">
        <f t="shared" si="5"/>
        <v/>
      </c>
      <c r="E169" s="115"/>
      <c r="F169" s="115"/>
      <c r="G169" s="115"/>
      <c r="H169" s="115"/>
      <c r="I169" s="134"/>
      <c r="J169" s="115"/>
      <c r="K169" s="115"/>
    </row>
    <row r="170" spans="1:11" ht="15.75" x14ac:dyDescent="0.25">
      <c r="A170" s="105"/>
      <c r="B170" s="105"/>
      <c r="C170" s="93" t="str">
        <f t="shared" si="4"/>
        <v/>
      </c>
      <c r="D170" s="93" t="str">
        <f t="shared" si="5"/>
        <v/>
      </c>
      <c r="E170" s="115"/>
      <c r="F170" s="115"/>
      <c r="G170" s="115"/>
      <c r="H170" s="115"/>
      <c r="I170" s="134"/>
      <c r="J170" s="115"/>
      <c r="K170" s="115"/>
    </row>
    <row r="171" spans="1:11" ht="15.75" x14ac:dyDescent="0.25">
      <c r="A171" s="105"/>
      <c r="B171" s="105"/>
      <c r="C171" s="93" t="str">
        <f t="shared" si="4"/>
        <v/>
      </c>
      <c r="D171" s="93" t="str">
        <f t="shared" si="5"/>
        <v/>
      </c>
      <c r="E171" s="115"/>
      <c r="F171" s="115"/>
      <c r="G171" s="115"/>
      <c r="H171" s="115"/>
      <c r="I171" s="134"/>
      <c r="J171" s="115"/>
      <c r="K171" s="115"/>
    </row>
    <row r="172" spans="1:11" ht="15.75" x14ac:dyDescent="0.25">
      <c r="A172" s="105"/>
      <c r="B172" s="105"/>
      <c r="C172" s="93" t="str">
        <f t="shared" si="4"/>
        <v/>
      </c>
      <c r="D172" s="93" t="str">
        <f t="shared" si="5"/>
        <v/>
      </c>
      <c r="E172" s="115"/>
      <c r="F172" s="115"/>
      <c r="G172" s="115"/>
      <c r="H172" s="115"/>
      <c r="I172" s="134"/>
      <c r="J172" s="115"/>
      <c r="K172" s="115"/>
    </row>
    <row r="173" spans="1:11" ht="15.75" x14ac:dyDescent="0.25">
      <c r="A173" s="105"/>
      <c r="B173" s="105"/>
      <c r="C173" s="93" t="str">
        <f t="shared" si="4"/>
        <v/>
      </c>
      <c r="D173" s="93" t="str">
        <f t="shared" si="5"/>
        <v/>
      </c>
      <c r="E173" s="115"/>
      <c r="F173" s="115"/>
      <c r="G173" s="115"/>
      <c r="H173" s="115"/>
      <c r="I173" s="134"/>
      <c r="J173" s="115"/>
      <c r="K173" s="115"/>
    </row>
    <row r="174" spans="1:11" ht="15.75" x14ac:dyDescent="0.25">
      <c r="A174" s="105"/>
      <c r="B174" s="105"/>
      <c r="C174" s="93" t="str">
        <f t="shared" si="4"/>
        <v/>
      </c>
      <c r="D174" s="93" t="str">
        <f t="shared" si="5"/>
        <v/>
      </c>
      <c r="E174" s="115"/>
      <c r="F174" s="115"/>
      <c r="G174" s="115"/>
      <c r="H174" s="115"/>
      <c r="I174" s="134"/>
      <c r="J174" s="115"/>
      <c r="K174" s="115"/>
    </row>
    <row r="175" spans="1:11" ht="15.75" x14ac:dyDescent="0.25">
      <c r="A175" s="105"/>
      <c r="B175" s="105"/>
      <c r="C175" s="93" t="str">
        <f t="shared" si="4"/>
        <v/>
      </c>
      <c r="D175" s="93" t="str">
        <f t="shared" si="5"/>
        <v/>
      </c>
      <c r="E175" s="115"/>
      <c r="F175" s="115"/>
      <c r="G175" s="115"/>
      <c r="H175" s="115"/>
      <c r="I175" s="134"/>
      <c r="J175" s="115"/>
      <c r="K175" s="115"/>
    </row>
    <row r="176" spans="1:11" ht="15.75" x14ac:dyDescent="0.25">
      <c r="A176" s="105"/>
      <c r="B176" s="105"/>
      <c r="C176" s="93" t="str">
        <f t="shared" si="4"/>
        <v/>
      </c>
      <c r="D176" s="93" t="str">
        <f t="shared" si="5"/>
        <v/>
      </c>
      <c r="E176" s="115"/>
      <c r="F176" s="115"/>
      <c r="G176" s="115"/>
      <c r="H176" s="115"/>
      <c r="I176" s="134"/>
      <c r="J176" s="115"/>
      <c r="K176" s="115"/>
    </row>
    <row r="177" spans="1:11" ht="15.75" x14ac:dyDescent="0.25">
      <c r="A177" s="105"/>
      <c r="B177" s="105"/>
      <c r="C177" s="93" t="str">
        <f t="shared" si="4"/>
        <v/>
      </c>
      <c r="D177" s="93" t="str">
        <f t="shared" si="5"/>
        <v/>
      </c>
      <c r="E177" s="115"/>
      <c r="F177" s="115"/>
      <c r="G177" s="115"/>
      <c r="H177" s="115"/>
      <c r="I177" s="134"/>
      <c r="J177" s="115"/>
      <c r="K177" s="115"/>
    </row>
    <row r="178" spans="1:11" ht="15.75" x14ac:dyDescent="0.25">
      <c r="A178" s="105"/>
      <c r="B178" s="105"/>
      <c r="C178" s="93" t="str">
        <f t="shared" si="4"/>
        <v/>
      </c>
      <c r="D178" s="93" t="str">
        <f t="shared" si="5"/>
        <v/>
      </c>
      <c r="E178" s="115"/>
      <c r="F178" s="115"/>
      <c r="G178" s="115"/>
      <c r="H178" s="115"/>
      <c r="I178" s="134"/>
      <c r="J178" s="115"/>
      <c r="K178" s="115"/>
    </row>
    <row r="179" spans="1:11" ht="15.75" x14ac:dyDescent="0.25">
      <c r="A179" s="105"/>
      <c r="B179" s="105"/>
      <c r="C179" s="93" t="str">
        <f t="shared" si="4"/>
        <v/>
      </c>
      <c r="D179" s="93" t="str">
        <f t="shared" si="5"/>
        <v/>
      </c>
      <c r="E179" s="115"/>
      <c r="F179" s="115"/>
      <c r="G179" s="115"/>
      <c r="H179" s="115"/>
      <c r="I179" s="134"/>
      <c r="J179" s="115"/>
      <c r="K179" s="115"/>
    </row>
    <row r="180" spans="1:11" ht="15.75" x14ac:dyDescent="0.25">
      <c r="A180" s="105"/>
      <c r="B180" s="105"/>
      <c r="C180" s="93" t="str">
        <f t="shared" si="4"/>
        <v/>
      </c>
      <c r="D180" s="93" t="str">
        <f t="shared" si="5"/>
        <v/>
      </c>
      <c r="E180" s="115"/>
      <c r="F180" s="115"/>
      <c r="G180" s="115"/>
      <c r="H180" s="115"/>
      <c r="I180" s="134"/>
      <c r="J180" s="115"/>
      <c r="K180" s="115"/>
    </row>
    <row r="181" spans="1:11" ht="15.75" x14ac:dyDescent="0.25">
      <c r="A181" s="105"/>
      <c r="B181" s="105"/>
      <c r="C181" s="93" t="str">
        <f t="shared" si="4"/>
        <v/>
      </c>
      <c r="D181" s="93" t="str">
        <f t="shared" si="5"/>
        <v/>
      </c>
      <c r="E181" s="115"/>
      <c r="F181" s="115"/>
      <c r="G181" s="115"/>
      <c r="H181" s="115"/>
      <c r="I181" s="134"/>
      <c r="J181" s="115"/>
      <c r="K181" s="115"/>
    </row>
    <row r="182" spans="1:11" ht="15.75" x14ac:dyDescent="0.25">
      <c r="A182" s="105"/>
      <c r="B182" s="105"/>
      <c r="C182" s="93" t="str">
        <f t="shared" si="4"/>
        <v/>
      </c>
      <c r="D182" s="93" t="str">
        <f t="shared" si="5"/>
        <v/>
      </c>
      <c r="E182" s="115"/>
      <c r="F182" s="115"/>
      <c r="G182" s="115"/>
      <c r="H182" s="115"/>
      <c r="I182" s="134"/>
      <c r="J182" s="115"/>
      <c r="K182" s="115"/>
    </row>
    <row r="183" spans="1:11" ht="15.75" x14ac:dyDescent="0.25">
      <c r="A183" s="105"/>
      <c r="B183" s="105"/>
      <c r="C183" s="93" t="str">
        <f t="shared" si="4"/>
        <v/>
      </c>
      <c r="D183" s="93" t="str">
        <f t="shared" si="5"/>
        <v/>
      </c>
      <c r="E183" s="115"/>
      <c r="F183" s="115"/>
      <c r="G183" s="115"/>
      <c r="H183" s="115"/>
      <c r="I183" s="134"/>
      <c r="J183" s="115"/>
      <c r="K183" s="115"/>
    </row>
    <row r="184" spans="1:11" ht="15.75" x14ac:dyDescent="0.25">
      <c r="A184" s="105"/>
      <c r="B184" s="105"/>
      <c r="C184" s="93" t="str">
        <f t="shared" si="4"/>
        <v/>
      </c>
      <c r="D184" s="93" t="str">
        <f t="shared" si="5"/>
        <v/>
      </c>
      <c r="E184" s="115"/>
      <c r="F184" s="115"/>
      <c r="G184" s="115"/>
      <c r="H184" s="115"/>
      <c r="I184" s="134"/>
      <c r="J184" s="115"/>
      <c r="K184" s="115"/>
    </row>
    <row r="185" spans="1:11" ht="15.75" x14ac:dyDescent="0.25">
      <c r="A185" s="105"/>
      <c r="B185" s="105"/>
      <c r="C185" s="93" t="str">
        <f t="shared" si="4"/>
        <v/>
      </c>
      <c r="D185" s="93" t="str">
        <f t="shared" si="5"/>
        <v/>
      </c>
      <c r="E185" s="115"/>
      <c r="F185" s="115"/>
      <c r="G185" s="115"/>
      <c r="H185" s="115"/>
      <c r="I185" s="134"/>
      <c r="J185" s="115"/>
      <c r="K185" s="115"/>
    </row>
    <row r="186" spans="1:11" ht="15.75" x14ac:dyDescent="0.25">
      <c r="A186" s="105"/>
      <c r="B186" s="105"/>
      <c r="C186" s="93" t="str">
        <f t="shared" si="4"/>
        <v/>
      </c>
      <c r="D186" s="93" t="str">
        <f t="shared" si="5"/>
        <v/>
      </c>
      <c r="E186" s="115"/>
      <c r="F186" s="115"/>
      <c r="G186" s="115"/>
      <c r="H186" s="115"/>
      <c r="I186" s="134"/>
      <c r="J186" s="115"/>
      <c r="K186" s="115"/>
    </row>
    <row r="187" spans="1:11" ht="15.75" x14ac:dyDescent="0.25">
      <c r="A187" s="105"/>
      <c r="B187" s="105"/>
      <c r="C187" s="93" t="str">
        <f t="shared" si="4"/>
        <v/>
      </c>
      <c r="D187" s="93" t="str">
        <f t="shared" si="5"/>
        <v/>
      </c>
      <c r="E187" s="115"/>
      <c r="F187" s="115"/>
      <c r="G187" s="115"/>
      <c r="H187" s="115"/>
      <c r="I187" s="134"/>
      <c r="J187" s="115"/>
      <c r="K187" s="115"/>
    </row>
    <row r="188" spans="1:11" ht="15.75" x14ac:dyDescent="0.25">
      <c r="A188" s="105"/>
      <c r="B188" s="105"/>
      <c r="C188" s="93" t="str">
        <f t="shared" si="4"/>
        <v/>
      </c>
      <c r="D188" s="93" t="str">
        <f t="shared" si="5"/>
        <v/>
      </c>
      <c r="E188" s="115"/>
      <c r="F188" s="115"/>
      <c r="G188" s="115"/>
      <c r="H188" s="115"/>
      <c r="I188" s="134"/>
      <c r="J188" s="115"/>
      <c r="K188" s="115"/>
    </row>
    <row r="189" spans="1:11" ht="15.75" x14ac:dyDescent="0.25">
      <c r="A189" s="105"/>
      <c r="B189" s="105"/>
      <c r="C189" s="93" t="str">
        <f t="shared" si="4"/>
        <v/>
      </c>
      <c r="D189" s="93" t="str">
        <f t="shared" si="5"/>
        <v/>
      </c>
      <c r="E189" s="115"/>
      <c r="F189" s="115"/>
      <c r="G189" s="115"/>
      <c r="H189" s="115"/>
      <c r="I189" s="134"/>
      <c r="J189" s="115"/>
      <c r="K189" s="115"/>
    </row>
    <row r="190" spans="1:11" ht="15.75" x14ac:dyDescent="0.25">
      <c r="A190" s="105"/>
      <c r="B190" s="105"/>
      <c r="C190" s="93" t="str">
        <f t="shared" si="4"/>
        <v/>
      </c>
      <c r="D190" s="93" t="str">
        <f t="shared" si="5"/>
        <v/>
      </c>
      <c r="E190" s="115"/>
      <c r="F190" s="115"/>
      <c r="G190" s="115"/>
      <c r="H190" s="115"/>
      <c r="I190" s="134"/>
      <c r="J190" s="115"/>
      <c r="K190" s="115"/>
    </row>
    <row r="191" spans="1:11" ht="15.75" x14ac:dyDescent="0.25">
      <c r="A191" s="105"/>
      <c r="B191" s="105"/>
      <c r="C191" s="93" t="str">
        <f t="shared" si="4"/>
        <v/>
      </c>
      <c r="D191" s="93" t="str">
        <f t="shared" si="5"/>
        <v/>
      </c>
      <c r="E191" s="115"/>
      <c r="F191" s="115"/>
      <c r="G191" s="115"/>
      <c r="H191" s="115"/>
      <c r="I191" s="134"/>
      <c r="J191" s="115"/>
      <c r="K191" s="115"/>
    </row>
    <row r="192" spans="1:11" ht="15.75" x14ac:dyDescent="0.25">
      <c r="A192" s="105"/>
      <c r="B192" s="105"/>
      <c r="C192" s="93" t="str">
        <f t="shared" si="4"/>
        <v/>
      </c>
      <c r="D192" s="93" t="str">
        <f t="shared" si="5"/>
        <v/>
      </c>
      <c r="E192" s="115"/>
      <c r="F192" s="115"/>
      <c r="G192" s="115"/>
      <c r="H192" s="115"/>
      <c r="I192" s="134"/>
      <c r="J192" s="115"/>
      <c r="K192" s="115"/>
    </row>
    <row r="193" spans="1:11" ht="15.75" x14ac:dyDescent="0.25">
      <c r="A193" s="105"/>
      <c r="B193" s="105"/>
      <c r="C193" s="93" t="str">
        <f t="shared" si="4"/>
        <v/>
      </c>
      <c r="D193" s="93" t="str">
        <f t="shared" si="5"/>
        <v/>
      </c>
      <c r="E193" s="115"/>
      <c r="F193" s="115"/>
      <c r="G193" s="115"/>
      <c r="H193" s="115"/>
      <c r="I193" s="134"/>
      <c r="J193" s="115"/>
      <c r="K193" s="115"/>
    </row>
    <row r="194" spans="1:11" ht="15.75" x14ac:dyDescent="0.25">
      <c r="A194" s="105"/>
      <c r="B194" s="105"/>
      <c r="C194" s="93" t="str">
        <f t="shared" si="4"/>
        <v/>
      </c>
      <c r="D194" s="93" t="str">
        <f t="shared" si="5"/>
        <v/>
      </c>
      <c r="E194" s="115"/>
      <c r="F194" s="115"/>
      <c r="G194" s="115"/>
      <c r="H194" s="115"/>
      <c r="I194" s="134"/>
      <c r="J194" s="115"/>
      <c r="K194" s="115"/>
    </row>
    <row r="195" spans="1:11" ht="15.75" x14ac:dyDescent="0.25">
      <c r="A195" s="105"/>
      <c r="B195" s="105"/>
      <c r="C195" s="93" t="str">
        <f t="shared" si="4"/>
        <v/>
      </c>
      <c r="D195" s="93" t="str">
        <f t="shared" si="5"/>
        <v/>
      </c>
      <c r="E195" s="115"/>
      <c r="F195" s="115"/>
      <c r="G195" s="115"/>
      <c r="H195" s="115"/>
      <c r="I195" s="134"/>
      <c r="J195" s="115"/>
      <c r="K195" s="115"/>
    </row>
    <row r="196" spans="1:11" ht="15.75" x14ac:dyDescent="0.25">
      <c r="A196" s="105"/>
      <c r="B196" s="105"/>
      <c r="C196" s="93" t="str">
        <f t="shared" si="4"/>
        <v/>
      </c>
      <c r="D196" s="93" t="str">
        <f t="shared" si="5"/>
        <v/>
      </c>
      <c r="E196" s="115"/>
      <c r="F196" s="115"/>
      <c r="G196" s="115"/>
      <c r="H196" s="115"/>
      <c r="I196" s="134"/>
      <c r="J196" s="115"/>
      <c r="K196" s="115"/>
    </row>
    <row r="197" spans="1:11" ht="15.75" x14ac:dyDescent="0.25">
      <c r="A197" s="105"/>
      <c r="B197" s="105"/>
      <c r="C197" s="93" t="str">
        <f t="shared" si="4"/>
        <v/>
      </c>
      <c r="D197" s="93" t="str">
        <f t="shared" si="5"/>
        <v/>
      </c>
      <c r="E197" s="115"/>
      <c r="F197" s="115"/>
      <c r="G197" s="115"/>
      <c r="H197" s="115"/>
      <c r="I197" s="134"/>
      <c r="J197" s="115"/>
      <c r="K197" s="115"/>
    </row>
    <row r="198" spans="1:11" ht="15.75" x14ac:dyDescent="0.25">
      <c r="A198" s="105"/>
      <c r="B198" s="105"/>
      <c r="C198" s="93" t="str">
        <f t="shared" si="4"/>
        <v/>
      </c>
      <c r="D198" s="93" t="str">
        <f t="shared" si="5"/>
        <v/>
      </c>
      <c r="E198" s="115"/>
      <c r="F198" s="115"/>
      <c r="G198" s="115"/>
      <c r="H198" s="115"/>
      <c r="I198" s="134"/>
      <c r="J198" s="115"/>
      <c r="K198" s="115"/>
    </row>
    <row r="199" spans="1:11" ht="15.75" x14ac:dyDescent="0.25">
      <c r="A199" s="105"/>
      <c r="B199" s="105"/>
      <c r="C199" s="93" t="str">
        <f t="shared" si="4"/>
        <v/>
      </c>
      <c r="D199" s="93" t="str">
        <f t="shared" si="5"/>
        <v/>
      </c>
      <c r="E199" s="115"/>
      <c r="F199" s="115"/>
      <c r="G199" s="115"/>
      <c r="H199" s="115"/>
      <c r="I199" s="134"/>
      <c r="J199" s="115"/>
      <c r="K199" s="115"/>
    </row>
    <row r="200" spans="1:11" ht="15.75" x14ac:dyDescent="0.25">
      <c r="A200" s="105"/>
      <c r="B200" s="105"/>
      <c r="C200" s="93" t="str">
        <f t="shared" si="4"/>
        <v/>
      </c>
      <c r="D200" s="93" t="str">
        <f t="shared" si="5"/>
        <v/>
      </c>
      <c r="E200" s="115"/>
      <c r="F200" s="115"/>
      <c r="G200" s="115"/>
      <c r="H200" s="115"/>
      <c r="I200" s="134"/>
      <c r="J200" s="115"/>
      <c r="K200" s="115"/>
    </row>
    <row r="201" spans="1:11" ht="15.75" x14ac:dyDescent="0.25">
      <c r="A201" s="105"/>
      <c r="B201" s="105"/>
      <c r="C201" s="93" t="str">
        <f t="shared" si="4"/>
        <v/>
      </c>
      <c r="D201" s="93" t="str">
        <f t="shared" si="5"/>
        <v/>
      </c>
      <c r="E201" s="115"/>
      <c r="F201" s="115"/>
      <c r="G201" s="115"/>
      <c r="H201" s="115"/>
      <c r="I201" s="134"/>
      <c r="J201" s="115"/>
      <c r="K201" s="115"/>
    </row>
    <row r="202" spans="1:11" ht="15.75" x14ac:dyDescent="0.25">
      <c r="A202" s="105"/>
      <c r="B202" s="105"/>
      <c r="C202" s="93" t="str">
        <f t="shared" si="4"/>
        <v/>
      </c>
      <c r="D202" s="93" t="str">
        <f t="shared" si="5"/>
        <v/>
      </c>
      <c r="E202" s="115"/>
      <c r="F202" s="115"/>
      <c r="G202" s="115"/>
      <c r="H202" s="115"/>
      <c r="I202" s="134"/>
      <c r="J202" s="115"/>
      <c r="K202" s="115"/>
    </row>
    <row r="203" spans="1:11" ht="15.75" x14ac:dyDescent="0.25">
      <c r="A203" s="105"/>
      <c r="B203" s="105"/>
      <c r="C203" s="93" t="str">
        <f t="shared" si="4"/>
        <v/>
      </c>
      <c r="D203" s="93" t="str">
        <f t="shared" si="5"/>
        <v/>
      </c>
      <c r="E203" s="115"/>
      <c r="F203" s="115"/>
      <c r="G203" s="115"/>
      <c r="H203" s="115"/>
      <c r="I203" s="134"/>
      <c r="J203" s="115"/>
      <c r="K203" s="115"/>
    </row>
    <row r="204" spans="1:11" ht="15.75" x14ac:dyDescent="0.25">
      <c r="A204" s="105"/>
      <c r="B204" s="105"/>
      <c r="C204" s="93" t="str">
        <f t="shared" si="4"/>
        <v/>
      </c>
      <c r="D204" s="93" t="str">
        <f t="shared" si="5"/>
        <v/>
      </c>
      <c r="E204" s="115"/>
      <c r="F204" s="115"/>
      <c r="G204" s="115"/>
      <c r="H204" s="115"/>
      <c r="I204" s="134"/>
      <c r="J204" s="115"/>
      <c r="K204" s="115"/>
    </row>
    <row r="205" spans="1:11" ht="15.75" x14ac:dyDescent="0.25">
      <c r="A205" s="105"/>
      <c r="B205" s="105"/>
      <c r="C205" s="93" t="str">
        <f t="shared" si="4"/>
        <v/>
      </c>
      <c r="D205" s="93" t="str">
        <f t="shared" si="5"/>
        <v/>
      </c>
      <c r="E205" s="115"/>
      <c r="F205" s="115"/>
      <c r="G205" s="115"/>
      <c r="H205" s="115"/>
      <c r="I205" s="134"/>
      <c r="J205" s="115"/>
      <c r="K205" s="115"/>
    </row>
    <row r="206" spans="1:11" ht="15.75" x14ac:dyDescent="0.25">
      <c r="A206" s="105"/>
      <c r="B206" s="105"/>
      <c r="C206" s="93" t="str">
        <f t="shared" si="4"/>
        <v/>
      </c>
      <c r="D206" s="93" t="str">
        <f t="shared" si="5"/>
        <v/>
      </c>
      <c r="E206" s="115"/>
      <c r="F206" s="115"/>
      <c r="G206" s="115"/>
      <c r="H206" s="115"/>
      <c r="I206" s="134"/>
      <c r="J206" s="115"/>
      <c r="K206" s="115"/>
    </row>
    <row r="207" spans="1:11" ht="15.75" x14ac:dyDescent="0.25">
      <c r="A207" s="105"/>
      <c r="B207" s="105"/>
      <c r="C207" s="93" t="str">
        <f t="shared" si="4"/>
        <v/>
      </c>
      <c r="D207" s="93" t="str">
        <f t="shared" si="5"/>
        <v/>
      </c>
      <c r="E207" s="115"/>
      <c r="F207" s="115"/>
      <c r="G207" s="115"/>
      <c r="H207" s="115"/>
      <c r="I207" s="134"/>
      <c r="J207" s="115"/>
      <c r="K207" s="115"/>
    </row>
    <row r="208" spans="1:11" ht="15.75" x14ac:dyDescent="0.25">
      <c r="A208" s="105"/>
      <c r="B208" s="105"/>
      <c r="C208" s="93" t="str">
        <f t="shared" si="4"/>
        <v/>
      </c>
      <c r="D208" s="93" t="str">
        <f t="shared" si="5"/>
        <v/>
      </c>
      <c r="E208" s="115"/>
      <c r="F208" s="115"/>
      <c r="G208" s="115"/>
      <c r="H208" s="115"/>
      <c r="I208" s="134"/>
      <c r="J208" s="115"/>
      <c r="K208" s="115"/>
    </row>
    <row r="209" spans="1:11" ht="15.75" x14ac:dyDescent="0.25">
      <c r="A209" s="105"/>
      <c r="B209" s="105"/>
      <c r="C209" s="93" t="str">
        <f t="shared" si="4"/>
        <v/>
      </c>
      <c r="D209" s="93" t="str">
        <f t="shared" si="5"/>
        <v/>
      </c>
      <c r="E209" s="115"/>
      <c r="F209" s="115"/>
      <c r="G209" s="115"/>
      <c r="H209" s="115"/>
      <c r="I209" s="134"/>
      <c r="J209" s="115"/>
      <c r="K209" s="115"/>
    </row>
    <row r="210" spans="1:11" ht="15.75" x14ac:dyDescent="0.25">
      <c r="A210" s="105"/>
      <c r="B210" s="105"/>
      <c r="C210" s="93" t="str">
        <f t="shared" si="4"/>
        <v/>
      </c>
      <c r="D210" s="93" t="str">
        <f t="shared" si="5"/>
        <v/>
      </c>
      <c r="E210" s="115"/>
      <c r="F210" s="115"/>
      <c r="G210" s="115"/>
      <c r="H210" s="115"/>
      <c r="I210" s="134"/>
      <c r="J210" s="115"/>
      <c r="K210" s="115"/>
    </row>
    <row r="211" spans="1:11" ht="15.75" x14ac:dyDescent="0.25">
      <c r="A211" s="105"/>
      <c r="B211" s="105"/>
      <c r="C211" s="93" t="str">
        <f t="shared" si="4"/>
        <v/>
      </c>
      <c r="D211" s="93" t="str">
        <f t="shared" si="5"/>
        <v/>
      </c>
      <c r="E211" s="115"/>
      <c r="F211" s="115"/>
      <c r="G211" s="115"/>
      <c r="H211" s="115"/>
      <c r="I211" s="134"/>
      <c r="J211" s="115"/>
      <c r="K211" s="115"/>
    </row>
    <row r="212" spans="1:11" ht="15.75" x14ac:dyDescent="0.25">
      <c r="A212" s="105"/>
      <c r="B212" s="105"/>
      <c r="C212" s="93" t="str">
        <f t="shared" ref="C212:C275" si="6">IF(A212=0,"",VLOOKUP(B212,MatDB,2,FALSE))</f>
        <v/>
      </c>
      <c r="D212" s="93" t="str">
        <f t="shared" si="5"/>
        <v/>
      </c>
      <c r="E212" s="115"/>
      <c r="F212" s="115"/>
      <c r="G212" s="115"/>
      <c r="H212" s="115"/>
      <c r="I212" s="134"/>
      <c r="J212" s="115"/>
      <c r="K212" s="115"/>
    </row>
    <row r="213" spans="1:11" ht="15.75" x14ac:dyDescent="0.25">
      <c r="A213" s="105"/>
      <c r="B213" s="105"/>
      <c r="C213" s="93" t="str">
        <f t="shared" si="6"/>
        <v/>
      </c>
      <c r="D213" s="93" t="str">
        <f t="shared" ref="D213:D276" si="7">IF(A213=0,"","Steel02")</f>
        <v/>
      </c>
      <c r="E213" s="115"/>
      <c r="F213" s="115"/>
      <c r="G213" s="115"/>
      <c r="H213" s="115"/>
      <c r="I213" s="134"/>
      <c r="J213" s="115"/>
      <c r="K213" s="115"/>
    </row>
    <row r="214" spans="1:11" ht="15.75" x14ac:dyDescent="0.25">
      <c r="A214" s="105"/>
      <c r="B214" s="105"/>
      <c r="C214" s="93" t="str">
        <f t="shared" si="6"/>
        <v/>
      </c>
      <c r="D214" s="93" t="str">
        <f t="shared" si="7"/>
        <v/>
      </c>
      <c r="E214" s="115"/>
      <c r="F214" s="115"/>
      <c r="G214" s="115"/>
      <c r="H214" s="115"/>
      <c r="I214" s="134"/>
      <c r="J214" s="115"/>
      <c r="K214" s="115"/>
    </row>
    <row r="215" spans="1:11" ht="15.75" x14ac:dyDescent="0.25">
      <c r="A215" s="105"/>
      <c r="B215" s="105"/>
      <c r="C215" s="93" t="str">
        <f t="shared" si="6"/>
        <v/>
      </c>
      <c r="D215" s="93" t="str">
        <f t="shared" si="7"/>
        <v/>
      </c>
      <c r="E215" s="115"/>
      <c r="F215" s="115"/>
      <c r="G215" s="115"/>
      <c r="H215" s="115"/>
      <c r="I215" s="134"/>
      <c r="J215" s="115"/>
      <c r="K215" s="115"/>
    </row>
    <row r="216" spans="1:11" ht="15.75" x14ac:dyDescent="0.25">
      <c r="A216" s="105"/>
      <c r="B216" s="105"/>
      <c r="C216" s="93" t="str">
        <f t="shared" si="6"/>
        <v/>
      </c>
      <c r="D216" s="93" t="str">
        <f t="shared" si="7"/>
        <v/>
      </c>
      <c r="E216" s="115"/>
      <c r="F216" s="115"/>
      <c r="G216" s="115"/>
      <c r="H216" s="115"/>
      <c r="I216" s="134"/>
      <c r="J216" s="115"/>
      <c r="K216" s="115"/>
    </row>
    <row r="217" spans="1:11" ht="15.75" x14ac:dyDescent="0.25">
      <c r="A217" s="105"/>
      <c r="B217" s="105"/>
      <c r="C217" s="93" t="str">
        <f t="shared" si="6"/>
        <v/>
      </c>
      <c r="D217" s="93" t="str">
        <f t="shared" si="7"/>
        <v/>
      </c>
      <c r="E217" s="115"/>
      <c r="F217" s="115"/>
      <c r="G217" s="115"/>
      <c r="H217" s="115"/>
      <c r="I217" s="134"/>
      <c r="J217" s="115"/>
      <c r="K217" s="115"/>
    </row>
    <row r="218" spans="1:11" ht="15.75" x14ac:dyDescent="0.25">
      <c r="A218" s="105"/>
      <c r="B218" s="105"/>
      <c r="C218" s="93" t="str">
        <f t="shared" si="6"/>
        <v/>
      </c>
      <c r="D218" s="93" t="str">
        <f t="shared" si="7"/>
        <v/>
      </c>
      <c r="E218" s="115"/>
      <c r="F218" s="115"/>
      <c r="G218" s="115"/>
      <c r="H218" s="115"/>
      <c r="I218" s="134"/>
      <c r="J218" s="115"/>
      <c r="K218" s="115"/>
    </row>
    <row r="219" spans="1:11" ht="15.75" x14ac:dyDescent="0.25">
      <c r="A219" s="105"/>
      <c r="B219" s="105"/>
      <c r="C219" s="93" t="str">
        <f t="shared" si="6"/>
        <v/>
      </c>
      <c r="D219" s="93" t="str">
        <f t="shared" si="7"/>
        <v/>
      </c>
      <c r="E219" s="115"/>
      <c r="F219" s="115"/>
      <c r="G219" s="115"/>
      <c r="H219" s="115"/>
      <c r="I219" s="134"/>
      <c r="J219" s="115"/>
      <c r="K219" s="115"/>
    </row>
    <row r="220" spans="1:11" ht="15.75" x14ac:dyDescent="0.25">
      <c r="A220" s="105"/>
      <c r="B220" s="105"/>
      <c r="C220" s="93" t="str">
        <f t="shared" si="6"/>
        <v/>
      </c>
      <c r="D220" s="93" t="str">
        <f t="shared" si="7"/>
        <v/>
      </c>
      <c r="E220" s="115"/>
      <c r="F220" s="115"/>
      <c r="G220" s="115"/>
      <c r="H220" s="115"/>
      <c r="I220" s="134"/>
      <c r="J220" s="115"/>
      <c r="K220" s="115"/>
    </row>
    <row r="221" spans="1:11" ht="15.75" x14ac:dyDescent="0.25">
      <c r="A221" s="105"/>
      <c r="B221" s="105"/>
      <c r="C221" s="93" t="str">
        <f t="shared" si="6"/>
        <v/>
      </c>
      <c r="D221" s="93" t="str">
        <f t="shared" si="7"/>
        <v/>
      </c>
      <c r="E221" s="115"/>
      <c r="F221" s="115"/>
      <c r="G221" s="115"/>
      <c r="H221" s="115"/>
      <c r="I221" s="134"/>
      <c r="J221" s="115"/>
      <c r="K221" s="115"/>
    </row>
    <row r="222" spans="1:11" ht="15.75" x14ac:dyDescent="0.25">
      <c r="A222" s="105"/>
      <c r="B222" s="105"/>
      <c r="C222" s="93" t="str">
        <f t="shared" si="6"/>
        <v/>
      </c>
      <c r="D222" s="93" t="str">
        <f t="shared" si="7"/>
        <v/>
      </c>
      <c r="E222" s="115"/>
      <c r="F222" s="115"/>
      <c r="G222" s="115"/>
      <c r="H222" s="115"/>
      <c r="I222" s="134"/>
      <c r="J222" s="115"/>
      <c r="K222" s="115"/>
    </row>
    <row r="223" spans="1:11" ht="15.75" x14ac:dyDescent="0.25">
      <c r="A223" s="105"/>
      <c r="B223" s="105"/>
      <c r="C223" s="93" t="str">
        <f t="shared" si="6"/>
        <v/>
      </c>
      <c r="D223" s="93" t="str">
        <f t="shared" si="7"/>
        <v/>
      </c>
      <c r="E223" s="115"/>
      <c r="F223" s="115"/>
      <c r="G223" s="115"/>
      <c r="H223" s="115"/>
      <c r="I223" s="134"/>
      <c r="J223" s="115"/>
      <c r="K223" s="115"/>
    </row>
    <row r="224" spans="1:11" ht="15.75" x14ac:dyDescent="0.25">
      <c r="A224" s="105"/>
      <c r="B224" s="105"/>
      <c r="C224" s="93" t="str">
        <f t="shared" si="6"/>
        <v/>
      </c>
      <c r="D224" s="93" t="str">
        <f t="shared" si="7"/>
        <v/>
      </c>
      <c r="E224" s="115"/>
      <c r="F224" s="115"/>
      <c r="G224" s="115"/>
      <c r="H224" s="115"/>
      <c r="I224" s="134"/>
      <c r="J224" s="115"/>
      <c r="K224" s="115"/>
    </row>
    <row r="225" spans="1:11" ht="15.75" x14ac:dyDescent="0.25">
      <c r="A225" s="105"/>
      <c r="B225" s="105"/>
      <c r="C225" s="93" t="str">
        <f t="shared" si="6"/>
        <v/>
      </c>
      <c r="D225" s="93" t="str">
        <f t="shared" si="7"/>
        <v/>
      </c>
      <c r="E225" s="115"/>
      <c r="F225" s="115"/>
      <c r="G225" s="115"/>
      <c r="H225" s="115"/>
      <c r="I225" s="134"/>
      <c r="J225" s="115"/>
      <c r="K225" s="115"/>
    </row>
    <row r="226" spans="1:11" ht="15.75" x14ac:dyDescent="0.25">
      <c r="A226" s="105"/>
      <c r="B226" s="105"/>
      <c r="C226" s="93" t="str">
        <f t="shared" si="6"/>
        <v/>
      </c>
      <c r="D226" s="93" t="str">
        <f t="shared" si="7"/>
        <v/>
      </c>
      <c r="E226" s="115"/>
      <c r="F226" s="115"/>
      <c r="G226" s="115"/>
      <c r="H226" s="115"/>
      <c r="I226" s="134"/>
      <c r="J226" s="115"/>
      <c r="K226" s="115"/>
    </row>
    <row r="227" spans="1:11" ht="15.75" x14ac:dyDescent="0.25">
      <c r="A227" s="105"/>
      <c r="B227" s="105"/>
      <c r="C227" s="93" t="str">
        <f t="shared" si="6"/>
        <v/>
      </c>
      <c r="D227" s="93" t="str">
        <f t="shared" si="7"/>
        <v/>
      </c>
      <c r="E227" s="115"/>
      <c r="F227" s="115"/>
      <c r="G227" s="115"/>
      <c r="H227" s="115"/>
      <c r="I227" s="134"/>
      <c r="J227" s="115"/>
      <c r="K227" s="115"/>
    </row>
    <row r="228" spans="1:11" ht="15.75" x14ac:dyDescent="0.25">
      <c r="A228" s="105"/>
      <c r="B228" s="105"/>
      <c r="C228" s="93" t="str">
        <f t="shared" si="6"/>
        <v/>
      </c>
      <c r="D228" s="93" t="str">
        <f t="shared" si="7"/>
        <v/>
      </c>
      <c r="E228" s="115"/>
      <c r="F228" s="115"/>
      <c r="G228" s="115"/>
      <c r="H228" s="115"/>
      <c r="I228" s="134"/>
      <c r="J228" s="115"/>
      <c r="K228" s="115"/>
    </row>
    <row r="229" spans="1:11" ht="15.75" x14ac:dyDescent="0.25">
      <c r="A229" s="105"/>
      <c r="B229" s="105"/>
      <c r="C229" s="93" t="str">
        <f t="shared" si="6"/>
        <v/>
      </c>
      <c r="D229" s="93" t="str">
        <f t="shared" si="7"/>
        <v/>
      </c>
      <c r="E229" s="115"/>
      <c r="F229" s="115"/>
      <c r="G229" s="115"/>
      <c r="H229" s="115"/>
      <c r="I229" s="134"/>
      <c r="J229" s="115"/>
      <c r="K229" s="115"/>
    </row>
    <row r="230" spans="1:11" ht="15.75" x14ac:dyDescent="0.25">
      <c r="A230" s="105"/>
      <c r="B230" s="105"/>
      <c r="C230" s="93" t="str">
        <f t="shared" si="6"/>
        <v/>
      </c>
      <c r="D230" s="93" t="str">
        <f t="shared" si="7"/>
        <v/>
      </c>
      <c r="E230" s="115"/>
      <c r="F230" s="115"/>
      <c r="G230" s="115"/>
      <c r="H230" s="115"/>
      <c r="I230" s="134"/>
      <c r="J230" s="115"/>
      <c r="K230" s="115"/>
    </row>
    <row r="231" spans="1:11" ht="15.75" x14ac:dyDescent="0.25">
      <c r="A231" s="105"/>
      <c r="B231" s="105"/>
      <c r="C231" s="93" t="str">
        <f t="shared" si="6"/>
        <v/>
      </c>
      <c r="D231" s="93" t="str">
        <f t="shared" si="7"/>
        <v/>
      </c>
      <c r="E231" s="115"/>
      <c r="F231" s="115"/>
      <c r="G231" s="115"/>
      <c r="H231" s="115"/>
      <c r="I231" s="134"/>
      <c r="J231" s="115"/>
      <c r="K231" s="115"/>
    </row>
    <row r="232" spans="1:11" ht="15.75" x14ac:dyDescent="0.25">
      <c r="A232" s="105"/>
      <c r="B232" s="105"/>
      <c r="C232" s="93" t="str">
        <f t="shared" si="6"/>
        <v/>
      </c>
      <c r="D232" s="93" t="str">
        <f t="shared" si="7"/>
        <v/>
      </c>
      <c r="E232" s="115"/>
      <c r="F232" s="115"/>
      <c r="G232" s="115"/>
      <c r="H232" s="115"/>
      <c r="I232" s="134"/>
      <c r="J232" s="115"/>
      <c r="K232" s="115"/>
    </row>
    <row r="233" spans="1:11" ht="15.75" x14ac:dyDescent="0.25">
      <c r="A233" s="105"/>
      <c r="B233" s="105"/>
      <c r="C233" s="93" t="str">
        <f t="shared" si="6"/>
        <v/>
      </c>
      <c r="D233" s="93" t="str">
        <f t="shared" si="7"/>
        <v/>
      </c>
      <c r="E233" s="115"/>
      <c r="F233" s="115"/>
      <c r="G233" s="115"/>
      <c r="H233" s="115"/>
      <c r="I233" s="134"/>
      <c r="J233" s="115"/>
      <c r="K233" s="115"/>
    </row>
    <row r="234" spans="1:11" ht="15.75" x14ac:dyDescent="0.25">
      <c r="A234" s="105"/>
      <c r="B234" s="105"/>
      <c r="C234" s="93" t="str">
        <f t="shared" si="6"/>
        <v/>
      </c>
      <c r="D234" s="93" t="str">
        <f t="shared" si="7"/>
        <v/>
      </c>
      <c r="E234" s="115"/>
      <c r="F234" s="115"/>
      <c r="G234" s="115"/>
      <c r="H234" s="115"/>
      <c r="I234" s="134"/>
      <c r="J234" s="115"/>
      <c r="K234" s="115"/>
    </row>
    <row r="235" spans="1:11" ht="15.75" x14ac:dyDescent="0.25">
      <c r="A235" s="105"/>
      <c r="B235" s="105"/>
      <c r="C235" s="93" t="str">
        <f t="shared" si="6"/>
        <v/>
      </c>
      <c r="D235" s="93" t="str">
        <f t="shared" si="7"/>
        <v/>
      </c>
      <c r="E235" s="115"/>
      <c r="F235" s="115"/>
      <c r="G235" s="115"/>
      <c r="H235" s="115"/>
      <c r="I235" s="134"/>
      <c r="J235" s="115"/>
      <c r="K235" s="115"/>
    </row>
    <row r="236" spans="1:11" ht="15.75" x14ac:dyDescent="0.25">
      <c r="A236" s="105"/>
      <c r="B236" s="105"/>
      <c r="C236" s="93" t="str">
        <f t="shared" si="6"/>
        <v/>
      </c>
      <c r="D236" s="93" t="str">
        <f t="shared" si="7"/>
        <v/>
      </c>
      <c r="E236" s="115"/>
      <c r="F236" s="115"/>
      <c r="G236" s="115"/>
      <c r="H236" s="115"/>
      <c r="I236" s="134"/>
      <c r="J236" s="115"/>
      <c r="K236" s="115"/>
    </row>
    <row r="237" spans="1:11" ht="15.75" x14ac:dyDescent="0.25">
      <c r="A237" s="105"/>
      <c r="B237" s="105"/>
      <c r="C237" s="93" t="str">
        <f t="shared" si="6"/>
        <v/>
      </c>
      <c r="D237" s="93" t="str">
        <f t="shared" si="7"/>
        <v/>
      </c>
      <c r="E237" s="115"/>
      <c r="F237" s="115"/>
      <c r="G237" s="115"/>
      <c r="H237" s="115"/>
      <c r="I237" s="134"/>
      <c r="J237" s="115"/>
      <c r="K237" s="115"/>
    </row>
    <row r="238" spans="1:11" ht="15.75" x14ac:dyDescent="0.25">
      <c r="A238" s="105"/>
      <c r="B238" s="105"/>
      <c r="C238" s="93" t="str">
        <f t="shared" si="6"/>
        <v/>
      </c>
      <c r="D238" s="93" t="str">
        <f t="shared" si="7"/>
        <v/>
      </c>
      <c r="E238" s="115"/>
      <c r="F238" s="115"/>
      <c r="G238" s="115"/>
      <c r="H238" s="115"/>
      <c r="I238" s="134"/>
      <c r="J238" s="115"/>
      <c r="K238" s="115"/>
    </row>
    <row r="239" spans="1:11" ht="15.75" x14ac:dyDescent="0.25">
      <c r="A239" s="105"/>
      <c r="B239" s="105"/>
      <c r="C239" s="93" t="str">
        <f t="shared" si="6"/>
        <v/>
      </c>
      <c r="D239" s="93" t="str">
        <f t="shared" si="7"/>
        <v/>
      </c>
      <c r="E239" s="115"/>
      <c r="F239" s="115"/>
      <c r="G239" s="115"/>
      <c r="H239" s="115"/>
      <c r="I239" s="134"/>
      <c r="J239" s="115"/>
      <c r="K239" s="115"/>
    </row>
    <row r="240" spans="1:11" ht="15.75" x14ac:dyDescent="0.25">
      <c r="A240" s="105"/>
      <c r="B240" s="105"/>
      <c r="C240" s="93" t="str">
        <f t="shared" si="6"/>
        <v/>
      </c>
      <c r="D240" s="93" t="str">
        <f t="shared" si="7"/>
        <v/>
      </c>
      <c r="E240" s="115"/>
      <c r="F240" s="115"/>
      <c r="G240" s="115"/>
      <c r="H240" s="115"/>
      <c r="I240" s="134"/>
      <c r="J240" s="115"/>
      <c r="K240" s="115"/>
    </row>
    <row r="241" spans="1:11" ht="15.75" x14ac:dyDescent="0.25">
      <c r="A241" s="105"/>
      <c r="B241" s="105"/>
      <c r="C241" s="93" t="str">
        <f t="shared" si="6"/>
        <v/>
      </c>
      <c r="D241" s="93" t="str">
        <f t="shared" si="7"/>
        <v/>
      </c>
      <c r="E241" s="115"/>
      <c r="F241" s="115"/>
      <c r="G241" s="115"/>
      <c r="H241" s="115"/>
      <c r="I241" s="134"/>
      <c r="J241" s="115"/>
      <c r="K241" s="115"/>
    </row>
    <row r="242" spans="1:11" ht="15.75" x14ac:dyDescent="0.25">
      <c r="A242" s="105"/>
      <c r="B242" s="105"/>
      <c r="C242" s="93" t="str">
        <f t="shared" si="6"/>
        <v/>
      </c>
      <c r="D242" s="93" t="str">
        <f t="shared" si="7"/>
        <v/>
      </c>
      <c r="E242" s="115"/>
      <c r="F242" s="115"/>
      <c r="G242" s="115"/>
      <c r="H242" s="115"/>
      <c r="I242" s="134"/>
      <c r="J242" s="115"/>
      <c r="K242" s="115"/>
    </row>
    <row r="243" spans="1:11" ht="15.75" x14ac:dyDescent="0.25">
      <c r="A243" s="105"/>
      <c r="B243" s="105"/>
      <c r="C243" s="93" t="str">
        <f t="shared" si="6"/>
        <v/>
      </c>
      <c r="D243" s="93" t="str">
        <f t="shared" si="7"/>
        <v/>
      </c>
      <c r="E243" s="115"/>
      <c r="F243" s="115"/>
      <c r="G243" s="115"/>
      <c r="H243" s="115"/>
      <c r="I243" s="134"/>
      <c r="J243" s="115"/>
      <c r="K243" s="115"/>
    </row>
    <row r="244" spans="1:11" ht="15.75" x14ac:dyDescent="0.25">
      <c r="A244" s="105"/>
      <c r="B244" s="105"/>
      <c r="C244" s="93" t="str">
        <f t="shared" si="6"/>
        <v/>
      </c>
      <c r="D244" s="93" t="str">
        <f t="shared" si="7"/>
        <v/>
      </c>
      <c r="E244" s="115"/>
      <c r="F244" s="115"/>
      <c r="G244" s="115"/>
      <c r="H244" s="115"/>
      <c r="I244" s="134"/>
      <c r="J244" s="115"/>
      <c r="K244" s="115"/>
    </row>
    <row r="245" spans="1:11" ht="15.75" x14ac:dyDescent="0.25">
      <c r="A245" s="105"/>
      <c r="B245" s="105"/>
      <c r="C245" s="93" t="str">
        <f t="shared" si="6"/>
        <v/>
      </c>
      <c r="D245" s="93" t="str">
        <f t="shared" si="7"/>
        <v/>
      </c>
      <c r="E245" s="115"/>
      <c r="F245" s="115"/>
      <c r="G245" s="115"/>
      <c r="H245" s="115"/>
      <c r="I245" s="134"/>
      <c r="J245" s="115"/>
      <c r="K245" s="115"/>
    </row>
    <row r="246" spans="1:11" ht="15.75" x14ac:dyDescent="0.25">
      <c r="A246" s="105"/>
      <c r="B246" s="105"/>
      <c r="C246" s="93" t="str">
        <f t="shared" si="6"/>
        <v/>
      </c>
      <c r="D246" s="93" t="str">
        <f t="shared" si="7"/>
        <v/>
      </c>
      <c r="E246" s="115"/>
      <c r="F246" s="115"/>
      <c r="G246" s="115"/>
      <c r="H246" s="115"/>
      <c r="I246" s="134"/>
      <c r="J246" s="115"/>
      <c r="K246" s="115"/>
    </row>
    <row r="247" spans="1:11" ht="15.75" x14ac:dyDescent="0.25">
      <c r="A247" s="105"/>
      <c r="B247" s="105"/>
      <c r="C247" s="93" t="str">
        <f t="shared" si="6"/>
        <v/>
      </c>
      <c r="D247" s="93" t="str">
        <f t="shared" si="7"/>
        <v/>
      </c>
      <c r="E247" s="115"/>
      <c r="F247" s="115"/>
      <c r="G247" s="115"/>
      <c r="H247" s="115"/>
      <c r="I247" s="134"/>
      <c r="J247" s="115"/>
      <c r="K247" s="115"/>
    </row>
    <row r="248" spans="1:11" ht="15.75" x14ac:dyDescent="0.25">
      <c r="A248" s="105"/>
      <c r="B248" s="105"/>
      <c r="C248" s="93" t="str">
        <f t="shared" si="6"/>
        <v/>
      </c>
      <c r="D248" s="93" t="str">
        <f t="shared" si="7"/>
        <v/>
      </c>
      <c r="E248" s="115"/>
      <c r="F248" s="115"/>
      <c r="G248" s="115"/>
      <c r="H248" s="115"/>
      <c r="I248" s="134"/>
      <c r="J248" s="115"/>
      <c r="K248" s="115"/>
    </row>
    <row r="249" spans="1:11" ht="15.75" x14ac:dyDescent="0.25">
      <c r="A249" s="105"/>
      <c r="B249" s="105"/>
      <c r="C249" s="93" t="str">
        <f t="shared" si="6"/>
        <v/>
      </c>
      <c r="D249" s="93" t="str">
        <f t="shared" si="7"/>
        <v/>
      </c>
      <c r="E249" s="115"/>
      <c r="F249" s="115"/>
      <c r="G249" s="115"/>
      <c r="H249" s="115"/>
      <c r="I249" s="134"/>
      <c r="J249" s="115"/>
      <c r="K249" s="115"/>
    </row>
    <row r="250" spans="1:11" ht="15.75" x14ac:dyDescent="0.25">
      <c r="A250" s="105"/>
      <c r="B250" s="105"/>
      <c r="C250" s="93" t="str">
        <f t="shared" si="6"/>
        <v/>
      </c>
      <c r="D250" s="93" t="str">
        <f t="shared" si="7"/>
        <v/>
      </c>
      <c r="E250" s="115"/>
      <c r="F250" s="115"/>
      <c r="G250" s="115"/>
      <c r="H250" s="115"/>
      <c r="I250" s="134"/>
      <c r="J250" s="115"/>
      <c r="K250" s="115"/>
    </row>
    <row r="251" spans="1:11" ht="15.75" x14ac:dyDescent="0.25">
      <c r="A251" s="105"/>
      <c r="B251" s="105"/>
      <c r="C251" s="93" t="str">
        <f t="shared" si="6"/>
        <v/>
      </c>
      <c r="D251" s="93" t="str">
        <f t="shared" si="7"/>
        <v/>
      </c>
      <c r="E251" s="115"/>
      <c r="F251" s="115"/>
      <c r="G251" s="115"/>
      <c r="H251" s="115"/>
      <c r="I251" s="134"/>
      <c r="J251" s="115"/>
      <c r="K251" s="115"/>
    </row>
    <row r="252" spans="1:11" ht="15.75" x14ac:dyDescent="0.25">
      <c r="A252" s="105"/>
      <c r="B252" s="105"/>
      <c r="C252" s="93" t="str">
        <f t="shared" si="6"/>
        <v/>
      </c>
      <c r="D252" s="93" t="str">
        <f t="shared" si="7"/>
        <v/>
      </c>
      <c r="E252" s="115"/>
      <c r="F252" s="115"/>
      <c r="G252" s="115"/>
      <c r="H252" s="115"/>
      <c r="I252" s="134"/>
      <c r="J252" s="115"/>
      <c r="K252" s="115"/>
    </row>
    <row r="253" spans="1:11" ht="15.75" x14ac:dyDescent="0.25">
      <c r="A253" s="105"/>
      <c r="B253" s="105"/>
      <c r="C253" s="93" t="str">
        <f t="shared" si="6"/>
        <v/>
      </c>
      <c r="D253" s="93" t="str">
        <f t="shared" si="7"/>
        <v/>
      </c>
      <c r="E253" s="115"/>
      <c r="F253" s="115"/>
      <c r="G253" s="115"/>
      <c r="H253" s="115"/>
      <c r="I253" s="134"/>
      <c r="J253" s="115"/>
      <c r="K253" s="115"/>
    </row>
    <row r="254" spans="1:11" ht="15.75" x14ac:dyDescent="0.25">
      <c r="A254" s="105"/>
      <c r="B254" s="105"/>
      <c r="C254" s="93" t="str">
        <f t="shared" si="6"/>
        <v/>
      </c>
      <c r="D254" s="93" t="str">
        <f t="shared" si="7"/>
        <v/>
      </c>
      <c r="E254" s="115"/>
      <c r="F254" s="115"/>
      <c r="G254" s="115"/>
      <c r="H254" s="115"/>
      <c r="I254" s="134"/>
      <c r="J254" s="115"/>
      <c r="K254" s="115"/>
    </row>
    <row r="255" spans="1:11" ht="15.75" x14ac:dyDescent="0.25">
      <c r="A255" s="105"/>
      <c r="B255" s="105"/>
      <c r="C255" s="93" t="str">
        <f t="shared" si="6"/>
        <v/>
      </c>
      <c r="D255" s="93" t="str">
        <f t="shared" si="7"/>
        <v/>
      </c>
      <c r="E255" s="115"/>
      <c r="F255" s="115"/>
      <c r="G255" s="115"/>
      <c r="H255" s="115"/>
      <c r="I255" s="134"/>
      <c r="J255" s="115"/>
      <c r="K255" s="115"/>
    </row>
    <row r="256" spans="1:11" ht="15.75" x14ac:dyDescent="0.25">
      <c r="A256" s="105"/>
      <c r="B256" s="105"/>
      <c r="C256" s="93" t="str">
        <f t="shared" si="6"/>
        <v/>
      </c>
      <c r="D256" s="93" t="str">
        <f t="shared" si="7"/>
        <v/>
      </c>
      <c r="E256" s="115"/>
      <c r="F256" s="115"/>
      <c r="G256" s="115"/>
      <c r="H256" s="115"/>
      <c r="I256" s="134"/>
      <c r="J256" s="115"/>
      <c r="K256" s="115"/>
    </row>
    <row r="257" spans="1:11" ht="15.75" x14ac:dyDescent="0.25">
      <c r="A257" s="105"/>
      <c r="B257" s="105"/>
      <c r="C257" s="93" t="str">
        <f t="shared" si="6"/>
        <v/>
      </c>
      <c r="D257" s="93" t="str">
        <f t="shared" si="7"/>
        <v/>
      </c>
      <c r="E257" s="115"/>
      <c r="F257" s="115"/>
      <c r="G257" s="115"/>
      <c r="H257" s="115"/>
      <c r="I257" s="134"/>
      <c r="J257" s="115"/>
      <c r="K257" s="115"/>
    </row>
    <row r="258" spans="1:11" ht="15.75" x14ac:dyDescent="0.25">
      <c r="A258" s="105"/>
      <c r="B258" s="105"/>
      <c r="C258" s="93" t="str">
        <f t="shared" si="6"/>
        <v/>
      </c>
      <c r="D258" s="93" t="str">
        <f t="shared" si="7"/>
        <v/>
      </c>
      <c r="E258" s="115"/>
      <c r="F258" s="115"/>
      <c r="G258" s="115"/>
      <c r="H258" s="115"/>
      <c r="I258" s="134"/>
      <c r="J258" s="115"/>
      <c r="K258" s="115"/>
    </row>
    <row r="259" spans="1:11" ht="15.75" x14ac:dyDescent="0.25">
      <c r="A259" s="105"/>
      <c r="B259" s="105"/>
      <c r="C259" s="93" t="str">
        <f t="shared" si="6"/>
        <v/>
      </c>
      <c r="D259" s="93" t="str">
        <f t="shared" si="7"/>
        <v/>
      </c>
      <c r="E259" s="115"/>
      <c r="F259" s="115"/>
      <c r="G259" s="115"/>
      <c r="H259" s="115"/>
      <c r="I259" s="134"/>
      <c r="J259" s="115"/>
      <c r="K259" s="115"/>
    </row>
    <row r="260" spans="1:11" ht="15.75" x14ac:dyDescent="0.25">
      <c r="A260" s="105"/>
      <c r="B260" s="105"/>
      <c r="C260" s="93" t="str">
        <f t="shared" si="6"/>
        <v/>
      </c>
      <c r="D260" s="93" t="str">
        <f t="shared" si="7"/>
        <v/>
      </c>
      <c r="E260" s="115"/>
      <c r="F260" s="115"/>
      <c r="G260" s="115"/>
      <c r="H260" s="115"/>
      <c r="I260" s="134"/>
      <c r="J260" s="115"/>
      <c r="K260" s="115"/>
    </row>
    <row r="261" spans="1:11" ht="15.75" x14ac:dyDescent="0.25">
      <c r="A261" s="105"/>
      <c r="B261" s="105"/>
      <c r="C261" s="93" t="str">
        <f t="shared" si="6"/>
        <v/>
      </c>
      <c r="D261" s="93" t="str">
        <f t="shared" si="7"/>
        <v/>
      </c>
      <c r="E261" s="115"/>
      <c r="F261" s="115"/>
      <c r="G261" s="115"/>
      <c r="H261" s="115"/>
      <c r="I261" s="134"/>
      <c r="J261" s="115"/>
      <c r="K261" s="115"/>
    </row>
    <row r="262" spans="1:11" ht="15.75" x14ac:dyDescent="0.25">
      <c r="A262" s="105"/>
      <c r="B262" s="105"/>
      <c r="C262" s="93" t="str">
        <f t="shared" si="6"/>
        <v/>
      </c>
      <c r="D262" s="93" t="str">
        <f t="shared" si="7"/>
        <v/>
      </c>
      <c r="E262" s="115"/>
      <c r="F262" s="115"/>
      <c r="G262" s="115"/>
      <c r="H262" s="115"/>
      <c r="I262" s="134"/>
      <c r="J262" s="115"/>
      <c r="K262" s="115"/>
    </row>
    <row r="263" spans="1:11" ht="15.75" x14ac:dyDescent="0.25">
      <c r="A263" s="105"/>
      <c r="B263" s="105"/>
      <c r="C263" s="93" t="str">
        <f t="shared" si="6"/>
        <v/>
      </c>
      <c r="D263" s="93" t="str">
        <f t="shared" si="7"/>
        <v/>
      </c>
      <c r="E263" s="115"/>
      <c r="F263" s="115"/>
      <c r="G263" s="115"/>
      <c r="H263" s="115"/>
      <c r="I263" s="134"/>
      <c r="J263" s="115"/>
      <c r="K263" s="115"/>
    </row>
    <row r="264" spans="1:11" ht="15.75" x14ac:dyDescent="0.25">
      <c r="A264" s="105"/>
      <c r="B264" s="105"/>
      <c r="C264" s="93" t="str">
        <f t="shared" si="6"/>
        <v/>
      </c>
      <c r="D264" s="93" t="str">
        <f t="shared" si="7"/>
        <v/>
      </c>
      <c r="E264" s="115"/>
      <c r="F264" s="115"/>
      <c r="G264" s="115"/>
      <c r="H264" s="115"/>
      <c r="I264" s="134"/>
      <c r="J264" s="115"/>
      <c r="K264" s="115"/>
    </row>
    <row r="265" spans="1:11" ht="15.75" x14ac:dyDescent="0.25">
      <c r="A265" s="105"/>
      <c r="B265" s="105"/>
      <c r="C265" s="93" t="str">
        <f t="shared" si="6"/>
        <v/>
      </c>
      <c r="D265" s="93" t="str">
        <f t="shared" si="7"/>
        <v/>
      </c>
      <c r="E265" s="115"/>
      <c r="F265" s="115"/>
      <c r="G265" s="115"/>
      <c r="H265" s="115"/>
      <c r="I265" s="134"/>
      <c r="J265" s="115"/>
      <c r="K265" s="115"/>
    </row>
    <row r="266" spans="1:11" ht="15.75" x14ac:dyDescent="0.25">
      <c r="A266" s="105"/>
      <c r="B266" s="105"/>
      <c r="C266" s="93" t="str">
        <f t="shared" si="6"/>
        <v/>
      </c>
      <c r="D266" s="93" t="str">
        <f t="shared" si="7"/>
        <v/>
      </c>
      <c r="E266" s="115"/>
      <c r="F266" s="115"/>
      <c r="G266" s="115"/>
      <c r="H266" s="115"/>
      <c r="I266" s="134"/>
      <c r="J266" s="115"/>
      <c r="K266" s="115"/>
    </row>
    <row r="267" spans="1:11" ht="15.75" x14ac:dyDescent="0.25">
      <c r="A267" s="105"/>
      <c r="B267" s="105"/>
      <c r="C267" s="93" t="str">
        <f t="shared" si="6"/>
        <v/>
      </c>
      <c r="D267" s="93" t="str">
        <f t="shared" si="7"/>
        <v/>
      </c>
      <c r="E267" s="115"/>
      <c r="F267" s="115"/>
      <c r="G267" s="115"/>
      <c r="H267" s="115"/>
      <c r="I267" s="134"/>
      <c r="J267" s="115"/>
      <c r="K267" s="115"/>
    </row>
    <row r="268" spans="1:11" ht="15.75" x14ac:dyDescent="0.25">
      <c r="A268" s="105"/>
      <c r="B268" s="105"/>
      <c r="C268" s="93" t="str">
        <f t="shared" si="6"/>
        <v/>
      </c>
      <c r="D268" s="93" t="str">
        <f t="shared" si="7"/>
        <v/>
      </c>
      <c r="E268" s="115"/>
      <c r="F268" s="115"/>
      <c r="G268" s="115"/>
      <c r="H268" s="115"/>
      <c r="I268" s="134"/>
      <c r="J268" s="115"/>
      <c r="K268" s="115"/>
    </row>
    <row r="269" spans="1:11" ht="15.75" x14ac:dyDescent="0.25">
      <c r="A269" s="105"/>
      <c r="B269" s="105"/>
      <c r="C269" s="93" t="str">
        <f t="shared" si="6"/>
        <v/>
      </c>
      <c r="D269" s="93" t="str">
        <f t="shared" si="7"/>
        <v/>
      </c>
      <c r="E269" s="115"/>
      <c r="F269" s="115"/>
      <c r="G269" s="115"/>
      <c r="H269" s="115"/>
      <c r="I269" s="134"/>
      <c r="J269" s="115"/>
      <c r="K269" s="115"/>
    </row>
    <row r="270" spans="1:11" ht="15.75" x14ac:dyDescent="0.25">
      <c r="A270" s="105"/>
      <c r="B270" s="105"/>
      <c r="C270" s="93" t="str">
        <f t="shared" si="6"/>
        <v/>
      </c>
      <c r="D270" s="93" t="str">
        <f t="shared" si="7"/>
        <v/>
      </c>
      <c r="E270" s="115"/>
      <c r="F270" s="115"/>
      <c r="G270" s="115"/>
      <c r="H270" s="115"/>
      <c r="I270" s="134"/>
      <c r="J270" s="115"/>
      <c r="K270" s="115"/>
    </row>
    <row r="271" spans="1:11" ht="15.75" x14ac:dyDescent="0.25">
      <c r="A271" s="105"/>
      <c r="B271" s="105"/>
      <c r="C271" s="93" t="str">
        <f t="shared" si="6"/>
        <v/>
      </c>
      <c r="D271" s="93" t="str">
        <f t="shared" si="7"/>
        <v/>
      </c>
      <c r="E271" s="115"/>
      <c r="F271" s="115"/>
      <c r="G271" s="115"/>
      <c r="H271" s="115"/>
      <c r="I271" s="134"/>
      <c r="J271" s="115"/>
      <c r="K271" s="115"/>
    </row>
    <row r="272" spans="1:11" ht="15.75" x14ac:dyDescent="0.25">
      <c r="A272" s="105"/>
      <c r="B272" s="105"/>
      <c r="C272" s="93" t="str">
        <f t="shared" si="6"/>
        <v/>
      </c>
      <c r="D272" s="93" t="str">
        <f t="shared" si="7"/>
        <v/>
      </c>
      <c r="E272" s="115"/>
      <c r="F272" s="115"/>
      <c r="G272" s="115"/>
      <c r="H272" s="115"/>
      <c r="I272" s="134"/>
      <c r="J272" s="115"/>
      <c r="K272" s="115"/>
    </row>
    <row r="273" spans="1:11" ht="15.75" x14ac:dyDescent="0.25">
      <c r="A273" s="105"/>
      <c r="B273" s="105"/>
      <c r="C273" s="93" t="str">
        <f t="shared" si="6"/>
        <v/>
      </c>
      <c r="D273" s="93" t="str">
        <f t="shared" si="7"/>
        <v/>
      </c>
      <c r="E273" s="115"/>
      <c r="F273" s="115"/>
      <c r="G273" s="115"/>
      <c r="H273" s="115"/>
      <c r="I273" s="134"/>
      <c r="J273" s="115"/>
      <c r="K273" s="115"/>
    </row>
    <row r="274" spans="1:11" ht="15.75" x14ac:dyDescent="0.25">
      <c r="A274" s="105"/>
      <c r="B274" s="105"/>
      <c r="C274" s="93" t="str">
        <f t="shared" si="6"/>
        <v/>
      </c>
      <c r="D274" s="93" t="str">
        <f t="shared" si="7"/>
        <v/>
      </c>
      <c r="E274" s="115"/>
      <c r="F274" s="115"/>
      <c r="G274" s="115"/>
      <c r="H274" s="115"/>
      <c r="I274" s="134"/>
      <c r="J274" s="115"/>
      <c r="K274" s="115"/>
    </row>
    <row r="275" spans="1:11" ht="15.75" x14ac:dyDescent="0.25">
      <c r="A275" s="105"/>
      <c r="B275" s="105"/>
      <c r="C275" s="93" t="str">
        <f t="shared" si="6"/>
        <v/>
      </c>
      <c r="D275" s="93" t="str">
        <f t="shared" si="7"/>
        <v/>
      </c>
      <c r="E275" s="115"/>
      <c r="F275" s="115"/>
      <c r="G275" s="115"/>
      <c r="H275" s="115"/>
      <c r="I275" s="134"/>
      <c r="J275" s="115"/>
      <c r="K275" s="115"/>
    </row>
    <row r="276" spans="1:11" ht="15.75" x14ac:dyDescent="0.25">
      <c r="A276" s="105"/>
      <c r="B276" s="105"/>
      <c r="C276" s="93" t="str">
        <f t="shared" ref="C276:C339" si="8">IF(A276=0,"",VLOOKUP(B276,MatDB,2,FALSE))</f>
        <v/>
      </c>
      <c r="D276" s="93" t="str">
        <f t="shared" si="7"/>
        <v/>
      </c>
      <c r="E276" s="115"/>
      <c r="F276" s="115"/>
      <c r="G276" s="115"/>
      <c r="H276" s="115"/>
      <c r="I276" s="134"/>
      <c r="J276" s="115"/>
      <c r="K276" s="115"/>
    </row>
    <row r="277" spans="1:11" ht="15.75" x14ac:dyDescent="0.25">
      <c r="A277" s="105"/>
      <c r="B277" s="105"/>
      <c r="C277" s="93" t="str">
        <f t="shared" si="8"/>
        <v/>
      </c>
      <c r="D277" s="93" t="str">
        <f t="shared" ref="D277:D340" si="9">IF(A277=0,"","Steel02")</f>
        <v/>
      </c>
      <c r="E277" s="115"/>
      <c r="F277" s="115"/>
      <c r="G277" s="115"/>
      <c r="H277" s="115"/>
      <c r="I277" s="134"/>
      <c r="J277" s="115"/>
      <c r="K277" s="115"/>
    </row>
    <row r="278" spans="1:11" ht="15.75" x14ac:dyDescent="0.25">
      <c r="A278" s="105"/>
      <c r="B278" s="105"/>
      <c r="C278" s="93" t="str">
        <f t="shared" si="8"/>
        <v/>
      </c>
      <c r="D278" s="93" t="str">
        <f t="shared" si="9"/>
        <v/>
      </c>
      <c r="E278" s="115"/>
      <c r="F278" s="115"/>
      <c r="G278" s="115"/>
      <c r="H278" s="115"/>
      <c r="I278" s="134"/>
      <c r="J278" s="115"/>
      <c r="K278" s="115"/>
    </row>
    <row r="279" spans="1:11" ht="15.75" x14ac:dyDescent="0.25">
      <c r="A279" s="105"/>
      <c r="B279" s="105"/>
      <c r="C279" s="93" t="str">
        <f t="shared" si="8"/>
        <v/>
      </c>
      <c r="D279" s="93" t="str">
        <f t="shared" si="9"/>
        <v/>
      </c>
      <c r="E279" s="115"/>
      <c r="F279" s="115"/>
      <c r="G279" s="115"/>
      <c r="H279" s="115"/>
      <c r="I279" s="134"/>
      <c r="J279" s="115"/>
      <c r="K279" s="115"/>
    </row>
    <row r="280" spans="1:11" ht="15.75" x14ac:dyDescent="0.25">
      <c r="A280" s="105"/>
      <c r="B280" s="105"/>
      <c r="C280" s="93" t="str">
        <f t="shared" si="8"/>
        <v/>
      </c>
      <c r="D280" s="93" t="str">
        <f t="shared" si="9"/>
        <v/>
      </c>
      <c r="E280" s="115"/>
      <c r="F280" s="115"/>
      <c r="G280" s="115"/>
      <c r="H280" s="115"/>
      <c r="I280" s="134"/>
      <c r="J280" s="115"/>
      <c r="K280" s="115"/>
    </row>
    <row r="281" spans="1:11" ht="15.75" x14ac:dyDescent="0.25">
      <c r="A281" s="105"/>
      <c r="B281" s="105"/>
      <c r="C281" s="93" t="str">
        <f t="shared" si="8"/>
        <v/>
      </c>
      <c r="D281" s="93" t="str">
        <f t="shared" si="9"/>
        <v/>
      </c>
      <c r="E281" s="115"/>
      <c r="F281" s="115"/>
      <c r="G281" s="115"/>
      <c r="H281" s="115"/>
      <c r="I281" s="134"/>
      <c r="J281" s="115"/>
      <c r="K281" s="115"/>
    </row>
    <row r="282" spans="1:11" ht="15.75" x14ac:dyDescent="0.25">
      <c r="A282" s="105"/>
      <c r="B282" s="105"/>
      <c r="C282" s="93" t="str">
        <f t="shared" si="8"/>
        <v/>
      </c>
      <c r="D282" s="93" t="str">
        <f t="shared" si="9"/>
        <v/>
      </c>
      <c r="E282" s="115"/>
      <c r="F282" s="115"/>
      <c r="G282" s="115"/>
      <c r="H282" s="115"/>
      <c r="I282" s="134"/>
      <c r="J282" s="115"/>
      <c r="K282" s="115"/>
    </row>
    <row r="283" spans="1:11" ht="15.75" x14ac:dyDescent="0.25">
      <c r="A283" s="105"/>
      <c r="B283" s="105"/>
      <c r="C283" s="93" t="str">
        <f t="shared" si="8"/>
        <v/>
      </c>
      <c r="D283" s="93" t="str">
        <f t="shared" si="9"/>
        <v/>
      </c>
      <c r="E283" s="115"/>
      <c r="F283" s="115"/>
      <c r="G283" s="115"/>
      <c r="H283" s="115"/>
      <c r="I283" s="134"/>
      <c r="J283" s="115"/>
      <c r="K283" s="115"/>
    </row>
    <row r="284" spans="1:11" ht="15.75" x14ac:dyDescent="0.25">
      <c r="A284" s="105"/>
      <c r="B284" s="105"/>
      <c r="C284" s="93" t="str">
        <f t="shared" si="8"/>
        <v/>
      </c>
      <c r="D284" s="93" t="str">
        <f t="shared" si="9"/>
        <v/>
      </c>
      <c r="E284" s="115"/>
      <c r="F284" s="115"/>
      <c r="G284" s="115"/>
      <c r="H284" s="115"/>
      <c r="I284" s="134"/>
      <c r="J284" s="115"/>
      <c r="K284" s="115"/>
    </row>
    <row r="285" spans="1:11" ht="15.75" x14ac:dyDescent="0.25">
      <c r="A285" s="105"/>
      <c r="B285" s="105"/>
      <c r="C285" s="93" t="str">
        <f t="shared" si="8"/>
        <v/>
      </c>
      <c r="D285" s="93" t="str">
        <f t="shared" si="9"/>
        <v/>
      </c>
      <c r="E285" s="115"/>
      <c r="F285" s="115"/>
      <c r="G285" s="115"/>
      <c r="H285" s="115"/>
      <c r="I285" s="134"/>
      <c r="J285" s="115"/>
      <c r="K285" s="115"/>
    </row>
    <row r="286" spans="1:11" ht="15.75" x14ac:dyDescent="0.25">
      <c r="A286" s="105"/>
      <c r="B286" s="105"/>
      <c r="C286" s="93" t="str">
        <f t="shared" si="8"/>
        <v/>
      </c>
      <c r="D286" s="93" t="str">
        <f t="shared" si="9"/>
        <v/>
      </c>
      <c r="E286" s="115"/>
      <c r="F286" s="115"/>
      <c r="G286" s="115"/>
      <c r="H286" s="115"/>
      <c r="I286" s="134"/>
      <c r="J286" s="115"/>
      <c r="K286" s="115"/>
    </row>
    <row r="287" spans="1:11" ht="15.75" x14ac:dyDescent="0.25">
      <c r="A287" s="105"/>
      <c r="B287" s="105"/>
      <c r="C287" s="93" t="str">
        <f t="shared" si="8"/>
        <v/>
      </c>
      <c r="D287" s="93" t="str">
        <f t="shared" si="9"/>
        <v/>
      </c>
      <c r="E287" s="115"/>
      <c r="F287" s="115"/>
      <c r="G287" s="115"/>
      <c r="H287" s="115"/>
      <c r="I287" s="134"/>
      <c r="J287" s="115"/>
      <c r="K287" s="115"/>
    </row>
    <row r="288" spans="1:11" ht="15.75" x14ac:dyDescent="0.25">
      <c r="A288" s="105"/>
      <c r="B288" s="105"/>
      <c r="C288" s="93" t="str">
        <f t="shared" si="8"/>
        <v/>
      </c>
      <c r="D288" s="93" t="str">
        <f t="shared" si="9"/>
        <v/>
      </c>
      <c r="E288" s="115"/>
      <c r="F288" s="115"/>
      <c r="G288" s="115"/>
      <c r="H288" s="115"/>
      <c r="I288" s="134"/>
      <c r="J288" s="115"/>
      <c r="K288" s="115"/>
    </row>
    <row r="289" spans="1:11" ht="15.75" x14ac:dyDescent="0.25">
      <c r="A289" s="105"/>
      <c r="B289" s="105"/>
      <c r="C289" s="93" t="str">
        <f t="shared" si="8"/>
        <v/>
      </c>
      <c r="D289" s="93" t="str">
        <f t="shared" si="9"/>
        <v/>
      </c>
      <c r="E289" s="115"/>
      <c r="F289" s="115"/>
      <c r="G289" s="115"/>
      <c r="H289" s="115"/>
      <c r="I289" s="134"/>
      <c r="J289" s="115"/>
      <c r="K289" s="115"/>
    </row>
    <row r="290" spans="1:11" ht="15.75" x14ac:dyDescent="0.25">
      <c r="A290" s="105"/>
      <c r="B290" s="105"/>
      <c r="C290" s="93" t="str">
        <f t="shared" si="8"/>
        <v/>
      </c>
      <c r="D290" s="93" t="str">
        <f t="shared" si="9"/>
        <v/>
      </c>
      <c r="E290" s="115"/>
      <c r="F290" s="115"/>
      <c r="G290" s="115"/>
      <c r="H290" s="115"/>
      <c r="I290" s="134"/>
      <c r="J290" s="115"/>
      <c r="K290" s="115"/>
    </row>
    <row r="291" spans="1:11" ht="15.75" x14ac:dyDescent="0.25">
      <c r="A291" s="105"/>
      <c r="B291" s="105"/>
      <c r="C291" s="93" t="str">
        <f t="shared" si="8"/>
        <v/>
      </c>
      <c r="D291" s="93" t="str">
        <f t="shared" si="9"/>
        <v/>
      </c>
      <c r="E291" s="115"/>
      <c r="F291" s="115"/>
      <c r="G291" s="115"/>
      <c r="H291" s="115"/>
      <c r="I291" s="134"/>
      <c r="J291" s="115"/>
      <c r="K291" s="115"/>
    </row>
    <row r="292" spans="1:11" ht="15.75" x14ac:dyDescent="0.25">
      <c r="A292" s="105"/>
      <c r="B292" s="105"/>
      <c r="C292" s="93" t="str">
        <f t="shared" si="8"/>
        <v/>
      </c>
      <c r="D292" s="93" t="str">
        <f t="shared" si="9"/>
        <v/>
      </c>
      <c r="E292" s="115"/>
      <c r="F292" s="115"/>
      <c r="G292" s="115"/>
      <c r="H292" s="115"/>
      <c r="I292" s="134"/>
      <c r="J292" s="115"/>
      <c r="K292" s="115"/>
    </row>
    <row r="293" spans="1:11" ht="15.75" x14ac:dyDescent="0.25">
      <c r="A293" s="105"/>
      <c r="B293" s="105"/>
      <c r="C293" s="93" t="str">
        <f t="shared" si="8"/>
        <v/>
      </c>
      <c r="D293" s="93" t="str">
        <f t="shared" si="9"/>
        <v/>
      </c>
      <c r="E293" s="115"/>
      <c r="F293" s="115"/>
      <c r="G293" s="115"/>
      <c r="H293" s="115"/>
      <c r="I293" s="134"/>
      <c r="J293" s="115"/>
      <c r="K293" s="115"/>
    </row>
    <row r="294" spans="1:11" ht="15.75" x14ac:dyDescent="0.25">
      <c r="A294" s="105"/>
      <c r="B294" s="105"/>
      <c r="C294" s="93" t="str">
        <f t="shared" si="8"/>
        <v/>
      </c>
      <c r="D294" s="93" t="str">
        <f t="shared" si="9"/>
        <v/>
      </c>
      <c r="E294" s="115"/>
      <c r="F294" s="115"/>
      <c r="G294" s="115"/>
      <c r="H294" s="115"/>
      <c r="I294" s="134"/>
      <c r="J294" s="115"/>
      <c r="K294" s="115"/>
    </row>
    <row r="295" spans="1:11" ht="15.75" x14ac:dyDescent="0.25">
      <c r="A295" s="105"/>
      <c r="B295" s="105"/>
      <c r="C295" s="93" t="str">
        <f t="shared" si="8"/>
        <v/>
      </c>
      <c r="D295" s="93" t="str">
        <f t="shared" si="9"/>
        <v/>
      </c>
      <c r="E295" s="115"/>
      <c r="F295" s="115"/>
      <c r="G295" s="115"/>
      <c r="H295" s="115"/>
      <c r="I295" s="134"/>
      <c r="J295" s="115"/>
      <c r="K295" s="115"/>
    </row>
    <row r="296" spans="1:11" ht="15.75" x14ac:dyDescent="0.25">
      <c r="A296" s="105"/>
      <c r="B296" s="105"/>
      <c r="C296" s="93" t="str">
        <f t="shared" si="8"/>
        <v/>
      </c>
      <c r="D296" s="93" t="str">
        <f t="shared" si="9"/>
        <v/>
      </c>
      <c r="E296" s="115"/>
      <c r="F296" s="115"/>
      <c r="G296" s="115"/>
      <c r="H296" s="115"/>
      <c r="I296" s="134"/>
      <c r="J296" s="115"/>
      <c r="K296" s="115"/>
    </row>
    <row r="297" spans="1:11" ht="15.75" x14ac:dyDescent="0.25">
      <c r="A297" s="105"/>
      <c r="B297" s="105"/>
      <c r="C297" s="93" t="str">
        <f t="shared" si="8"/>
        <v/>
      </c>
      <c r="D297" s="93" t="str">
        <f t="shared" si="9"/>
        <v/>
      </c>
      <c r="E297" s="115"/>
      <c r="F297" s="115"/>
      <c r="G297" s="115"/>
      <c r="H297" s="115"/>
      <c r="I297" s="134"/>
      <c r="J297" s="115"/>
      <c r="K297" s="115"/>
    </row>
    <row r="298" spans="1:11" ht="15.75" x14ac:dyDescent="0.25">
      <c r="A298" s="105"/>
      <c r="B298" s="105"/>
      <c r="C298" s="93" t="str">
        <f t="shared" si="8"/>
        <v/>
      </c>
      <c r="D298" s="93" t="str">
        <f t="shared" si="9"/>
        <v/>
      </c>
      <c r="E298" s="115"/>
      <c r="F298" s="115"/>
      <c r="G298" s="115"/>
      <c r="H298" s="115"/>
      <c r="I298" s="134"/>
      <c r="J298" s="115"/>
      <c r="K298" s="115"/>
    </row>
    <row r="299" spans="1:11" ht="15.75" x14ac:dyDescent="0.25">
      <c r="A299" s="105"/>
      <c r="B299" s="105"/>
      <c r="C299" s="93" t="str">
        <f t="shared" si="8"/>
        <v/>
      </c>
      <c r="D299" s="93" t="str">
        <f t="shared" si="9"/>
        <v/>
      </c>
      <c r="E299" s="115"/>
      <c r="F299" s="115"/>
      <c r="G299" s="115"/>
      <c r="H299" s="115"/>
      <c r="I299" s="134"/>
      <c r="J299" s="115"/>
      <c r="K299" s="115"/>
    </row>
    <row r="300" spans="1:11" ht="15.75" x14ac:dyDescent="0.25">
      <c r="A300" s="105"/>
      <c r="B300" s="105"/>
      <c r="C300" s="93" t="str">
        <f t="shared" si="8"/>
        <v/>
      </c>
      <c r="D300" s="93" t="str">
        <f t="shared" si="9"/>
        <v/>
      </c>
      <c r="E300" s="115"/>
      <c r="F300" s="115"/>
      <c r="G300" s="115"/>
      <c r="H300" s="115"/>
      <c r="I300" s="134"/>
      <c r="J300" s="115"/>
      <c r="K300" s="115"/>
    </row>
    <row r="301" spans="1:11" ht="15.75" x14ac:dyDescent="0.25">
      <c r="A301" s="105"/>
      <c r="B301" s="105"/>
      <c r="C301" s="93" t="str">
        <f t="shared" si="8"/>
        <v/>
      </c>
      <c r="D301" s="93" t="str">
        <f t="shared" si="9"/>
        <v/>
      </c>
      <c r="E301" s="115"/>
      <c r="F301" s="115"/>
      <c r="G301" s="115"/>
      <c r="H301" s="115"/>
      <c r="I301" s="134"/>
      <c r="J301" s="115"/>
      <c r="K301" s="115"/>
    </row>
    <row r="302" spans="1:11" ht="15.75" x14ac:dyDescent="0.25">
      <c r="A302" s="105"/>
      <c r="B302" s="105"/>
      <c r="C302" s="93" t="str">
        <f t="shared" si="8"/>
        <v/>
      </c>
      <c r="D302" s="93" t="str">
        <f t="shared" si="9"/>
        <v/>
      </c>
      <c r="E302" s="115"/>
      <c r="F302" s="115"/>
      <c r="G302" s="115"/>
      <c r="H302" s="115"/>
      <c r="I302" s="134"/>
      <c r="J302" s="115"/>
      <c r="K302" s="115"/>
    </row>
    <row r="303" spans="1:11" ht="15.75" x14ac:dyDescent="0.25">
      <c r="A303" s="105"/>
      <c r="B303" s="105"/>
      <c r="C303" s="93" t="str">
        <f t="shared" si="8"/>
        <v/>
      </c>
      <c r="D303" s="93" t="str">
        <f t="shared" si="9"/>
        <v/>
      </c>
      <c r="E303" s="115"/>
      <c r="F303" s="115"/>
      <c r="G303" s="115"/>
      <c r="H303" s="115"/>
      <c r="I303" s="134"/>
      <c r="J303" s="115"/>
      <c r="K303" s="115"/>
    </row>
    <row r="304" spans="1:11" ht="15.75" x14ac:dyDescent="0.25">
      <c r="A304" s="105"/>
      <c r="B304" s="105"/>
      <c r="C304" s="93" t="str">
        <f t="shared" si="8"/>
        <v/>
      </c>
      <c r="D304" s="93" t="str">
        <f t="shared" si="9"/>
        <v/>
      </c>
      <c r="E304" s="115"/>
      <c r="F304" s="115"/>
      <c r="G304" s="115"/>
      <c r="H304" s="115"/>
      <c r="I304" s="134"/>
      <c r="J304" s="115"/>
      <c r="K304" s="115"/>
    </row>
    <row r="305" spans="1:11" ht="15.75" x14ac:dyDescent="0.25">
      <c r="A305" s="105"/>
      <c r="B305" s="105"/>
      <c r="C305" s="93" t="str">
        <f t="shared" si="8"/>
        <v/>
      </c>
      <c r="D305" s="93" t="str">
        <f t="shared" si="9"/>
        <v/>
      </c>
      <c r="E305" s="115"/>
      <c r="F305" s="115"/>
      <c r="G305" s="115"/>
      <c r="H305" s="115"/>
      <c r="I305" s="134"/>
      <c r="J305" s="115"/>
      <c r="K305" s="115"/>
    </row>
    <row r="306" spans="1:11" ht="15.75" x14ac:dyDescent="0.25">
      <c r="A306" s="105"/>
      <c r="B306" s="105"/>
      <c r="C306" s="93" t="str">
        <f t="shared" si="8"/>
        <v/>
      </c>
      <c r="D306" s="93" t="str">
        <f t="shared" si="9"/>
        <v/>
      </c>
      <c r="E306" s="115"/>
      <c r="F306" s="115"/>
      <c r="G306" s="115"/>
      <c r="H306" s="115"/>
      <c r="I306" s="134"/>
      <c r="J306" s="115"/>
      <c r="K306" s="115"/>
    </row>
    <row r="307" spans="1:11" ht="15.75" x14ac:dyDescent="0.25">
      <c r="A307" s="105"/>
      <c r="B307" s="105"/>
      <c r="C307" s="93" t="str">
        <f t="shared" si="8"/>
        <v/>
      </c>
      <c r="D307" s="93" t="str">
        <f t="shared" si="9"/>
        <v/>
      </c>
      <c r="E307" s="115"/>
      <c r="F307" s="115"/>
      <c r="G307" s="115"/>
      <c r="H307" s="115"/>
      <c r="I307" s="134"/>
      <c r="J307" s="115"/>
      <c r="K307" s="115"/>
    </row>
    <row r="308" spans="1:11" ht="15.75" x14ac:dyDescent="0.25">
      <c r="A308" s="105"/>
      <c r="B308" s="105"/>
      <c r="C308" s="93" t="str">
        <f t="shared" si="8"/>
        <v/>
      </c>
      <c r="D308" s="93" t="str">
        <f t="shared" si="9"/>
        <v/>
      </c>
      <c r="E308" s="115"/>
      <c r="F308" s="115"/>
      <c r="G308" s="115"/>
      <c r="H308" s="115"/>
      <c r="I308" s="134"/>
      <c r="J308" s="115"/>
      <c r="K308" s="115"/>
    </row>
    <row r="309" spans="1:11" ht="15.75" x14ac:dyDescent="0.25">
      <c r="A309" s="105"/>
      <c r="B309" s="105"/>
      <c r="C309" s="93" t="str">
        <f t="shared" si="8"/>
        <v/>
      </c>
      <c r="D309" s="93" t="str">
        <f t="shared" si="9"/>
        <v/>
      </c>
      <c r="E309" s="115"/>
      <c r="F309" s="115"/>
      <c r="G309" s="115"/>
      <c r="H309" s="115"/>
      <c r="I309" s="134"/>
      <c r="J309" s="115"/>
      <c r="K309" s="115"/>
    </row>
    <row r="310" spans="1:11" ht="15.75" x14ac:dyDescent="0.25">
      <c r="A310" s="105"/>
      <c r="B310" s="105"/>
      <c r="C310" s="93" t="str">
        <f t="shared" si="8"/>
        <v/>
      </c>
      <c r="D310" s="93" t="str">
        <f t="shared" si="9"/>
        <v/>
      </c>
      <c r="E310" s="115"/>
      <c r="F310" s="115"/>
      <c r="G310" s="115"/>
      <c r="H310" s="115"/>
      <c r="I310" s="134"/>
      <c r="J310" s="115"/>
      <c r="K310" s="115"/>
    </row>
    <row r="311" spans="1:11" ht="15.75" x14ac:dyDescent="0.25">
      <c r="A311" s="105"/>
      <c r="B311" s="105"/>
      <c r="C311" s="93" t="str">
        <f t="shared" si="8"/>
        <v/>
      </c>
      <c r="D311" s="93" t="str">
        <f t="shared" si="9"/>
        <v/>
      </c>
      <c r="E311" s="115"/>
      <c r="F311" s="115"/>
      <c r="G311" s="115"/>
      <c r="H311" s="115"/>
      <c r="I311" s="134"/>
      <c r="J311" s="115"/>
      <c r="K311" s="115"/>
    </row>
    <row r="312" spans="1:11" ht="15.75" x14ac:dyDescent="0.25">
      <c r="A312" s="105"/>
      <c r="B312" s="105"/>
      <c r="C312" s="93" t="str">
        <f t="shared" si="8"/>
        <v/>
      </c>
      <c r="D312" s="93" t="str">
        <f t="shared" si="9"/>
        <v/>
      </c>
      <c r="E312" s="115"/>
      <c r="F312" s="115"/>
      <c r="G312" s="115"/>
      <c r="H312" s="115"/>
      <c r="I312" s="134"/>
      <c r="J312" s="115"/>
      <c r="K312" s="115"/>
    </row>
    <row r="313" spans="1:11" ht="15.75" x14ac:dyDescent="0.25">
      <c r="A313" s="105"/>
      <c r="B313" s="105"/>
      <c r="C313" s="93" t="str">
        <f t="shared" si="8"/>
        <v/>
      </c>
      <c r="D313" s="93" t="str">
        <f t="shared" si="9"/>
        <v/>
      </c>
      <c r="E313" s="115"/>
      <c r="F313" s="115"/>
      <c r="G313" s="115"/>
      <c r="H313" s="115"/>
      <c r="I313" s="134"/>
      <c r="J313" s="115"/>
      <c r="K313" s="115"/>
    </row>
    <row r="314" spans="1:11" ht="15.75" x14ac:dyDescent="0.25">
      <c r="A314" s="105"/>
      <c r="B314" s="105"/>
      <c r="C314" s="93" t="str">
        <f t="shared" si="8"/>
        <v/>
      </c>
      <c r="D314" s="93" t="str">
        <f t="shared" si="9"/>
        <v/>
      </c>
      <c r="E314" s="115"/>
      <c r="F314" s="115"/>
      <c r="G314" s="115"/>
      <c r="H314" s="115"/>
      <c r="I314" s="134"/>
      <c r="J314" s="115"/>
      <c r="K314" s="115"/>
    </row>
    <row r="315" spans="1:11" ht="15.75" x14ac:dyDescent="0.25">
      <c r="A315" s="105"/>
      <c r="B315" s="105"/>
      <c r="C315" s="93" t="str">
        <f t="shared" si="8"/>
        <v/>
      </c>
      <c r="D315" s="93" t="str">
        <f t="shared" si="9"/>
        <v/>
      </c>
      <c r="E315" s="115"/>
      <c r="F315" s="115"/>
      <c r="G315" s="115"/>
      <c r="H315" s="115"/>
      <c r="I315" s="134"/>
      <c r="J315" s="115"/>
      <c r="K315" s="115"/>
    </row>
    <row r="316" spans="1:11" ht="15.75" x14ac:dyDescent="0.25">
      <c r="A316" s="105"/>
      <c r="B316" s="105"/>
      <c r="C316" s="93" t="str">
        <f t="shared" si="8"/>
        <v/>
      </c>
      <c r="D316" s="93" t="str">
        <f t="shared" si="9"/>
        <v/>
      </c>
      <c r="E316" s="115"/>
      <c r="F316" s="115"/>
      <c r="G316" s="115"/>
      <c r="H316" s="115"/>
      <c r="I316" s="134"/>
      <c r="J316" s="115"/>
      <c r="K316" s="115"/>
    </row>
    <row r="317" spans="1:11" ht="15.75" x14ac:dyDescent="0.25">
      <c r="A317" s="105"/>
      <c r="B317" s="105"/>
      <c r="C317" s="93" t="str">
        <f t="shared" si="8"/>
        <v/>
      </c>
      <c r="D317" s="93" t="str">
        <f t="shared" si="9"/>
        <v/>
      </c>
      <c r="E317" s="115"/>
      <c r="F317" s="115"/>
      <c r="G317" s="115"/>
      <c r="H317" s="115"/>
      <c r="I317" s="134"/>
      <c r="J317" s="115"/>
      <c r="K317" s="115"/>
    </row>
    <row r="318" spans="1:11" ht="15.75" x14ac:dyDescent="0.25">
      <c r="A318" s="105"/>
      <c r="B318" s="105"/>
      <c r="C318" s="93" t="str">
        <f t="shared" si="8"/>
        <v/>
      </c>
      <c r="D318" s="93" t="str">
        <f t="shared" si="9"/>
        <v/>
      </c>
      <c r="E318" s="115"/>
      <c r="F318" s="115"/>
      <c r="G318" s="115"/>
      <c r="H318" s="115"/>
      <c r="I318" s="134"/>
      <c r="J318" s="115"/>
      <c r="K318" s="115"/>
    </row>
    <row r="319" spans="1:11" ht="15.75" x14ac:dyDescent="0.25">
      <c r="A319" s="105"/>
      <c r="B319" s="105"/>
      <c r="C319" s="93" t="str">
        <f t="shared" si="8"/>
        <v/>
      </c>
      <c r="D319" s="93" t="str">
        <f t="shared" si="9"/>
        <v/>
      </c>
      <c r="E319" s="115"/>
      <c r="F319" s="115"/>
      <c r="G319" s="115"/>
      <c r="H319" s="115"/>
      <c r="I319" s="134"/>
      <c r="J319" s="115"/>
      <c r="K319" s="115"/>
    </row>
    <row r="320" spans="1:11" ht="15.75" x14ac:dyDescent="0.25">
      <c r="A320" s="105"/>
      <c r="B320" s="105"/>
      <c r="C320" s="93" t="str">
        <f t="shared" si="8"/>
        <v/>
      </c>
      <c r="D320" s="93" t="str">
        <f t="shared" si="9"/>
        <v/>
      </c>
      <c r="E320" s="115"/>
      <c r="F320" s="115"/>
      <c r="G320" s="115"/>
      <c r="H320" s="115"/>
      <c r="I320" s="134"/>
      <c r="J320" s="115"/>
      <c r="K320" s="115"/>
    </row>
    <row r="321" spans="1:11" ht="15.75" x14ac:dyDescent="0.25">
      <c r="A321" s="105"/>
      <c r="B321" s="105"/>
      <c r="C321" s="93" t="str">
        <f t="shared" si="8"/>
        <v/>
      </c>
      <c r="D321" s="93" t="str">
        <f t="shared" si="9"/>
        <v/>
      </c>
      <c r="E321" s="115"/>
      <c r="F321" s="115"/>
      <c r="G321" s="115"/>
      <c r="H321" s="115"/>
      <c r="I321" s="134"/>
      <c r="J321" s="115"/>
      <c r="K321" s="115"/>
    </row>
    <row r="322" spans="1:11" ht="15.75" x14ac:dyDescent="0.25">
      <c r="A322" s="105"/>
      <c r="B322" s="105"/>
      <c r="C322" s="93" t="str">
        <f t="shared" si="8"/>
        <v/>
      </c>
      <c r="D322" s="93" t="str">
        <f t="shared" si="9"/>
        <v/>
      </c>
      <c r="E322" s="115"/>
      <c r="F322" s="115"/>
      <c r="G322" s="115"/>
      <c r="H322" s="115"/>
      <c r="I322" s="134"/>
      <c r="J322" s="115"/>
      <c r="K322" s="115"/>
    </row>
    <row r="323" spans="1:11" ht="15.75" x14ac:dyDescent="0.25">
      <c r="A323" s="105"/>
      <c r="B323" s="105"/>
      <c r="C323" s="93" t="str">
        <f t="shared" si="8"/>
        <v/>
      </c>
      <c r="D323" s="93" t="str">
        <f t="shared" si="9"/>
        <v/>
      </c>
      <c r="E323" s="115"/>
      <c r="F323" s="115"/>
      <c r="G323" s="115"/>
      <c r="H323" s="115"/>
      <c r="I323" s="134"/>
      <c r="J323" s="115"/>
      <c r="K323" s="115"/>
    </row>
    <row r="324" spans="1:11" ht="15.75" x14ac:dyDescent="0.25">
      <c r="A324" s="105"/>
      <c r="B324" s="105"/>
      <c r="C324" s="93" t="str">
        <f t="shared" si="8"/>
        <v/>
      </c>
      <c r="D324" s="93" t="str">
        <f t="shared" si="9"/>
        <v/>
      </c>
      <c r="E324" s="115"/>
      <c r="F324" s="115"/>
      <c r="G324" s="115"/>
      <c r="H324" s="115"/>
      <c r="I324" s="134"/>
      <c r="J324" s="115"/>
      <c r="K324" s="115"/>
    </row>
    <row r="325" spans="1:11" ht="15.75" x14ac:dyDescent="0.25">
      <c r="A325" s="105"/>
      <c r="B325" s="105"/>
      <c r="C325" s="93" t="str">
        <f t="shared" si="8"/>
        <v/>
      </c>
      <c r="D325" s="93" t="str">
        <f t="shared" si="9"/>
        <v/>
      </c>
      <c r="E325" s="115"/>
      <c r="F325" s="115"/>
      <c r="G325" s="115"/>
      <c r="H325" s="115"/>
      <c r="I325" s="134"/>
      <c r="J325" s="115"/>
      <c r="K325" s="115"/>
    </row>
    <row r="326" spans="1:11" ht="15.75" x14ac:dyDescent="0.25">
      <c r="A326" s="105"/>
      <c r="B326" s="105"/>
      <c r="C326" s="93" t="str">
        <f t="shared" si="8"/>
        <v/>
      </c>
      <c r="D326" s="93" t="str">
        <f t="shared" si="9"/>
        <v/>
      </c>
      <c r="E326" s="115"/>
      <c r="F326" s="115"/>
      <c r="G326" s="115"/>
      <c r="H326" s="115"/>
      <c r="I326" s="134"/>
      <c r="J326" s="115"/>
      <c r="K326" s="115"/>
    </row>
    <row r="327" spans="1:11" ht="15.75" x14ac:dyDescent="0.25">
      <c r="A327" s="105"/>
      <c r="B327" s="105"/>
      <c r="C327" s="93" t="str">
        <f t="shared" si="8"/>
        <v/>
      </c>
      <c r="D327" s="93" t="str">
        <f t="shared" si="9"/>
        <v/>
      </c>
      <c r="E327" s="115"/>
      <c r="F327" s="115"/>
      <c r="G327" s="115"/>
      <c r="H327" s="115"/>
      <c r="I327" s="134"/>
      <c r="J327" s="115"/>
      <c r="K327" s="115"/>
    </row>
    <row r="328" spans="1:11" ht="15.75" x14ac:dyDescent="0.25">
      <c r="A328" s="105"/>
      <c r="B328" s="105"/>
      <c r="C328" s="93" t="str">
        <f t="shared" si="8"/>
        <v/>
      </c>
      <c r="D328" s="93" t="str">
        <f t="shared" si="9"/>
        <v/>
      </c>
      <c r="E328" s="115"/>
      <c r="F328" s="115"/>
      <c r="G328" s="115"/>
      <c r="H328" s="115"/>
      <c r="I328" s="134"/>
      <c r="J328" s="115"/>
      <c r="K328" s="115"/>
    </row>
    <row r="329" spans="1:11" ht="15.75" x14ac:dyDescent="0.25">
      <c r="A329" s="105"/>
      <c r="B329" s="105"/>
      <c r="C329" s="93" t="str">
        <f t="shared" si="8"/>
        <v/>
      </c>
      <c r="D329" s="93" t="str">
        <f t="shared" si="9"/>
        <v/>
      </c>
      <c r="E329" s="115"/>
      <c r="F329" s="115"/>
      <c r="G329" s="115"/>
      <c r="H329" s="115"/>
      <c r="I329" s="134"/>
      <c r="J329" s="115"/>
      <c r="K329" s="115"/>
    </row>
    <row r="330" spans="1:11" ht="15.75" x14ac:dyDescent="0.25">
      <c r="A330" s="105"/>
      <c r="B330" s="105"/>
      <c r="C330" s="93" t="str">
        <f t="shared" si="8"/>
        <v/>
      </c>
      <c r="D330" s="93" t="str">
        <f t="shared" si="9"/>
        <v/>
      </c>
      <c r="E330" s="115"/>
      <c r="F330" s="115"/>
      <c r="G330" s="115"/>
      <c r="H330" s="115"/>
      <c r="I330" s="134"/>
      <c r="J330" s="115"/>
      <c r="K330" s="115"/>
    </row>
    <row r="331" spans="1:11" ht="15.75" x14ac:dyDescent="0.25">
      <c r="A331" s="105"/>
      <c r="B331" s="105"/>
      <c r="C331" s="93" t="str">
        <f t="shared" si="8"/>
        <v/>
      </c>
      <c r="D331" s="93" t="str">
        <f t="shared" si="9"/>
        <v/>
      </c>
      <c r="E331" s="115"/>
      <c r="F331" s="115"/>
      <c r="G331" s="115"/>
      <c r="H331" s="115"/>
      <c r="I331" s="134"/>
      <c r="J331" s="115"/>
      <c r="K331" s="115"/>
    </row>
    <row r="332" spans="1:11" ht="15.75" x14ac:dyDescent="0.25">
      <c r="A332" s="105"/>
      <c r="B332" s="105"/>
      <c r="C332" s="93" t="str">
        <f t="shared" si="8"/>
        <v/>
      </c>
      <c r="D332" s="93" t="str">
        <f t="shared" si="9"/>
        <v/>
      </c>
      <c r="E332" s="115"/>
      <c r="F332" s="115"/>
      <c r="G332" s="115"/>
      <c r="H332" s="115"/>
      <c r="I332" s="134"/>
      <c r="J332" s="115"/>
      <c r="K332" s="115"/>
    </row>
    <row r="333" spans="1:11" ht="15.75" x14ac:dyDescent="0.25">
      <c r="A333" s="105"/>
      <c r="B333" s="105"/>
      <c r="C333" s="93" t="str">
        <f t="shared" si="8"/>
        <v/>
      </c>
      <c r="D333" s="93" t="str">
        <f t="shared" si="9"/>
        <v/>
      </c>
      <c r="E333" s="115"/>
      <c r="F333" s="115"/>
      <c r="G333" s="115"/>
      <c r="H333" s="115"/>
      <c r="I333" s="134"/>
      <c r="J333" s="115"/>
      <c r="K333" s="115"/>
    </row>
    <row r="334" spans="1:11" ht="15.75" x14ac:dyDescent="0.25">
      <c r="A334" s="105"/>
      <c r="B334" s="105"/>
      <c r="C334" s="93" t="str">
        <f t="shared" si="8"/>
        <v/>
      </c>
      <c r="D334" s="93" t="str">
        <f t="shared" si="9"/>
        <v/>
      </c>
      <c r="E334" s="115"/>
      <c r="F334" s="115"/>
      <c r="G334" s="115"/>
      <c r="H334" s="115"/>
      <c r="I334" s="134"/>
      <c r="J334" s="115"/>
      <c r="K334" s="115"/>
    </row>
    <row r="335" spans="1:11" ht="15.75" x14ac:dyDescent="0.25">
      <c r="A335" s="105"/>
      <c r="B335" s="105"/>
      <c r="C335" s="93" t="str">
        <f t="shared" si="8"/>
        <v/>
      </c>
      <c r="D335" s="93" t="str">
        <f t="shared" si="9"/>
        <v/>
      </c>
      <c r="E335" s="115"/>
      <c r="F335" s="115"/>
      <c r="G335" s="115"/>
      <c r="H335" s="115"/>
      <c r="I335" s="134"/>
      <c r="J335" s="115"/>
      <c r="K335" s="115"/>
    </row>
    <row r="336" spans="1:11" ht="15.75" x14ac:dyDescent="0.25">
      <c r="A336" s="105"/>
      <c r="B336" s="105"/>
      <c r="C336" s="93" t="str">
        <f t="shared" si="8"/>
        <v/>
      </c>
      <c r="D336" s="93" t="str">
        <f t="shared" si="9"/>
        <v/>
      </c>
      <c r="E336" s="115"/>
      <c r="F336" s="115"/>
      <c r="G336" s="115"/>
      <c r="H336" s="115"/>
      <c r="I336" s="134"/>
      <c r="J336" s="115"/>
      <c r="K336" s="115"/>
    </row>
    <row r="337" spans="1:11" ht="15.75" x14ac:dyDescent="0.25">
      <c r="A337" s="105"/>
      <c r="B337" s="105"/>
      <c r="C337" s="93" t="str">
        <f t="shared" si="8"/>
        <v/>
      </c>
      <c r="D337" s="93" t="str">
        <f t="shared" si="9"/>
        <v/>
      </c>
      <c r="E337" s="115"/>
      <c r="F337" s="115"/>
      <c r="G337" s="115"/>
      <c r="H337" s="115"/>
      <c r="I337" s="134"/>
      <c r="J337" s="115"/>
      <c r="K337" s="115"/>
    </row>
    <row r="338" spans="1:11" ht="15.75" x14ac:dyDescent="0.25">
      <c r="A338" s="105"/>
      <c r="B338" s="105"/>
      <c r="C338" s="93" t="str">
        <f t="shared" si="8"/>
        <v/>
      </c>
      <c r="D338" s="93" t="str">
        <f t="shared" si="9"/>
        <v/>
      </c>
      <c r="E338" s="115"/>
      <c r="F338" s="115"/>
      <c r="G338" s="115"/>
      <c r="H338" s="115"/>
      <c r="I338" s="134"/>
      <c r="J338" s="115"/>
      <c r="K338" s="115"/>
    </row>
    <row r="339" spans="1:11" ht="15.75" x14ac:dyDescent="0.25">
      <c r="A339" s="105"/>
      <c r="B339" s="105"/>
      <c r="C339" s="93" t="str">
        <f t="shared" si="8"/>
        <v/>
      </c>
      <c r="D339" s="93" t="str">
        <f t="shared" si="9"/>
        <v/>
      </c>
      <c r="E339" s="115"/>
      <c r="F339" s="115"/>
      <c r="G339" s="115"/>
      <c r="H339" s="115"/>
      <c r="I339" s="134"/>
      <c r="J339" s="115"/>
      <c r="K339" s="115"/>
    </row>
    <row r="340" spans="1:11" ht="15.75" x14ac:dyDescent="0.25">
      <c r="A340" s="105"/>
      <c r="B340" s="105"/>
      <c r="C340" s="93" t="str">
        <f t="shared" ref="C340:C403" si="10">IF(A340=0,"",VLOOKUP(B340,MatDB,2,FALSE))</f>
        <v/>
      </c>
      <c r="D340" s="93" t="str">
        <f t="shared" si="9"/>
        <v/>
      </c>
      <c r="E340" s="115"/>
      <c r="F340" s="115"/>
      <c r="G340" s="115"/>
      <c r="H340" s="115"/>
      <c r="I340" s="134"/>
      <c r="J340" s="115"/>
      <c r="K340" s="115"/>
    </row>
    <row r="341" spans="1:11" ht="15.75" x14ac:dyDescent="0.25">
      <c r="A341" s="105"/>
      <c r="B341" s="105"/>
      <c r="C341" s="93" t="str">
        <f t="shared" si="10"/>
        <v/>
      </c>
      <c r="D341" s="93" t="str">
        <f t="shared" ref="D341:D404" si="11">IF(A341=0,"","Steel02")</f>
        <v/>
      </c>
      <c r="E341" s="115"/>
      <c r="F341" s="115"/>
      <c r="G341" s="115"/>
      <c r="H341" s="115"/>
      <c r="I341" s="134"/>
      <c r="J341" s="115"/>
      <c r="K341" s="115"/>
    </row>
    <row r="342" spans="1:11" ht="15.75" x14ac:dyDescent="0.25">
      <c r="A342" s="105"/>
      <c r="B342" s="105"/>
      <c r="C342" s="93" t="str">
        <f t="shared" si="10"/>
        <v/>
      </c>
      <c r="D342" s="93" t="str">
        <f t="shared" si="11"/>
        <v/>
      </c>
      <c r="E342" s="115"/>
      <c r="F342" s="115"/>
      <c r="G342" s="115"/>
      <c r="H342" s="115"/>
      <c r="I342" s="134"/>
      <c r="J342" s="115"/>
      <c r="K342" s="115"/>
    </row>
    <row r="343" spans="1:11" ht="15.75" x14ac:dyDescent="0.25">
      <c r="A343" s="105"/>
      <c r="B343" s="105"/>
      <c r="C343" s="93" t="str">
        <f t="shared" si="10"/>
        <v/>
      </c>
      <c r="D343" s="93" t="str">
        <f t="shared" si="11"/>
        <v/>
      </c>
      <c r="E343" s="115"/>
      <c r="F343" s="115"/>
      <c r="G343" s="115"/>
      <c r="H343" s="115"/>
      <c r="I343" s="134"/>
      <c r="J343" s="115"/>
      <c r="K343" s="115"/>
    </row>
    <row r="344" spans="1:11" ht="15.75" x14ac:dyDescent="0.25">
      <c r="A344" s="105"/>
      <c r="B344" s="105"/>
      <c r="C344" s="93" t="str">
        <f t="shared" si="10"/>
        <v/>
      </c>
      <c r="D344" s="93" t="str">
        <f t="shared" si="11"/>
        <v/>
      </c>
      <c r="E344" s="115"/>
      <c r="F344" s="115"/>
      <c r="G344" s="115"/>
      <c r="H344" s="115"/>
      <c r="I344" s="134"/>
      <c r="J344" s="115"/>
      <c r="K344" s="115"/>
    </row>
    <row r="345" spans="1:11" ht="15.75" x14ac:dyDescent="0.25">
      <c r="A345" s="105"/>
      <c r="B345" s="105"/>
      <c r="C345" s="93" t="str">
        <f t="shared" si="10"/>
        <v/>
      </c>
      <c r="D345" s="93" t="str">
        <f t="shared" si="11"/>
        <v/>
      </c>
      <c r="E345" s="115"/>
      <c r="F345" s="115"/>
      <c r="G345" s="115"/>
      <c r="H345" s="115"/>
      <c r="I345" s="134"/>
      <c r="J345" s="115"/>
      <c r="K345" s="115"/>
    </row>
    <row r="346" spans="1:11" ht="15.75" x14ac:dyDescent="0.25">
      <c r="A346" s="105"/>
      <c r="B346" s="105"/>
      <c r="C346" s="93" t="str">
        <f t="shared" si="10"/>
        <v/>
      </c>
      <c r="D346" s="93" t="str">
        <f t="shared" si="11"/>
        <v/>
      </c>
      <c r="E346" s="115"/>
      <c r="F346" s="115"/>
      <c r="G346" s="115"/>
      <c r="H346" s="115"/>
      <c r="I346" s="134"/>
      <c r="J346" s="115"/>
      <c r="K346" s="115"/>
    </row>
    <row r="347" spans="1:11" ht="15.75" x14ac:dyDescent="0.25">
      <c r="A347" s="105"/>
      <c r="B347" s="105"/>
      <c r="C347" s="93" t="str">
        <f t="shared" si="10"/>
        <v/>
      </c>
      <c r="D347" s="93" t="str">
        <f t="shared" si="11"/>
        <v/>
      </c>
      <c r="E347" s="115"/>
      <c r="F347" s="115"/>
      <c r="G347" s="115"/>
      <c r="H347" s="115"/>
      <c r="I347" s="134"/>
      <c r="J347" s="115"/>
      <c r="K347" s="115"/>
    </row>
    <row r="348" spans="1:11" ht="15.75" x14ac:dyDescent="0.25">
      <c r="A348" s="105"/>
      <c r="B348" s="105"/>
      <c r="C348" s="93" t="str">
        <f t="shared" si="10"/>
        <v/>
      </c>
      <c r="D348" s="93" t="str">
        <f t="shared" si="11"/>
        <v/>
      </c>
      <c r="E348" s="115"/>
      <c r="F348" s="115"/>
      <c r="G348" s="115"/>
      <c r="H348" s="115"/>
      <c r="I348" s="134"/>
      <c r="J348" s="115"/>
      <c r="K348" s="115"/>
    </row>
    <row r="349" spans="1:11" ht="15.75" x14ac:dyDescent="0.25">
      <c r="A349" s="105"/>
      <c r="B349" s="105"/>
      <c r="C349" s="93" t="str">
        <f t="shared" si="10"/>
        <v/>
      </c>
      <c r="D349" s="93" t="str">
        <f t="shared" si="11"/>
        <v/>
      </c>
      <c r="E349" s="115"/>
      <c r="F349" s="115"/>
      <c r="G349" s="115"/>
      <c r="H349" s="115"/>
      <c r="I349" s="134"/>
      <c r="J349" s="115"/>
      <c r="K349" s="115"/>
    </row>
    <row r="350" spans="1:11" ht="15.75" x14ac:dyDescent="0.25">
      <c r="A350" s="105"/>
      <c r="B350" s="105"/>
      <c r="C350" s="93" t="str">
        <f t="shared" si="10"/>
        <v/>
      </c>
      <c r="D350" s="93" t="str">
        <f t="shared" si="11"/>
        <v/>
      </c>
      <c r="E350" s="115"/>
      <c r="F350" s="115"/>
      <c r="G350" s="115"/>
      <c r="H350" s="115"/>
      <c r="I350" s="134"/>
      <c r="J350" s="115"/>
      <c r="K350" s="115"/>
    </row>
    <row r="351" spans="1:11" ht="15.75" x14ac:dyDescent="0.25">
      <c r="A351" s="105"/>
      <c r="B351" s="105"/>
      <c r="C351" s="93" t="str">
        <f t="shared" si="10"/>
        <v/>
      </c>
      <c r="D351" s="93" t="str">
        <f t="shared" si="11"/>
        <v/>
      </c>
      <c r="E351" s="115"/>
      <c r="F351" s="115"/>
      <c r="G351" s="115"/>
      <c r="H351" s="115"/>
      <c r="I351" s="134"/>
      <c r="J351" s="115"/>
      <c r="K351" s="115"/>
    </row>
    <row r="352" spans="1:11" ht="15.75" x14ac:dyDescent="0.25">
      <c r="A352" s="105"/>
      <c r="B352" s="105"/>
      <c r="C352" s="93" t="str">
        <f t="shared" si="10"/>
        <v/>
      </c>
      <c r="D352" s="93" t="str">
        <f t="shared" si="11"/>
        <v/>
      </c>
      <c r="E352" s="115"/>
      <c r="F352" s="115"/>
      <c r="G352" s="115"/>
      <c r="H352" s="115"/>
      <c r="I352" s="134"/>
      <c r="J352" s="115"/>
      <c r="K352" s="115"/>
    </row>
    <row r="353" spans="1:11" ht="15.75" x14ac:dyDescent="0.25">
      <c r="A353" s="105"/>
      <c r="B353" s="105"/>
      <c r="C353" s="93" t="str">
        <f t="shared" si="10"/>
        <v/>
      </c>
      <c r="D353" s="93" t="str">
        <f t="shared" si="11"/>
        <v/>
      </c>
      <c r="E353" s="115"/>
      <c r="F353" s="115"/>
      <c r="G353" s="115"/>
      <c r="H353" s="115"/>
      <c r="I353" s="134"/>
      <c r="J353" s="115"/>
      <c r="K353" s="115"/>
    </row>
    <row r="354" spans="1:11" ht="15.75" x14ac:dyDescent="0.25">
      <c r="A354" s="105"/>
      <c r="B354" s="105"/>
      <c r="C354" s="93" t="str">
        <f t="shared" si="10"/>
        <v/>
      </c>
      <c r="D354" s="93" t="str">
        <f t="shared" si="11"/>
        <v/>
      </c>
      <c r="E354" s="115"/>
      <c r="F354" s="115"/>
      <c r="G354" s="115"/>
      <c r="H354" s="115"/>
      <c r="I354" s="134"/>
      <c r="J354" s="115"/>
      <c r="K354" s="115"/>
    </row>
    <row r="355" spans="1:11" ht="15.75" x14ac:dyDescent="0.25">
      <c r="A355" s="105"/>
      <c r="B355" s="105"/>
      <c r="C355" s="93" t="str">
        <f t="shared" si="10"/>
        <v/>
      </c>
      <c r="D355" s="93" t="str">
        <f t="shared" si="11"/>
        <v/>
      </c>
      <c r="E355" s="115"/>
      <c r="F355" s="115"/>
      <c r="G355" s="115"/>
      <c r="H355" s="115"/>
      <c r="I355" s="134"/>
      <c r="J355" s="115"/>
      <c r="K355" s="115"/>
    </row>
    <row r="356" spans="1:11" ht="15.75" x14ac:dyDescent="0.25">
      <c r="A356" s="105"/>
      <c r="B356" s="105"/>
      <c r="C356" s="93" t="str">
        <f t="shared" si="10"/>
        <v/>
      </c>
      <c r="D356" s="93" t="str">
        <f t="shared" si="11"/>
        <v/>
      </c>
      <c r="E356" s="115"/>
      <c r="F356" s="115"/>
      <c r="G356" s="115"/>
      <c r="H356" s="115"/>
      <c r="I356" s="134"/>
      <c r="J356" s="115"/>
      <c r="K356" s="115"/>
    </row>
    <row r="357" spans="1:11" ht="15.75" x14ac:dyDescent="0.25">
      <c r="A357" s="105"/>
      <c r="B357" s="105"/>
      <c r="C357" s="93" t="str">
        <f t="shared" si="10"/>
        <v/>
      </c>
      <c r="D357" s="93" t="str">
        <f t="shared" si="11"/>
        <v/>
      </c>
      <c r="E357" s="115"/>
      <c r="F357" s="115"/>
      <c r="G357" s="115"/>
      <c r="H357" s="115"/>
      <c r="I357" s="134"/>
      <c r="J357" s="115"/>
      <c r="K357" s="115"/>
    </row>
    <row r="358" spans="1:11" ht="15.75" x14ac:dyDescent="0.25">
      <c r="A358" s="105"/>
      <c r="B358" s="105"/>
      <c r="C358" s="93" t="str">
        <f t="shared" si="10"/>
        <v/>
      </c>
      <c r="D358" s="93" t="str">
        <f t="shared" si="11"/>
        <v/>
      </c>
      <c r="E358" s="115"/>
      <c r="F358" s="115"/>
      <c r="G358" s="115"/>
      <c r="H358" s="115"/>
      <c r="I358" s="134"/>
      <c r="J358" s="115"/>
      <c r="K358" s="115"/>
    </row>
    <row r="359" spans="1:11" ht="15.75" x14ac:dyDescent="0.25">
      <c r="A359" s="105"/>
      <c r="B359" s="105"/>
      <c r="C359" s="93" t="str">
        <f t="shared" si="10"/>
        <v/>
      </c>
      <c r="D359" s="93" t="str">
        <f t="shared" si="11"/>
        <v/>
      </c>
      <c r="E359" s="115"/>
      <c r="F359" s="115"/>
      <c r="G359" s="115"/>
      <c r="H359" s="115"/>
      <c r="I359" s="134"/>
      <c r="J359" s="115"/>
      <c r="K359" s="115"/>
    </row>
    <row r="360" spans="1:11" ht="15.75" x14ac:dyDescent="0.25">
      <c r="A360" s="105"/>
      <c r="B360" s="105"/>
      <c r="C360" s="93" t="str">
        <f t="shared" si="10"/>
        <v/>
      </c>
      <c r="D360" s="93" t="str">
        <f t="shared" si="11"/>
        <v/>
      </c>
      <c r="E360" s="115"/>
      <c r="F360" s="115"/>
      <c r="G360" s="115"/>
      <c r="H360" s="115"/>
      <c r="I360" s="134"/>
      <c r="J360" s="115"/>
      <c r="K360" s="115"/>
    </row>
    <row r="361" spans="1:11" ht="15.75" x14ac:dyDescent="0.25">
      <c r="A361" s="105"/>
      <c r="B361" s="105"/>
      <c r="C361" s="93" t="str">
        <f t="shared" si="10"/>
        <v/>
      </c>
      <c r="D361" s="93" t="str">
        <f t="shared" si="11"/>
        <v/>
      </c>
      <c r="E361" s="115"/>
      <c r="F361" s="115"/>
      <c r="G361" s="115"/>
      <c r="H361" s="115"/>
      <c r="I361" s="134"/>
      <c r="J361" s="115"/>
      <c r="K361" s="115"/>
    </row>
    <row r="362" spans="1:11" ht="15.75" x14ac:dyDescent="0.25">
      <c r="A362" s="105"/>
      <c r="B362" s="105"/>
      <c r="C362" s="93" t="str">
        <f t="shared" si="10"/>
        <v/>
      </c>
      <c r="D362" s="93" t="str">
        <f t="shared" si="11"/>
        <v/>
      </c>
      <c r="E362" s="115"/>
      <c r="F362" s="115"/>
      <c r="G362" s="115"/>
      <c r="H362" s="115"/>
      <c r="I362" s="134"/>
      <c r="J362" s="115"/>
      <c r="K362" s="115"/>
    </row>
    <row r="363" spans="1:11" ht="15.75" x14ac:dyDescent="0.25">
      <c r="A363" s="105"/>
      <c r="B363" s="105"/>
      <c r="C363" s="93" t="str">
        <f t="shared" si="10"/>
        <v/>
      </c>
      <c r="D363" s="93" t="str">
        <f t="shared" si="11"/>
        <v/>
      </c>
      <c r="E363" s="115"/>
      <c r="F363" s="115"/>
      <c r="G363" s="115"/>
      <c r="H363" s="115"/>
      <c r="I363" s="134"/>
      <c r="J363" s="115"/>
      <c r="K363" s="115"/>
    </row>
    <row r="364" spans="1:11" ht="15.75" x14ac:dyDescent="0.25">
      <c r="A364" s="105"/>
      <c r="B364" s="105"/>
      <c r="C364" s="93" t="str">
        <f t="shared" si="10"/>
        <v/>
      </c>
      <c r="D364" s="93" t="str">
        <f t="shared" si="11"/>
        <v/>
      </c>
      <c r="E364" s="115"/>
      <c r="F364" s="115"/>
      <c r="G364" s="115"/>
      <c r="H364" s="115"/>
      <c r="I364" s="134"/>
      <c r="J364" s="115"/>
      <c r="K364" s="115"/>
    </row>
    <row r="365" spans="1:11" ht="15.75" x14ac:dyDescent="0.25">
      <c r="A365" s="105"/>
      <c r="B365" s="105"/>
      <c r="C365" s="93" t="str">
        <f t="shared" si="10"/>
        <v/>
      </c>
      <c r="D365" s="93" t="str">
        <f t="shared" si="11"/>
        <v/>
      </c>
      <c r="E365" s="115"/>
      <c r="F365" s="115"/>
      <c r="G365" s="115"/>
      <c r="H365" s="115"/>
      <c r="I365" s="134"/>
      <c r="J365" s="115"/>
      <c r="K365" s="115"/>
    </row>
    <row r="366" spans="1:11" ht="15.75" x14ac:dyDescent="0.25">
      <c r="A366" s="105"/>
      <c r="B366" s="105"/>
      <c r="C366" s="93" t="str">
        <f t="shared" si="10"/>
        <v/>
      </c>
      <c r="D366" s="93" t="str">
        <f t="shared" si="11"/>
        <v/>
      </c>
      <c r="E366" s="115"/>
      <c r="F366" s="115"/>
      <c r="G366" s="115"/>
      <c r="H366" s="115"/>
      <c r="I366" s="134"/>
      <c r="J366" s="115"/>
      <c r="K366" s="115"/>
    </row>
    <row r="367" spans="1:11" ht="15.75" x14ac:dyDescent="0.25">
      <c r="A367" s="105"/>
      <c r="B367" s="105"/>
      <c r="C367" s="93" t="str">
        <f t="shared" si="10"/>
        <v/>
      </c>
      <c r="D367" s="93" t="str">
        <f t="shared" si="11"/>
        <v/>
      </c>
      <c r="E367" s="115"/>
      <c r="F367" s="115"/>
      <c r="G367" s="115"/>
      <c r="H367" s="115"/>
      <c r="I367" s="134"/>
      <c r="J367" s="115"/>
      <c r="K367" s="115"/>
    </row>
    <row r="368" spans="1:11" ht="15.75" x14ac:dyDescent="0.25">
      <c r="A368" s="105"/>
      <c r="B368" s="105"/>
      <c r="C368" s="93" t="str">
        <f t="shared" si="10"/>
        <v/>
      </c>
      <c r="D368" s="93" t="str">
        <f t="shared" si="11"/>
        <v/>
      </c>
      <c r="E368" s="115"/>
      <c r="F368" s="115"/>
      <c r="G368" s="115"/>
      <c r="H368" s="115"/>
      <c r="I368" s="134"/>
      <c r="J368" s="115"/>
      <c r="K368" s="115"/>
    </row>
    <row r="369" spans="1:11" ht="15.75" x14ac:dyDescent="0.25">
      <c r="A369" s="105"/>
      <c r="B369" s="105"/>
      <c r="C369" s="93" t="str">
        <f t="shared" si="10"/>
        <v/>
      </c>
      <c r="D369" s="93" t="str">
        <f t="shared" si="11"/>
        <v/>
      </c>
      <c r="E369" s="115"/>
      <c r="F369" s="115"/>
      <c r="G369" s="115"/>
      <c r="H369" s="115"/>
      <c r="I369" s="134"/>
      <c r="J369" s="115"/>
      <c r="K369" s="115"/>
    </row>
    <row r="370" spans="1:11" ht="15.75" x14ac:dyDescent="0.25">
      <c r="A370" s="105"/>
      <c r="B370" s="105"/>
      <c r="C370" s="93" t="str">
        <f t="shared" si="10"/>
        <v/>
      </c>
      <c r="D370" s="93" t="str">
        <f t="shared" si="11"/>
        <v/>
      </c>
      <c r="E370" s="115"/>
      <c r="F370" s="115"/>
      <c r="G370" s="115"/>
      <c r="H370" s="115"/>
      <c r="I370" s="134"/>
      <c r="J370" s="115"/>
      <c r="K370" s="115"/>
    </row>
    <row r="371" spans="1:11" ht="15.75" x14ac:dyDescent="0.25">
      <c r="A371" s="105"/>
      <c r="B371" s="105"/>
      <c r="C371" s="93" t="str">
        <f t="shared" si="10"/>
        <v/>
      </c>
      <c r="D371" s="93" t="str">
        <f t="shared" si="11"/>
        <v/>
      </c>
      <c r="E371" s="115"/>
      <c r="F371" s="115"/>
      <c r="G371" s="115"/>
      <c r="H371" s="115"/>
      <c r="I371" s="134"/>
      <c r="J371" s="115"/>
      <c r="K371" s="115"/>
    </row>
    <row r="372" spans="1:11" ht="15.75" x14ac:dyDescent="0.25">
      <c r="A372" s="105"/>
      <c r="B372" s="105"/>
      <c r="C372" s="93" t="str">
        <f t="shared" si="10"/>
        <v/>
      </c>
      <c r="D372" s="93" t="str">
        <f t="shared" si="11"/>
        <v/>
      </c>
      <c r="E372" s="115"/>
      <c r="F372" s="115"/>
      <c r="G372" s="115"/>
      <c r="H372" s="115"/>
      <c r="I372" s="134"/>
      <c r="J372" s="115"/>
      <c r="K372" s="115"/>
    </row>
    <row r="373" spans="1:11" ht="15.75" x14ac:dyDescent="0.25">
      <c r="A373" s="105"/>
      <c r="B373" s="105"/>
      <c r="C373" s="93" t="str">
        <f t="shared" si="10"/>
        <v/>
      </c>
      <c r="D373" s="93" t="str">
        <f t="shared" si="11"/>
        <v/>
      </c>
      <c r="E373" s="115"/>
      <c r="F373" s="115"/>
      <c r="G373" s="115"/>
      <c r="H373" s="115"/>
      <c r="I373" s="134"/>
      <c r="J373" s="115"/>
      <c r="K373" s="115"/>
    </row>
    <row r="374" spans="1:11" ht="15.75" x14ac:dyDescent="0.25">
      <c r="A374" s="105"/>
      <c r="B374" s="105"/>
      <c r="C374" s="93" t="str">
        <f t="shared" si="10"/>
        <v/>
      </c>
      <c r="D374" s="93" t="str">
        <f t="shared" si="11"/>
        <v/>
      </c>
      <c r="E374" s="115"/>
      <c r="F374" s="115"/>
      <c r="G374" s="115"/>
      <c r="H374" s="115"/>
      <c r="I374" s="134"/>
      <c r="J374" s="115"/>
      <c r="K374" s="115"/>
    </row>
    <row r="375" spans="1:11" ht="15.75" x14ac:dyDescent="0.25">
      <c r="A375" s="105"/>
      <c r="B375" s="105"/>
      <c r="C375" s="93" t="str">
        <f t="shared" si="10"/>
        <v/>
      </c>
      <c r="D375" s="93" t="str">
        <f t="shared" si="11"/>
        <v/>
      </c>
      <c r="E375" s="115"/>
      <c r="F375" s="115"/>
      <c r="G375" s="115"/>
      <c r="H375" s="115"/>
      <c r="I375" s="134"/>
      <c r="J375" s="115"/>
      <c r="K375" s="115"/>
    </row>
    <row r="376" spans="1:11" ht="15.75" x14ac:dyDescent="0.25">
      <c r="A376" s="105"/>
      <c r="B376" s="105"/>
      <c r="C376" s="93" t="str">
        <f t="shared" si="10"/>
        <v/>
      </c>
      <c r="D376" s="93" t="str">
        <f t="shared" si="11"/>
        <v/>
      </c>
      <c r="E376" s="115"/>
      <c r="F376" s="115"/>
      <c r="G376" s="115"/>
      <c r="H376" s="115"/>
      <c r="I376" s="134"/>
      <c r="J376" s="115"/>
      <c r="K376" s="115"/>
    </row>
    <row r="377" spans="1:11" ht="15.75" x14ac:dyDescent="0.25">
      <c r="A377" s="105"/>
      <c r="B377" s="105"/>
      <c r="C377" s="93" t="str">
        <f t="shared" si="10"/>
        <v/>
      </c>
      <c r="D377" s="93" t="str">
        <f t="shared" si="11"/>
        <v/>
      </c>
      <c r="E377" s="115"/>
      <c r="F377" s="115"/>
      <c r="G377" s="115"/>
      <c r="H377" s="115"/>
      <c r="I377" s="134"/>
      <c r="J377" s="115"/>
      <c r="K377" s="115"/>
    </row>
    <row r="378" spans="1:11" ht="15.75" x14ac:dyDescent="0.25">
      <c r="A378" s="105"/>
      <c r="B378" s="105"/>
      <c r="C378" s="93" t="str">
        <f t="shared" si="10"/>
        <v/>
      </c>
      <c r="D378" s="93" t="str">
        <f t="shared" si="11"/>
        <v/>
      </c>
      <c r="E378" s="115"/>
      <c r="F378" s="115"/>
      <c r="G378" s="115"/>
      <c r="H378" s="115"/>
      <c r="I378" s="134"/>
      <c r="J378" s="115"/>
      <c r="K378" s="115"/>
    </row>
    <row r="379" spans="1:11" ht="15.75" x14ac:dyDescent="0.25">
      <c r="A379" s="105"/>
      <c r="B379" s="105"/>
      <c r="C379" s="93" t="str">
        <f t="shared" si="10"/>
        <v/>
      </c>
      <c r="D379" s="93" t="str">
        <f t="shared" si="11"/>
        <v/>
      </c>
      <c r="E379" s="115"/>
      <c r="F379" s="115"/>
      <c r="G379" s="115"/>
      <c r="H379" s="115"/>
      <c r="I379" s="134"/>
      <c r="J379" s="115"/>
      <c r="K379" s="115"/>
    </row>
    <row r="380" spans="1:11" ht="15.75" x14ac:dyDescent="0.25">
      <c r="A380" s="105"/>
      <c r="B380" s="105"/>
      <c r="C380" s="93" t="str">
        <f t="shared" si="10"/>
        <v/>
      </c>
      <c r="D380" s="93" t="str">
        <f t="shared" si="11"/>
        <v/>
      </c>
      <c r="E380" s="115"/>
      <c r="F380" s="115"/>
      <c r="G380" s="115"/>
      <c r="H380" s="115"/>
      <c r="I380" s="134"/>
      <c r="J380" s="115"/>
      <c r="K380" s="115"/>
    </row>
    <row r="381" spans="1:11" ht="15.75" x14ac:dyDescent="0.25">
      <c r="A381" s="105"/>
      <c r="B381" s="105"/>
      <c r="C381" s="93" t="str">
        <f t="shared" si="10"/>
        <v/>
      </c>
      <c r="D381" s="93" t="str">
        <f t="shared" si="11"/>
        <v/>
      </c>
      <c r="E381" s="115"/>
      <c r="F381" s="115"/>
      <c r="G381" s="115"/>
      <c r="H381" s="115"/>
      <c r="I381" s="134"/>
      <c r="J381" s="115"/>
      <c r="K381" s="115"/>
    </row>
    <row r="382" spans="1:11" ht="15.75" x14ac:dyDescent="0.25">
      <c r="A382" s="105"/>
      <c r="B382" s="105"/>
      <c r="C382" s="93" t="str">
        <f t="shared" si="10"/>
        <v/>
      </c>
      <c r="D382" s="93" t="str">
        <f t="shared" si="11"/>
        <v/>
      </c>
      <c r="E382" s="115"/>
      <c r="F382" s="115"/>
      <c r="G382" s="115"/>
      <c r="H382" s="115"/>
      <c r="I382" s="134"/>
      <c r="J382" s="115"/>
      <c r="K382" s="115"/>
    </row>
    <row r="383" spans="1:11" ht="15.75" x14ac:dyDescent="0.25">
      <c r="A383" s="105"/>
      <c r="B383" s="105"/>
      <c r="C383" s="93" t="str">
        <f t="shared" si="10"/>
        <v/>
      </c>
      <c r="D383" s="93" t="str">
        <f t="shared" si="11"/>
        <v/>
      </c>
      <c r="E383" s="115"/>
      <c r="F383" s="115"/>
      <c r="G383" s="115"/>
      <c r="H383" s="115"/>
      <c r="I383" s="134"/>
      <c r="J383" s="115"/>
      <c r="K383" s="115"/>
    </row>
    <row r="384" spans="1:11" ht="15.75" x14ac:dyDescent="0.25">
      <c r="A384" s="105"/>
      <c r="B384" s="105"/>
      <c r="C384" s="93" t="str">
        <f t="shared" si="10"/>
        <v/>
      </c>
      <c r="D384" s="93" t="str">
        <f t="shared" si="11"/>
        <v/>
      </c>
      <c r="E384" s="115"/>
      <c r="F384" s="115"/>
      <c r="G384" s="115"/>
      <c r="H384" s="115"/>
      <c r="I384" s="134"/>
      <c r="J384" s="115"/>
      <c r="K384" s="115"/>
    </row>
    <row r="385" spans="1:11" ht="15.75" x14ac:dyDescent="0.25">
      <c r="A385" s="105"/>
      <c r="B385" s="105"/>
      <c r="C385" s="93" t="str">
        <f t="shared" si="10"/>
        <v/>
      </c>
      <c r="D385" s="93" t="str">
        <f t="shared" si="11"/>
        <v/>
      </c>
      <c r="E385" s="115"/>
      <c r="F385" s="115"/>
      <c r="G385" s="115"/>
      <c r="H385" s="115"/>
      <c r="I385" s="134"/>
      <c r="J385" s="115"/>
      <c r="K385" s="115"/>
    </row>
    <row r="386" spans="1:11" ht="15.75" x14ac:dyDescent="0.25">
      <c r="A386" s="105"/>
      <c r="B386" s="105"/>
      <c r="C386" s="93" t="str">
        <f t="shared" si="10"/>
        <v/>
      </c>
      <c r="D386" s="93" t="str">
        <f t="shared" si="11"/>
        <v/>
      </c>
      <c r="E386" s="115"/>
      <c r="F386" s="115"/>
      <c r="G386" s="115"/>
      <c r="H386" s="115"/>
      <c r="I386" s="134"/>
      <c r="J386" s="115"/>
      <c r="K386" s="115"/>
    </row>
    <row r="387" spans="1:11" ht="15.75" x14ac:dyDescent="0.25">
      <c r="A387" s="105"/>
      <c r="B387" s="105"/>
      <c r="C387" s="93" t="str">
        <f t="shared" si="10"/>
        <v/>
      </c>
      <c r="D387" s="93" t="str">
        <f t="shared" si="11"/>
        <v/>
      </c>
      <c r="E387" s="115"/>
      <c r="F387" s="115"/>
      <c r="G387" s="115"/>
      <c r="H387" s="115"/>
      <c r="I387" s="134"/>
      <c r="J387" s="115"/>
      <c r="K387" s="115"/>
    </row>
    <row r="388" spans="1:11" ht="15.75" x14ac:dyDescent="0.25">
      <c r="A388" s="105"/>
      <c r="B388" s="105"/>
      <c r="C388" s="93" t="str">
        <f t="shared" si="10"/>
        <v/>
      </c>
      <c r="D388" s="93" t="str">
        <f t="shared" si="11"/>
        <v/>
      </c>
      <c r="E388" s="115"/>
      <c r="F388" s="115"/>
      <c r="G388" s="115"/>
      <c r="H388" s="115"/>
      <c r="I388" s="134"/>
      <c r="J388" s="115"/>
      <c r="K388" s="115"/>
    </row>
    <row r="389" spans="1:11" ht="15.75" x14ac:dyDescent="0.25">
      <c r="A389" s="105"/>
      <c r="B389" s="105"/>
      <c r="C389" s="93" t="str">
        <f t="shared" si="10"/>
        <v/>
      </c>
      <c r="D389" s="93" t="str">
        <f t="shared" si="11"/>
        <v/>
      </c>
      <c r="E389" s="115"/>
      <c r="F389" s="115"/>
      <c r="G389" s="115"/>
      <c r="H389" s="115"/>
      <c r="I389" s="134"/>
      <c r="J389" s="115"/>
      <c r="K389" s="115"/>
    </row>
    <row r="390" spans="1:11" ht="15.75" x14ac:dyDescent="0.25">
      <c r="A390" s="105"/>
      <c r="B390" s="105"/>
      <c r="C390" s="93" t="str">
        <f t="shared" si="10"/>
        <v/>
      </c>
      <c r="D390" s="93" t="str">
        <f t="shared" si="11"/>
        <v/>
      </c>
      <c r="E390" s="115"/>
      <c r="F390" s="115"/>
      <c r="G390" s="115"/>
      <c r="H390" s="115"/>
      <c r="I390" s="134"/>
      <c r="J390" s="115"/>
      <c r="K390" s="115"/>
    </row>
    <row r="391" spans="1:11" ht="15.75" x14ac:dyDescent="0.25">
      <c r="A391" s="105"/>
      <c r="B391" s="105"/>
      <c r="C391" s="93" t="str">
        <f t="shared" si="10"/>
        <v/>
      </c>
      <c r="D391" s="93" t="str">
        <f t="shared" si="11"/>
        <v/>
      </c>
      <c r="E391" s="115"/>
      <c r="F391" s="115"/>
      <c r="G391" s="115"/>
      <c r="H391" s="115"/>
      <c r="I391" s="134"/>
      <c r="J391" s="115"/>
      <c r="K391" s="115"/>
    </row>
    <row r="392" spans="1:11" ht="15.75" x14ac:dyDescent="0.25">
      <c r="A392" s="105"/>
      <c r="B392" s="105"/>
      <c r="C392" s="93" t="str">
        <f t="shared" si="10"/>
        <v/>
      </c>
      <c r="D392" s="93" t="str">
        <f t="shared" si="11"/>
        <v/>
      </c>
      <c r="E392" s="115"/>
      <c r="F392" s="115"/>
      <c r="G392" s="115"/>
      <c r="H392" s="115"/>
      <c r="I392" s="134"/>
      <c r="J392" s="115"/>
      <c r="K392" s="115"/>
    </row>
    <row r="393" spans="1:11" ht="15.75" x14ac:dyDescent="0.25">
      <c r="A393" s="105"/>
      <c r="B393" s="105"/>
      <c r="C393" s="93" t="str">
        <f t="shared" si="10"/>
        <v/>
      </c>
      <c r="D393" s="93" t="str">
        <f t="shared" si="11"/>
        <v/>
      </c>
      <c r="E393" s="115"/>
      <c r="F393" s="115"/>
      <c r="G393" s="115"/>
      <c r="H393" s="115"/>
      <c r="I393" s="134"/>
      <c r="J393" s="115"/>
      <c r="K393" s="115"/>
    </row>
    <row r="394" spans="1:11" ht="15.75" x14ac:dyDescent="0.25">
      <c r="A394" s="105"/>
      <c r="B394" s="105"/>
      <c r="C394" s="93" t="str">
        <f t="shared" si="10"/>
        <v/>
      </c>
      <c r="D394" s="93" t="str">
        <f t="shared" si="11"/>
        <v/>
      </c>
      <c r="E394" s="115"/>
      <c r="F394" s="115"/>
      <c r="G394" s="115"/>
      <c r="H394" s="115"/>
      <c r="I394" s="134"/>
      <c r="J394" s="115"/>
      <c r="K394" s="115"/>
    </row>
    <row r="395" spans="1:11" ht="15.75" x14ac:dyDescent="0.25">
      <c r="A395" s="105"/>
      <c r="B395" s="105"/>
      <c r="C395" s="93" t="str">
        <f t="shared" si="10"/>
        <v/>
      </c>
      <c r="D395" s="93" t="str">
        <f t="shared" si="11"/>
        <v/>
      </c>
      <c r="E395" s="115"/>
      <c r="F395" s="115"/>
      <c r="G395" s="115"/>
      <c r="H395" s="115"/>
      <c r="I395" s="134"/>
      <c r="J395" s="115"/>
      <c r="K395" s="115"/>
    </row>
    <row r="396" spans="1:11" ht="15.75" x14ac:dyDescent="0.25">
      <c r="A396" s="105"/>
      <c r="B396" s="105"/>
      <c r="C396" s="93" t="str">
        <f t="shared" si="10"/>
        <v/>
      </c>
      <c r="D396" s="93" t="str">
        <f t="shared" si="11"/>
        <v/>
      </c>
      <c r="E396" s="115"/>
      <c r="F396" s="115"/>
      <c r="G396" s="115"/>
      <c r="H396" s="115"/>
      <c r="I396" s="134"/>
      <c r="J396" s="115"/>
      <c r="K396" s="115"/>
    </row>
    <row r="397" spans="1:11" ht="15.75" x14ac:dyDescent="0.25">
      <c r="A397" s="105"/>
      <c r="B397" s="105"/>
      <c r="C397" s="93" t="str">
        <f t="shared" si="10"/>
        <v/>
      </c>
      <c r="D397" s="93" t="str">
        <f t="shared" si="11"/>
        <v/>
      </c>
      <c r="E397" s="115"/>
      <c r="F397" s="115"/>
      <c r="G397" s="115"/>
      <c r="H397" s="115"/>
      <c r="I397" s="134"/>
      <c r="J397" s="115"/>
      <c r="K397" s="115"/>
    </row>
    <row r="398" spans="1:11" ht="15.75" x14ac:dyDescent="0.25">
      <c r="A398" s="105"/>
      <c r="B398" s="105"/>
      <c r="C398" s="93" t="str">
        <f t="shared" si="10"/>
        <v/>
      </c>
      <c r="D398" s="93" t="str">
        <f t="shared" si="11"/>
        <v/>
      </c>
      <c r="E398" s="115"/>
      <c r="F398" s="115"/>
      <c r="G398" s="115"/>
      <c r="H398" s="115"/>
      <c r="I398" s="134"/>
      <c r="J398" s="115"/>
      <c r="K398" s="115"/>
    </row>
    <row r="399" spans="1:11" ht="15.75" x14ac:dyDescent="0.25">
      <c r="A399" s="105"/>
      <c r="B399" s="105"/>
      <c r="C399" s="93" t="str">
        <f t="shared" si="10"/>
        <v/>
      </c>
      <c r="D399" s="93" t="str">
        <f t="shared" si="11"/>
        <v/>
      </c>
      <c r="E399" s="115"/>
      <c r="F399" s="115"/>
      <c r="G399" s="115"/>
      <c r="H399" s="115"/>
      <c r="I399" s="134"/>
      <c r="J399" s="115"/>
      <c r="K399" s="115"/>
    </row>
    <row r="400" spans="1:11" ht="15.75" x14ac:dyDescent="0.25">
      <c r="A400" s="105"/>
      <c r="B400" s="105"/>
      <c r="C400" s="93" t="str">
        <f t="shared" si="10"/>
        <v/>
      </c>
      <c r="D400" s="93" t="str">
        <f t="shared" si="11"/>
        <v/>
      </c>
      <c r="E400" s="115"/>
      <c r="F400" s="115"/>
      <c r="G400" s="115"/>
      <c r="H400" s="115"/>
      <c r="I400" s="134"/>
      <c r="J400" s="115"/>
      <c r="K400" s="115"/>
    </row>
    <row r="401" spans="1:11" ht="15.75" x14ac:dyDescent="0.25">
      <c r="A401" s="105"/>
      <c r="B401" s="105"/>
      <c r="C401" s="93" t="str">
        <f t="shared" si="10"/>
        <v/>
      </c>
      <c r="D401" s="93" t="str">
        <f t="shared" si="11"/>
        <v/>
      </c>
      <c r="E401" s="115"/>
      <c r="F401" s="115"/>
      <c r="G401" s="115"/>
      <c r="H401" s="115"/>
      <c r="I401" s="134"/>
      <c r="J401" s="115"/>
      <c r="K401" s="115"/>
    </row>
    <row r="402" spans="1:11" ht="15.75" x14ac:dyDescent="0.25">
      <c r="A402" s="105"/>
      <c r="B402" s="105"/>
      <c r="C402" s="93" t="str">
        <f t="shared" si="10"/>
        <v/>
      </c>
      <c r="D402" s="93" t="str">
        <f t="shared" si="11"/>
        <v/>
      </c>
      <c r="E402" s="115"/>
      <c r="F402" s="115"/>
      <c r="G402" s="115"/>
      <c r="H402" s="115"/>
      <c r="I402" s="134"/>
      <c r="J402" s="115"/>
      <c r="K402" s="115"/>
    </row>
    <row r="403" spans="1:11" ht="15.75" x14ac:dyDescent="0.25">
      <c r="A403" s="105"/>
      <c r="B403" s="105"/>
      <c r="C403" s="93" t="str">
        <f t="shared" si="10"/>
        <v/>
      </c>
      <c r="D403" s="93" t="str">
        <f t="shared" si="11"/>
        <v/>
      </c>
      <c r="E403" s="115"/>
      <c r="F403" s="115"/>
      <c r="G403" s="115"/>
      <c r="H403" s="115"/>
      <c r="I403" s="134"/>
      <c r="J403" s="115"/>
      <c r="K403" s="115"/>
    </row>
    <row r="404" spans="1:11" ht="15.75" x14ac:dyDescent="0.25">
      <c r="A404" s="105"/>
      <c r="B404" s="105"/>
      <c r="C404" s="93" t="str">
        <f t="shared" ref="C404:C467" si="12">IF(A404=0,"",VLOOKUP(B404,MatDB,2,FALSE))</f>
        <v/>
      </c>
      <c r="D404" s="93" t="str">
        <f t="shared" si="11"/>
        <v/>
      </c>
      <c r="E404" s="115"/>
      <c r="F404" s="115"/>
      <c r="G404" s="115"/>
      <c r="H404" s="115"/>
      <c r="I404" s="134"/>
      <c r="J404" s="115"/>
      <c r="K404" s="115"/>
    </row>
    <row r="405" spans="1:11" ht="15.75" x14ac:dyDescent="0.25">
      <c r="A405" s="105"/>
      <c r="B405" s="105"/>
      <c r="C405" s="93" t="str">
        <f t="shared" si="12"/>
        <v/>
      </c>
      <c r="D405" s="93" t="str">
        <f t="shared" ref="D405:D468" si="13">IF(A405=0,"","Steel02")</f>
        <v/>
      </c>
      <c r="E405" s="115"/>
      <c r="F405" s="115"/>
      <c r="G405" s="115"/>
      <c r="H405" s="115"/>
      <c r="I405" s="134"/>
      <c r="J405" s="115"/>
      <c r="K405" s="115"/>
    </row>
    <row r="406" spans="1:11" ht="15.75" x14ac:dyDescent="0.25">
      <c r="A406" s="105"/>
      <c r="B406" s="105"/>
      <c r="C406" s="93" t="str">
        <f t="shared" si="12"/>
        <v/>
      </c>
      <c r="D406" s="93" t="str">
        <f t="shared" si="13"/>
        <v/>
      </c>
      <c r="E406" s="115"/>
      <c r="F406" s="115"/>
      <c r="G406" s="115"/>
      <c r="H406" s="115"/>
      <c r="I406" s="134"/>
      <c r="J406" s="115"/>
      <c r="K406" s="115"/>
    </row>
    <row r="407" spans="1:11" ht="15.75" x14ac:dyDescent="0.25">
      <c r="A407" s="105"/>
      <c r="B407" s="105"/>
      <c r="C407" s="93" t="str">
        <f t="shared" si="12"/>
        <v/>
      </c>
      <c r="D407" s="93" t="str">
        <f t="shared" si="13"/>
        <v/>
      </c>
      <c r="E407" s="115"/>
      <c r="F407" s="115"/>
      <c r="G407" s="115"/>
      <c r="H407" s="115"/>
      <c r="I407" s="134"/>
      <c r="J407" s="115"/>
      <c r="K407" s="115"/>
    </row>
    <row r="408" spans="1:11" ht="15.75" x14ac:dyDescent="0.25">
      <c r="A408" s="105"/>
      <c r="B408" s="105"/>
      <c r="C408" s="93" t="str">
        <f t="shared" si="12"/>
        <v/>
      </c>
      <c r="D408" s="93" t="str">
        <f t="shared" si="13"/>
        <v/>
      </c>
      <c r="E408" s="115"/>
      <c r="F408" s="115"/>
      <c r="G408" s="115"/>
      <c r="H408" s="115"/>
      <c r="I408" s="134"/>
      <c r="J408" s="115"/>
      <c r="K408" s="115"/>
    </row>
    <row r="409" spans="1:11" ht="15.75" x14ac:dyDescent="0.25">
      <c r="A409" s="105"/>
      <c r="B409" s="105"/>
      <c r="C409" s="93" t="str">
        <f t="shared" si="12"/>
        <v/>
      </c>
      <c r="D409" s="93" t="str">
        <f t="shared" si="13"/>
        <v/>
      </c>
      <c r="E409" s="115"/>
      <c r="F409" s="115"/>
      <c r="G409" s="115"/>
      <c r="H409" s="115"/>
      <c r="I409" s="134"/>
      <c r="J409" s="115"/>
      <c r="K409" s="115"/>
    </row>
    <row r="410" spans="1:11" ht="15.75" x14ac:dyDescent="0.25">
      <c r="A410" s="105"/>
      <c r="B410" s="105"/>
      <c r="C410" s="93" t="str">
        <f t="shared" si="12"/>
        <v/>
      </c>
      <c r="D410" s="93" t="str">
        <f t="shared" si="13"/>
        <v/>
      </c>
      <c r="E410" s="115"/>
      <c r="F410" s="115"/>
      <c r="G410" s="115"/>
      <c r="H410" s="115"/>
      <c r="I410" s="134"/>
      <c r="J410" s="115"/>
      <c r="K410" s="115"/>
    </row>
    <row r="411" spans="1:11" ht="15.75" x14ac:dyDescent="0.25">
      <c r="A411" s="105"/>
      <c r="B411" s="105"/>
      <c r="C411" s="93" t="str">
        <f t="shared" si="12"/>
        <v/>
      </c>
      <c r="D411" s="93" t="str">
        <f t="shared" si="13"/>
        <v/>
      </c>
      <c r="E411" s="115"/>
      <c r="F411" s="115"/>
      <c r="G411" s="115"/>
      <c r="H411" s="115"/>
      <c r="I411" s="134"/>
      <c r="J411" s="115"/>
      <c r="K411" s="115"/>
    </row>
    <row r="412" spans="1:11" ht="15.75" x14ac:dyDescent="0.25">
      <c r="A412" s="105"/>
      <c r="B412" s="105"/>
      <c r="C412" s="93" t="str">
        <f t="shared" si="12"/>
        <v/>
      </c>
      <c r="D412" s="93" t="str">
        <f t="shared" si="13"/>
        <v/>
      </c>
      <c r="E412" s="115"/>
      <c r="F412" s="115"/>
      <c r="G412" s="115"/>
      <c r="H412" s="115"/>
      <c r="I412" s="134"/>
      <c r="J412" s="115"/>
      <c r="K412" s="115"/>
    </row>
    <row r="413" spans="1:11" ht="15.75" x14ac:dyDescent="0.25">
      <c r="A413" s="105"/>
      <c r="B413" s="105"/>
      <c r="C413" s="93" t="str">
        <f t="shared" si="12"/>
        <v/>
      </c>
      <c r="D413" s="93" t="str">
        <f t="shared" si="13"/>
        <v/>
      </c>
      <c r="E413" s="115"/>
      <c r="F413" s="115"/>
      <c r="G413" s="115"/>
      <c r="H413" s="115"/>
      <c r="I413" s="134"/>
      <c r="J413" s="115"/>
      <c r="K413" s="115"/>
    </row>
    <row r="414" spans="1:11" ht="15.75" x14ac:dyDescent="0.25">
      <c r="A414" s="105"/>
      <c r="B414" s="105"/>
      <c r="C414" s="93" t="str">
        <f t="shared" si="12"/>
        <v/>
      </c>
      <c r="D414" s="93" t="str">
        <f t="shared" si="13"/>
        <v/>
      </c>
      <c r="E414" s="115"/>
      <c r="F414" s="115"/>
      <c r="G414" s="115"/>
      <c r="H414" s="115"/>
      <c r="I414" s="134"/>
      <c r="J414" s="115"/>
      <c r="K414" s="115"/>
    </row>
    <row r="415" spans="1:11" ht="15.75" x14ac:dyDescent="0.25">
      <c r="A415" s="105"/>
      <c r="B415" s="105"/>
      <c r="C415" s="93" t="str">
        <f t="shared" si="12"/>
        <v/>
      </c>
      <c r="D415" s="93" t="str">
        <f t="shared" si="13"/>
        <v/>
      </c>
      <c r="E415" s="115"/>
      <c r="F415" s="115"/>
      <c r="G415" s="115"/>
      <c r="H415" s="115"/>
      <c r="I415" s="134"/>
      <c r="J415" s="115"/>
      <c r="K415" s="115"/>
    </row>
    <row r="416" spans="1:11" ht="15.75" x14ac:dyDescent="0.25">
      <c r="A416" s="105"/>
      <c r="B416" s="105"/>
      <c r="C416" s="93" t="str">
        <f t="shared" si="12"/>
        <v/>
      </c>
      <c r="D416" s="93" t="str">
        <f t="shared" si="13"/>
        <v/>
      </c>
      <c r="E416" s="115"/>
      <c r="F416" s="115"/>
      <c r="G416" s="115"/>
      <c r="H416" s="115"/>
      <c r="I416" s="134"/>
      <c r="J416" s="115"/>
      <c r="K416" s="115"/>
    </row>
    <row r="417" spans="1:11" ht="15.75" x14ac:dyDescent="0.25">
      <c r="A417" s="105"/>
      <c r="B417" s="105"/>
      <c r="C417" s="93" t="str">
        <f t="shared" si="12"/>
        <v/>
      </c>
      <c r="D417" s="93" t="str">
        <f t="shared" si="13"/>
        <v/>
      </c>
      <c r="E417" s="115"/>
      <c r="F417" s="115"/>
      <c r="G417" s="115"/>
      <c r="H417" s="115"/>
      <c r="I417" s="134"/>
      <c r="J417" s="115"/>
      <c r="K417" s="115"/>
    </row>
    <row r="418" spans="1:11" ht="15.75" x14ac:dyDescent="0.25">
      <c r="A418" s="105"/>
      <c r="B418" s="105"/>
      <c r="C418" s="93" t="str">
        <f t="shared" si="12"/>
        <v/>
      </c>
      <c r="D418" s="93" t="str">
        <f t="shared" si="13"/>
        <v/>
      </c>
      <c r="E418" s="115"/>
      <c r="F418" s="115"/>
      <c r="G418" s="115"/>
      <c r="H418" s="115"/>
      <c r="I418" s="134"/>
      <c r="J418" s="115"/>
      <c r="K418" s="115"/>
    </row>
    <row r="419" spans="1:11" ht="15.75" x14ac:dyDescent="0.25">
      <c r="A419" s="105"/>
      <c r="B419" s="105"/>
      <c r="C419" s="93" t="str">
        <f t="shared" si="12"/>
        <v/>
      </c>
      <c r="D419" s="93" t="str">
        <f t="shared" si="13"/>
        <v/>
      </c>
      <c r="E419" s="115"/>
      <c r="F419" s="115"/>
      <c r="G419" s="115"/>
      <c r="H419" s="115"/>
      <c r="I419" s="134"/>
      <c r="J419" s="115"/>
      <c r="K419" s="115"/>
    </row>
    <row r="420" spans="1:11" ht="15.75" x14ac:dyDescent="0.25">
      <c r="A420" s="105"/>
      <c r="B420" s="105"/>
      <c r="C420" s="93" t="str">
        <f t="shared" si="12"/>
        <v/>
      </c>
      <c r="D420" s="93" t="str">
        <f t="shared" si="13"/>
        <v/>
      </c>
      <c r="E420" s="115"/>
      <c r="F420" s="115"/>
      <c r="G420" s="115"/>
      <c r="H420" s="115"/>
      <c r="I420" s="134"/>
      <c r="J420" s="115"/>
      <c r="K420" s="115"/>
    </row>
    <row r="421" spans="1:11" ht="15.75" x14ac:dyDescent="0.25">
      <c r="A421" s="105"/>
      <c r="B421" s="105"/>
      <c r="C421" s="93" t="str">
        <f t="shared" si="12"/>
        <v/>
      </c>
      <c r="D421" s="93" t="str">
        <f t="shared" si="13"/>
        <v/>
      </c>
      <c r="E421" s="115"/>
      <c r="F421" s="115"/>
      <c r="G421" s="115"/>
      <c r="H421" s="115"/>
      <c r="I421" s="134"/>
      <c r="J421" s="115"/>
      <c r="K421" s="115"/>
    </row>
    <row r="422" spans="1:11" ht="15.75" x14ac:dyDescent="0.25">
      <c r="A422" s="105"/>
      <c r="B422" s="105"/>
      <c r="C422" s="93" t="str">
        <f t="shared" si="12"/>
        <v/>
      </c>
      <c r="D422" s="93" t="str">
        <f t="shared" si="13"/>
        <v/>
      </c>
      <c r="E422" s="115"/>
      <c r="F422" s="115"/>
      <c r="G422" s="115"/>
      <c r="H422" s="115"/>
      <c r="I422" s="134"/>
      <c r="J422" s="115"/>
      <c r="K422" s="115"/>
    </row>
    <row r="423" spans="1:11" ht="15.75" x14ac:dyDescent="0.25">
      <c r="A423" s="105"/>
      <c r="B423" s="105"/>
      <c r="C423" s="93" t="str">
        <f t="shared" si="12"/>
        <v/>
      </c>
      <c r="D423" s="93" t="str">
        <f t="shared" si="13"/>
        <v/>
      </c>
      <c r="E423" s="115"/>
      <c r="F423" s="115"/>
      <c r="G423" s="115"/>
      <c r="H423" s="115"/>
      <c r="I423" s="134"/>
      <c r="J423" s="115"/>
      <c r="K423" s="115"/>
    </row>
    <row r="424" spans="1:11" ht="15.75" x14ac:dyDescent="0.25">
      <c r="A424" s="105"/>
      <c r="B424" s="105"/>
      <c r="C424" s="93" t="str">
        <f t="shared" si="12"/>
        <v/>
      </c>
      <c r="D424" s="93" t="str">
        <f t="shared" si="13"/>
        <v/>
      </c>
      <c r="E424" s="115"/>
      <c r="F424" s="115"/>
      <c r="G424" s="115"/>
      <c r="H424" s="115"/>
      <c r="I424" s="134"/>
      <c r="J424" s="115"/>
      <c r="K424" s="115"/>
    </row>
    <row r="425" spans="1:11" ht="15.75" x14ac:dyDescent="0.25">
      <c r="A425" s="105"/>
      <c r="B425" s="105"/>
      <c r="C425" s="93" t="str">
        <f t="shared" si="12"/>
        <v/>
      </c>
      <c r="D425" s="93" t="str">
        <f t="shared" si="13"/>
        <v/>
      </c>
      <c r="E425" s="115"/>
      <c r="F425" s="115"/>
      <c r="G425" s="115"/>
      <c r="H425" s="115"/>
      <c r="I425" s="134"/>
      <c r="J425" s="115"/>
      <c r="K425" s="115"/>
    </row>
    <row r="426" spans="1:11" ht="15.75" x14ac:dyDescent="0.25">
      <c r="A426" s="105"/>
      <c r="B426" s="105"/>
      <c r="C426" s="93" t="str">
        <f t="shared" si="12"/>
        <v/>
      </c>
      <c r="D426" s="93" t="str">
        <f t="shared" si="13"/>
        <v/>
      </c>
      <c r="E426" s="115"/>
      <c r="F426" s="115"/>
      <c r="G426" s="115"/>
      <c r="H426" s="115"/>
      <c r="I426" s="134"/>
      <c r="J426" s="115"/>
      <c r="K426" s="115"/>
    </row>
    <row r="427" spans="1:11" ht="15.75" x14ac:dyDescent="0.25">
      <c r="A427" s="105"/>
      <c r="B427" s="105"/>
      <c r="C427" s="93" t="str">
        <f t="shared" si="12"/>
        <v/>
      </c>
      <c r="D427" s="93" t="str">
        <f t="shared" si="13"/>
        <v/>
      </c>
      <c r="E427" s="115"/>
      <c r="F427" s="115"/>
      <c r="G427" s="115"/>
      <c r="H427" s="115"/>
      <c r="I427" s="134"/>
      <c r="J427" s="115"/>
      <c r="K427" s="115"/>
    </row>
    <row r="428" spans="1:11" ht="15.75" x14ac:dyDescent="0.25">
      <c r="A428" s="105"/>
      <c r="B428" s="105"/>
      <c r="C428" s="93" t="str">
        <f t="shared" si="12"/>
        <v/>
      </c>
      <c r="D428" s="93" t="str">
        <f t="shared" si="13"/>
        <v/>
      </c>
      <c r="E428" s="115"/>
      <c r="F428" s="115"/>
      <c r="G428" s="115"/>
      <c r="H428" s="115"/>
      <c r="I428" s="134"/>
      <c r="J428" s="115"/>
      <c r="K428" s="115"/>
    </row>
    <row r="429" spans="1:11" ht="15.75" x14ac:dyDescent="0.25">
      <c r="A429" s="105"/>
      <c r="B429" s="105"/>
      <c r="C429" s="93" t="str">
        <f t="shared" si="12"/>
        <v/>
      </c>
      <c r="D429" s="93" t="str">
        <f t="shared" si="13"/>
        <v/>
      </c>
      <c r="E429" s="115"/>
      <c r="F429" s="115"/>
      <c r="G429" s="115"/>
      <c r="H429" s="115"/>
      <c r="I429" s="134"/>
      <c r="J429" s="115"/>
      <c r="K429" s="115"/>
    </row>
    <row r="430" spans="1:11" ht="15.75" x14ac:dyDescent="0.25">
      <c r="A430" s="105"/>
      <c r="B430" s="105"/>
      <c r="C430" s="93" t="str">
        <f t="shared" si="12"/>
        <v/>
      </c>
      <c r="D430" s="93" t="str">
        <f t="shared" si="13"/>
        <v/>
      </c>
      <c r="E430" s="115"/>
      <c r="F430" s="115"/>
      <c r="G430" s="115"/>
      <c r="H430" s="115"/>
      <c r="I430" s="134"/>
      <c r="J430" s="115"/>
      <c r="K430" s="115"/>
    </row>
    <row r="431" spans="1:11" ht="15.75" x14ac:dyDescent="0.25">
      <c r="A431" s="105"/>
      <c r="B431" s="105"/>
      <c r="C431" s="93" t="str">
        <f t="shared" si="12"/>
        <v/>
      </c>
      <c r="D431" s="93" t="str">
        <f t="shared" si="13"/>
        <v/>
      </c>
      <c r="E431" s="115"/>
      <c r="F431" s="115"/>
      <c r="G431" s="115"/>
      <c r="H431" s="115"/>
      <c r="I431" s="134"/>
      <c r="J431" s="115"/>
      <c r="K431" s="115"/>
    </row>
    <row r="432" spans="1:11" ht="15.75" x14ac:dyDescent="0.25">
      <c r="A432" s="105"/>
      <c r="B432" s="105"/>
      <c r="C432" s="93" t="str">
        <f t="shared" si="12"/>
        <v/>
      </c>
      <c r="D432" s="93" t="str">
        <f t="shared" si="13"/>
        <v/>
      </c>
      <c r="E432" s="115"/>
      <c r="F432" s="115"/>
      <c r="G432" s="115"/>
      <c r="H432" s="115"/>
      <c r="I432" s="134"/>
      <c r="J432" s="115"/>
      <c r="K432" s="115"/>
    </row>
    <row r="433" spans="1:11" ht="15.75" x14ac:dyDescent="0.25">
      <c r="A433" s="105"/>
      <c r="B433" s="105"/>
      <c r="C433" s="93" t="str">
        <f t="shared" si="12"/>
        <v/>
      </c>
      <c r="D433" s="93" t="str">
        <f t="shared" si="13"/>
        <v/>
      </c>
      <c r="E433" s="115"/>
      <c r="F433" s="115"/>
      <c r="G433" s="115"/>
      <c r="H433" s="115"/>
      <c r="I433" s="134"/>
      <c r="J433" s="115"/>
      <c r="K433" s="115"/>
    </row>
    <row r="434" spans="1:11" ht="15.75" x14ac:dyDescent="0.25">
      <c r="A434" s="105"/>
      <c r="B434" s="105"/>
      <c r="C434" s="93" t="str">
        <f t="shared" si="12"/>
        <v/>
      </c>
      <c r="D434" s="93" t="str">
        <f t="shared" si="13"/>
        <v/>
      </c>
      <c r="E434" s="115"/>
      <c r="F434" s="115"/>
      <c r="G434" s="115"/>
      <c r="H434" s="115"/>
      <c r="I434" s="134"/>
      <c r="J434" s="115"/>
      <c r="K434" s="115"/>
    </row>
    <row r="435" spans="1:11" ht="15.75" x14ac:dyDescent="0.25">
      <c r="A435" s="105"/>
      <c r="B435" s="105"/>
      <c r="C435" s="93" t="str">
        <f t="shared" si="12"/>
        <v/>
      </c>
      <c r="D435" s="93" t="str">
        <f t="shared" si="13"/>
        <v/>
      </c>
      <c r="E435" s="115"/>
      <c r="F435" s="115"/>
      <c r="G435" s="115"/>
      <c r="H435" s="115"/>
      <c r="I435" s="134"/>
      <c r="J435" s="115"/>
      <c r="K435" s="115"/>
    </row>
    <row r="436" spans="1:11" ht="15.75" x14ac:dyDescent="0.25">
      <c r="A436" s="105"/>
      <c r="B436" s="105"/>
      <c r="C436" s="93" t="str">
        <f t="shared" si="12"/>
        <v/>
      </c>
      <c r="D436" s="93" t="str">
        <f t="shared" si="13"/>
        <v/>
      </c>
      <c r="E436" s="115"/>
      <c r="F436" s="115"/>
      <c r="G436" s="115"/>
      <c r="H436" s="115"/>
      <c r="I436" s="134"/>
      <c r="J436" s="115"/>
      <c r="K436" s="115"/>
    </row>
    <row r="437" spans="1:11" ht="15.75" x14ac:dyDescent="0.25">
      <c r="A437" s="105"/>
      <c r="B437" s="105"/>
      <c r="C437" s="93" t="str">
        <f t="shared" si="12"/>
        <v/>
      </c>
      <c r="D437" s="93" t="str">
        <f t="shared" si="13"/>
        <v/>
      </c>
      <c r="E437" s="115"/>
      <c r="F437" s="115"/>
      <c r="G437" s="115"/>
      <c r="H437" s="115"/>
      <c r="I437" s="134"/>
      <c r="J437" s="115"/>
      <c r="K437" s="115"/>
    </row>
    <row r="438" spans="1:11" ht="15.75" x14ac:dyDescent="0.25">
      <c r="A438" s="105"/>
      <c r="B438" s="105"/>
      <c r="C438" s="93" t="str">
        <f t="shared" si="12"/>
        <v/>
      </c>
      <c r="D438" s="93" t="str">
        <f t="shared" si="13"/>
        <v/>
      </c>
      <c r="E438" s="115"/>
      <c r="F438" s="115"/>
      <c r="G438" s="115"/>
      <c r="H438" s="115"/>
      <c r="I438" s="134"/>
      <c r="J438" s="115"/>
      <c r="K438" s="115"/>
    </row>
    <row r="439" spans="1:11" ht="15.75" x14ac:dyDescent="0.25">
      <c r="A439" s="105"/>
      <c r="B439" s="105"/>
      <c r="C439" s="93" t="str">
        <f t="shared" si="12"/>
        <v/>
      </c>
      <c r="D439" s="93" t="str">
        <f t="shared" si="13"/>
        <v/>
      </c>
      <c r="E439" s="115"/>
      <c r="F439" s="115"/>
      <c r="G439" s="115"/>
      <c r="H439" s="115"/>
      <c r="I439" s="134"/>
      <c r="J439" s="115"/>
      <c r="K439" s="115"/>
    </row>
    <row r="440" spans="1:11" ht="15.75" x14ac:dyDescent="0.25">
      <c r="A440" s="105"/>
      <c r="B440" s="105"/>
      <c r="C440" s="93" t="str">
        <f t="shared" si="12"/>
        <v/>
      </c>
      <c r="D440" s="93" t="str">
        <f t="shared" si="13"/>
        <v/>
      </c>
      <c r="E440" s="115"/>
      <c r="F440" s="115"/>
      <c r="G440" s="115"/>
      <c r="H440" s="115"/>
      <c r="I440" s="134"/>
      <c r="J440" s="115"/>
      <c r="K440" s="115"/>
    </row>
    <row r="441" spans="1:11" ht="15.75" x14ac:dyDescent="0.25">
      <c r="A441" s="105"/>
      <c r="B441" s="105"/>
      <c r="C441" s="93" t="str">
        <f t="shared" si="12"/>
        <v/>
      </c>
      <c r="D441" s="93" t="str">
        <f t="shared" si="13"/>
        <v/>
      </c>
      <c r="E441" s="115"/>
      <c r="F441" s="115"/>
      <c r="G441" s="115"/>
      <c r="H441" s="115"/>
      <c r="I441" s="134"/>
      <c r="J441" s="115"/>
      <c r="K441" s="115"/>
    </row>
    <row r="442" spans="1:11" ht="15.75" x14ac:dyDescent="0.25">
      <c r="A442" s="105"/>
      <c r="B442" s="105"/>
      <c r="C442" s="93" t="str">
        <f t="shared" si="12"/>
        <v/>
      </c>
      <c r="D442" s="93" t="str">
        <f t="shared" si="13"/>
        <v/>
      </c>
      <c r="E442" s="115"/>
      <c r="F442" s="115"/>
      <c r="G442" s="115"/>
      <c r="H442" s="115"/>
      <c r="I442" s="134"/>
      <c r="J442" s="115"/>
      <c r="K442" s="115"/>
    </row>
    <row r="443" spans="1:11" ht="15.75" x14ac:dyDescent="0.25">
      <c r="A443" s="105"/>
      <c r="B443" s="105"/>
      <c r="C443" s="93" t="str">
        <f t="shared" si="12"/>
        <v/>
      </c>
      <c r="D443" s="93" t="str">
        <f t="shared" si="13"/>
        <v/>
      </c>
      <c r="E443" s="115"/>
      <c r="F443" s="115"/>
      <c r="G443" s="115"/>
      <c r="H443" s="115"/>
      <c r="I443" s="134"/>
      <c r="J443" s="115"/>
      <c r="K443" s="115"/>
    </row>
    <row r="444" spans="1:11" ht="15.75" x14ac:dyDescent="0.25">
      <c r="A444" s="105"/>
      <c r="B444" s="105"/>
      <c r="C444" s="93" t="str">
        <f t="shared" si="12"/>
        <v/>
      </c>
      <c r="D444" s="93" t="str">
        <f t="shared" si="13"/>
        <v/>
      </c>
      <c r="E444" s="115"/>
      <c r="F444" s="115"/>
      <c r="G444" s="115"/>
      <c r="H444" s="115"/>
      <c r="I444" s="134"/>
      <c r="J444" s="115"/>
      <c r="K444" s="115"/>
    </row>
    <row r="445" spans="1:11" ht="15.75" x14ac:dyDescent="0.25">
      <c r="A445" s="105"/>
      <c r="B445" s="105"/>
      <c r="C445" s="93" t="str">
        <f t="shared" si="12"/>
        <v/>
      </c>
      <c r="D445" s="93" t="str">
        <f t="shared" si="13"/>
        <v/>
      </c>
      <c r="E445" s="115"/>
      <c r="F445" s="115"/>
      <c r="G445" s="115"/>
      <c r="H445" s="115"/>
      <c r="I445" s="134"/>
      <c r="J445" s="115"/>
      <c r="K445" s="115"/>
    </row>
    <row r="446" spans="1:11" ht="15.75" x14ac:dyDescent="0.25">
      <c r="A446" s="105"/>
      <c r="B446" s="105"/>
      <c r="C446" s="93" t="str">
        <f t="shared" si="12"/>
        <v/>
      </c>
      <c r="D446" s="93" t="str">
        <f t="shared" si="13"/>
        <v/>
      </c>
      <c r="E446" s="115"/>
      <c r="F446" s="115"/>
      <c r="G446" s="115"/>
      <c r="H446" s="115"/>
      <c r="I446" s="134"/>
      <c r="J446" s="115"/>
      <c r="K446" s="115"/>
    </row>
    <row r="447" spans="1:11" ht="15.75" x14ac:dyDescent="0.25">
      <c r="A447" s="105"/>
      <c r="B447" s="105"/>
      <c r="C447" s="93" t="str">
        <f t="shared" si="12"/>
        <v/>
      </c>
      <c r="D447" s="93" t="str">
        <f t="shared" si="13"/>
        <v/>
      </c>
      <c r="E447" s="115"/>
      <c r="F447" s="115"/>
      <c r="G447" s="115"/>
      <c r="H447" s="115"/>
      <c r="I447" s="134"/>
      <c r="J447" s="115"/>
      <c r="K447" s="115"/>
    </row>
    <row r="448" spans="1:11" ht="15.75" x14ac:dyDescent="0.25">
      <c r="A448" s="105"/>
      <c r="B448" s="105"/>
      <c r="C448" s="93" t="str">
        <f t="shared" si="12"/>
        <v/>
      </c>
      <c r="D448" s="93" t="str">
        <f t="shared" si="13"/>
        <v/>
      </c>
      <c r="E448" s="115"/>
      <c r="F448" s="115"/>
      <c r="G448" s="115"/>
      <c r="H448" s="115"/>
      <c r="I448" s="134"/>
      <c r="J448" s="115"/>
      <c r="K448" s="115"/>
    </row>
    <row r="449" spans="1:11" ht="15.75" x14ac:dyDescent="0.25">
      <c r="A449" s="105"/>
      <c r="B449" s="105"/>
      <c r="C449" s="93" t="str">
        <f t="shared" si="12"/>
        <v/>
      </c>
      <c r="D449" s="93" t="str">
        <f t="shared" si="13"/>
        <v/>
      </c>
      <c r="E449" s="115"/>
      <c r="F449" s="115"/>
      <c r="G449" s="115"/>
      <c r="H449" s="115"/>
      <c r="I449" s="134"/>
      <c r="J449" s="115"/>
      <c r="K449" s="115"/>
    </row>
    <row r="450" spans="1:11" ht="15.75" x14ac:dyDescent="0.25">
      <c r="A450" s="105"/>
      <c r="B450" s="105"/>
      <c r="C450" s="93" t="str">
        <f t="shared" si="12"/>
        <v/>
      </c>
      <c r="D450" s="93" t="str">
        <f t="shared" si="13"/>
        <v/>
      </c>
      <c r="E450" s="115"/>
      <c r="F450" s="115"/>
      <c r="G450" s="115"/>
      <c r="H450" s="115"/>
      <c r="I450" s="134"/>
      <c r="J450" s="115"/>
      <c r="K450" s="115"/>
    </row>
    <row r="451" spans="1:11" ht="15.75" x14ac:dyDescent="0.25">
      <c r="A451" s="105"/>
      <c r="B451" s="105"/>
      <c r="C451" s="93" t="str">
        <f t="shared" si="12"/>
        <v/>
      </c>
      <c r="D451" s="93" t="str">
        <f t="shared" si="13"/>
        <v/>
      </c>
      <c r="E451" s="115"/>
      <c r="F451" s="115"/>
      <c r="G451" s="115"/>
      <c r="H451" s="115"/>
      <c r="I451" s="134"/>
      <c r="J451" s="115"/>
      <c r="K451" s="115"/>
    </row>
    <row r="452" spans="1:11" ht="15.75" x14ac:dyDescent="0.25">
      <c r="A452" s="105"/>
      <c r="B452" s="105"/>
      <c r="C452" s="93" t="str">
        <f t="shared" si="12"/>
        <v/>
      </c>
      <c r="D452" s="93" t="str">
        <f t="shared" si="13"/>
        <v/>
      </c>
      <c r="E452" s="115"/>
      <c r="F452" s="115"/>
      <c r="G452" s="115"/>
      <c r="H452" s="115"/>
      <c r="I452" s="134"/>
      <c r="J452" s="115"/>
      <c r="K452" s="115"/>
    </row>
    <row r="453" spans="1:11" ht="15.75" x14ac:dyDescent="0.25">
      <c r="A453" s="105"/>
      <c r="B453" s="105"/>
      <c r="C453" s="93" t="str">
        <f t="shared" si="12"/>
        <v/>
      </c>
      <c r="D453" s="93" t="str">
        <f t="shared" si="13"/>
        <v/>
      </c>
      <c r="E453" s="115"/>
      <c r="F453" s="115"/>
      <c r="G453" s="115"/>
      <c r="H453" s="115"/>
      <c r="I453" s="134"/>
      <c r="J453" s="115"/>
      <c r="K453" s="115"/>
    </row>
    <row r="454" spans="1:11" ht="15.75" x14ac:dyDescent="0.25">
      <c r="A454" s="105"/>
      <c r="B454" s="105"/>
      <c r="C454" s="93" t="str">
        <f t="shared" si="12"/>
        <v/>
      </c>
      <c r="D454" s="93" t="str">
        <f t="shared" si="13"/>
        <v/>
      </c>
      <c r="E454" s="115"/>
      <c r="F454" s="115"/>
      <c r="G454" s="115"/>
      <c r="H454" s="115"/>
      <c r="I454" s="134"/>
      <c r="J454" s="115"/>
      <c r="K454" s="115"/>
    </row>
    <row r="455" spans="1:11" ht="15.75" x14ac:dyDescent="0.25">
      <c r="A455" s="105"/>
      <c r="B455" s="105"/>
      <c r="C455" s="93" t="str">
        <f t="shared" si="12"/>
        <v/>
      </c>
      <c r="D455" s="93" t="str">
        <f t="shared" si="13"/>
        <v/>
      </c>
      <c r="E455" s="115"/>
      <c r="F455" s="115"/>
      <c r="G455" s="115"/>
      <c r="H455" s="115"/>
      <c r="I455" s="134"/>
      <c r="J455" s="115"/>
      <c r="K455" s="115"/>
    </row>
    <row r="456" spans="1:11" ht="15.75" x14ac:dyDescent="0.25">
      <c r="A456" s="105"/>
      <c r="B456" s="105"/>
      <c r="C456" s="93" t="str">
        <f t="shared" si="12"/>
        <v/>
      </c>
      <c r="D456" s="93" t="str">
        <f t="shared" si="13"/>
        <v/>
      </c>
      <c r="E456" s="115"/>
      <c r="F456" s="115"/>
      <c r="G456" s="115"/>
      <c r="H456" s="115"/>
      <c r="I456" s="134"/>
      <c r="J456" s="115"/>
      <c r="K456" s="115"/>
    </row>
    <row r="457" spans="1:11" ht="15.75" x14ac:dyDescent="0.25">
      <c r="A457" s="105"/>
      <c r="B457" s="105"/>
      <c r="C457" s="93" t="str">
        <f t="shared" si="12"/>
        <v/>
      </c>
      <c r="D457" s="93" t="str">
        <f t="shared" si="13"/>
        <v/>
      </c>
      <c r="E457" s="115"/>
      <c r="F457" s="115"/>
      <c r="G457" s="115"/>
      <c r="H457" s="115"/>
      <c r="I457" s="134"/>
      <c r="J457" s="115"/>
      <c r="K457" s="115"/>
    </row>
    <row r="458" spans="1:11" ht="15.75" x14ac:dyDescent="0.25">
      <c r="A458" s="105"/>
      <c r="B458" s="105"/>
      <c r="C458" s="93" t="str">
        <f t="shared" si="12"/>
        <v/>
      </c>
      <c r="D458" s="93" t="str">
        <f t="shared" si="13"/>
        <v/>
      </c>
      <c r="E458" s="115"/>
      <c r="F458" s="115"/>
      <c r="G458" s="115"/>
      <c r="H458" s="115"/>
      <c r="I458" s="134"/>
      <c r="J458" s="115"/>
      <c r="K458" s="115"/>
    </row>
    <row r="459" spans="1:11" ht="15.75" x14ac:dyDescent="0.25">
      <c r="A459" s="105"/>
      <c r="B459" s="105"/>
      <c r="C459" s="93" t="str">
        <f t="shared" si="12"/>
        <v/>
      </c>
      <c r="D459" s="93" t="str">
        <f t="shared" si="13"/>
        <v/>
      </c>
      <c r="E459" s="115"/>
      <c r="F459" s="115"/>
      <c r="G459" s="115"/>
      <c r="H459" s="115"/>
      <c r="I459" s="134"/>
      <c r="J459" s="115"/>
      <c r="K459" s="115"/>
    </row>
    <row r="460" spans="1:11" ht="15.75" x14ac:dyDescent="0.25">
      <c r="A460" s="105"/>
      <c r="B460" s="105"/>
      <c r="C460" s="93" t="str">
        <f t="shared" si="12"/>
        <v/>
      </c>
      <c r="D460" s="93" t="str">
        <f t="shared" si="13"/>
        <v/>
      </c>
      <c r="E460" s="115"/>
      <c r="F460" s="115"/>
      <c r="G460" s="115"/>
      <c r="H460" s="115"/>
      <c r="I460" s="134"/>
      <c r="J460" s="115"/>
      <c r="K460" s="115"/>
    </row>
    <row r="461" spans="1:11" ht="15.75" x14ac:dyDescent="0.25">
      <c r="A461" s="105"/>
      <c r="B461" s="105"/>
      <c r="C461" s="93" t="str">
        <f t="shared" si="12"/>
        <v/>
      </c>
      <c r="D461" s="93" t="str">
        <f t="shared" si="13"/>
        <v/>
      </c>
      <c r="E461" s="115"/>
      <c r="F461" s="115"/>
      <c r="G461" s="115"/>
      <c r="H461" s="115"/>
      <c r="I461" s="134"/>
      <c r="J461" s="115"/>
      <c r="K461" s="115"/>
    </row>
    <row r="462" spans="1:11" ht="15.75" x14ac:dyDescent="0.25">
      <c r="A462" s="105"/>
      <c r="B462" s="105"/>
      <c r="C462" s="93" t="str">
        <f t="shared" si="12"/>
        <v/>
      </c>
      <c r="D462" s="93" t="str">
        <f t="shared" si="13"/>
        <v/>
      </c>
      <c r="E462" s="115"/>
      <c r="F462" s="115"/>
      <c r="G462" s="115"/>
      <c r="H462" s="115"/>
      <c r="I462" s="134"/>
      <c r="J462" s="115"/>
      <c r="K462" s="115"/>
    </row>
    <row r="463" spans="1:11" ht="15.75" x14ac:dyDescent="0.25">
      <c r="A463" s="105"/>
      <c r="B463" s="105"/>
      <c r="C463" s="93" t="str">
        <f t="shared" si="12"/>
        <v/>
      </c>
      <c r="D463" s="93" t="str">
        <f t="shared" si="13"/>
        <v/>
      </c>
      <c r="E463" s="115"/>
      <c r="F463" s="115"/>
      <c r="G463" s="115"/>
      <c r="H463" s="115"/>
      <c r="I463" s="134"/>
      <c r="J463" s="115"/>
      <c r="K463" s="115"/>
    </row>
    <row r="464" spans="1:11" ht="15.75" x14ac:dyDescent="0.25">
      <c r="A464" s="105"/>
      <c r="B464" s="105"/>
      <c r="C464" s="93" t="str">
        <f t="shared" si="12"/>
        <v/>
      </c>
      <c r="D464" s="93" t="str">
        <f t="shared" si="13"/>
        <v/>
      </c>
      <c r="E464" s="115"/>
      <c r="F464" s="115"/>
      <c r="G464" s="115"/>
      <c r="H464" s="115"/>
      <c r="I464" s="134"/>
      <c r="J464" s="115"/>
      <c r="K464" s="115"/>
    </row>
    <row r="465" spans="1:11" ht="15.75" x14ac:dyDescent="0.25">
      <c r="A465" s="105"/>
      <c r="B465" s="105"/>
      <c r="C465" s="93" t="str">
        <f t="shared" si="12"/>
        <v/>
      </c>
      <c r="D465" s="93" t="str">
        <f t="shared" si="13"/>
        <v/>
      </c>
      <c r="E465" s="115"/>
      <c r="F465" s="115"/>
      <c r="G465" s="115"/>
      <c r="H465" s="115"/>
      <c r="I465" s="134"/>
      <c r="J465" s="115"/>
      <c r="K465" s="115"/>
    </row>
    <row r="466" spans="1:11" ht="15.75" x14ac:dyDescent="0.25">
      <c r="A466" s="105"/>
      <c r="B466" s="105"/>
      <c r="C466" s="93" t="str">
        <f t="shared" si="12"/>
        <v/>
      </c>
      <c r="D466" s="93" t="str">
        <f t="shared" si="13"/>
        <v/>
      </c>
      <c r="E466" s="115"/>
      <c r="F466" s="115"/>
      <c r="G466" s="115"/>
      <c r="H466" s="115"/>
      <c r="I466" s="134"/>
      <c r="J466" s="115"/>
      <c r="K466" s="115"/>
    </row>
    <row r="467" spans="1:11" ht="15.75" x14ac:dyDescent="0.25">
      <c r="A467" s="105"/>
      <c r="B467" s="105"/>
      <c r="C467" s="93" t="str">
        <f t="shared" si="12"/>
        <v/>
      </c>
      <c r="D467" s="93" t="str">
        <f t="shared" si="13"/>
        <v/>
      </c>
      <c r="E467" s="115"/>
      <c r="F467" s="115"/>
      <c r="G467" s="115"/>
      <c r="H467" s="115"/>
      <c r="I467" s="134"/>
      <c r="J467" s="115"/>
      <c r="K467" s="115"/>
    </row>
    <row r="468" spans="1:11" ht="15.75" x14ac:dyDescent="0.25">
      <c r="A468" s="105"/>
      <c r="B468" s="105"/>
      <c r="C468" s="93" t="str">
        <f t="shared" ref="C468:C531" si="14">IF(A468=0,"",VLOOKUP(B468,MatDB,2,FALSE))</f>
        <v/>
      </c>
      <c r="D468" s="93" t="str">
        <f t="shared" si="13"/>
        <v/>
      </c>
      <c r="E468" s="115"/>
      <c r="F468" s="115"/>
      <c r="G468" s="115"/>
      <c r="H468" s="115"/>
      <c r="I468" s="134"/>
      <c r="J468" s="115"/>
      <c r="K468" s="115"/>
    </row>
    <row r="469" spans="1:11" ht="15.75" x14ac:dyDescent="0.25">
      <c r="A469" s="105"/>
      <c r="B469" s="105"/>
      <c r="C469" s="93" t="str">
        <f t="shared" si="14"/>
        <v/>
      </c>
      <c r="D469" s="93" t="str">
        <f t="shared" ref="D469:D532" si="15">IF(A469=0,"","Steel02")</f>
        <v/>
      </c>
      <c r="E469" s="115"/>
      <c r="F469" s="115"/>
      <c r="G469" s="115"/>
      <c r="H469" s="115"/>
      <c r="I469" s="134"/>
      <c r="J469" s="115"/>
      <c r="K469" s="115"/>
    </row>
    <row r="470" spans="1:11" ht="15.75" x14ac:dyDescent="0.25">
      <c r="A470" s="105"/>
      <c r="B470" s="105"/>
      <c r="C470" s="93" t="str">
        <f t="shared" si="14"/>
        <v/>
      </c>
      <c r="D470" s="93" t="str">
        <f t="shared" si="15"/>
        <v/>
      </c>
      <c r="E470" s="115"/>
      <c r="F470" s="115"/>
      <c r="G470" s="115"/>
      <c r="H470" s="115"/>
      <c r="I470" s="134"/>
      <c r="J470" s="115"/>
      <c r="K470" s="115"/>
    </row>
    <row r="471" spans="1:11" ht="15.75" x14ac:dyDescent="0.25">
      <c r="A471" s="105"/>
      <c r="B471" s="105"/>
      <c r="C471" s="93" t="str">
        <f t="shared" si="14"/>
        <v/>
      </c>
      <c r="D471" s="93" t="str">
        <f t="shared" si="15"/>
        <v/>
      </c>
      <c r="E471" s="115"/>
      <c r="F471" s="115"/>
      <c r="G471" s="115"/>
      <c r="H471" s="115"/>
      <c r="I471" s="134"/>
      <c r="J471" s="115"/>
      <c r="K471" s="115"/>
    </row>
    <row r="472" spans="1:11" ht="15.75" x14ac:dyDescent="0.25">
      <c r="A472" s="105"/>
      <c r="B472" s="105"/>
      <c r="C472" s="93" t="str">
        <f t="shared" si="14"/>
        <v/>
      </c>
      <c r="D472" s="93" t="str">
        <f t="shared" si="15"/>
        <v/>
      </c>
      <c r="E472" s="115"/>
      <c r="F472" s="115"/>
      <c r="G472" s="115"/>
      <c r="H472" s="115"/>
      <c r="I472" s="134"/>
      <c r="J472" s="115"/>
      <c r="K472" s="115"/>
    </row>
    <row r="473" spans="1:11" ht="15.75" x14ac:dyDescent="0.25">
      <c r="A473" s="105"/>
      <c r="B473" s="105"/>
      <c r="C473" s="93" t="str">
        <f t="shared" si="14"/>
        <v/>
      </c>
      <c r="D473" s="93" t="str">
        <f t="shared" si="15"/>
        <v/>
      </c>
      <c r="E473" s="115"/>
      <c r="F473" s="115"/>
      <c r="G473" s="115"/>
      <c r="H473" s="115"/>
      <c r="I473" s="134"/>
      <c r="J473" s="115"/>
      <c r="K473" s="115"/>
    </row>
    <row r="474" spans="1:11" ht="15.75" x14ac:dyDescent="0.25">
      <c r="A474" s="105"/>
      <c r="B474" s="105"/>
      <c r="C474" s="93" t="str">
        <f t="shared" si="14"/>
        <v/>
      </c>
      <c r="D474" s="93" t="str">
        <f t="shared" si="15"/>
        <v/>
      </c>
      <c r="E474" s="115"/>
      <c r="F474" s="115"/>
      <c r="G474" s="115"/>
      <c r="H474" s="115"/>
      <c r="I474" s="134"/>
      <c r="J474" s="115"/>
      <c r="K474" s="115"/>
    </row>
    <row r="475" spans="1:11" ht="15.75" x14ac:dyDescent="0.25">
      <c r="A475" s="105"/>
      <c r="B475" s="105"/>
      <c r="C475" s="93" t="str">
        <f t="shared" si="14"/>
        <v/>
      </c>
      <c r="D475" s="93" t="str">
        <f t="shared" si="15"/>
        <v/>
      </c>
      <c r="E475" s="115"/>
      <c r="F475" s="115"/>
      <c r="G475" s="115"/>
      <c r="H475" s="115"/>
      <c r="I475" s="134"/>
      <c r="J475" s="115"/>
      <c r="K475" s="115"/>
    </row>
    <row r="476" spans="1:11" ht="15.75" x14ac:dyDescent="0.25">
      <c r="A476" s="105"/>
      <c r="B476" s="105"/>
      <c r="C476" s="93" t="str">
        <f t="shared" si="14"/>
        <v/>
      </c>
      <c r="D476" s="93" t="str">
        <f t="shared" si="15"/>
        <v/>
      </c>
      <c r="E476" s="115"/>
      <c r="F476" s="115"/>
      <c r="G476" s="115"/>
      <c r="H476" s="115"/>
      <c r="I476" s="134"/>
      <c r="J476" s="115"/>
      <c r="K476" s="115"/>
    </row>
    <row r="477" spans="1:11" ht="15.75" x14ac:dyDescent="0.25">
      <c r="A477" s="105"/>
      <c r="B477" s="105"/>
      <c r="C477" s="93" t="str">
        <f t="shared" si="14"/>
        <v/>
      </c>
      <c r="D477" s="93" t="str">
        <f t="shared" si="15"/>
        <v/>
      </c>
      <c r="E477" s="115"/>
      <c r="F477" s="115"/>
      <c r="G477" s="115"/>
      <c r="H477" s="115"/>
      <c r="I477" s="134"/>
      <c r="J477" s="115"/>
      <c r="K477" s="115"/>
    </row>
    <row r="478" spans="1:11" ht="15.75" x14ac:dyDescent="0.25">
      <c r="A478" s="105"/>
      <c r="B478" s="105"/>
      <c r="C478" s="93" t="str">
        <f t="shared" si="14"/>
        <v/>
      </c>
      <c r="D478" s="93" t="str">
        <f t="shared" si="15"/>
        <v/>
      </c>
      <c r="E478" s="115"/>
      <c r="F478" s="115"/>
      <c r="G478" s="115"/>
      <c r="H478" s="115"/>
      <c r="I478" s="134"/>
      <c r="J478" s="115"/>
      <c r="K478" s="115"/>
    </row>
    <row r="479" spans="1:11" ht="15.75" x14ac:dyDescent="0.25">
      <c r="A479" s="105"/>
      <c r="B479" s="105"/>
      <c r="C479" s="93" t="str">
        <f t="shared" si="14"/>
        <v/>
      </c>
      <c r="D479" s="93" t="str">
        <f t="shared" si="15"/>
        <v/>
      </c>
      <c r="E479" s="115"/>
      <c r="F479" s="115"/>
      <c r="G479" s="115"/>
      <c r="H479" s="115"/>
      <c r="I479" s="134"/>
      <c r="J479" s="115"/>
      <c r="K479" s="115"/>
    </row>
    <row r="480" spans="1:11" ht="15.75" x14ac:dyDescent="0.25">
      <c r="A480" s="105"/>
      <c r="B480" s="105"/>
      <c r="C480" s="93" t="str">
        <f t="shared" si="14"/>
        <v/>
      </c>
      <c r="D480" s="93" t="str">
        <f t="shared" si="15"/>
        <v/>
      </c>
      <c r="E480" s="115"/>
      <c r="F480" s="115"/>
      <c r="G480" s="115"/>
      <c r="H480" s="115"/>
      <c r="I480" s="134"/>
      <c r="J480" s="115"/>
      <c r="K480" s="115"/>
    </row>
    <row r="481" spans="1:11" ht="15.75" x14ac:dyDescent="0.25">
      <c r="A481" s="105"/>
      <c r="B481" s="105"/>
      <c r="C481" s="93" t="str">
        <f t="shared" si="14"/>
        <v/>
      </c>
      <c r="D481" s="93" t="str">
        <f t="shared" si="15"/>
        <v/>
      </c>
      <c r="E481" s="115"/>
      <c r="F481" s="115"/>
      <c r="G481" s="115"/>
      <c r="H481" s="115"/>
      <c r="I481" s="134"/>
      <c r="J481" s="115"/>
      <c r="K481" s="115"/>
    </row>
    <row r="482" spans="1:11" ht="15.75" x14ac:dyDescent="0.25">
      <c r="A482" s="105"/>
      <c r="B482" s="105"/>
      <c r="C482" s="93" t="str">
        <f t="shared" si="14"/>
        <v/>
      </c>
      <c r="D482" s="93" t="str">
        <f t="shared" si="15"/>
        <v/>
      </c>
      <c r="E482" s="115"/>
      <c r="F482" s="115"/>
      <c r="G482" s="115"/>
      <c r="H482" s="115"/>
      <c r="I482" s="134"/>
      <c r="J482" s="115"/>
      <c r="K482" s="115"/>
    </row>
    <row r="483" spans="1:11" ht="15.75" x14ac:dyDescent="0.25">
      <c r="A483" s="105"/>
      <c r="B483" s="105"/>
      <c r="C483" s="93" t="str">
        <f t="shared" si="14"/>
        <v/>
      </c>
      <c r="D483" s="93" t="str">
        <f t="shared" si="15"/>
        <v/>
      </c>
      <c r="E483" s="115"/>
      <c r="F483" s="115"/>
      <c r="G483" s="115"/>
      <c r="H483" s="115"/>
      <c r="I483" s="134"/>
      <c r="J483" s="115"/>
      <c r="K483" s="115"/>
    </row>
    <row r="484" spans="1:11" ht="15.75" x14ac:dyDescent="0.25">
      <c r="A484" s="105"/>
      <c r="B484" s="105"/>
      <c r="C484" s="93" t="str">
        <f t="shared" si="14"/>
        <v/>
      </c>
      <c r="D484" s="93" t="str">
        <f t="shared" si="15"/>
        <v/>
      </c>
      <c r="E484" s="115"/>
      <c r="F484" s="115"/>
      <c r="G484" s="115"/>
      <c r="H484" s="115"/>
      <c r="I484" s="134"/>
      <c r="J484" s="115"/>
      <c r="K484" s="115"/>
    </row>
    <row r="485" spans="1:11" ht="15.75" x14ac:dyDescent="0.25">
      <c r="A485" s="105"/>
      <c r="B485" s="105"/>
      <c r="C485" s="93" t="str">
        <f t="shared" si="14"/>
        <v/>
      </c>
      <c r="D485" s="93" t="str">
        <f t="shared" si="15"/>
        <v/>
      </c>
      <c r="E485" s="115"/>
      <c r="F485" s="115"/>
      <c r="G485" s="115"/>
      <c r="H485" s="115"/>
      <c r="I485" s="134"/>
      <c r="J485" s="115"/>
      <c r="K485" s="115"/>
    </row>
    <row r="486" spans="1:11" ht="15.75" x14ac:dyDescent="0.25">
      <c r="A486" s="105"/>
      <c r="B486" s="105"/>
      <c r="C486" s="93" t="str">
        <f t="shared" si="14"/>
        <v/>
      </c>
      <c r="D486" s="93" t="str">
        <f t="shared" si="15"/>
        <v/>
      </c>
      <c r="E486" s="115"/>
      <c r="F486" s="115"/>
      <c r="G486" s="115"/>
      <c r="H486" s="115"/>
      <c r="I486" s="134"/>
      <c r="J486" s="115"/>
      <c r="K486" s="115"/>
    </row>
    <row r="487" spans="1:11" ht="15.75" x14ac:dyDescent="0.25">
      <c r="A487" s="105"/>
      <c r="B487" s="105"/>
      <c r="C487" s="93" t="str">
        <f t="shared" si="14"/>
        <v/>
      </c>
      <c r="D487" s="93" t="str">
        <f t="shared" si="15"/>
        <v/>
      </c>
      <c r="E487" s="115"/>
      <c r="F487" s="115"/>
      <c r="G487" s="115"/>
      <c r="H487" s="115"/>
      <c r="I487" s="134"/>
      <c r="J487" s="115"/>
      <c r="K487" s="115"/>
    </row>
    <row r="488" spans="1:11" ht="15.75" x14ac:dyDescent="0.25">
      <c r="A488" s="105"/>
      <c r="B488" s="105"/>
      <c r="C488" s="93" t="str">
        <f t="shared" si="14"/>
        <v/>
      </c>
      <c r="D488" s="93" t="str">
        <f t="shared" si="15"/>
        <v/>
      </c>
      <c r="E488" s="115"/>
      <c r="F488" s="115"/>
      <c r="G488" s="115"/>
      <c r="H488" s="115"/>
      <c r="I488" s="134"/>
      <c r="J488" s="115"/>
      <c r="K488" s="115"/>
    </row>
    <row r="489" spans="1:11" ht="15.75" x14ac:dyDescent="0.25">
      <c r="A489" s="105"/>
      <c r="B489" s="105"/>
      <c r="C489" s="93" t="str">
        <f t="shared" si="14"/>
        <v/>
      </c>
      <c r="D489" s="93" t="str">
        <f t="shared" si="15"/>
        <v/>
      </c>
      <c r="E489" s="115"/>
      <c r="F489" s="115"/>
      <c r="G489" s="115"/>
      <c r="H489" s="115"/>
      <c r="I489" s="134"/>
      <c r="J489" s="115"/>
      <c r="K489" s="115"/>
    </row>
    <row r="490" spans="1:11" ht="15.75" x14ac:dyDescent="0.25">
      <c r="A490" s="105"/>
      <c r="B490" s="105"/>
      <c r="C490" s="93" t="str">
        <f t="shared" si="14"/>
        <v/>
      </c>
      <c r="D490" s="93" t="str">
        <f t="shared" si="15"/>
        <v/>
      </c>
      <c r="E490" s="115"/>
      <c r="F490" s="115"/>
      <c r="G490" s="115"/>
      <c r="H490" s="115"/>
      <c r="I490" s="134"/>
      <c r="J490" s="115"/>
      <c r="K490" s="115"/>
    </row>
    <row r="491" spans="1:11" ht="15.75" x14ac:dyDescent="0.25">
      <c r="A491" s="105"/>
      <c r="B491" s="105"/>
      <c r="C491" s="93" t="str">
        <f t="shared" si="14"/>
        <v/>
      </c>
      <c r="D491" s="93" t="str">
        <f t="shared" si="15"/>
        <v/>
      </c>
      <c r="E491" s="115"/>
      <c r="F491" s="115"/>
      <c r="G491" s="115"/>
      <c r="H491" s="115"/>
      <c r="I491" s="134"/>
      <c r="J491" s="115"/>
      <c r="K491" s="115"/>
    </row>
    <row r="492" spans="1:11" ht="15.75" x14ac:dyDescent="0.25">
      <c r="A492" s="105"/>
      <c r="B492" s="105"/>
      <c r="C492" s="93" t="str">
        <f t="shared" si="14"/>
        <v/>
      </c>
      <c r="D492" s="93" t="str">
        <f t="shared" si="15"/>
        <v/>
      </c>
      <c r="E492" s="115"/>
      <c r="F492" s="115"/>
      <c r="G492" s="115"/>
      <c r="H492" s="115"/>
      <c r="I492" s="134"/>
      <c r="J492" s="115"/>
      <c r="K492" s="115"/>
    </row>
    <row r="493" spans="1:11" ht="15.75" x14ac:dyDescent="0.25">
      <c r="A493" s="105"/>
      <c r="B493" s="105"/>
      <c r="C493" s="93" t="str">
        <f t="shared" si="14"/>
        <v/>
      </c>
      <c r="D493" s="93" t="str">
        <f t="shared" si="15"/>
        <v/>
      </c>
      <c r="E493" s="115"/>
      <c r="F493" s="115"/>
      <c r="G493" s="115"/>
      <c r="H493" s="115"/>
      <c r="I493" s="134"/>
      <c r="J493" s="115"/>
      <c r="K493" s="115"/>
    </row>
    <row r="494" spans="1:11" ht="15.75" x14ac:dyDescent="0.25">
      <c r="A494" s="105"/>
      <c r="B494" s="105"/>
      <c r="C494" s="93" t="str">
        <f t="shared" si="14"/>
        <v/>
      </c>
      <c r="D494" s="93" t="str">
        <f t="shared" si="15"/>
        <v/>
      </c>
      <c r="E494" s="115"/>
      <c r="F494" s="115"/>
      <c r="G494" s="115"/>
      <c r="H494" s="115"/>
      <c r="I494" s="134"/>
      <c r="J494" s="115"/>
      <c r="K494" s="115"/>
    </row>
    <row r="495" spans="1:11" ht="15.75" x14ac:dyDescent="0.25">
      <c r="A495" s="105"/>
      <c r="B495" s="105"/>
      <c r="C495" s="93" t="str">
        <f t="shared" si="14"/>
        <v/>
      </c>
      <c r="D495" s="93" t="str">
        <f t="shared" si="15"/>
        <v/>
      </c>
      <c r="E495" s="115"/>
      <c r="F495" s="115"/>
      <c r="G495" s="115"/>
      <c r="H495" s="115"/>
      <c r="I495" s="134"/>
      <c r="J495" s="115"/>
      <c r="K495" s="115"/>
    </row>
    <row r="496" spans="1:11" ht="15.75" x14ac:dyDescent="0.25">
      <c r="A496" s="105"/>
      <c r="B496" s="105"/>
      <c r="C496" s="93" t="str">
        <f t="shared" si="14"/>
        <v/>
      </c>
      <c r="D496" s="93" t="str">
        <f t="shared" si="15"/>
        <v/>
      </c>
      <c r="E496" s="115"/>
      <c r="F496" s="115"/>
      <c r="G496" s="115"/>
      <c r="H496" s="115"/>
      <c r="I496" s="134"/>
      <c r="J496" s="115"/>
      <c r="K496" s="115"/>
    </row>
    <row r="497" spans="1:11" ht="15.75" x14ac:dyDescent="0.25">
      <c r="A497" s="105"/>
      <c r="B497" s="105"/>
      <c r="C497" s="93" t="str">
        <f t="shared" si="14"/>
        <v/>
      </c>
      <c r="D497" s="93" t="str">
        <f t="shared" si="15"/>
        <v/>
      </c>
      <c r="E497" s="115"/>
      <c r="F497" s="115"/>
      <c r="G497" s="115"/>
      <c r="H497" s="115"/>
      <c r="I497" s="134"/>
      <c r="J497" s="115"/>
      <c r="K497" s="115"/>
    </row>
    <row r="498" spans="1:11" ht="15.75" x14ac:dyDescent="0.25">
      <c r="A498" s="105"/>
      <c r="B498" s="105"/>
      <c r="C498" s="93" t="str">
        <f t="shared" si="14"/>
        <v/>
      </c>
      <c r="D498" s="93" t="str">
        <f t="shared" si="15"/>
        <v/>
      </c>
      <c r="E498" s="115"/>
      <c r="F498" s="115"/>
      <c r="G498" s="115"/>
      <c r="H498" s="115"/>
      <c r="I498" s="134"/>
      <c r="J498" s="115"/>
      <c r="K498" s="115"/>
    </row>
    <row r="499" spans="1:11" ht="15.75" x14ac:dyDescent="0.25">
      <c r="A499" s="105"/>
      <c r="B499" s="105"/>
      <c r="C499" s="93" t="str">
        <f t="shared" si="14"/>
        <v/>
      </c>
      <c r="D499" s="93" t="str">
        <f t="shared" si="15"/>
        <v/>
      </c>
      <c r="E499" s="115"/>
      <c r="F499" s="115"/>
      <c r="G499" s="115"/>
      <c r="H499" s="115"/>
      <c r="I499" s="134"/>
      <c r="J499" s="115"/>
      <c r="K499" s="115"/>
    </row>
    <row r="500" spans="1:11" ht="15.75" x14ac:dyDescent="0.25">
      <c r="A500" s="105"/>
      <c r="B500" s="105"/>
      <c r="C500" s="93" t="str">
        <f t="shared" si="14"/>
        <v/>
      </c>
      <c r="D500" s="93" t="str">
        <f t="shared" si="15"/>
        <v/>
      </c>
      <c r="E500" s="115"/>
      <c r="F500" s="115"/>
      <c r="G500" s="115"/>
      <c r="H500" s="115"/>
      <c r="I500" s="134"/>
      <c r="J500" s="115"/>
      <c r="K500" s="115"/>
    </row>
    <row r="501" spans="1:11" ht="15.75" x14ac:dyDescent="0.25">
      <c r="A501" s="105"/>
      <c r="B501" s="105"/>
      <c r="C501" s="93" t="str">
        <f t="shared" si="14"/>
        <v/>
      </c>
      <c r="D501" s="93" t="str">
        <f t="shared" si="15"/>
        <v/>
      </c>
      <c r="E501" s="115"/>
      <c r="F501" s="115"/>
      <c r="G501" s="115"/>
      <c r="H501" s="115"/>
      <c r="I501" s="134"/>
      <c r="J501" s="115"/>
      <c r="K501" s="115"/>
    </row>
    <row r="502" spans="1:11" ht="15.75" x14ac:dyDescent="0.25">
      <c r="A502" s="105"/>
      <c r="B502" s="105"/>
      <c r="C502" s="93" t="str">
        <f t="shared" si="14"/>
        <v/>
      </c>
      <c r="D502" s="93" t="str">
        <f t="shared" si="15"/>
        <v/>
      </c>
      <c r="E502" s="115"/>
      <c r="F502" s="115"/>
      <c r="G502" s="115"/>
      <c r="H502" s="115"/>
      <c r="I502" s="134"/>
      <c r="J502" s="115"/>
      <c r="K502" s="115"/>
    </row>
    <row r="503" spans="1:11" ht="15.75" x14ac:dyDescent="0.25">
      <c r="A503" s="105"/>
      <c r="B503" s="105"/>
      <c r="C503" s="93" t="str">
        <f t="shared" si="14"/>
        <v/>
      </c>
      <c r="D503" s="93" t="str">
        <f t="shared" si="15"/>
        <v/>
      </c>
      <c r="E503" s="115"/>
      <c r="F503" s="115"/>
      <c r="G503" s="115"/>
      <c r="H503" s="115"/>
      <c r="I503" s="134"/>
      <c r="J503" s="115"/>
      <c r="K503" s="115"/>
    </row>
    <row r="504" spans="1:11" ht="15.75" x14ac:dyDescent="0.25">
      <c r="A504" s="105"/>
      <c r="B504" s="105"/>
      <c r="C504" s="93" t="str">
        <f t="shared" si="14"/>
        <v/>
      </c>
      <c r="D504" s="93" t="str">
        <f t="shared" si="15"/>
        <v/>
      </c>
      <c r="E504" s="115"/>
      <c r="F504" s="115"/>
      <c r="G504" s="115"/>
      <c r="H504" s="115"/>
      <c r="I504" s="134"/>
      <c r="J504" s="115"/>
      <c r="K504" s="115"/>
    </row>
    <row r="505" spans="1:11" ht="15.75" x14ac:dyDescent="0.25">
      <c r="A505" s="105"/>
      <c r="B505" s="105"/>
      <c r="C505" s="93" t="str">
        <f t="shared" si="14"/>
        <v/>
      </c>
      <c r="D505" s="93" t="str">
        <f t="shared" si="15"/>
        <v/>
      </c>
      <c r="E505" s="115"/>
      <c r="F505" s="115"/>
      <c r="G505" s="115"/>
      <c r="H505" s="115"/>
      <c r="I505" s="134"/>
      <c r="J505" s="115"/>
      <c r="K505" s="115"/>
    </row>
    <row r="506" spans="1:11" ht="15.75" x14ac:dyDescent="0.25">
      <c r="A506" s="105"/>
      <c r="B506" s="105"/>
      <c r="C506" s="93" t="str">
        <f t="shared" si="14"/>
        <v/>
      </c>
      <c r="D506" s="93" t="str">
        <f t="shared" si="15"/>
        <v/>
      </c>
      <c r="E506" s="115"/>
      <c r="F506" s="115"/>
      <c r="G506" s="115"/>
      <c r="H506" s="115"/>
      <c r="I506" s="134"/>
      <c r="J506" s="115"/>
      <c r="K506" s="115"/>
    </row>
    <row r="507" spans="1:11" ht="15.75" x14ac:dyDescent="0.25">
      <c r="A507" s="105"/>
      <c r="B507" s="105"/>
      <c r="C507" s="93" t="str">
        <f t="shared" si="14"/>
        <v/>
      </c>
      <c r="D507" s="93" t="str">
        <f t="shared" si="15"/>
        <v/>
      </c>
      <c r="E507" s="115"/>
      <c r="F507" s="115"/>
      <c r="G507" s="115"/>
      <c r="H507" s="115"/>
      <c r="I507" s="134"/>
      <c r="J507" s="115"/>
      <c r="K507" s="115"/>
    </row>
    <row r="508" spans="1:11" ht="15.75" x14ac:dyDescent="0.25">
      <c r="A508" s="105"/>
      <c r="B508" s="105"/>
      <c r="C508" s="93" t="str">
        <f t="shared" si="14"/>
        <v/>
      </c>
      <c r="D508" s="93" t="str">
        <f t="shared" si="15"/>
        <v/>
      </c>
      <c r="E508" s="115"/>
      <c r="F508" s="115"/>
      <c r="G508" s="115"/>
      <c r="H508" s="115"/>
      <c r="I508" s="134"/>
      <c r="J508" s="115"/>
      <c r="K508" s="115"/>
    </row>
    <row r="509" spans="1:11" ht="15.75" x14ac:dyDescent="0.25">
      <c r="A509" s="105"/>
      <c r="B509" s="105"/>
      <c r="C509" s="93" t="str">
        <f t="shared" si="14"/>
        <v/>
      </c>
      <c r="D509" s="93" t="str">
        <f t="shared" si="15"/>
        <v/>
      </c>
      <c r="E509" s="115"/>
      <c r="F509" s="115"/>
      <c r="G509" s="115"/>
      <c r="H509" s="115"/>
      <c r="I509" s="134"/>
      <c r="J509" s="115"/>
      <c r="K509" s="115"/>
    </row>
    <row r="510" spans="1:11" ht="15.75" x14ac:dyDescent="0.25">
      <c r="A510" s="105"/>
      <c r="B510" s="105"/>
      <c r="C510" s="93" t="str">
        <f t="shared" si="14"/>
        <v/>
      </c>
      <c r="D510" s="93" t="str">
        <f t="shared" si="15"/>
        <v/>
      </c>
      <c r="E510" s="115"/>
      <c r="F510" s="115"/>
      <c r="G510" s="115"/>
      <c r="H510" s="115"/>
      <c r="I510" s="134"/>
      <c r="J510" s="115"/>
      <c r="K510" s="115"/>
    </row>
    <row r="511" spans="1:11" ht="15.75" x14ac:dyDescent="0.25">
      <c r="A511" s="105"/>
      <c r="B511" s="105"/>
      <c r="C511" s="93" t="str">
        <f t="shared" si="14"/>
        <v/>
      </c>
      <c r="D511" s="93" t="str">
        <f t="shared" si="15"/>
        <v/>
      </c>
      <c r="E511" s="115"/>
      <c r="F511" s="115"/>
      <c r="G511" s="115"/>
      <c r="H511" s="115"/>
      <c r="I511" s="134"/>
      <c r="J511" s="115"/>
      <c r="K511" s="115"/>
    </row>
    <row r="512" spans="1:11" ht="15.75" x14ac:dyDescent="0.25">
      <c r="A512" s="105"/>
      <c r="B512" s="105"/>
      <c r="C512" s="93" t="str">
        <f t="shared" si="14"/>
        <v/>
      </c>
      <c r="D512" s="93" t="str">
        <f t="shared" si="15"/>
        <v/>
      </c>
      <c r="E512" s="115"/>
      <c r="F512" s="115"/>
      <c r="G512" s="115"/>
      <c r="H512" s="115"/>
      <c r="I512" s="134"/>
      <c r="J512" s="115"/>
      <c r="K512" s="115"/>
    </row>
    <row r="513" spans="1:11" ht="15.75" x14ac:dyDescent="0.25">
      <c r="A513" s="105"/>
      <c r="B513" s="105"/>
      <c r="C513" s="93" t="str">
        <f t="shared" si="14"/>
        <v/>
      </c>
      <c r="D513" s="93" t="str">
        <f t="shared" si="15"/>
        <v/>
      </c>
      <c r="E513" s="115"/>
      <c r="F513" s="115"/>
      <c r="G513" s="115"/>
      <c r="H513" s="115"/>
      <c r="I513" s="134"/>
      <c r="J513" s="115"/>
      <c r="K513" s="115"/>
    </row>
    <row r="514" spans="1:11" ht="15.75" x14ac:dyDescent="0.25">
      <c r="A514" s="105"/>
      <c r="B514" s="105"/>
      <c r="C514" s="93" t="str">
        <f t="shared" si="14"/>
        <v/>
      </c>
      <c r="D514" s="93" t="str">
        <f t="shared" si="15"/>
        <v/>
      </c>
      <c r="E514" s="115"/>
      <c r="F514" s="115"/>
      <c r="G514" s="115"/>
      <c r="H514" s="115"/>
      <c r="I514" s="134"/>
      <c r="J514" s="115"/>
      <c r="K514" s="115"/>
    </row>
    <row r="515" spans="1:11" ht="15.75" x14ac:dyDescent="0.25">
      <c r="A515" s="105"/>
      <c r="B515" s="105"/>
      <c r="C515" s="93" t="str">
        <f t="shared" si="14"/>
        <v/>
      </c>
      <c r="D515" s="93" t="str">
        <f t="shared" si="15"/>
        <v/>
      </c>
      <c r="E515" s="115"/>
      <c r="F515" s="115"/>
      <c r="G515" s="115"/>
      <c r="H515" s="115"/>
      <c r="I515" s="134"/>
      <c r="J515" s="115"/>
      <c r="K515" s="115"/>
    </row>
    <row r="516" spans="1:11" ht="15.75" x14ac:dyDescent="0.25">
      <c r="A516" s="105"/>
      <c r="B516" s="105"/>
      <c r="C516" s="93" t="str">
        <f t="shared" si="14"/>
        <v/>
      </c>
      <c r="D516" s="93" t="str">
        <f t="shared" si="15"/>
        <v/>
      </c>
      <c r="E516" s="115"/>
      <c r="F516" s="115"/>
      <c r="G516" s="115"/>
      <c r="H516" s="115"/>
      <c r="I516" s="134"/>
      <c r="J516" s="115"/>
      <c r="K516" s="115"/>
    </row>
    <row r="517" spans="1:11" ht="15.75" x14ac:dyDescent="0.25">
      <c r="A517" s="105"/>
      <c r="B517" s="105"/>
      <c r="C517" s="93" t="str">
        <f t="shared" si="14"/>
        <v/>
      </c>
      <c r="D517" s="93" t="str">
        <f t="shared" si="15"/>
        <v/>
      </c>
      <c r="E517" s="115"/>
      <c r="F517" s="115"/>
      <c r="G517" s="115"/>
      <c r="H517" s="115"/>
      <c r="I517" s="134"/>
      <c r="J517" s="115"/>
      <c r="K517" s="115"/>
    </row>
    <row r="518" spans="1:11" ht="15.75" x14ac:dyDescent="0.25">
      <c r="A518" s="105"/>
      <c r="B518" s="105"/>
      <c r="C518" s="93" t="str">
        <f t="shared" si="14"/>
        <v/>
      </c>
      <c r="D518" s="93" t="str">
        <f t="shared" si="15"/>
        <v/>
      </c>
      <c r="E518" s="115"/>
      <c r="F518" s="115"/>
      <c r="G518" s="115"/>
      <c r="H518" s="115"/>
      <c r="I518" s="134"/>
      <c r="J518" s="115"/>
      <c r="K518" s="115"/>
    </row>
    <row r="519" spans="1:11" ht="15.75" x14ac:dyDescent="0.25">
      <c r="A519" s="105"/>
      <c r="B519" s="105"/>
      <c r="C519" s="93" t="str">
        <f t="shared" si="14"/>
        <v/>
      </c>
      <c r="D519" s="93" t="str">
        <f t="shared" si="15"/>
        <v/>
      </c>
      <c r="E519" s="115"/>
      <c r="F519" s="115"/>
      <c r="G519" s="115"/>
      <c r="H519" s="115"/>
      <c r="I519" s="134"/>
      <c r="J519" s="115"/>
      <c r="K519" s="115"/>
    </row>
    <row r="520" spans="1:11" ht="15.75" x14ac:dyDescent="0.25">
      <c r="A520" s="105"/>
      <c r="B520" s="105"/>
      <c r="C520" s="93" t="str">
        <f t="shared" si="14"/>
        <v/>
      </c>
      <c r="D520" s="93" t="str">
        <f t="shared" si="15"/>
        <v/>
      </c>
      <c r="E520" s="115"/>
      <c r="F520" s="115"/>
      <c r="G520" s="115"/>
      <c r="H520" s="115"/>
      <c r="I520" s="134"/>
      <c r="J520" s="115"/>
      <c r="K520" s="115"/>
    </row>
    <row r="521" spans="1:11" ht="15.75" x14ac:dyDescent="0.25">
      <c r="A521" s="105"/>
      <c r="B521" s="105"/>
      <c r="C521" s="93" t="str">
        <f t="shared" si="14"/>
        <v/>
      </c>
      <c r="D521" s="93" t="str">
        <f t="shared" si="15"/>
        <v/>
      </c>
      <c r="E521" s="115"/>
      <c r="F521" s="115"/>
      <c r="G521" s="115"/>
      <c r="H521" s="115"/>
      <c r="I521" s="134"/>
      <c r="J521" s="115"/>
      <c r="K521" s="115"/>
    </row>
    <row r="522" spans="1:11" ht="15.75" x14ac:dyDescent="0.25">
      <c r="A522" s="105"/>
      <c r="B522" s="105"/>
      <c r="C522" s="93" t="str">
        <f t="shared" si="14"/>
        <v/>
      </c>
      <c r="D522" s="93" t="str">
        <f t="shared" si="15"/>
        <v/>
      </c>
      <c r="E522" s="115"/>
      <c r="F522" s="115"/>
      <c r="G522" s="115"/>
      <c r="H522" s="115"/>
      <c r="I522" s="134"/>
      <c r="J522" s="115"/>
      <c r="K522" s="115"/>
    </row>
    <row r="523" spans="1:11" ht="15.75" x14ac:dyDescent="0.25">
      <c r="A523" s="105"/>
      <c r="B523" s="105"/>
      <c r="C523" s="93" t="str">
        <f t="shared" si="14"/>
        <v/>
      </c>
      <c r="D523" s="93" t="str">
        <f t="shared" si="15"/>
        <v/>
      </c>
      <c r="E523" s="115"/>
      <c r="F523" s="115"/>
      <c r="G523" s="115"/>
      <c r="H523" s="115"/>
      <c r="I523" s="134"/>
      <c r="J523" s="115"/>
      <c r="K523" s="115"/>
    </row>
    <row r="524" spans="1:11" ht="15.75" x14ac:dyDescent="0.25">
      <c r="A524" s="105"/>
      <c r="B524" s="105"/>
      <c r="C524" s="93" t="str">
        <f t="shared" si="14"/>
        <v/>
      </c>
      <c r="D524" s="93" t="str">
        <f t="shared" si="15"/>
        <v/>
      </c>
      <c r="E524" s="115"/>
      <c r="F524" s="115"/>
      <c r="G524" s="115"/>
      <c r="H524" s="115"/>
      <c r="I524" s="134"/>
      <c r="J524" s="115"/>
      <c r="K524" s="115"/>
    </row>
    <row r="525" spans="1:11" ht="15.75" x14ac:dyDescent="0.25">
      <c r="A525" s="105"/>
      <c r="B525" s="105"/>
      <c r="C525" s="93" t="str">
        <f t="shared" si="14"/>
        <v/>
      </c>
      <c r="D525" s="93" t="str">
        <f t="shared" si="15"/>
        <v/>
      </c>
      <c r="E525" s="115"/>
      <c r="F525" s="115"/>
      <c r="G525" s="115"/>
      <c r="H525" s="115"/>
      <c r="I525" s="134"/>
      <c r="J525" s="115"/>
      <c r="K525" s="115"/>
    </row>
    <row r="526" spans="1:11" ht="15.75" x14ac:dyDescent="0.25">
      <c r="A526" s="105"/>
      <c r="B526" s="105"/>
      <c r="C526" s="93" t="str">
        <f t="shared" si="14"/>
        <v/>
      </c>
      <c r="D526" s="93" t="str">
        <f t="shared" si="15"/>
        <v/>
      </c>
      <c r="E526" s="115"/>
      <c r="F526" s="115"/>
      <c r="G526" s="115"/>
      <c r="H526" s="115"/>
      <c r="I526" s="134"/>
      <c r="J526" s="115"/>
      <c r="K526" s="115"/>
    </row>
    <row r="527" spans="1:11" ht="15.75" x14ac:dyDescent="0.25">
      <c r="A527" s="105"/>
      <c r="B527" s="105"/>
      <c r="C527" s="93" t="str">
        <f t="shared" si="14"/>
        <v/>
      </c>
      <c r="D527" s="93" t="str">
        <f t="shared" si="15"/>
        <v/>
      </c>
      <c r="E527" s="115"/>
      <c r="F527" s="115"/>
      <c r="G527" s="115"/>
      <c r="H527" s="115"/>
      <c r="I527" s="134"/>
      <c r="J527" s="115"/>
      <c r="K527" s="115"/>
    </row>
    <row r="528" spans="1:11" ht="15.75" x14ac:dyDescent="0.25">
      <c r="A528" s="105"/>
      <c r="B528" s="105"/>
      <c r="C528" s="93" t="str">
        <f t="shared" si="14"/>
        <v/>
      </c>
      <c r="D528" s="93" t="str">
        <f t="shared" si="15"/>
        <v/>
      </c>
      <c r="E528" s="115"/>
      <c r="F528" s="115"/>
      <c r="G528" s="115"/>
      <c r="H528" s="115"/>
      <c r="I528" s="134"/>
      <c r="J528" s="115"/>
      <c r="K528" s="115"/>
    </row>
    <row r="529" spans="1:11" ht="15.75" x14ac:dyDescent="0.25">
      <c r="A529" s="105"/>
      <c r="B529" s="105"/>
      <c r="C529" s="93" t="str">
        <f t="shared" si="14"/>
        <v/>
      </c>
      <c r="D529" s="93" t="str">
        <f t="shared" si="15"/>
        <v/>
      </c>
      <c r="E529" s="115"/>
      <c r="F529" s="115"/>
      <c r="G529" s="115"/>
      <c r="H529" s="115"/>
      <c r="I529" s="134"/>
      <c r="J529" s="115"/>
      <c r="K529" s="115"/>
    </row>
    <row r="530" spans="1:11" ht="15.75" x14ac:dyDescent="0.25">
      <c r="A530" s="105"/>
      <c r="B530" s="105"/>
      <c r="C530" s="93" t="str">
        <f t="shared" si="14"/>
        <v/>
      </c>
      <c r="D530" s="93" t="str">
        <f t="shared" si="15"/>
        <v/>
      </c>
      <c r="E530" s="115"/>
      <c r="F530" s="115"/>
      <c r="G530" s="115"/>
      <c r="H530" s="115"/>
      <c r="I530" s="134"/>
      <c r="J530" s="115"/>
      <c r="K530" s="115"/>
    </row>
    <row r="531" spans="1:11" ht="15.75" x14ac:dyDescent="0.25">
      <c r="A531" s="105"/>
      <c r="B531" s="105"/>
      <c r="C531" s="93" t="str">
        <f t="shared" si="14"/>
        <v/>
      </c>
      <c r="D531" s="93" t="str">
        <f t="shared" si="15"/>
        <v/>
      </c>
      <c r="E531" s="115"/>
      <c r="F531" s="115"/>
      <c r="G531" s="115"/>
      <c r="H531" s="115"/>
      <c r="I531" s="134"/>
      <c r="J531" s="115"/>
      <c r="K531" s="115"/>
    </row>
    <row r="532" spans="1:11" ht="15.75" x14ac:dyDescent="0.25">
      <c r="A532" s="105"/>
      <c r="B532" s="105"/>
      <c r="C532" s="93" t="str">
        <f t="shared" ref="C532:C595" si="16">IF(A532=0,"",VLOOKUP(B532,MatDB,2,FALSE))</f>
        <v/>
      </c>
      <c r="D532" s="93" t="str">
        <f t="shared" si="15"/>
        <v/>
      </c>
      <c r="E532" s="115"/>
      <c r="F532" s="115"/>
      <c r="G532" s="115"/>
      <c r="H532" s="115"/>
      <c r="I532" s="134"/>
      <c r="J532" s="115"/>
      <c r="K532" s="115"/>
    </row>
    <row r="533" spans="1:11" ht="15.75" x14ac:dyDescent="0.25">
      <c r="A533" s="105"/>
      <c r="B533" s="105"/>
      <c r="C533" s="93" t="str">
        <f t="shared" si="16"/>
        <v/>
      </c>
      <c r="D533" s="93" t="str">
        <f t="shared" ref="D533:D596" si="17">IF(A533=0,"","Steel02")</f>
        <v/>
      </c>
      <c r="E533" s="115"/>
      <c r="F533" s="115"/>
      <c r="G533" s="115"/>
      <c r="H533" s="115"/>
      <c r="I533" s="134"/>
      <c r="J533" s="115"/>
      <c r="K533" s="115"/>
    </row>
    <row r="534" spans="1:11" ht="15.75" x14ac:dyDescent="0.25">
      <c r="A534" s="105"/>
      <c r="B534" s="105"/>
      <c r="C534" s="93" t="str">
        <f t="shared" si="16"/>
        <v/>
      </c>
      <c r="D534" s="93" t="str">
        <f t="shared" si="17"/>
        <v/>
      </c>
      <c r="E534" s="115"/>
      <c r="F534" s="115"/>
      <c r="G534" s="115"/>
      <c r="H534" s="115"/>
      <c r="I534" s="134"/>
      <c r="J534" s="115"/>
      <c r="K534" s="115"/>
    </row>
    <row r="535" spans="1:11" ht="15.75" x14ac:dyDescent="0.25">
      <c r="A535" s="105"/>
      <c r="B535" s="105"/>
      <c r="C535" s="93" t="str">
        <f t="shared" si="16"/>
        <v/>
      </c>
      <c r="D535" s="93" t="str">
        <f t="shared" si="17"/>
        <v/>
      </c>
      <c r="E535" s="115"/>
      <c r="F535" s="115"/>
      <c r="G535" s="115"/>
      <c r="H535" s="115"/>
      <c r="I535" s="134"/>
      <c r="J535" s="115"/>
      <c r="K535" s="115"/>
    </row>
    <row r="536" spans="1:11" ht="15.75" x14ac:dyDescent="0.25">
      <c r="A536" s="105"/>
      <c r="B536" s="105"/>
      <c r="C536" s="93" t="str">
        <f t="shared" si="16"/>
        <v/>
      </c>
      <c r="D536" s="93" t="str">
        <f t="shared" si="17"/>
        <v/>
      </c>
      <c r="E536" s="115"/>
      <c r="F536" s="115"/>
      <c r="G536" s="115"/>
      <c r="H536" s="115"/>
      <c r="I536" s="134"/>
      <c r="J536" s="115"/>
      <c r="K536" s="115"/>
    </row>
    <row r="537" spans="1:11" ht="15.75" x14ac:dyDescent="0.25">
      <c r="A537" s="105"/>
      <c r="B537" s="105"/>
      <c r="C537" s="93" t="str">
        <f t="shared" si="16"/>
        <v/>
      </c>
      <c r="D537" s="93" t="str">
        <f t="shared" si="17"/>
        <v/>
      </c>
      <c r="E537" s="115"/>
      <c r="F537" s="115"/>
      <c r="G537" s="115"/>
      <c r="H537" s="115"/>
      <c r="I537" s="134"/>
      <c r="J537" s="115"/>
      <c r="K537" s="115"/>
    </row>
    <row r="538" spans="1:11" ht="15.75" x14ac:dyDescent="0.25">
      <c r="A538" s="105"/>
      <c r="B538" s="105"/>
      <c r="C538" s="93" t="str">
        <f t="shared" si="16"/>
        <v/>
      </c>
      <c r="D538" s="93" t="str">
        <f t="shared" si="17"/>
        <v/>
      </c>
      <c r="E538" s="115"/>
      <c r="F538" s="115"/>
      <c r="G538" s="115"/>
      <c r="H538" s="115"/>
      <c r="I538" s="134"/>
      <c r="J538" s="115"/>
      <c r="K538" s="115"/>
    </row>
    <row r="539" spans="1:11" ht="15.75" x14ac:dyDescent="0.25">
      <c r="A539" s="105"/>
      <c r="B539" s="105"/>
      <c r="C539" s="93" t="str">
        <f t="shared" si="16"/>
        <v/>
      </c>
      <c r="D539" s="93" t="str">
        <f t="shared" si="17"/>
        <v/>
      </c>
      <c r="E539" s="115"/>
      <c r="F539" s="115"/>
      <c r="G539" s="115"/>
      <c r="H539" s="115"/>
      <c r="I539" s="134"/>
      <c r="J539" s="115"/>
      <c r="K539" s="115"/>
    </row>
    <row r="540" spans="1:11" ht="15.75" x14ac:dyDescent="0.25">
      <c r="A540" s="105"/>
      <c r="B540" s="105"/>
      <c r="C540" s="93" t="str">
        <f t="shared" si="16"/>
        <v/>
      </c>
      <c r="D540" s="93" t="str">
        <f t="shared" si="17"/>
        <v/>
      </c>
      <c r="E540" s="115"/>
      <c r="F540" s="115"/>
      <c r="G540" s="115"/>
      <c r="H540" s="115"/>
      <c r="I540" s="134"/>
      <c r="J540" s="115"/>
      <c r="K540" s="115"/>
    </row>
    <row r="541" spans="1:11" ht="15.75" x14ac:dyDescent="0.25">
      <c r="A541" s="105"/>
      <c r="B541" s="105"/>
      <c r="C541" s="93" t="str">
        <f t="shared" si="16"/>
        <v/>
      </c>
      <c r="D541" s="93" t="str">
        <f t="shared" si="17"/>
        <v/>
      </c>
      <c r="E541" s="115"/>
      <c r="F541" s="115"/>
      <c r="G541" s="115"/>
      <c r="H541" s="115"/>
      <c r="I541" s="134"/>
      <c r="J541" s="115"/>
      <c r="K541" s="115"/>
    </row>
    <row r="542" spans="1:11" ht="15.75" x14ac:dyDescent="0.25">
      <c r="A542" s="105"/>
      <c r="B542" s="105"/>
      <c r="C542" s="93" t="str">
        <f t="shared" si="16"/>
        <v/>
      </c>
      <c r="D542" s="93" t="str">
        <f t="shared" si="17"/>
        <v/>
      </c>
      <c r="E542" s="115"/>
      <c r="F542" s="115"/>
      <c r="G542" s="115"/>
      <c r="H542" s="115"/>
      <c r="I542" s="134"/>
      <c r="J542" s="115"/>
      <c r="K542" s="115"/>
    </row>
    <row r="543" spans="1:11" ht="15.75" x14ac:dyDescent="0.25">
      <c r="A543" s="105"/>
      <c r="B543" s="105"/>
      <c r="C543" s="93" t="str">
        <f t="shared" si="16"/>
        <v/>
      </c>
      <c r="D543" s="93" t="str">
        <f t="shared" si="17"/>
        <v/>
      </c>
      <c r="E543" s="115"/>
      <c r="F543" s="115"/>
      <c r="G543" s="115"/>
      <c r="H543" s="115"/>
      <c r="I543" s="134"/>
      <c r="J543" s="115"/>
      <c r="K543" s="115"/>
    </row>
    <row r="544" spans="1:11" ht="15.75" x14ac:dyDescent="0.25">
      <c r="A544" s="105"/>
      <c r="B544" s="105"/>
      <c r="C544" s="93" t="str">
        <f t="shared" si="16"/>
        <v/>
      </c>
      <c r="D544" s="93" t="str">
        <f t="shared" si="17"/>
        <v/>
      </c>
      <c r="E544" s="115"/>
      <c r="F544" s="115"/>
      <c r="G544" s="115"/>
      <c r="H544" s="115"/>
      <c r="I544" s="134"/>
      <c r="J544" s="115"/>
      <c r="K544" s="115"/>
    </row>
    <row r="545" spans="1:11" ht="15.75" x14ac:dyDescent="0.25">
      <c r="A545" s="105"/>
      <c r="B545" s="105"/>
      <c r="C545" s="93" t="str">
        <f t="shared" si="16"/>
        <v/>
      </c>
      <c r="D545" s="93" t="str">
        <f t="shared" si="17"/>
        <v/>
      </c>
      <c r="E545" s="115"/>
      <c r="F545" s="115"/>
      <c r="G545" s="115"/>
      <c r="H545" s="115"/>
      <c r="I545" s="134"/>
      <c r="J545" s="115"/>
      <c r="K545" s="115"/>
    </row>
    <row r="546" spans="1:11" ht="15.75" x14ac:dyDescent="0.25">
      <c r="A546" s="105"/>
      <c r="B546" s="105"/>
      <c r="C546" s="93" t="str">
        <f t="shared" si="16"/>
        <v/>
      </c>
      <c r="D546" s="93" t="str">
        <f t="shared" si="17"/>
        <v/>
      </c>
      <c r="E546" s="115"/>
      <c r="F546" s="115"/>
      <c r="G546" s="115"/>
      <c r="H546" s="115"/>
      <c r="I546" s="134"/>
      <c r="J546" s="115"/>
      <c r="K546" s="115"/>
    </row>
    <row r="547" spans="1:11" ht="15.75" x14ac:dyDescent="0.25">
      <c r="A547" s="105"/>
      <c r="B547" s="105"/>
      <c r="C547" s="93" t="str">
        <f t="shared" si="16"/>
        <v/>
      </c>
      <c r="D547" s="93" t="str">
        <f t="shared" si="17"/>
        <v/>
      </c>
      <c r="E547" s="115"/>
      <c r="F547" s="115"/>
      <c r="G547" s="115"/>
      <c r="H547" s="115"/>
      <c r="I547" s="134"/>
      <c r="J547" s="115"/>
      <c r="K547" s="115"/>
    </row>
    <row r="548" spans="1:11" ht="15.75" x14ac:dyDescent="0.25">
      <c r="A548" s="105"/>
      <c r="B548" s="105"/>
      <c r="C548" s="93" t="str">
        <f t="shared" si="16"/>
        <v/>
      </c>
      <c r="D548" s="93" t="str">
        <f t="shared" si="17"/>
        <v/>
      </c>
      <c r="E548" s="115"/>
      <c r="F548" s="115"/>
      <c r="G548" s="115"/>
      <c r="H548" s="115"/>
      <c r="I548" s="134"/>
      <c r="J548" s="115"/>
      <c r="K548" s="115"/>
    </row>
    <row r="549" spans="1:11" ht="15.75" x14ac:dyDescent="0.25">
      <c r="A549" s="105"/>
      <c r="B549" s="105"/>
      <c r="C549" s="93" t="str">
        <f t="shared" si="16"/>
        <v/>
      </c>
      <c r="D549" s="93" t="str">
        <f t="shared" si="17"/>
        <v/>
      </c>
      <c r="E549" s="115"/>
      <c r="F549" s="115"/>
      <c r="G549" s="115"/>
      <c r="H549" s="115"/>
      <c r="I549" s="134"/>
      <c r="J549" s="115"/>
      <c r="K549" s="115"/>
    </row>
    <row r="550" spans="1:11" ht="15.75" x14ac:dyDescent="0.25">
      <c r="A550" s="105"/>
      <c r="B550" s="105"/>
      <c r="C550" s="93" t="str">
        <f t="shared" si="16"/>
        <v/>
      </c>
      <c r="D550" s="93" t="str">
        <f t="shared" si="17"/>
        <v/>
      </c>
      <c r="E550" s="115"/>
      <c r="F550" s="115"/>
      <c r="G550" s="115"/>
      <c r="H550" s="115"/>
      <c r="I550" s="134"/>
      <c r="J550" s="115"/>
      <c r="K550" s="115"/>
    </row>
    <row r="551" spans="1:11" ht="15.75" x14ac:dyDescent="0.25">
      <c r="A551" s="105"/>
      <c r="B551" s="105"/>
      <c r="C551" s="93" t="str">
        <f t="shared" si="16"/>
        <v/>
      </c>
      <c r="D551" s="93" t="str">
        <f t="shared" si="17"/>
        <v/>
      </c>
      <c r="E551" s="115"/>
      <c r="F551" s="115"/>
      <c r="G551" s="115"/>
      <c r="H551" s="115"/>
      <c r="I551" s="134"/>
      <c r="J551" s="115"/>
      <c r="K551" s="115"/>
    </row>
    <row r="552" spans="1:11" ht="15.75" x14ac:dyDescent="0.25">
      <c r="A552" s="105"/>
      <c r="B552" s="105"/>
      <c r="C552" s="93" t="str">
        <f t="shared" si="16"/>
        <v/>
      </c>
      <c r="D552" s="93" t="str">
        <f t="shared" si="17"/>
        <v/>
      </c>
      <c r="E552" s="115"/>
      <c r="F552" s="115"/>
      <c r="G552" s="115"/>
      <c r="H552" s="115"/>
      <c r="I552" s="134"/>
      <c r="J552" s="115"/>
      <c r="K552" s="115"/>
    </row>
    <row r="553" spans="1:11" ht="15.75" x14ac:dyDescent="0.25">
      <c r="A553" s="105"/>
      <c r="B553" s="105"/>
      <c r="C553" s="93" t="str">
        <f t="shared" si="16"/>
        <v/>
      </c>
      <c r="D553" s="93" t="str">
        <f t="shared" si="17"/>
        <v/>
      </c>
      <c r="E553" s="115"/>
      <c r="F553" s="115"/>
      <c r="G553" s="115"/>
      <c r="H553" s="115"/>
      <c r="I553" s="134"/>
      <c r="J553" s="115"/>
      <c r="K553" s="115"/>
    </row>
    <row r="554" spans="1:11" ht="15.75" x14ac:dyDescent="0.25">
      <c r="A554" s="105"/>
      <c r="B554" s="105"/>
      <c r="C554" s="93" t="str">
        <f t="shared" si="16"/>
        <v/>
      </c>
      <c r="D554" s="93" t="str">
        <f t="shared" si="17"/>
        <v/>
      </c>
      <c r="E554" s="115"/>
      <c r="F554" s="115"/>
      <c r="G554" s="115"/>
      <c r="H554" s="115"/>
      <c r="I554" s="134"/>
      <c r="J554" s="115"/>
      <c r="K554" s="115"/>
    </row>
    <row r="555" spans="1:11" ht="15.75" x14ac:dyDescent="0.25">
      <c r="A555" s="105"/>
      <c r="B555" s="105"/>
      <c r="C555" s="93" t="str">
        <f t="shared" si="16"/>
        <v/>
      </c>
      <c r="D555" s="93" t="str">
        <f t="shared" si="17"/>
        <v/>
      </c>
      <c r="E555" s="115"/>
      <c r="F555" s="115"/>
      <c r="G555" s="115"/>
      <c r="H555" s="115"/>
      <c r="I555" s="134"/>
      <c r="J555" s="115"/>
      <c r="K555" s="115"/>
    </row>
    <row r="556" spans="1:11" ht="15.75" x14ac:dyDescent="0.25">
      <c r="A556" s="105"/>
      <c r="B556" s="105"/>
      <c r="C556" s="93" t="str">
        <f t="shared" si="16"/>
        <v/>
      </c>
      <c r="D556" s="93" t="str">
        <f t="shared" si="17"/>
        <v/>
      </c>
      <c r="E556" s="115"/>
      <c r="F556" s="115"/>
      <c r="G556" s="115"/>
      <c r="H556" s="115"/>
      <c r="I556" s="134"/>
      <c r="J556" s="115"/>
      <c r="K556" s="115"/>
    </row>
    <row r="557" spans="1:11" ht="15.75" x14ac:dyDescent="0.25">
      <c r="A557" s="105"/>
      <c r="B557" s="105"/>
      <c r="C557" s="93" t="str">
        <f t="shared" si="16"/>
        <v/>
      </c>
      <c r="D557" s="93" t="str">
        <f t="shared" si="17"/>
        <v/>
      </c>
      <c r="E557" s="115"/>
      <c r="F557" s="115"/>
      <c r="G557" s="115"/>
      <c r="H557" s="115"/>
      <c r="I557" s="134"/>
      <c r="J557" s="115"/>
      <c r="K557" s="115"/>
    </row>
    <row r="558" spans="1:11" ht="15.75" x14ac:dyDescent="0.25">
      <c r="A558" s="105"/>
      <c r="B558" s="105"/>
      <c r="C558" s="93" t="str">
        <f t="shared" si="16"/>
        <v/>
      </c>
      <c r="D558" s="93" t="str">
        <f t="shared" si="17"/>
        <v/>
      </c>
      <c r="E558" s="115"/>
      <c r="F558" s="115"/>
      <c r="G558" s="115"/>
      <c r="H558" s="115"/>
      <c r="I558" s="134"/>
      <c r="J558" s="115"/>
      <c r="K558" s="115"/>
    </row>
    <row r="559" spans="1:11" ht="15.75" x14ac:dyDescent="0.25">
      <c r="A559" s="105"/>
      <c r="B559" s="105"/>
      <c r="C559" s="93" t="str">
        <f t="shared" si="16"/>
        <v/>
      </c>
      <c r="D559" s="93" t="str">
        <f t="shared" si="17"/>
        <v/>
      </c>
      <c r="E559" s="115"/>
      <c r="F559" s="115"/>
      <c r="G559" s="115"/>
      <c r="H559" s="115"/>
      <c r="I559" s="134"/>
      <c r="J559" s="115"/>
      <c r="K559" s="115"/>
    </row>
    <row r="560" spans="1:11" ht="15.75" x14ac:dyDescent="0.25">
      <c r="A560" s="105"/>
      <c r="B560" s="105"/>
      <c r="C560" s="93" t="str">
        <f t="shared" si="16"/>
        <v/>
      </c>
      <c r="D560" s="93" t="str">
        <f t="shared" si="17"/>
        <v/>
      </c>
      <c r="E560" s="115"/>
      <c r="F560" s="115"/>
      <c r="G560" s="115"/>
      <c r="H560" s="115"/>
      <c r="I560" s="134"/>
      <c r="J560" s="115"/>
      <c r="K560" s="115"/>
    </row>
    <row r="561" spans="1:11" ht="15.75" x14ac:dyDescent="0.25">
      <c r="A561" s="105"/>
      <c r="B561" s="105"/>
      <c r="C561" s="93" t="str">
        <f t="shared" si="16"/>
        <v/>
      </c>
      <c r="D561" s="93" t="str">
        <f t="shared" si="17"/>
        <v/>
      </c>
      <c r="E561" s="115"/>
      <c r="F561" s="115"/>
      <c r="G561" s="115"/>
      <c r="H561" s="115"/>
      <c r="I561" s="134"/>
      <c r="J561" s="115"/>
      <c r="K561" s="115"/>
    </row>
    <row r="562" spans="1:11" ht="15.75" x14ac:dyDescent="0.25">
      <c r="A562" s="105"/>
      <c r="B562" s="105"/>
      <c r="C562" s="93" t="str">
        <f t="shared" si="16"/>
        <v/>
      </c>
      <c r="D562" s="93" t="str">
        <f t="shared" si="17"/>
        <v/>
      </c>
      <c r="E562" s="115"/>
      <c r="F562" s="115"/>
      <c r="G562" s="115"/>
      <c r="H562" s="115"/>
      <c r="I562" s="134"/>
      <c r="J562" s="115"/>
      <c r="K562" s="115"/>
    </row>
    <row r="563" spans="1:11" ht="15.75" x14ac:dyDescent="0.25">
      <c r="A563" s="105"/>
      <c r="B563" s="105"/>
      <c r="C563" s="93" t="str">
        <f t="shared" si="16"/>
        <v/>
      </c>
      <c r="D563" s="93" t="str">
        <f t="shared" si="17"/>
        <v/>
      </c>
      <c r="E563" s="115"/>
      <c r="F563" s="115"/>
      <c r="G563" s="115"/>
      <c r="H563" s="115"/>
      <c r="I563" s="134"/>
      <c r="J563" s="115"/>
      <c r="K563" s="115"/>
    </row>
    <row r="564" spans="1:11" ht="15.75" x14ac:dyDescent="0.25">
      <c r="A564" s="105"/>
      <c r="B564" s="105"/>
      <c r="C564" s="93" t="str">
        <f t="shared" si="16"/>
        <v/>
      </c>
      <c r="D564" s="93" t="str">
        <f t="shared" si="17"/>
        <v/>
      </c>
      <c r="E564" s="115"/>
      <c r="F564" s="115"/>
      <c r="G564" s="115"/>
      <c r="H564" s="115"/>
      <c r="I564" s="134"/>
      <c r="J564" s="115"/>
      <c r="K564" s="115"/>
    </row>
    <row r="565" spans="1:11" ht="15.75" x14ac:dyDescent="0.25">
      <c r="A565" s="105"/>
      <c r="B565" s="105"/>
      <c r="C565" s="93" t="str">
        <f t="shared" si="16"/>
        <v/>
      </c>
      <c r="D565" s="93" t="str">
        <f t="shared" si="17"/>
        <v/>
      </c>
      <c r="E565" s="115"/>
      <c r="F565" s="115"/>
      <c r="G565" s="115"/>
      <c r="H565" s="115"/>
      <c r="I565" s="134"/>
      <c r="J565" s="115"/>
      <c r="K565" s="115"/>
    </row>
    <row r="566" spans="1:11" ht="15.75" x14ac:dyDescent="0.25">
      <c r="A566" s="105"/>
      <c r="B566" s="105"/>
      <c r="C566" s="93" t="str">
        <f t="shared" si="16"/>
        <v/>
      </c>
      <c r="D566" s="93" t="str">
        <f t="shared" si="17"/>
        <v/>
      </c>
      <c r="E566" s="115"/>
      <c r="F566" s="115"/>
      <c r="G566" s="115"/>
      <c r="H566" s="115"/>
      <c r="I566" s="134"/>
      <c r="J566" s="115"/>
      <c r="K566" s="115"/>
    </row>
    <row r="567" spans="1:11" ht="15.75" x14ac:dyDescent="0.25">
      <c r="A567" s="105"/>
      <c r="B567" s="105"/>
      <c r="C567" s="93" t="str">
        <f t="shared" si="16"/>
        <v/>
      </c>
      <c r="D567" s="93" t="str">
        <f t="shared" si="17"/>
        <v/>
      </c>
      <c r="E567" s="115"/>
      <c r="F567" s="115"/>
      <c r="G567" s="115"/>
      <c r="H567" s="115"/>
      <c r="I567" s="134"/>
      <c r="J567" s="115"/>
      <c r="K567" s="115"/>
    </row>
    <row r="568" spans="1:11" ht="15.75" x14ac:dyDescent="0.25">
      <c r="A568" s="105"/>
      <c r="B568" s="105"/>
      <c r="C568" s="93" t="str">
        <f t="shared" si="16"/>
        <v/>
      </c>
      <c r="D568" s="93" t="str">
        <f t="shared" si="17"/>
        <v/>
      </c>
      <c r="E568" s="115"/>
      <c r="F568" s="115"/>
      <c r="G568" s="115"/>
      <c r="H568" s="115"/>
      <c r="I568" s="134"/>
      <c r="J568" s="115"/>
      <c r="K568" s="115"/>
    </row>
    <row r="569" spans="1:11" ht="15.75" x14ac:dyDescent="0.25">
      <c r="A569" s="105"/>
      <c r="B569" s="105"/>
      <c r="C569" s="93" t="str">
        <f t="shared" si="16"/>
        <v/>
      </c>
      <c r="D569" s="93" t="str">
        <f t="shared" si="17"/>
        <v/>
      </c>
      <c r="E569" s="115"/>
      <c r="F569" s="115"/>
      <c r="G569" s="115"/>
      <c r="H569" s="115"/>
      <c r="I569" s="134"/>
      <c r="J569" s="115"/>
      <c r="K569" s="115"/>
    </row>
    <row r="570" spans="1:11" ht="15.75" x14ac:dyDescent="0.25">
      <c r="A570" s="105"/>
      <c r="B570" s="105"/>
      <c r="C570" s="93" t="str">
        <f t="shared" si="16"/>
        <v/>
      </c>
      <c r="D570" s="93" t="str">
        <f t="shared" si="17"/>
        <v/>
      </c>
      <c r="E570" s="115"/>
      <c r="F570" s="115"/>
      <c r="G570" s="115"/>
      <c r="H570" s="115"/>
      <c r="I570" s="134"/>
      <c r="J570" s="115"/>
      <c r="K570" s="115"/>
    </row>
    <row r="571" spans="1:11" ht="15.75" x14ac:dyDescent="0.25">
      <c r="A571" s="105"/>
      <c r="B571" s="105"/>
      <c r="C571" s="93" t="str">
        <f t="shared" si="16"/>
        <v/>
      </c>
      <c r="D571" s="93" t="str">
        <f t="shared" si="17"/>
        <v/>
      </c>
      <c r="E571" s="115"/>
      <c r="F571" s="115"/>
      <c r="G571" s="115"/>
      <c r="H571" s="115"/>
      <c r="I571" s="134"/>
      <c r="J571" s="115"/>
      <c r="K571" s="115"/>
    </row>
    <row r="572" spans="1:11" ht="15.75" x14ac:dyDescent="0.25">
      <c r="A572" s="105"/>
      <c r="B572" s="105"/>
      <c r="C572" s="93" t="str">
        <f t="shared" si="16"/>
        <v/>
      </c>
      <c r="D572" s="93" t="str">
        <f t="shared" si="17"/>
        <v/>
      </c>
      <c r="E572" s="115"/>
      <c r="F572" s="115"/>
      <c r="G572" s="115"/>
      <c r="H572" s="115"/>
      <c r="I572" s="134"/>
      <c r="J572" s="115"/>
      <c r="K572" s="115"/>
    </row>
    <row r="573" spans="1:11" ht="15.75" x14ac:dyDescent="0.25">
      <c r="A573" s="105"/>
      <c r="B573" s="105"/>
      <c r="C573" s="93" t="str">
        <f t="shared" si="16"/>
        <v/>
      </c>
      <c r="D573" s="93" t="str">
        <f t="shared" si="17"/>
        <v/>
      </c>
      <c r="E573" s="115"/>
      <c r="F573" s="115"/>
      <c r="G573" s="115"/>
      <c r="H573" s="115"/>
      <c r="I573" s="134"/>
      <c r="J573" s="115"/>
      <c r="K573" s="115"/>
    </row>
    <row r="574" spans="1:11" ht="15.75" x14ac:dyDescent="0.25">
      <c r="A574" s="105"/>
      <c r="B574" s="105"/>
      <c r="C574" s="93" t="str">
        <f t="shared" si="16"/>
        <v/>
      </c>
      <c r="D574" s="93" t="str">
        <f t="shared" si="17"/>
        <v/>
      </c>
      <c r="E574" s="115"/>
      <c r="F574" s="115"/>
      <c r="G574" s="115"/>
      <c r="H574" s="115"/>
      <c r="I574" s="134"/>
      <c r="J574" s="115"/>
      <c r="K574" s="115"/>
    </row>
    <row r="575" spans="1:11" ht="15.75" x14ac:dyDescent="0.25">
      <c r="A575" s="105"/>
      <c r="B575" s="105"/>
      <c r="C575" s="93" t="str">
        <f t="shared" si="16"/>
        <v/>
      </c>
      <c r="D575" s="93" t="str">
        <f t="shared" si="17"/>
        <v/>
      </c>
      <c r="E575" s="115"/>
      <c r="F575" s="115"/>
      <c r="G575" s="115"/>
      <c r="H575" s="115"/>
      <c r="I575" s="134"/>
      <c r="J575" s="115"/>
      <c r="K575" s="115"/>
    </row>
    <row r="576" spans="1:11" ht="15.75" x14ac:dyDescent="0.25">
      <c r="A576" s="105"/>
      <c r="B576" s="105"/>
      <c r="C576" s="93" t="str">
        <f t="shared" si="16"/>
        <v/>
      </c>
      <c r="D576" s="93" t="str">
        <f t="shared" si="17"/>
        <v/>
      </c>
      <c r="E576" s="115"/>
      <c r="F576" s="115"/>
      <c r="G576" s="115"/>
      <c r="H576" s="115"/>
      <c r="I576" s="134"/>
      <c r="J576" s="115"/>
      <c r="K576" s="115"/>
    </row>
    <row r="577" spans="1:11" ht="15.75" x14ac:dyDescent="0.25">
      <c r="A577" s="105"/>
      <c r="B577" s="105"/>
      <c r="C577" s="93" t="str">
        <f t="shared" si="16"/>
        <v/>
      </c>
      <c r="D577" s="93" t="str">
        <f t="shared" si="17"/>
        <v/>
      </c>
      <c r="E577" s="115"/>
      <c r="F577" s="115"/>
      <c r="G577" s="115"/>
      <c r="H577" s="115"/>
      <c r="I577" s="134"/>
      <c r="J577" s="115"/>
      <c r="K577" s="115"/>
    </row>
    <row r="578" spans="1:11" ht="15.75" x14ac:dyDescent="0.25">
      <c r="A578" s="105"/>
      <c r="B578" s="105"/>
      <c r="C578" s="93" t="str">
        <f t="shared" si="16"/>
        <v/>
      </c>
      <c r="D578" s="93" t="str">
        <f t="shared" si="17"/>
        <v/>
      </c>
      <c r="E578" s="115"/>
      <c r="F578" s="115"/>
      <c r="G578" s="115"/>
      <c r="H578" s="115"/>
      <c r="I578" s="134"/>
      <c r="J578" s="115"/>
      <c r="K578" s="115"/>
    </row>
    <row r="579" spans="1:11" ht="15.75" x14ac:dyDescent="0.25">
      <c r="A579" s="105"/>
      <c r="B579" s="105"/>
      <c r="C579" s="93" t="str">
        <f t="shared" si="16"/>
        <v/>
      </c>
      <c r="D579" s="93" t="str">
        <f t="shared" si="17"/>
        <v/>
      </c>
      <c r="E579" s="115"/>
      <c r="F579" s="115"/>
      <c r="G579" s="115"/>
      <c r="H579" s="115"/>
      <c r="I579" s="134"/>
      <c r="J579" s="115"/>
      <c r="K579" s="115"/>
    </row>
    <row r="580" spans="1:11" ht="15.75" x14ac:dyDescent="0.25">
      <c r="A580" s="105"/>
      <c r="B580" s="105"/>
      <c r="C580" s="93" t="str">
        <f t="shared" si="16"/>
        <v/>
      </c>
      <c r="D580" s="93" t="str">
        <f t="shared" si="17"/>
        <v/>
      </c>
      <c r="E580" s="115"/>
      <c r="F580" s="115"/>
      <c r="G580" s="115"/>
      <c r="H580" s="115"/>
      <c r="I580" s="134"/>
      <c r="J580" s="115"/>
      <c r="K580" s="115"/>
    </row>
    <row r="581" spans="1:11" ht="15.75" x14ac:dyDescent="0.25">
      <c r="A581" s="105"/>
      <c r="B581" s="105"/>
      <c r="C581" s="93" t="str">
        <f t="shared" si="16"/>
        <v/>
      </c>
      <c r="D581" s="93" t="str">
        <f t="shared" si="17"/>
        <v/>
      </c>
      <c r="E581" s="115"/>
      <c r="F581" s="115"/>
      <c r="G581" s="115"/>
      <c r="H581" s="115"/>
      <c r="I581" s="134"/>
      <c r="J581" s="115"/>
      <c r="K581" s="115"/>
    </row>
    <row r="582" spans="1:11" ht="15.75" x14ac:dyDescent="0.25">
      <c r="A582" s="105"/>
      <c r="B582" s="105"/>
      <c r="C582" s="93" t="str">
        <f t="shared" si="16"/>
        <v/>
      </c>
      <c r="D582" s="93" t="str">
        <f t="shared" si="17"/>
        <v/>
      </c>
      <c r="E582" s="115"/>
      <c r="F582" s="115"/>
      <c r="G582" s="115"/>
      <c r="H582" s="115"/>
      <c r="I582" s="134"/>
      <c r="J582" s="115"/>
      <c r="K582" s="115"/>
    </row>
    <row r="583" spans="1:11" ht="15.75" x14ac:dyDescent="0.25">
      <c r="A583" s="105"/>
      <c r="B583" s="105"/>
      <c r="C583" s="93" t="str">
        <f t="shared" si="16"/>
        <v/>
      </c>
      <c r="D583" s="93" t="str">
        <f t="shared" si="17"/>
        <v/>
      </c>
      <c r="E583" s="115"/>
      <c r="F583" s="115"/>
      <c r="G583" s="115"/>
      <c r="H583" s="115"/>
      <c r="I583" s="134"/>
      <c r="J583" s="115"/>
      <c r="K583" s="115"/>
    </row>
    <row r="584" spans="1:11" ht="15.75" x14ac:dyDescent="0.25">
      <c r="A584" s="105"/>
      <c r="B584" s="105"/>
      <c r="C584" s="93" t="str">
        <f t="shared" si="16"/>
        <v/>
      </c>
      <c r="D584" s="93" t="str">
        <f t="shared" si="17"/>
        <v/>
      </c>
      <c r="E584" s="115"/>
      <c r="F584" s="115"/>
      <c r="G584" s="115"/>
      <c r="H584" s="115"/>
      <c r="I584" s="134"/>
      <c r="J584" s="115"/>
      <c r="K584" s="115"/>
    </row>
    <row r="585" spans="1:11" ht="15.75" x14ac:dyDescent="0.25">
      <c r="A585" s="105"/>
      <c r="B585" s="105"/>
      <c r="C585" s="93" t="str">
        <f t="shared" si="16"/>
        <v/>
      </c>
      <c r="D585" s="93" t="str">
        <f t="shared" si="17"/>
        <v/>
      </c>
      <c r="E585" s="115"/>
      <c r="F585" s="115"/>
      <c r="G585" s="115"/>
      <c r="H585" s="115"/>
      <c r="I585" s="134"/>
      <c r="J585" s="115"/>
      <c r="K585" s="115"/>
    </row>
    <row r="586" spans="1:11" ht="15.75" x14ac:dyDescent="0.25">
      <c r="A586" s="105"/>
      <c r="B586" s="105"/>
      <c r="C586" s="93" t="str">
        <f t="shared" si="16"/>
        <v/>
      </c>
      <c r="D586" s="93" t="str">
        <f t="shared" si="17"/>
        <v/>
      </c>
      <c r="E586" s="115"/>
      <c r="F586" s="115"/>
      <c r="G586" s="115"/>
      <c r="H586" s="115"/>
      <c r="I586" s="134"/>
      <c r="J586" s="115"/>
      <c r="K586" s="115"/>
    </row>
    <row r="587" spans="1:11" ht="15.75" x14ac:dyDescent="0.25">
      <c r="A587" s="105"/>
      <c r="B587" s="105"/>
      <c r="C587" s="93" t="str">
        <f t="shared" si="16"/>
        <v/>
      </c>
      <c r="D587" s="93" t="str">
        <f t="shared" si="17"/>
        <v/>
      </c>
      <c r="E587" s="115"/>
      <c r="F587" s="115"/>
      <c r="G587" s="115"/>
      <c r="H587" s="115"/>
      <c r="I587" s="134"/>
      <c r="J587" s="115"/>
      <c r="K587" s="115"/>
    </row>
    <row r="588" spans="1:11" ht="15.75" x14ac:dyDescent="0.25">
      <c r="A588" s="105"/>
      <c r="B588" s="105"/>
      <c r="C588" s="93" t="str">
        <f t="shared" si="16"/>
        <v/>
      </c>
      <c r="D588" s="93" t="str">
        <f t="shared" si="17"/>
        <v/>
      </c>
      <c r="E588" s="115"/>
      <c r="F588" s="115"/>
      <c r="G588" s="115"/>
      <c r="H588" s="115"/>
      <c r="I588" s="134"/>
      <c r="J588" s="115"/>
      <c r="K588" s="115"/>
    </row>
    <row r="589" spans="1:11" ht="15.75" x14ac:dyDescent="0.25">
      <c r="A589" s="105"/>
      <c r="B589" s="105"/>
      <c r="C589" s="93" t="str">
        <f t="shared" si="16"/>
        <v/>
      </c>
      <c r="D589" s="93" t="str">
        <f t="shared" si="17"/>
        <v/>
      </c>
      <c r="E589" s="115"/>
      <c r="F589" s="115"/>
      <c r="G589" s="115"/>
      <c r="H589" s="115"/>
      <c r="I589" s="134"/>
      <c r="J589" s="115"/>
      <c r="K589" s="115"/>
    </row>
    <row r="590" spans="1:11" ht="15.75" x14ac:dyDescent="0.25">
      <c r="A590" s="105"/>
      <c r="B590" s="105"/>
      <c r="C590" s="93" t="str">
        <f t="shared" si="16"/>
        <v/>
      </c>
      <c r="D590" s="93" t="str">
        <f t="shared" si="17"/>
        <v/>
      </c>
      <c r="E590" s="115"/>
      <c r="F590" s="115"/>
      <c r="G590" s="115"/>
      <c r="H590" s="115"/>
      <c r="I590" s="134"/>
      <c r="J590" s="115"/>
      <c r="K590" s="115"/>
    </row>
    <row r="591" spans="1:11" ht="15.75" x14ac:dyDescent="0.25">
      <c r="A591" s="105"/>
      <c r="B591" s="105"/>
      <c r="C591" s="93" t="str">
        <f t="shared" si="16"/>
        <v/>
      </c>
      <c r="D591" s="93" t="str">
        <f t="shared" si="17"/>
        <v/>
      </c>
      <c r="E591" s="115"/>
      <c r="F591" s="115"/>
      <c r="G591" s="115"/>
      <c r="H591" s="115"/>
      <c r="I591" s="134"/>
      <c r="J591" s="115"/>
      <c r="K591" s="115"/>
    </row>
    <row r="592" spans="1:11" ht="15.75" x14ac:dyDescent="0.25">
      <c r="A592" s="105"/>
      <c r="B592" s="105"/>
      <c r="C592" s="93" t="str">
        <f t="shared" si="16"/>
        <v/>
      </c>
      <c r="D592" s="93" t="str">
        <f t="shared" si="17"/>
        <v/>
      </c>
      <c r="E592" s="115"/>
      <c r="F592" s="115"/>
      <c r="G592" s="115"/>
      <c r="H592" s="115"/>
      <c r="I592" s="134"/>
      <c r="J592" s="115"/>
      <c r="K592" s="115"/>
    </row>
    <row r="593" spans="1:11" ht="15.75" x14ac:dyDescent="0.25">
      <c r="A593" s="105"/>
      <c r="B593" s="105"/>
      <c r="C593" s="93" t="str">
        <f t="shared" si="16"/>
        <v/>
      </c>
      <c r="D593" s="93" t="str">
        <f t="shared" si="17"/>
        <v/>
      </c>
      <c r="E593" s="115"/>
      <c r="F593" s="115"/>
      <c r="G593" s="115"/>
      <c r="H593" s="115"/>
      <c r="I593" s="134"/>
      <c r="J593" s="115"/>
      <c r="K593" s="115"/>
    </row>
    <row r="594" spans="1:11" ht="15.75" x14ac:dyDescent="0.25">
      <c r="A594" s="105"/>
      <c r="B594" s="105"/>
      <c r="C594" s="93" t="str">
        <f t="shared" si="16"/>
        <v/>
      </c>
      <c r="D594" s="93" t="str">
        <f t="shared" si="17"/>
        <v/>
      </c>
      <c r="E594" s="115"/>
      <c r="F594" s="115"/>
      <c r="G594" s="115"/>
      <c r="H594" s="115"/>
      <c r="I594" s="134"/>
      <c r="J594" s="115"/>
      <c r="K594" s="115"/>
    </row>
    <row r="595" spans="1:11" ht="15.75" x14ac:dyDescent="0.25">
      <c r="A595" s="105"/>
      <c r="B595" s="105"/>
      <c r="C595" s="93" t="str">
        <f t="shared" si="16"/>
        <v/>
      </c>
      <c r="D595" s="93" t="str">
        <f t="shared" si="17"/>
        <v/>
      </c>
      <c r="E595" s="115"/>
      <c r="F595" s="115"/>
      <c r="G595" s="115"/>
      <c r="H595" s="115"/>
      <c r="I595" s="134"/>
      <c r="J595" s="115"/>
      <c r="K595" s="115"/>
    </row>
    <row r="596" spans="1:11" ht="15.75" x14ac:dyDescent="0.25">
      <c r="A596" s="105"/>
      <c r="B596" s="105"/>
      <c r="C596" s="93" t="str">
        <f t="shared" ref="C596:C659" si="18">IF(A596=0,"",VLOOKUP(B596,MatDB,2,FALSE))</f>
        <v/>
      </c>
      <c r="D596" s="93" t="str">
        <f t="shared" si="17"/>
        <v/>
      </c>
      <c r="E596" s="115"/>
      <c r="F596" s="115"/>
      <c r="G596" s="115"/>
      <c r="H596" s="115"/>
      <c r="I596" s="134"/>
      <c r="J596" s="115"/>
      <c r="K596" s="115"/>
    </row>
    <row r="597" spans="1:11" ht="15.75" x14ac:dyDescent="0.25">
      <c r="A597" s="105"/>
      <c r="B597" s="105"/>
      <c r="C597" s="93" t="str">
        <f t="shared" si="18"/>
        <v/>
      </c>
      <c r="D597" s="93" t="str">
        <f t="shared" ref="D597:D660" si="19">IF(A597=0,"","Steel02")</f>
        <v/>
      </c>
      <c r="E597" s="115"/>
      <c r="F597" s="115"/>
      <c r="G597" s="115"/>
      <c r="H597" s="115"/>
      <c r="I597" s="134"/>
      <c r="J597" s="115"/>
      <c r="K597" s="115"/>
    </row>
    <row r="598" spans="1:11" ht="15.75" x14ac:dyDescent="0.25">
      <c r="A598" s="105"/>
      <c r="B598" s="105"/>
      <c r="C598" s="93" t="str">
        <f t="shared" si="18"/>
        <v/>
      </c>
      <c r="D598" s="93" t="str">
        <f t="shared" si="19"/>
        <v/>
      </c>
      <c r="E598" s="115"/>
      <c r="F598" s="115"/>
      <c r="G598" s="115"/>
      <c r="H598" s="115"/>
      <c r="I598" s="134"/>
      <c r="J598" s="115"/>
      <c r="K598" s="115"/>
    </row>
    <row r="599" spans="1:11" ht="15.75" x14ac:dyDescent="0.25">
      <c r="A599" s="105"/>
      <c r="B599" s="105"/>
      <c r="C599" s="93" t="str">
        <f t="shared" si="18"/>
        <v/>
      </c>
      <c r="D599" s="93" t="str">
        <f t="shared" si="19"/>
        <v/>
      </c>
      <c r="E599" s="115"/>
      <c r="F599" s="115"/>
      <c r="G599" s="115"/>
      <c r="H599" s="115"/>
      <c r="I599" s="134"/>
      <c r="J599" s="115"/>
      <c r="K599" s="115"/>
    </row>
    <row r="600" spans="1:11" ht="15.75" x14ac:dyDescent="0.25">
      <c r="A600" s="105"/>
      <c r="B600" s="105"/>
      <c r="C600" s="93" t="str">
        <f t="shared" si="18"/>
        <v/>
      </c>
      <c r="D600" s="93" t="str">
        <f t="shared" si="19"/>
        <v/>
      </c>
      <c r="E600" s="115"/>
      <c r="F600" s="115"/>
      <c r="G600" s="115"/>
      <c r="H600" s="115"/>
      <c r="I600" s="134"/>
      <c r="J600" s="115"/>
      <c r="K600" s="115"/>
    </row>
    <row r="601" spans="1:11" ht="15.75" x14ac:dyDescent="0.25">
      <c r="A601" s="105"/>
      <c r="B601" s="105"/>
      <c r="C601" s="93" t="str">
        <f t="shared" si="18"/>
        <v/>
      </c>
      <c r="D601" s="93" t="str">
        <f t="shared" si="19"/>
        <v/>
      </c>
      <c r="E601" s="115"/>
      <c r="F601" s="115"/>
      <c r="G601" s="115"/>
      <c r="H601" s="115"/>
      <c r="I601" s="134"/>
      <c r="J601" s="115"/>
      <c r="K601" s="115"/>
    </row>
    <row r="602" spans="1:11" ht="15.75" x14ac:dyDescent="0.25">
      <c r="A602" s="105"/>
      <c r="B602" s="105"/>
      <c r="C602" s="93" t="str">
        <f t="shared" si="18"/>
        <v/>
      </c>
      <c r="D602" s="93" t="str">
        <f t="shared" si="19"/>
        <v/>
      </c>
      <c r="E602" s="115"/>
      <c r="F602" s="115"/>
      <c r="G602" s="115"/>
      <c r="H602" s="115"/>
      <c r="I602" s="134"/>
      <c r="J602" s="115"/>
      <c r="K602" s="115"/>
    </row>
    <row r="603" spans="1:11" ht="15.75" x14ac:dyDescent="0.25">
      <c r="A603" s="105"/>
      <c r="B603" s="105"/>
      <c r="C603" s="93" t="str">
        <f t="shared" si="18"/>
        <v/>
      </c>
      <c r="D603" s="93" t="str">
        <f t="shared" si="19"/>
        <v/>
      </c>
      <c r="E603" s="115"/>
      <c r="F603" s="115"/>
      <c r="G603" s="115"/>
      <c r="H603" s="115"/>
      <c r="I603" s="134"/>
      <c r="J603" s="115"/>
      <c r="K603" s="115"/>
    </row>
    <row r="604" spans="1:11" ht="15.75" x14ac:dyDescent="0.25">
      <c r="A604" s="105"/>
      <c r="B604" s="105"/>
      <c r="C604" s="93" t="str">
        <f t="shared" si="18"/>
        <v/>
      </c>
      <c r="D604" s="93" t="str">
        <f t="shared" si="19"/>
        <v/>
      </c>
      <c r="E604" s="115"/>
      <c r="F604" s="115"/>
      <c r="G604" s="115"/>
      <c r="H604" s="115"/>
      <c r="I604" s="134"/>
      <c r="J604" s="115"/>
      <c r="K604" s="115"/>
    </row>
    <row r="605" spans="1:11" ht="15.75" x14ac:dyDescent="0.25">
      <c r="A605" s="105"/>
      <c r="B605" s="105"/>
      <c r="C605" s="93" t="str">
        <f t="shared" si="18"/>
        <v/>
      </c>
      <c r="D605" s="93" t="str">
        <f t="shared" si="19"/>
        <v/>
      </c>
      <c r="E605" s="115"/>
      <c r="F605" s="115"/>
      <c r="G605" s="115"/>
      <c r="H605" s="115"/>
      <c r="I605" s="134"/>
      <c r="J605" s="115"/>
      <c r="K605" s="115"/>
    </row>
    <row r="606" spans="1:11" ht="15.75" x14ac:dyDescent="0.25">
      <c r="A606" s="105"/>
      <c r="B606" s="105"/>
      <c r="C606" s="93" t="str">
        <f t="shared" si="18"/>
        <v/>
      </c>
      <c r="D606" s="93" t="str">
        <f t="shared" si="19"/>
        <v/>
      </c>
      <c r="E606" s="115"/>
      <c r="F606" s="115"/>
      <c r="G606" s="115"/>
      <c r="H606" s="115"/>
      <c r="I606" s="134"/>
      <c r="J606" s="115"/>
      <c r="K606" s="115"/>
    </row>
    <row r="607" spans="1:11" ht="15.75" x14ac:dyDescent="0.25">
      <c r="A607" s="105"/>
      <c r="B607" s="105"/>
      <c r="C607" s="93" t="str">
        <f t="shared" si="18"/>
        <v/>
      </c>
      <c r="D607" s="93" t="str">
        <f t="shared" si="19"/>
        <v/>
      </c>
      <c r="E607" s="115"/>
      <c r="F607" s="115"/>
      <c r="G607" s="115"/>
      <c r="H607" s="115"/>
      <c r="I607" s="134"/>
      <c r="J607" s="115"/>
      <c r="K607" s="115"/>
    </row>
    <row r="608" spans="1:11" ht="15.75" x14ac:dyDescent="0.25">
      <c r="A608" s="105"/>
      <c r="B608" s="105"/>
      <c r="C608" s="93" t="str">
        <f t="shared" si="18"/>
        <v/>
      </c>
      <c r="D608" s="93" t="str">
        <f t="shared" si="19"/>
        <v/>
      </c>
      <c r="E608" s="115"/>
      <c r="F608" s="115"/>
      <c r="G608" s="115"/>
      <c r="H608" s="115"/>
      <c r="I608" s="134"/>
      <c r="J608" s="115"/>
      <c r="K608" s="115"/>
    </row>
    <row r="609" spans="1:11" ht="15.75" x14ac:dyDescent="0.25">
      <c r="A609" s="105"/>
      <c r="B609" s="105"/>
      <c r="C609" s="93" t="str">
        <f t="shared" si="18"/>
        <v/>
      </c>
      <c r="D609" s="93" t="str">
        <f t="shared" si="19"/>
        <v/>
      </c>
      <c r="E609" s="115"/>
      <c r="F609" s="115"/>
      <c r="G609" s="115"/>
      <c r="H609" s="115"/>
      <c r="I609" s="134"/>
      <c r="J609" s="115"/>
      <c r="K609" s="115"/>
    </row>
    <row r="610" spans="1:11" ht="15.75" x14ac:dyDescent="0.25">
      <c r="A610" s="105"/>
      <c r="B610" s="105"/>
      <c r="C610" s="93" t="str">
        <f t="shared" si="18"/>
        <v/>
      </c>
      <c r="D610" s="93" t="str">
        <f t="shared" si="19"/>
        <v/>
      </c>
      <c r="E610" s="115"/>
      <c r="F610" s="115"/>
      <c r="G610" s="115"/>
      <c r="H610" s="115"/>
      <c r="I610" s="134"/>
      <c r="J610" s="115"/>
      <c r="K610" s="115"/>
    </row>
    <row r="611" spans="1:11" ht="15.75" x14ac:dyDescent="0.25">
      <c r="A611" s="105"/>
      <c r="B611" s="105"/>
      <c r="C611" s="93" t="str">
        <f t="shared" si="18"/>
        <v/>
      </c>
      <c r="D611" s="93" t="str">
        <f t="shared" si="19"/>
        <v/>
      </c>
      <c r="E611" s="115"/>
      <c r="F611" s="115"/>
      <c r="G611" s="115"/>
      <c r="H611" s="115"/>
      <c r="I611" s="134"/>
      <c r="J611" s="115"/>
      <c r="K611" s="115"/>
    </row>
    <row r="612" spans="1:11" ht="15.75" x14ac:dyDescent="0.25">
      <c r="A612" s="105"/>
      <c r="B612" s="105"/>
      <c r="C612" s="93" t="str">
        <f t="shared" si="18"/>
        <v/>
      </c>
      <c r="D612" s="93" t="str">
        <f t="shared" si="19"/>
        <v/>
      </c>
      <c r="E612" s="115"/>
      <c r="F612" s="115"/>
      <c r="G612" s="115"/>
      <c r="H612" s="115"/>
      <c r="I612" s="134"/>
      <c r="J612" s="115"/>
      <c r="K612" s="115"/>
    </row>
    <row r="613" spans="1:11" ht="15.75" x14ac:dyDescent="0.25">
      <c r="A613" s="105"/>
      <c r="B613" s="105"/>
      <c r="C613" s="93" t="str">
        <f t="shared" si="18"/>
        <v/>
      </c>
      <c r="D613" s="93" t="str">
        <f t="shared" si="19"/>
        <v/>
      </c>
      <c r="E613" s="115"/>
      <c r="F613" s="115"/>
      <c r="G613" s="115"/>
      <c r="H613" s="115"/>
      <c r="I613" s="134"/>
      <c r="J613" s="115"/>
      <c r="K613" s="115"/>
    </row>
    <row r="614" spans="1:11" ht="15.75" x14ac:dyDescent="0.25">
      <c r="A614" s="105"/>
      <c r="B614" s="105"/>
      <c r="C614" s="93" t="str">
        <f t="shared" si="18"/>
        <v/>
      </c>
      <c r="D614" s="93" t="str">
        <f t="shared" si="19"/>
        <v/>
      </c>
      <c r="E614" s="115"/>
      <c r="F614" s="115"/>
      <c r="G614" s="115"/>
      <c r="H614" s="115"/>
      <c r="I614" s="134"/>
      <c r="J614" s="115"/>
      <c r="K614" s="115"/>
    </row>
    <row r="615" spans="1:11" ht="15.75" x14ac:dyDescent="0.25">
      <c r="A615" s="105"/>
      <c r="B615" s="105"/>
      <c r="C615" s="93" t="str">
        <f t="shared" si="18"/>
        <v/>
      </c>
      <c r="D615" s="93" t="str">
        <f t="shared" si="19"/>
        <v/>
      </c>
      <c r="E615" s="115"/>
      <c r="F615" s="115"/>
      <c r="G615" s="115"/>
      <c r="H615" s="115"/>
      <c r="I615" s="134"/>
      <c r="J615" s="115"/>
      <c r="K615" s="115"/>
    </row>
    <row r="616" spans="1:11" ht="15.75" x14ac:dyDescent="0.25">
      <c r="A616" s="105"/>
      <c r="B616" s="105"/>
      <c r="C616" s="93" t="str">
        <f t="shared" si="18"/>
        <v/>
      </c>
      <c r="D616" s="93" t="str">
        <f t="shared" si="19"/>
        <v/>
      </c>
      <c r="E616" s="115"/>
      <c r="F616" s="115"/>
      <c r="G616" s="115"/>
      <c r="H616" s="115"/>
      <c r="I616" s="134"/>
      <c r="J616" s="115"/>
      <c r="K616" s="115"/>
    </row>
    <row r="617" spans="1:11" ht="15.75" x14ac:dyDescent="0.25">
      <c r="A617" s="105"/>
      <c r="B617" s="105"/>
      <c r="C617" s="93" t="str">
        <f t="shared" si="18"/>
        <v/>
      </c>
      <c r="D617" s="93" t="str">
        <f t="shared" si="19"/>
        <v/>
      </c>
      <c r="E617" s="115"/>
      <c r="F617" s="115"/>
      <c r="G617" s="115"/>
      <c r="H617" s="115"/>
      <c r="I617" s="134"/>
      <c r="J617" s="115"/>
      <c r="K617" s="115"/>
    </row>
    <row r="618" spans="1:11" ht="15.75" x14ac:dyDescent="0.25">
      <c r="A618" s="105"/>
      <c r="B618" s="105"/>
      <c r="C618" s="93" t="str">
        <f t="shared" si="18"/>
        <v/>
      </c>
      <c r="D618" s="93" t="str">
        <f t="shared" si="19"/>
        <v/>
      </c>
      <c r="E618" s="115"/>
      <c r="F618" s="115"/>
      <c r="G618" s="115"/>
      <c r="H618" s="115"/>
      <c r="I618" s="134"/>
      <c r="J618" s="115"/>
      <c r="K618" s="115"/>
    </row>
    <row r="619" spans="1:11" ht="15.75" x14ac:dyDescent="0.25">
      <c r="A619" s="105"/>
      <c r="B619" s="105"/>
      <c r="C619" s="93" t="str">
        <f t="shared" si="18"/>
        <v/>
      </c>
      <c r="D619" s="93" t="str">
        <f t="shared" si="19"/>
        <v/>
      </c>
      <c r="E619" s="115"/>
      <c r="F619" s="115"/>
      <c r="G619" s="115"/>
      <c r="H619" s="115"/>
      <c r="I619" s="134"/>
      <c r="J619" s="115"/>
      <c r="K619" s="115"/>
    </row>
    <row r="620" spans="1:11" ht="15.75" x14ac:dyDescent="0.25">
      <c r="A620" s="105"/>
      <c r="B620" s="105"/>
      <c r="C620" s="93" t="str">
        <f t="shared" si="18"/>
        <v/>
      </c>
      <c r="D620" s="93" t="str">
        <f t="shared" si="19"/>
        <v/>
      </c>
      <c r="E620" s="115"/>
      <c r="F620" s="115"/>
      <c r="G620" s="115"/>
      <c r="H620" s="115"/>
      <c r="I620" s="134"/>
      <c r="J620" s="115"/>
      <c r="K620" s="115"/>
    </row>
    <row r="621" spans="1:11" ht="15.75" x14ac:dyDescent="0.25">
      <c r="A621" s="105"/>
      <c r="B621" s="105"/>
      <c r="C621" s="93" t="str">
        <f t="shared" si="18"/>
        <v/>
      </c>
      <c r="D621" s="93" t="str">
        <f t="shared" si="19"/>
        <v/>
      </c>
      <c r="E621" s="115"/>
      <c r="F621" s="115"/>
      <c r="G621" s="115"/>
      <c r="H621" s="115"/>
      <c r="I621" s="134"/>
      <c r="J621" s="115"/>
      <c r="K621" s="115"/>
    </row>
    <row r="622" spans="1:11" ht="15.75" x14ac:dyDescent="0.25">
      <c r="A622" s="105"/>
      <c r="B622" s="105"/>
      <c r="C622" s="93" t="str">
        <f t="shared" si="18"/>
        <v/>
      </c>
      <c r="D622" s="93" t="str">
        <f t="shared" si="19"/>
        <v/>
      </c>
      <c r="E622" s="115"/>
      <c r="F622" s="115"/>
      <c r="G622" s="115"/>
      <c r="H622" s="115"/>
      <c r="I622" s="134"/>
      <c r="J622" s="115"/>
      <c r="K622" s="115"/>
    </row>
    <row r="623" spans="1:11" ht="15.75" x14ac:dyDescent="0.25">
      <c r="A623" s="105"/>
      <c r="B623" s="105"/>
      <c r="C623" s="93" t="str">
        <f t="shared" si="18"/>
        <v/>
      </c>
      <c r="D623" s="93" t="str">
        <f t="shared" si="19"/>
        <v/>
      </c>
      <c r="E623" s="115"/>
      <c r="F623" s="115"/>
      <c r="G623" s="115"/>
      <c r="H623" s="115"/>
      <c r="I623" s="134"/>
      <c r="J623" s="115"/>
      <c r="K623" s="115"/>
    </row>
    <row r="624" spans="1:11" ht="15.75" x14ac:dyDescent="0.25">
      <c r="A624" s="105"/>
      <c r="B624" s="105"/>
      <c r="C624" s="93" t="str">
        <f t="shared" si="18"/>
        <v/>
      </c>
      <c r="D624" s="93" t="str">
        <f t="shared" si="19"/>
        <v/>
      </c>
      <c r="E624" s="115"/>
      <c r="F624" s="115"/>
      <c r="G624" s="115"/>
      <c r="H624" s="115"/>
      <c r="I624" s="134"/>
      <c r="J624" s="115"/>
      <c r="K624" s="115"/>
    </row>
    <row r="625" spans="1:11" ht="15.75" x14ac:dyDescent="0.25">
      <c r="A625" s="105"/>
      <c r="B625" s="105"/>
      <c r="C625" s="93" t="str">
        <f t="shared" si="18"/>
        <v/>
      </c>
      <c r="D625" s="93" t="str">
        <f t="shared" si="19"/>
        <v/>
      </c>
      <c r="E625" s="115"/>
      <c r="F625" s="115"/>
      <c r="G625" s="115"/>
      <c r="H625" s="115"/>
      <c r="I625" s="134"/>
      <c r="J625" s="115"/>
      <c r="K625" s="115"/>
    </row>
    <row r="626" spans="1:11" ht="15.75" x14ac:dyDescent="0.25">
      <c r="A626" s="105"/>
      <c r="B626" s="105"/>
      <c r="C626" s="93" t="str">
        <f t="shared" si="18"/>
        <v/>
      </c>
      <c r="D626" s="93" t="str">
        <f t="shared" si="19"/>
        <v/>
      </c>
      <c r="E626" s="115"/>
      <c r="F626" s="115"/>
      <c r="G626" s="115"/>
      <c r="H626" s="115"/>
      <c r="I626" s="134"/>
      <c r="J626" s="115"/>
      <c r="K626" s="115"/>
    </row>
    <row r="627" spans="1:11" ht="15.75" x14ac:dyDescent="0.25">
      <c r="A627" s="105"/>
      <c r="B627" s="105"/>
      <c r="C627" s="93" t="str">
        <f t="shared" si="18"/>
        <v/>
      </c>
      <c r="D627" s="93" t="str">
        <f t="shared" si="19"/>
        <v/>
      </c>
      <c r="E627" s="115"/>
      <c r="F627" s="115"/>
      <c r="G627" s="115"/>
      <c r="H627" s="115"/>
      <c r="I627" s="134"/>
      <c r="J627" s="115"/>
      <c r="K627" s="115"/>
    </row>
    <row r="628" spans="1:11" ht="15.75" x14ac:dyDescent="0.25">
      <c r="A628" s="105"/>
      <c r="B628" s="105"/>
      <c r="C628" s="93" t="str">
        <f t="shared" si="18"/>
        <v/>
      </c>
      <c r="D628" s="93" t="str">
        <f t="shared" si="19"/>
        <v/>
      </c>
      <c r="E628" s="115"/>
      <c r="F628" s="115"/>
      <c r="G628" s="115"/>
      <c r="H628" s="115"/>
      <c r="I628" s="134"/>
      <c r="J628" s="115"/>
      <c r="K628" s="115"/>
    </row>
    <row r="629" spans="1:11" ht="15.75" x14ac:dyDescent="0.25">
      <c r="A629" s="105"/>
      <c r="B629" s="105"/>
      <c r="C629" s="93" t="str">
        <f t="shared" si="18"/>
        <v/>
      </c>
      <c r="D629" s="93" t="str">
        <f t="shared" si="19"/>
        <v/>
      </c>
      <c r="E629" s="115"/>
      <c r="F629" s="115"/>
      <c r="G629" s="115"/>
      <c r="H629" s="115"/>
      <c r="I629" s="134"/>
      <c r="J629" s="115"/>
      <c r="K629" s="115"/>
    </row>
    <row r="630" spans="1:11" ht="15.75" x14ac:dyDescent="0.25">
      <c r="A630" s="105"/>
      <c r="B630" s="105"/>
      <c r="C630" s="93" t="str">
        <f t="shared" si="18"/>
        <v/>
      </c>
      <c r="D630" s="93" t="str">
        <f t="shared" si="19"/>
        <v/>
      </c>
      <c r="E630" s="115"/>
      <c r="F630" s="115"/>
      <c r="G630" s="115"/>
      <c r="H630" s="115"/>
      <c r="I630" s="134"/>
      <c r="J630" s="115"/>
      <c r="K630" s="115"/>
    </row>
    <row r="631" spans="1:11" ht="15.75" x14ac:dyDescent="0.25">
      <c r="A631" s="105"/>
      <c r="B631" s="105"/>
      <c r="C631" s="93" t="str">
        <f t="shared" si="18"/>
        <v/>
      </c>
      <c r="D631" s="93" t="str">
        <f t="shared" si="19"/>
        <v/>
      </c>
      <c r="E631" s="115"/>
      <c r="F631" s="115"/>
      <c r="G631" s="115"/>
      <c r="H631" s="115"/>
      <c r="I631" s="134"/>
      <c r="J631" s="115"/>
      <c r="K631" s="115"/>
    </row>
    <row r="632" spans="1:11" ht="15.75" x14ac:dyDescent="0.25">
      <c r="A632" s="105"/>
      <c r="B632" s="105"/>
      <c r="C632" s="93" t="str">
        <f t="shared" si="18"/>
        <v/>
      </c>
      <c r="D632" s="93" t="str">
        <f t="shared" si="19"/>
        <v/>
      </c>
      <c r="E632" s="115"/>
      <c r="F632" s="115"/>
      <c r="G632" s="115"/>
      <c r="H632" s="115"/>
      <c r="I632" s="134"/>
      <c r="J632" s="115"/>
      <c r="K632" s="115"/>
    </row>
    <row r="633" spans="1:11" ht="15.75" x14ac:dyDescent="0.25">
      <c r="A633" s="105"/>
      <c r="B633" s="105"/>
      <c r="C633" s="93" t="str">
        <f t="shared" si="18"/>
        <v/>
      </c>
      <c r="D633" s="93" t="str">
        <f t="shared" si="19"/>
        <v/>
      </c>
      <c r="E633" s="115"/>
      <c r="F633" s="115"/>
      <c r="G633" s="115"/>
      <c r="H633" s="115"/>
      <c r="I633" s="134"/>
      <c r="J633" s="115"/>
      <c r="K633" s="115"/>
    </row>
    <row r="634" spans="1:11" ht="15.75" x14ac:dyDescent="0.25">
      <c r="A634" s="105"/>
      <c r="B634" s="105"/>
      <c r="C634" s="93" t="str">
        <f t="shared" si="18"/>
        <v/>
      </c>
      <c r="D634" s="93" t="str">
        <f t="shared" si="19"/>
        <v/>
      </c>
      <c r="E634" s="115"/>
      <c r="F634" s="115"/>
      <c r="G634" s="115"/>
      <c r="H634" s="115"/>
      <c r="I634" s="134"/>
      <c r="J634" s="115"/>
      <c r="K634" s="115"/>
    </row>
    <row r="635" spans="1:11" ht="15.75" x14ac:dyDescent="0.25">
      <c r="A635" s="105"/>
      <c r="B635" s="105"/>
      <c r="C635" s="93" t="str">
        <f t="shared" si="18"/>
        <v/>
      </c>
      <c r="D635" s="93" t="str">
        <f t="shared" si="19"/>
        <v/>
      </c>
      <c r="E635" s="115"/>
      <c r="F635" s="115"/>
      <c r="G635" s="115"/>
      <c r="H635" s="115"/>
      <c r="I635" s="134"/>
      <c r="J635" s="115"/>
      <c r="K635" s="115"/>
    </row>
    <row r="636" spans="1:11" ht="15.75" x14ac:dyDescent="0.25">
      <c r="A636" s="105"/>
      <c r="B636" s="105"/>
      <c r="C636" s="93" t="str">
        <f t="shared" si="18"/>
        <v/>
      </c>
      <c r="D636" s="93" t="str">
        <f t="shared" si="19"/>
        <v/>
      </c>
      <c r="E636" s="115"/>
      <c r="F636" s="115"/>
      <c r="G636" s="115"/>
      <c r="H636" s="115"/>
      <c r="I636" s="134"/>
      <c r="J636" s="115"/>
      <c r="K636" s="115"/>
    </row>
    <row r="637" spans="1:11" ht="15.75" x14ac:dyDescent="0.25">
      <c r="A637" s="105"/>
      <c r="B637" s="105"/>
      <c r="C637" s="93" t="str">
        <f t="shared" si="18"/>
        <v/>
      </c>
      <c r="D637" s="93" t="str">
        <f t="shared" si="19"/>
        <v/>
      </c>
      <c r="E637" s="115"/>
      <c r="F637" s="115"/>
      <c r="G637" s="115"/>
      <c r="H637" s="115"/>
      <c r="I637" s="134"/>
      <c r="J637" s="115"/>
      <c r="K637" s="115"/>
    </row>
    <row r="638" spans="1:11" ht="15.75" x14ac:dyDescent="0.25">
      <c r="A638" s="105"/>
      <c r="B638" s="105"/>
      <c r="C638" s="93" t="str">
        <f t="shared" si="18"/>
        <v/>
      </c>
      <c r="D638" s="93" t="str">
        <f t="shared" si="19"/>
        <v/>
      </c>
      <c r="E638" s="115"/>
      <c r="F638" s="115"/>
      <c r="G638" s="115"/>
      <c r="H638" s="115"/>
      <c r="I638" s="134"/>
      <c r="J638" s="115"/>
      <c r="K638" s="115"/>
    </row>
    <row r="639" spans="1:11" ht="15.75" x14ac:dyDescent="0.25">
      <c r="A639" s="105"/>
      <c r="B639" s="105"/>
      <c r="C639" s="93" t="str">
        <f t="shared" si="18"/>
        <v/>
      </c>
      <c r="D639" s="93" t="str">
        <f t="shared" si="19"/>
        <v/>
      </c>
      <c r="E639" s="115"/>
      <c r="F639" s="115"/>
      <c r="G639" s="115"/>
      <c r="H639" s="115"/>
      <c r="I639" s="134"/>
      <c r="J639" s="115"/>
      <c r="K639" s="115"/>
    </row>
    <row r="640" spans="1:11" ht="15.75" x14ac:dyDescent="0.25">
      <c r="A640" s="105"/>
      <c r="B640" s="105"/>
      <c r="C640" s="93" t="str">
        <f t="shared" si="18"/>
        <v/>
      </c>
      <c r="D640" s="93" t="str">
        <f t="shared" si="19"/>
        <v/>
      </c>
      <c r="E640" s="115"/>
      <c r="F640" s="115"/>
      <c r="G640" s="115"/>
      <c r="H640" s="115"/>
      <c r="I640" s="134"/>
      <c r="J640" s="115"/>
      <c r="K640" s="115"/>
    </row>
    <row r="641" spans="1:11" ht="15.75" x14ac:dyDescent="0.25">
      <c r="A641" s="105"/>
      <c r="B641" s="105"/>
      <c r="C641" s="93" t="str">
        <f t="shared" si="18"/>
        <v/>
      </c>
      <c r="D641" s="93" t="str">
        <f t="shared" si="19"/>
        <v/>
      </c>
      <c r="E641" s="115"/>
      <c r="F641" s="115"/>
      <c r="G641" s="115"/>
      <c r="H641" s="115"/>
      <c r="I641" s="134"/>
      <c r="J641" s="115"/>
      <c r="K641" s="115"/>
    </row>
    <row r="642" spans="1:11" ht="15.75" x14ac:dyDescent="0.25">
      <c r="A642" s="105"/>
      <c r="B642" s="105"/>
      <c r="C642" s="93" t="str">
        <f t="shared" si="18"/>
        <v/>
      </c>
      <c r="D642" s="93" t="str">
        <f t="shared" si="19"/>
        <v/>
      </c>
      <c r="E642" s="115"/>
      <c r="F642" s="115"/>
      <c r="G642" s="115"/>
      <c r="H642" s="115"/>
      <c r="I642" s="134"/>
      <c r="J642" s="115"/>
      <c r="K642" s="115"/>
    </row>
    <row r="643" spans="1:11" ht="15.75" x14ac:dyDescent="0.25">
      <c r="A643" s="105"/>
      <c r="B643" s="105"/>
      <c r="C643" s="93" t="str">
        <f t="shared" si="18"/>
        <v/>
      </c>
      <c r="D643" s="93" t="str">
        <f t="shared" si="19"/>
        <v/>
      </c>
      <c r="E643" s="115"/>
      <c r="F643" s="115"/>
      <c r="G643" s="115"/>
      <c r="H643" s="115"/>
      <c r="I643" s="134"/>
      <c r="J643" s="115"/>
      <c r="K643" s="115"/>
    </row>
    <row r="644" spans="1:11" ht="15.75" x14ac:dyDescent="0.25">
      <c r="A644" s="105"/>
      <c r="B644" s="105"/>
      <c r="C644" s="93" t="str">
        <f t="shared" si="18"/>
        <v/>
      </c>
      <c r="D644" s="93" t="str">
        <f t="shared" si="19"/>
        <v/>
      </c>
      <c r="E644" s="115"/>
      <c r="F644" s="115"/>
      <c r="G644" s="115"/>
      <c r="H644" s="115"/>
      <c r="I644" s="134"/>
      <c r="J644" s="115"/>
      <c r="K644" s="115"/>
    </row>
    <row r="645" spans="1:11" ht="15.75" x14ac:dyDescent="0.25">
      <c r="A645" s="105"/>
      <c r="B645" s="105"/>
      <c r="C645" s="93" t="str">
        <f t="shared" si="18"/>
        <v/>
      </c>
      <c r="D645" s="93" t="str">
        <f t="shared" si="19"/>
        <v/>
      </c>
      <c r="E645" s="115"/>
      <c r="F645" s="115"/>
      <c r="G645" s="115"/>
      <c r="H645" s="115"/>
      <c r="I645" s="134"/>
      <c r="J645" s="115"/>
      <c r="K645" s="115"/>
    </row>
    <row r="646" spans="1:11" ht="15.75" x14ac:dyDescent="0.25">
      <c r="A646" s="105"/>
      <c r="B646" s="105"/>
      <c r="C646" s="93" t="str">
        <f t="shared" si="18"/>
        <v/>
      </c>
      <c r="D646" s="93" t="str">
        <f t="shared" si="19"/>
        <v/>
      </c>
      <c r="E646" s="115"/>
      <c r="F646" s="115"/>
      <c r="G646" s="115"/>
      <c r="H646" s="115"/>
      <c r="I646" s="134"/>
      <c r="J646" s="115"/>
      <c r="K646" s="115"/>
    </row>
    <row r="647" spans="1:11" ht="15.75" x14ac:dyDescent="0.25">
      <c r="A647" s="105"/>
      <c r="B647" s="105"/>
      <c r="C647" s="93" t="str">
        <f t="shared" si="18"/>
        <v/>
      </c>
      <c r="D647" s="93" t="str">
        <f t="shared" si="19"/>
        <v/>
      </c>
      <c r="E647" s="115"/>
      <c r="F647" s="115"/>
      <c r="G647" s="115"/>
      <c r="H647" s="115"/>
      <c r="I647" s="134"/>
      <c r="J647" s="115"/>
      <c r="K647" s="115"/>
    </row>
    <row r="648" spans="1:11" ht="15.75" x14ac:dyDescent="0.25">
      <c r="A648" s="105"/>
      <c r="B648" s="105"/>
      <c r="C648" s="93" t="str">
        <f t="shared" si="18"/>
        <v/>
      </c>
      <c r="D648" s="93" t="str">
        <f t="shared" si="19"/>
        <v/>
      </c>
      <c r="E648" s="115"/>
      <c r="F648" s="115"/>
      <c r="G648" s="115"/>
      <c r="H648" s="115"/>
      <c r="I648" s="134"/>
      <c r="J648" s="115"/>
      <c r="K648" s="115"/>
    </row>
    <row r="649" spans="1:11" ht="15.75" x14ac:dyDescent="0.25">
      <c r="A649" s="105"/>
      <c r="B649" s="105"/>
      <c r="C649" s="93" t="str">
        <f t="shared" si="18"/>
        <v/>
      </c>
      <c r="D649" s="93" t="str">
        <f t="shared" si="19"/>
        <v/>
      </c>
      <c r="E649" s="115"/>
      <c r="F649" s="115"/>
      <c r="G649" s="115"/>
      <c r="H649" s="115"/>
      <c r="I649" s="134"/>
      <c r="J649" s="115"/>
      <c r="K649" s="115"/>
    </row>
    <row r="650" spans="1:11" ht="15.75" x14ac:dyDescent="0.25">
      <c r="A650" s="105"/>
      <c r="B650" s="105"/>
      <c r="C650" s="93" t="str">
        <f t="shared" si="18"/>
        <v/>
      </c>
      <c r="D650" s="93" t="str">
        <f t="shared" si="19"/>
        <v/>
      </c>
      <c r="E650" s="115"/>
      <c r="F650" s="115"/>
      <c r="G650" s="115"/>
      <c r="H650" s="115"/>
      <c r="I650" s="134"/>
      <c r="J650" s="115"/>
      <c r="K650" s="115"/>
    </row>
    <row r="651" spans="1:11" ht="15.75" x14ac:dyDescent="0.25">
      <c r="A651" s="105"/>
      <c r="B651" s="105"/>
      <c r="C651" s="93" t="str">
        <f t="shared" si="18"/>
        <v/>
      </c>
      <c r="D651" s="93" t="str">
        <f t="shared" si="19"/>
        <v/>
      </c>
      <c r="E651" s="115"/>
      <c r="F651" s="115"/>
      <c r="G651" s="115"/>
      <c r="H651" s="115"/>
      <c r="I651" s="134"/>
      <c r="J651" s="115"/>
      <c r="K651" s="115"/>
    </row>
    <row r="652" spans="1:11" ht="15.75" x14ac:dyDescent="0.25">
      <c r="A652" s="105"/>
      <c r="B652" s="105"/>
      <c r="C652" s="93" t="str">
        <f t="shared" si="18"/>
        <v/>
      </c>
      <c r="D652" s="93" t="str">
        <f t="shared" si="19"/>
        <v/>
      </c>
      <c r="E652" s="115"/>
      <c r="F652" s="115"/>
      <c r="G652" s="115"/>
      <c r="H652" s="115"/>
      <c r="I652" s="134"/>
      <c r="J652" s="115"/>
      <c r="K652" s="115"/>
    </row>
    <row r="653" spans="1:11" ht="15.75" x14ac:dyDescent="0.25">
      <c r="A653" s="105"/>
      <c r="B653" s="105"/>
      <c r="C653" s="93" t="str">
        <f t="shared" si="18"/>
        <v/>
      </c>
      <c r="D653" s="93" t="str">
        <f t="shared" si="19"/>
        <v/>
      </c>
      <c r="E653" s="115"/>
      <c r="F653" s="115"/>
      <c r="G653" s="115"/>
      <c r="H653" s="115"/>
      <c r="I653" s="134"/>
      <c r="J653" s="115"/>
      <c r="K653" s="115"/>
    </row>
    <row r="654" spans="1:11" ht="15.75" x14ac:dyDescent="0.25">
      <c r="A654" s="105"/>
      <c r="B654" s="105"/>
      <c r="C654" s="93" t="str">
        <f t="shared" si="18"/>
        <v/>
      </c>
      <c r="D654" s="93" t="str">
        <f t="shared" si="19"/>
        <v/>
      </c>
      <c r="E654" s="115"/>
      <c r="F654" s="115"/>
      <c r="G654" s="115"/>
      <c r="H654" s="115"/>
      <c r="I654" s="134"/>
      <c r="J654" s="115"/>
      <c r="K654" s="115"/>
    </row>
    <row r="655" spans="1:11" ht="15.75" x14ac:dyDescent="0.25">
      <c r="A655" s="105"/>
      <c r="B655" s="105"/>
      <c r="C655" s="93" t="str">
        <f t="shared" si="18"/>
        <v/>
      </c>
      <c r="D655" s="93" t="str">
        <f t="shared" si="19"/>
        <v/>
      </c>
      <c r="E655" s="115"/>
      <c r="F655" s="115"/>
      <c r="G655" s="115"/>
      <c r="H655" s="115"/>
      <c r="I655" s="134"/>
      <c r="J655" s="115"/>
      <c r="K655" s="115"/>
    </row>
    <row r="656" spans="1:11" ht="15.75" x14ac:dyDescent="0.25">
      <c r="A656" s="105"/>
      <c r="B656" s="105"/>
      <c r="C656" s="93" t="str">
        <f t="shared" si="18"/>
        <v/>
      </c>
      <c r="D656" s="93" t="str">
        <f t="shared" si="19"/>
        <v/>
      </c>
      <c r="E656" s="115"/>
      <c r="F656" s="115"/>
      <c r="G656" s="115"/>
      <c r="H656" s="115"/>
      <c r="I656" s="134"/>
      <c r="J656" s="115"/>
      <c r="K656" s="115"/>
    </row>
    <row r="657" spans="1:11" ht="15.75" x14ac:dyDescent="0.25">
      <c r="A657" s="105"/>
      <c r="B657" s="105"/>
      <c r="C657" s="93" t="str">
        <f t="shared" si="18"/>
        <v/>
      </c>
      <c r="D657" s="93" t="str">
        <f t="shared" si="19"/>
        <v/>
      </c>
      <c r="E657" s="115"/>
      <c r="F657" s="115"/>
      <c r="G657" s="115"/>
      <c r="H657" s="115"/>
      <c r="I657" s="134"/>
      <c r="J657" s="115"/>
      <c r="K657" s="115"/>
    </row>
    <row r="658" spans="1:11" ht="15.75" x14ac:dyDescent="0.25">
      <c r="A658" s="105"/>
      <c r="B658" s="105"/>
      <c r="C658" s="93" t="str">
        <f t="shared" si="18"/>
        <v/>
      </c>
      <c r="D658" s="93" t="str">
        <f t="shared" si="19"/>
        <v/>
      </c>
      <c r="E658" s="115"/>
      <c r="F658" s="115"/>
      <c r="G658" s="115"/>
      <c r="H658" s="115"/>
      <c r="I658" s="134"/>
      <c r="J658" s="115"/>
      <c r="K658" s="115"/>
    </row>
    <row r="659" spans="1:11" ht="15.75" x14ac:dyDescent="0.25">
      <c r="A659" s="105"/>
      <c r="B659" s="105"/>
      <c r="C659" s="93" t="str">
        <f t="shared" si="18"/>
        <v/>
      </c>
      <c r="D659" s="93" t="str">
        <f t="shared" si="19"/>
        <v/>
      </c>
      <c r="E659" s="115"/>
      <c r="F659" s="115"/>
      <c r="G659" s="115"/>
      <c r="H659" s="115"/>
      <c r="I659" s="134"/>
      <c r="J659" s="115"/>
      <c r="K659" s="115"/>
    </row>
    <row r="660" spans="1:11" ht="15.75" x14ac:dyDescent="0.25">
      <c r="A660" s="105"/>
      <c r="B660" s="105"/>
      <c r="C660" s="93" t="str">
        <f t="shared" ref="C660:C723" si="20">IF(A660=0,"",VLOOKUP(B660,MatDB,2,FALSE))</f>
        <v/>
      </c>
      <c r="D660" s="93" t="str">
        <f t="shared" si="19"/>
        <v/>
      </c>
      <c r="E660" s="115"/>
      <c r="F660" s="115"/>
      <c r="G660" s="115"/>
      <c r="H660" s="115"/>
      <c r="I660" s="134"/>
      <c r="J660" s="115"/>
      <c r="K660" s="115"/>
    </row>
    <row r="661" spans="1:11" ht="15.75" x14ac:dyDescent="0.25">
      <c r="A661" s="105"/>
      <c r="B661" s="105"/>
      <c r="C661" s="93" t="str">
        <f t="shared" si="20"/>
        <v/>
      </c>
      <c r="D661" s="93" t="str">
        <f t="shared" ref="D661:D724" si="21">IF(A661=0,"","Steel02")</f>
        <v/>
      </c>
      <c r="E661" s="115"/>
      <c r="F661" s="115"/>
      <c r="G661" s="115"/>
      <c r="H661" s="115"/>
      <c r="I661" s="134"/>
      <c r="J661" s="115"/>
      <c r="K661" s="115"/>
    </row>
    <row r="662" spans="1:11" ht="15.75" x14ac:dyDescent="0.25">
      <c r="A662" s="105"/>
      <c r="B662" s="105"/>
      <c r="C662" s="93" t="str">
        <f t="shared" si="20"/>
        <v/>
      </c>
      <c r="D662" s="93" t="str">
        <f t="shared" si="21"/>
        <v/>
      </c>
      <c r="E662" s="115"/>
      <c r="F662" s="115"/>
      <c r="G662" s="115"/>
      <c r="H662" s="115"/>
      <c r="I662" s="134"/>
      <c r="J662" s="115"/>
      <c r="K662" s="115"/>
    </row>
    <row r="663" spans="1:11" ht="15.75" x14ac:dyDescent="0.25">
      <c r="A663" s="105"/>
      <c r="B663" s="105"/>
      <c r="C663" s="93" t="str">
        <f t="shared" si="20"/>
        <v/>
      </c>
      <c r="D663" s="93" t="str">
        <f t="shared" si="21"/>
        <v/>
      </c>
      <c r="E663" s="115"/>
      <c r="F663" s="115"/>
      <c r="G663" s="115"/>
      <c r="H663" s="115"/>
      <c r="I663" s="134"/>
      <c r="J663" s="115"/>
      <c r="K663" s="115"/>
    </row>
    <row r="664" spans="1:11" ht="15.75" x14ac:dyDescent="0.25">
      <c r="A664" s="105"/>
      <c r="B664" s="105"/>
      <c r="C664" s="93" t="str">
        <f t="shared" si="20"/>
        <v/>
      </c>
      <c r="D664" s="93" t="str">
        <f t="shared" si="21"/>
        <v/>
      </c>
      <c r="E664" s="115"/>
      <c r="F664" s="115"/>
      <c r="G664" s="115"/>
      <c r="H664" s="115"/>
      <c r="I664" s="134"/>
      <c r="J664" s="115"/>
      <c r="K664" s="115"/>
    </row>
    <row r="665" spans="1:11" ht="15.75" x14ac:dyDescent="0.25">
      <c r="A665" s="105"/>
      <c r="B665" s="105"/>
      <c r="C665" s="93" t="str">
        <f t="shared" si="20"/>
        <v/>
      </c>
      <c r="D665" s="93" t="str">
        <f t="shared" si="21"/>
        <v/>
      </c>
      <c r="E665" s="115"/>
      <c r="F665" s="115"/>
      <c r="G665" s="115"/>
      <c r="H665" s="115"/>
      <c r="I665" s="134"/>
      <c r="J665" s="115"/>
      <c r="K665" s="115"/>
    </row>
    <row r="666" spans="1:11" ht="15.75" x14ac:dyDescent="0.25">
      <c r="A666" s="105"/>
      <c r="B666" s="105"/>
      <c r="C666" s="93" t="str">
        <f t="shared" si="20"/>
        <v/>
      </c>
      <c r="D666" s="93" t="str">
        <f t="shared" si="21"/>
        <v/>
      </c>
      <c r="E666" s="115"/>
      <c r="F666" s="115"/>
      <c r="G666" s="115"/>
      <c r="H666" s="115"/>
      <c r="I666" s="134"/>
      <c r="J666" s="115"/>
      <c r="K666" s="115"/>
    </row>
    <row r="667" spans="1:11" ht="15.75" x14ac:dyDescent="0.25">
      <c r="A667" s="105"/>
      <c r="B667" s="105"/>
      <c r="C667" s="93" t="str">
        <f t="shared" si="20"/>
        <v/>
      </c>
      <c r="D667" s="93" t="str">
        <f t="shared" si="21"/>
        <v/>
      </c>
      <c r="E667" s="115"/>
      <c r="F667" s="115"/>
      <c r="G667" s="115"/>
      <c r="H667" s="115"/>
      <c r="I667" s="134"/>
      <c r="J667" s="115"/>
      <c r="K667" s="115"/>
    </row>
    <row r="668" spans="1:11" ht="15.75" x14ac:dyDescent="0.25">
      <c r="A668" s="105"/>
      <c r="B668" s="105"/>
      <c r="C668" s="93" t="str">
        <f t="shared" si="20"/>
        <v/>
      </c>
      <c r="D668" s="93" t="str">
        <f t="shared" si="21"/>
        <v/>
      </c>
      <c r="E668" s="115"/>
      <c r="F668" s="115"/>
      <c r="G668" s="115"/>
      <c r="H668" s="115"/>
      <c r="I668" s="134"/>
      <c r="J668" s="115"/>
      <c r="K668" s="115"/>
    </row>
    <row r="669" spans="1:11" ht="15.75" x14ac:dyDescent="0.25">
      <c r="A669" s="105"/>
      <c r="B669" s="105"/>
      <c r="C669" s="93" t="str">
        <f t="shared" si="20"/>
        <v/>
      </c>
      <c r="D669" s="93" t="str">
        <f t="shared" si="21"/>
        <v/>
      </c>
      <c r="E669" s="115"/>
      <c r="F669" s="115"/>
      <c r="G669" s="115"/>
      <c r="H669" s="115"/>
      <c r="I669" s="134"/>
      <c r="J669" s="115"/>
      <c r="K669" s="115"/>
    </row>
    <row r="670" spans="1:11" ht="15.75" x14ac:dyDescent="0.25">
      <c r="A670" s="105"/>
      <c r="B670" s="105"/>
      <c r="C670" s="93" t="str">
        <f t="shared" si="20"/>
        <v/>
      </c>
      <c r="D670" s="93" t="str">
        <f t="shared" si="21"/>
        <v/>
      </c>
      <c r="E670" s="115"/>
      <c r="F670" s="115"/>
      <c r="G670" s="115"/>
      <c r="H670" s="115"/>
      <c r="I670" s="134"/>
      <c r="J670" s="115"/>
      <c r="K670" s="115"/>
    </row>
    <row r="671" spans="1:11" ht="15.75" x14ac:dyDescent="0.25">
      <c r="A671" s="105"/>
      <c r="B671" s="105"/>
      <c r="C671" s="93" t="str">
        <f t="shared" si="20"/>
        <v/>
      </c>
      <c r="D671" s="93" t="str">
        <f t="shared" si="21"/>
        <v/>
      </c>
      <c r="E671" s="115"/>
      <c r="F671" s="115"/>
      <c r="G671" s="115"/>
      <c r="H671" s="115"/>
      <c r="I671" s="134"/>
      <c r="J671" s="115"/>
      <c r="K671" s="115"/>
    </row>
    <row r="672" spans="1:11" ht="15.75" x14ac:dyDescent="0.25">
      <c r="A672" s="105"/>
      <c r="B672" s="105"/>
      <c r="C672" s="93" t="str">
        <f t="shared" si="20"/>
        <v/>
      </c>
      <c r="D672" s="93" t="str">
        <f t="shared" si="21"/>
        <v/>
      </c>
      <c r="E672" s="115"/>
      <c r="F672" s="115"/>
      <c r="G672" s="115"/>
      <c r="H672" s="115"/>
      <c r="I672" s="134"/>
      <c r="J672" s="115"/>
      <c r="K672" s="115"/>
    </row>
    <row r="673" spans="1:11" ht="15.75" x14ac:dyDescent="0.25">
      <c r="A673" s="105"/>
      <c r="B673" s="105"/>
      <c r="C673" s="93" t="str">
        <f t="shared" si="20"/>
        <v/>
      </c>
      <c r="D673" s="93" t="str">
        <f t="shared" si="21"/>
        <v/>
      </c>
      <c r="E673" s="115"/>
      <c r="F673" s="115"/>
      <c r="G673" s="115"/>
      <c r="H673" s="115"/>
      <c r="I673" s="134"/>
      <c r="J673" s="115"/>
      <c r="K673" s="115"/>
    </row>
    <row r="674" spans="1:11" ht="15.75" x14ac:dyDescent="0.25">
      <c r="A674" s="105"/>
      <c r="B674" s="105"/>
      <c r="C674" s="93" t="str">
        <f t="shared" si="20"/>
        <v/>
      </c>
      <c r="D674" s="93" t="str">
        <f t="shared" si="21"/>
        <v/>
      </c>
      <c r="E674" s="115"/>
      <c r="F674" s="115"/>
      <c r="G674" s="115"/>
      <c r="H674" s="115"/>
      <c r="I674" s="134"/>
      <c r="J674" s="115"/>
      <c r="K674" s="115"/>
    </row>
    <row r="675" spans="1:11" ht="15.75" x14ac:dyDescent="0.25">
      <c r="A675" s="105"/>
      <c r="B675" s="105"/>
      <c r="C675" s="93" t="str">
        <f t="shared" si="20"/>
        <v/>
      </c>
      <c r="D675" s="93" t="str">
        <f t="shared" si="21"/>
        <v/>
      </c>
      <c r="E675" s="115"/>
      <c r="F675" s="115"/>
      <c r="G675" s="115"/>
      <c r="H675" s="115"/>
      <c r="I675" s="134"/>
      <c r="J675" s="115"/>
      <c r="K675" s="115"/>
    </row>
    <row r="676" spans="1:11" ht="15.75" x14ac:dyDescent="0.25">
      <c r="A676" s="105"/>
      <c r="B676" s="105"/>
      <c r="C676" s="93" t="str">
        <f t="shared" si="20"/>
        <v/>
      </c>
      <c r="D676" s="93" t="str">
        <f t="shared" si="21"/>
        <v/>
      </c>
      <c r="E676" s="115"/>
      <c r="F676" s="115"/>
      <c r="G676" s="115"/>
      <c r="H676" s="115"/>
      <c r="I676" s="134"/>
      <c r="J676" s="115"/>
      <c r="K676" s="115"/>
    </row>
    <row r="677" spans="1:11" ht="15.75" x14ac:dyDescent="0.25">
      <c r="A677" s="105"/>
      <c r="B677" s="105"/>
      <c r="C677" s="93" t="str">
        <f t="shared" si="20"/>
        <v/>
      </c>
      <c r="D677" s="93" t="str">
        <f t="shared" si="21"/>
        <v/>
      </c>
      <c r="E677" s="115"/>
      <c r="F677" s="115"/>
      <c r="G677" s="115"/>
      <c r="H677" s="115"/>
      <c r="I677" s="134"/>
      <c r="J677" s="115"/>
      <c r="K677" s="115"/>
    </row>
    <row r="678" spans="1:11" ht="15.75" x14ac:dyDescent="0.25">
      <c r="A678" s="105"/>
      <c r="B678" s="105"/>
      <c r="C678" s="93" t="str">
        <f t="shared" si="20"/>
        <v/>
      </c>
      <c r="D678" s="93" t="str">
        <f t="shared" si="21"/>
        <v/>
      </c>
      <c r="E678" s="115"/>
      <c r="F678" s="115"/>
      <c r="G678" s="115"/>
      <c r="H678" s="115"/>
      <c r="I678" s="134"/>
      <c r="J678" s="115"/>
      <c r="K678" s="115"/>
    </row>
    <row r="679" spans="1:11" ht="15.75" x14ac:dyDescent="0.25">
      <c r="A679" s="105"/>
      <c r="B679" s="105"/>
      <c r="C679" s="93" t="str">
        <f t="shared" si="20"/>
        <v/>
      </c>
      <c r="D679" s="93" t="str">
        <f t="shared" si="21"/>
        <v/>
      </c>
      <c r="E679" s="115"/>
      <c r="F679" s="115"/>
      <c r="G679" s="115"/>
      <c r="H679" s="115"/>
      <c r="I679" s="134"/>
      <c r="J679" s="115"/>
      <c r="K679" s="115"/>
    </row>
    <row r="680" spans="1:11" ht="15.75" x14ac:dyDescent="0.25">
      <c r="A680" s="105"/>
      <c r="B680" s="105"/>
      <c r="C680" s="93" t="str">
        <f t="shared" si="20"/>
        <v/>
      </c>
      <c r="D680" s="93" t="str">
        <f t="shared" si="21"/>
        <v/>
      </c>
      <c r="E680" s="115"/>
      <c r="F680" s="115"/>
      <c r="G680" s="115"/>
      <c r="H680" s="115"/>
      <c r="I680" s="134"/>
      <c r="J680" s="115"/>
      <c r="K680" s="115"/>
    </row>
    <row r="681" spans="1:11" ht="15.75" x14ac:dyDescent="0.25">
      <c r="A681" s="105"/>
      <c r="B681" s="105"/>
      <c r="C681" s="93" t="str">
        <f t="shared" si="20"/>
        <v/>
      </c>
      <c r="D681" s="93" t="str">
        <f t="shared" si="21"/>
        <v/>
      </c>
      <c r="E681" s="115"/>
      <c r="F681" s="115"/>
      <c r="G681" s="115"/>
      <c r="H681" s="115"/>
      <c r="I681" s="134"/>
      <c r="J681" s="115"/>
      <c r="K681" s="115"/>
    </row>
    <row r="682" spans="1:11" ht="15.75" x14ac:dyDescent="0.25">
      <c r="A682" s="105"/>
      <c r="B682" s="105"/>
      <c r="C682" s="93" t="str">
        <f t="shared" si="20"/>
        <v/>
      </c>
      <c r="D682" s="93" t="str">
        <f t="shared" si="21"/>
        <v/>
      </c>
      <c r="E682" s="115"/>
      <c r="F682" s="115"/>
      <c r="G682" s="115"/>
      <c r="H682" s="115"/>
      <c r="I682" s="134"/>
      <c r="J682" s="115"/>
      <c r="K682" s="115"/>
    </row>
    <row r="683" spans="1:11" ht="15.75" x14ac:dyDescent="0.25">
      <c r="A683" s="105"/>
      <c r="B683" s="105"/>
      <c r="C683" s="93" t="str">
        <f t="shared" si="20"/>
        <v/>
      </c>
      <c r="D683" s="93" t="str">
        <f t="shared" si="21"/>
        <v/>
      </c>
      <c r="E683" s="115"/>
      <c r="F683" s="115"/>
      <c r="G683" s="115"/>
      <c r="H683" s="115"/>
      <c r="I683" s="134"/>
      <c r="J683" s="115"/>
      <c r="K683" s="115"/>
    </row>
    <row r="684" spans="1:11" ht="15.75" x14ac:dyDescent="0.25">
      <c r="A684" s="105"/>
      <c r="B684" s="105"/>
      <c r="C684" s="93" t="str">
        <f t="shared" si="20"/>
        <v/>
      </c>
      <c r="D684" s="93" t="str">
        <f t="shared" si="21"/>
        <v/>
      </c>
      <c r="E684" s="115"/>
      <c r="F684" s="115"/>
      <c r="G684" s="115"/>
      <c r="H684" s="115"/>
      <c r="I684" s="134"/>
      <c r="J684" s="115"/>
      <c r="K684" s="115"/>
    </row>
    <row r="685" spans="1:11" ht="15.75" x14ac:dyDescent="0.25">
      <c r="A685" s="105"/>
      <c r="B685" s="105"/>
      <c r="C685" s="93" t="str">
        <f t="shared" si="20"/>
        <v/>
      </c>
      <c r="D685" s="93" t="str">
        <f t="shared" si="21"/>
        <v/>
      </c>
      <c r="E685" s="115"/>
      <c r="F685" s="115"/>
      <c r="G685" s="115"/>
      <c r="H685" s="115"/>
      <c r="I685" s="134"/>
      <c r="J685" s="115"/>
      <c r="K685" s="115"/>
    </row>
    <row r="686" spans="1:11" ht="15.75" x14ac:dyDescent="0.25">
      <c r="A686" s="105"/>
      <c r="B686" s="105"/>
      <c r="C686" s="93" t="str">
        <f t="shared" si="20"/>
        <v/>
      </c>
      <c r="D686" s="93" t="str">
        <f t="shared" si="21"/>
        <v/>
      </c>
      <c r="E686" s="115"/>
      <c r="F686" s="115"/>
      <c r="G686" s="115"/>
      <c r="H686" s="115"/>
      <c r="I686" s="134"/>
      <c r="J686" s="115"/>
      <c r="K686" s="115"/>
    </row>
    <row r="687" spans="1:11" ht="15.75" x14ac:dyDescent="0.25">
      <c r="A687" s="105"/>
      <c r="B687" s="105"/>
      <c r="C687" s="93" t="str">
        <f t="shared" si="20"/>
        <v/>
      </c>
      <c r="D687" s="93" t="str">
        <f t="shared" si="21"/>
        <v/>
      </c>
      <c r="E687" s="115"/>
      <c r="F687" s="115"/>
      <c r="G687" s="115"/>
      <c r="H687" s="115"/>
      <c r="I687" s="134"/>
      <c r="J687" s="115"/>
      <c r="K687" s="115"/>
    </row>
    <row r="688" spans="1:11" ht="15.75" x14ac:dyDescent="0.25">
      <c r="A688" s="105"/>
      <c r="B688" s="105"/>
      <c r="C688" s="93" t="str">
        <f t="shared" si="20"/>
        <v/>
      </c>
      <c r="D688" s="93" t="str">
        <f t="shared" si="21"/>
        <v/>
      </c>
      <c r="E688" s="115"/>
      <c r="F688" s="115"/>
      <c r="G688" s="115"/>
      <c r="H688" s="115"/>
      <c r="I688" s="134"/>
      <c r="J688" s="115"/>
      <c r="K688" s="115"/>
    </row>
    <row r="689" spans="1:11" ht="15.75" x14ac:dyDescent="0.25">
      <c r="A689" s="105"/>
      <c r="B689" s="105"/>
      <c r="C689" s="93" t="str">
        <f t="shared" si="20"/>
        <v/>
      </c>
      <c r="D689" s="93" t="str">
        <f t="shared" si="21"/>
        <v/>
      </c>
      <c r="E689" s="115"/>
      <c r="F689" s="115"/>
      <c r="G689" s="115"/>
      <c r="H689" s="115"/>
      <c r="I689" s="134"/>
      <c r="J689" s="115"/>
      <c r="K689" s="115"/>
    </row>
    <row r="690" spans="1:11" ht="15.75" x14ac:dyDescent="0.25">
      <c r="A690" s="105"/>
      <c r="B690" s="105"/>
      <c r="C690" s="93" t="str">
        <f t="shared" si="20"/>
        <v/>
      </c>
      <c r="D690" s="93" t="str">
        <f t="shared" si="21"/>
        <v/>
      </c>
      <c r="E690" s="115"/>
      <c r="F690" s="115"/>
      <c r="G690" s="115"/>
      <c r="H690" s="115"/>
      <c r="I690" s="134"/>
      <c r="J690" s="115"/>
      <c r="K690" s="115"/>
    </row>
    <row r="691" spans="1:11" ht="15.75" x14ac:dyDescent="0.25">
      <c r="A691" s="105"/>
      <c r="B691" s="105"/>
      <c r="C691" s="93" t="str">
        <f t="shared" si="20"/>
        <v/>
      </c>
      <c r="D691" s="93" t="str">
        <f t="shared" si="21"/>
        <v/>
      </c>
      <c r="E691" s="115"/>
      <c r="F691" s="115"/>
      <c r="G691" s="115"/>
      <c r="H691" s="115"/>
      <c r="I691" s="134"/>
      <c r="J691" s="115"/>
      <c r="K691" s="115"/>
    </row>
    <row r="692" spans="1:11" ht="15.75" x14ac:dyDescent="0.25">
      <c r="A692" s="105"/>
      <c r="B692" s="105"/>
      <c r="C692" s="93" t="str">
        <f t="shared" si="20"/>
        <v/>
      </c>
      <c r="D692" s="93" t="str">
        <f t="shared" si="21"/>
        <v/>
      </c>
      <c r="E692" s="115"/>
      <c r="F692" s="115"/>
      <c r="G692" s="115"/>
      <c r="H692" s="115"/>
      <c r="I692" s="134"/>
      <c r="J692" s="115"/>
      <c r="K692" s="115"/>
    </row>
    <row r="693" spans="1:11" ht="15.75" x14ac:dyDescent="0.25">
      <c r="A693" s="105"/>
      <c r="B693" s="105"/>
      <c r="C693" s="93" t="str">
        <f t="shared" si="20"/>
        <v/>
      </c>
      <c r="D693" s="93" t="str">
        <f t="shared" si="21"/>
        <v/>
      </c>
      <c r="E693" s="115"/>
      <c r="F693" s="115"/>
      <c r="G693" s="115"/>
      <c r="H693" s="115"/>
      <c r="I693" s="134"/>
      <c r="J693" s="115"/>
      <c r="K693" s="115"/>
    </row>
    <row r="694" spans="1:11" ht="15.75" x14ac:dyDescent="0.25">
      <c r="A694" s="105"/>
      <c r="B694" s="105"/>
      <c r="C694" s="93" t="str">
        <f t="shared" si="20"/>
        <v/>
      </c>
      <c r="D694" s="93" t="str">
        <f t="shared" si="21"/>
        <v/>
      </c>
      <c r="E694" s="115"/>
      <c r="F694" s="115"/>
      <c r="G694" s="115"/>
      <c r="H694" s="115"/>
      <c r="I694" s="134"/>
      <c r="J694" s="115"/>
      <c r="K694" s="115"/>
    </row>
    <row r="695" spans="1:11" ht="15.75" x14ac:dyDescent="0.25">
      <c r="A695" s="105"/>
      <c r="B695" s="105"/>
      <c r="C695" s="93" t="str">
        <f t="shared" si="20"/>
        <v/>
      </c>
      <c r="D695" s="93" t="str">
        <f t="shared" si="21"/>
        <v/>
      </c>
      <c r="E695" s="115"/>
      <c r="F695" s="115"/>
      <c r="G695" s="115"/>
      <c r="H695" s="115"/>
      <c r="I695" s="134"/>
      <c r="J695" s="115"/>
      <c r="K695" s="115"/>
    </row>
    <row r="696" spans="1:11" ht="15.75" x14ac:dyDescent="0.25">
      <c r="A696" s="105"/>
      <c r="B696" s="105"/>
      <c r="C696" s="93" t="str">
        <f t="shared" si="20"/>
        <v/>
      </c>
      <c r="D696" s="93" t="str">
        <f t="shared" si="21"/>
        <v/>
      </c>
      <c r="E696" s="115"/>
      <c r="F696" s="115"/>
      <c r="G696" s="115"/>
      <c r="H696" s="115"/>
      <c r="I696" s="134"/>
      <c r="J696" s="115"/>
      <c r="K696" s="115"/>
    </row>
    <row r="697" spans="1:11" ht="15.75" x14ac:dyDescent="0.25">
      <c r="A697" s="105"/>
      <c r="B697" s="105"/>
      <c r="C697" s="93" t="str">
        <f t="shared" si="20"/>
        <v/>
      </c>
      <c r="D697" s="93" t="str">
        <f t="shared" si="21"/>
        <v/>
      </c>
      <c r="E697" s="115"/>
      <c r="F697" s="115"/>
      <c r="G697" s="115"/>
      <c r="H697" s="115"/>
      <c r="I697" s="134"/>
      <c r="J697" s="115"/>
      <c r="K697" s="115"/>
    </row>
    <row r="698" spans="1:11" ht="15.75" x14ac:dyDescent="0.25">
      <c r="A698" s="105"/>
      <c r="B698" s="105"/>
      <c r="C698" s="93" t="str">
        <f t="shared" si="20"/>
        <v/>
      </c>
      <c r="D698" s="93" t="str">
        <f t="shared" si="21"/>
        <v/>
      </c>
      <c r="E698" s="115"/>
      <c r="F698" s="115"/>
      <c r="G698" s="115"/>
      <c r="H698" s="115"/>
      <c r="I698" s="134"/>
      <c r="J698" s="115"/>
      <c r="K698" s="115"/>
    </row>
    <row r="699" spans="1:11" ht="15.75" x14ac:dyDescent="0.25">
      <c r="A699" s="105"/>
      <c r="B699" s="105"/>
      <c r="C699" s="93" t="str">
        <f t="shared" si="20"/>
        <v/>
      </c>
      <c r="D699" s="93" t="str">
        <f t="shared" si="21"/>
        <v/>
      </c>
      <c r="E699" s="115"/>
      <c r="F699" s="115"/>
      <c r="G699" s="115"/>
      <c r="H699" s="115"/>
      <c r="I699" s="134"/>
      <c r="J699" s="115"/>
      <c r="K699" s="115"/>
    </row>
    <row r="700" spans="1:11" ht="15.75" x14ac:dyDescent="0.25">
      <c r="A700" s="105"/>
      <c r="B700" s="105"/>
      <c r="C700" s="93" t="str">
        <f t="shared" si="20"/>
        <v/>
      </c>
      <c r="D700" s="93" t="str">
        <f t="shared" si="21"/>
        <v/>
      </c>
      <c r="E700" s="115"/>
      <c r="F700" s="115"/>
      <c r="G700" s="115"/>
      <c r="H700" s="115"/>
      <c r="I700" s="134"/>
      <c r="J700" s="115"/>
      <c r="K700" s="115"/>
    </row>
    <row r="701" spans="1:11" ht="15.75" x14ac:dyDescent="0.25">
      <c r="A701" s="105"/>
      <c r="B701" s="105"/>
      <c r="C701" s="93" t="str">
        <f t="shared" si="20"/>
        <v/>
      </c>
      <c r="D701" s="93" t="str">
        <f t="shared" si="21"/>
        <v/>
      </c>
      <c r="E701" s="115"/>
      <c r="F701" s="115"/>
      <c r="G701" s="115"/>
      <c r="H701" s="115"/>
      <c r="I701" s="134"/>
      <c r="J701" s="115"/>
      <c r="K701" s="115"/>
    </row>
    <row r="702" spans="1:11" ht="15.75" x14ac:dyDescent="0.25">
      <c r="A702" s="105"/>
      <c r="B702" s="105"/>
      <c r="C702" s="93" t="str">
        <f t="shared" si="20"/>
        <v/>
      </c>
      <c r="D702" s="93" t="str">
        <f t="shared" si="21"/>
        <v/>
      </c>
      <c r="E702" s="115"/>
      <c r="F702" s="115"/>
      <c r="G702" s="115"/>
      <c r="H702" s="115"/>
      <c r="I702" s="134"/>
      <c r="J702" s="115"/>
      <c r="K702" s="115"/>
    </row>
    <row r="703" spans="1:11" ht="15.75" x14ac:dyDescent="0.25">
      <c r="A703" s="105"/>
      <c r="B703" s="105"/>
      <c r="C703" s="93" t="str">
        <f t="shared" si="20"/>
        <v/>
      </c>
      <c r="D703" s="93" t="str">
        <f t="shared" si="21"/>
        <v/>
      </c>
      <c r="E703" s="115"/>
      <c r="F703" s="115"/>
      <c r="G703" s="115"/>
      <c r="H703" s="115"/>
      <c r="I703" s="134"/>
      <c r="J703" s="115"/>
      <c r="K703" s="115"/>
    </row>
    <row r="704" spans="1:11" ht="15.75" x14ac:dyDescent="0.25">
      <c r="A704" s="105"/>
      <c r="B704" s="105"/>
      <c r="C704" s="93" t="str">
        <f t="shared" si="20"/>
        <v/>
      </c>
      <c r="D704" s="93" t="str">
        <f t="shared" si="21"/>
        <v/>
      </c>
      <c r="E704" s="115"/>
      <c r="F704" s="115"/>
      <c r="G704" s="115"/>
      <c r="H704" s="115"/>
      <c r="I704" s="134"/>
      <c r="J704" s="115"/>
      <c r="K704" s="115"/>
    </row>
    <row r="705" spans="1:11" ht="15.75" x14ac:dyDescent="0.25">
      <c r="A705" s="105"/>
      <c r="B705" s="105"/>
      <c r="C705" s="93" t="str">
        <f t="shared" si="20"/>
        <v/>
      </c>
      <c r="D705" s="93" t="str">
        <f t="shared" si="21"/>
        <v/>
      </c>
      <c r="E705" s="115"/>
      <c r="F705" s="115"/>
      <c r="G705" s="115"/>
      <c r="H705" s="115"/>
      <c r="I705" s="134"/>
      <c r="J705" s="115"/>
      <c r="K705" s="115"/>
    </row>
    <row r="706" spans="1:11" ht="15.75" x14ac:dyDescent="0.25">
      <c r="A706" s="105"/>
      <c r="B706" s="105"/>
      <c r="C706" s="93" t="str">
        <f t="shared" si="20"/>
        <v/>
      </c>
      <c r="D706" s="93" t="str">
        <f t="shared" si="21"/>
        <v/>
      </c>
      <c r="E706" s="115"/>
      <c r="F706" s="115"/>
      <c r="G706" s="115"/>
      <c r="H706" s="115"/>
      <c r="I706" s="134"/>
      <c r="J706" s="115"/>
      <c r="K706" s="115"/>
    </row>
    <row r="707" spans="1:11" ht="15.75" x14ac:dyDescent="0.25">
      <c r="A707" s="105"/>
      <c r="B707" s="105"/>
      <c r="C707" s="93" t="str">
        <f t="shared" si="20"/>
        <v/>
      </c>
      <c r="D707" s="93" t="str">
        <f t="shared" si="21"/>
        <v/>
      </c>
      <c r="E707" s="115"/>
      <c r="F707" s="115"/>
      <c r="G707" s="115"/>
      <c r="H707" s="115"/>
      <c r="I707" s="134"/>
      <c r="J707" s="115"/>
      <c r="K707" s="115"/>
    </row>
    <row r="708" spans="1:11" ht="15.75" x14ac:dyDescent="0.25">
      <c r="A708" s="105"/>
      <c r="B708" s="105"/>
      <c r="C708" s="93" t="str">
        <f t="shared" si="20"/>
        <v/>
      </c>
      <c r="D708" s="93" t="str">
        <f t="shared" si="21"/>
        <v/>
      </c>
      <c r="E708" s="115"/>
      <c r="F708" s="115"/>
      <c r="G708" s="115"/>
      <c r="H708" s="115"/>
      <c r="I708" s="134"/>
      <c r="J708" s="115"/>
      <c r="K708" s="115"/>
    </row>
    <row r="709" spans="1:11" ht="15.75" x14ac:dyDescent="0.25">
      <c r="A709" s="105"/>
      <c r="B709" s="105"/>
      <c r="C709" s="93" t="str">
        <f t="shared" si="20"/>
        <v/>
      </c>
      <c r="D709" s="93" t="str">
        <f t="shared" si="21"/>
        <v/>
      </c>
      <c r="E709" s="115"/>
      <c r="F709" s="115"/>
      <c r="G709" s="115"/>
      <c r="H709" s="115"/>
      <c r="I709" s="134"/>
      <c r="J709" s="115"/>
      <c r="K709" s="115"/>
    </row>
    <row r="710" spans="1:11" ht="15.75" x14ac:dyDescent="0.25">
      <c r="A710" s="105"/>
      <c r="B710" s="105"/>
      <c r="C710" s="93" t="str">
        <f t="shared" si="20"/>
        <v/>
      </c>
      <c r="D710" s="93" t="str">
        <f t="shared" si="21"/>
        <v/>
      </c>
      <c r="E710" s="115"/>
      <c r="F710" s="115"/>
      <c r="G710" s="115"/>
      <c r="H710" s="115"/>
      <c r="I710" s="134"/>
      <c r="J710" s="115"/>
      <c r="K710" s="115"/>
    </row>
    <row r="711" spans="1:11" ht="15.75" x14ac:dyDescent="0.25">
      <c r="A711" s="105"/>
      <c r="B711" s="105"/>
      <c r="C711" s="93" t="str">
        <f t="shared" si="20"/>
        <v/>
      </c>
      <c r="D711" s="93" t="str">
        <f t="shared" si="21"/>
        <v/>
      </c>
      <c r="E711" s="115"/>
      <c r="F711" s="115"/>
      <c r="G711" s="115"/>
      <c r="H711" s="115"/>
      <c r="I711" s="134"/>
      <c r="J711" s="115"/>
      <c r="K711" s="115"/>
    </row>
    <row r="712" spans="1:11" ht="15.75" x14ac:dyDescent="0.25">
      <c r="A712" s="105"/>
      <c r="B712" s="105"/>
      <c r="C712" s="93" t="str">
        <f t="shared" si="20"/>
        <v/>
      </c>
      <c r="D712" s="93" t="str">
        <f t="shared" si="21"/>
        <v/>
      </c>
      <c r="E712" s="115"/>
      <c r="F712" s="115"/>
      <c r="G712" s="115"/>
      <c r="H712" s="115"/>
      <c r="I712" s="134"/>
      <c r="J712" s="115"/>
      <c r="K712" s="115"/>
    </row>
    <row r="713" spans="1:11" ht="15.75" x14ac:dyDescent="0.25">
      <c r="A713" s="105"/>
      <c r="B713" s="105"/>
      <c r="C713" s="93" t="str">
        <f t="shared" si="20"/>
        <v/>
      </c>
      <c r="D713" s="93" t="str">
        <f t="shared" si="21"/>
        <v/>
      </c>
      <c r="E713" s="115"/>
      <c r="F713" s="115"/>
      <c r="G713" s="115"/>
      <c r="H713" s="115"/>
      <c r="I713" s="134"/>
      <c r="J713" s="115"/>
      <c r="K713" s="115"/>
    </row>
    <row r="714" spans="1:11" ht="15.75" x14ac:dyDescent="0.25">
      <c r="A714" s="105"/>
      <c r="B714" s="105"/>
      <c r="C714" s="93" t="str">
        <f t="shared" si="20"/>
        <v/>
      </c>
      <c r="D714" s="93" t="str">
        <f t="shared" si="21"/>
        <v/>
      </c>
      <c r="E714" s="115"/>
      <c r="F714" s="115"/>
      <c r="G714" s="115"/>
      <c r="H714" s="115"/>
      <c r="I714" s="134"/>
      <c r="J714" s="115"/>
      <c r="K714" s="115"/>
    </row>
    <row r="715" spans="1:11" ht="15.75" x14ac:dyDescent="0.25">
      <c r="A715" s="105"/>
      <c r="B715" s="105"/>
      <c r="C715" s="93" t="str">
        <f t="shared" si="20"/>
        <v/>
      </c>
      <c r="D715" s="93" t="str">
        <f t="shared" si="21"/>
        <v/>
      </c>
      <c r="E715" s="115"/>
      <c r="F715" s="115"/>
      <c r="G715" s="115"/>
      <c r="H715" s="115"/>
      <c r="I715" s="134"/>
      <c r="J715" s="115"/>
      <c r="K715" s="115"/>
    </row>
    <row r="716" spans="1:11" ht="15.75" x14ac:dyDescent="0.25">
      <c r="A716" s="105"/>
      <c r="B716" s="105"/>
      <c r="C716" s="93" t="str">
        <f t="shared" si="20"/>
        <v/>
      </c>
      <c r="D716" s="93" t="str">
        <f t="shared" si="21"/>
        <v/>
      </c>
      <c r="E716" s="115"/>
      <c r="F716" s="115"/>
      <c r="G716" s="115"/>
      <c r="H716" s="115"/>
      <c r="I716" s="134"/>
      <c r="J716" s="115"/>
      <c r="K716" s="115"/>
    </row>
    <row r="717" spans="1:11" ht="15.75" x14ac:dyDescent="0.25">
      <c r="A717" s="105"/>
      <c r="B717" s="105"/>
      <c r="C717" s="93" t="str">
        <f t="shared" si="20"/>
        <v/>
      </c>
      <c r="D717" s="93" t="str">
        <f t="shared" si="21"/>
        <v/>
      </c>
      <c r="E717" s="115"/>
      <c r="F717" s="115"/>
      <c r="G717" s="115"/>
      <c r="H717" s="115"/>
      <c r="I717" s="134"/>
      <c r="J717" s="115"/>
      <c r="K717" s="115"/>
    </row>
    <row r="718" spans="1:11" ht="15.75" x14ac:dyDescent="0.25">
      <c r="A718" s="105"/>
      <c r="B718" s="105"/>
      <c r="C718" s="93" t="str">
        <f t="shared" si="20"/>
        <v/>
      </c>
      <c r="D718" s="93" t="str">
        <f t="shared" si="21"/>
        <v/>
      </c>
      <c r="E718" s="115"/>
      <c r="F718" s="115"/>
      <c r="G718" s="115"/>
      <c r="H718" s="115"/>
      <c r="I718" s="134"/>
      <c r="J718" s="115"/>
      <c r="K718" s="115"/>
    </row>
    <row r="719" spans="1:11" ht="15.75" x14ac:dyDescent="0.25">
      <c r="A719" s="105"/>
      <c r="B719" s="105"/>
      <c r="C719" s="93" t="str">
        <f t="shared" si="20"/>
        <v/>
      </c>
      <c r="D719" s="93" t="str">
        <f t="shared" si="21"/>
        <v/>
      </c>
      <c r="E719" s="115"/>
      <c r="F719" s="115"/>
      <c r="G719" s="115"/>
      <c r="H719" s="115"/>
      <c r="I719" s="134"/>
      <c r="J719" s="115"/>
      <c r="K719" s="115"/>
    </row>
    <row r="720" spans="1:11" ht="15.75" x14ac:dyDescent="0.25">
      <c r="A720" s="105"/>
      <c r="B720" s="105"/>
      <c r="C720" s="93" t="str">
        <f t="shared" si="20"/>
        <v/>
      </c>
      <c r="D720" s="93" t="str">
        <f t="shared" si="21"/>
        <v/>
      </c>
      <c r="E720" s="115"/>
      <c r="F720" s="115"/>
      <c r="G720" s="115"/>
      <c r="H720" s="115"/>
      <c r="I720" s="134"/>
      <c r="J720" s="115"/>
      <c r="K720" s="115"/>
    </row>
    <row r="721" spans="1:11" ht="15.75" x14ac:dyDescent="0.25">
      <c r="A721" s="105"/>
      <c r="B721" s="105"/>
      <c r="C721" s="93" t="str">
        <f t="shared" si="20"/>
        <v/>
      </c>
      <c r="D721" s="93" t="str">
        <f t="shared" si="21"/>
        <v/>
      </c>
      <c r="E721" s="115"/>
      <c r="F721" s="115"/>
      <c r="G721" s="115"/>
      <c r="H721" s="115"/>
      <c r="I721" s="134"/>
      <c r="J721" s="115"/>
      <c r="K721" s="115"/>
    </row>
    <row r="722" spans="1:11" ht="15.75" x14ac:dyDescent="0.25">
      <c r="A722" s="105"/>
      <c r="B722" s="105"/>
      <c r="C722" s="93" t="str">
        <f t="shared" si="20"/>
        <v/>
      </c>
      <c r="D722" s="93" t="str">
        <f t="shared" si="21"/>
        <v/>
      </c>
      <c r="E722" s="115"/>
      <c r="F722" s="115"/>
      <c r="G722" s="115"/>
      <c r="H722" s="115"/>
      <c r="I722" s="134"/>
      <c r="J722" s="115"/>
      <c r="K722" s="115"/>
    </row>
    <row r="723" spans="1:11" ht="15.75" x14ac:dyDescent="0.25">
      <c r="A723" s="105"/>
      <c r="B723" s="105"/>
      <c r="C723" s="93" t="str">
        <f t="shared" si="20"/>
        <v/>
      </c>
      <c r="D723" s="93" t="str">
        <f t="shared" si="21"/>
        <v/>
      </c>
      <c r="E723" s="115"/>
      <c r="F723" s="115"/>
      <c r="G723" s="115"/>
      <c r="H723" s="115"/>
      <c r="I723" s="134"/>
      <c r="J723" s="115"/>
      <c r="K723" s="115"/>
    </row>
    <row r="724" spans="1:11" ht="15.75" x14ac:dyDescent="0.25">
      <c r="A724" s="105"/>
      <c r="B724" s="105"/>
      <c r="C724" s="93" t="str">
        <f t="shared" ref="C724:C787" si="22">IF(A724=0,"",VLOOKUP(B724,MatDB,2,FALSE))</f>
        <v/>
      </c>
      <c r="D724" s="93" t="str">
        <f t="shared" si="21"/>
        <v/>
      </c>
      <c r="E724" s="115"/>
      <c r="F724" s="115"/>
      <c r="G724" s="115"/>
      <c r="H724" s="115"/>
      <c r="I724" s="134"/>
      <c r="J724" s="115"/>
      <c r="K724" s="115"/>
    </row>
    <row r="725" spans="1:11" ht="15.75" x14ac:dyDescent="0.25">
      <c r="A725" s="105"/>
      <c r="B725" s="105"/>
      <c r="C725" s="93" t="str">
        <f t="shared" si="22"/>
        <v/>
      </c>
      <c r="D725" s="93" t="str">
        <f t="shared" ref="D725:D788" si="23">IF(A725=0,"","Steel02")</f>
        <v/>
      </c>
      <c r="E725" s="115"/>
      <c r="F725" s="115"/>
      <c r="G725" s="115"/>
      <c r="H725" s="115"/>
      <c r="I725" s="134"/>
      <c r="J725" s="115"/>
      <c r="K725" s="115"/>
    </row>
    <row r="726" spans="1:11" ht="15.75" x14ac:dyDescent="0.25">
      <c r="A726" s="105"/>
      <c r="B726" s="105"/>
      <c r="C726" s="93" t="str">
        <f t="shared" si="22"/>
        <v/>
      </c>
      <c r="D726" s="93" t="str">
        <f t="shared" si="23"/>
        <v/>
      </c>
      <c r="E726" s="115"/>
      <c r="F726" s="115"/>
      <c r="G726" s="115"/>
      <c r="H726" s="115"/>
      <c r="I726" s="134"/>
      <c r="J726" s="115"/>
      <c r="K726" s="115"/>
    </row>
    <row r="727" spans="1:11" ht="15.75" x14ac:dyDescent="0.25">
      <c r="A727" s="105"/>
      <c r="B727" s="105"/>
      <c r="C727" s="93" t="str">
        <f t="shared" si="22"/>
        <v/>
      </c>
      <c r="D727" s="93" t="str">
        <f t="shared" si="23"/>
        <v/>
      </c>
      <c r="E727" s="115"/>
      <c r="F727" s="115"/>
      <c r="G727" s="115"/>
      <c r="H727" s="115"/>
      <c r="I727" s="134"/>
      <c r="J727" s="115"/>
      <c r="K727" s="115"/>
    </row>
    <row r="728" spans="1:11" ht="15.75" x14ac:dyDescent="0.25">
      <c r="A728" s="105"/>
      <c r="B728" s="105"/>
      <c r="C728" s="93" t="str">
        <f t="shared" si="22"/>
        <v/>
      </c>
      <c r="D728" s="93" t="str">
        <f t="shared" si="23"/>
        <v/>
      </c>
      <c r="E728" s="115"/>
      <c r="F728" s="115"/>
      <c r="G728" s="115"/>
      <c r="H728" s="115"/>
      <c r="I728" s="134"/>
      <c r="J728" s="115"/>
      <c r="K728" s="115"/>
    </row>
    <row r="729" spans="1:11" ht="15.75" x14ac:dyDescent="0.25">
      <c r="A729" s="105"/>
      <c r="B729" s="105"/>
      <c r="C729" s="93" t="str">
        <f t="shared" si="22"/>
        <v/>
      </c>
      <c r="D729" s="93" t="str">
        <f t="shared" si="23"/>
        <v/>
      </c>
      <c r="E729" s="115"/>
      <c r="F729" s="115"/>
      <c r="G729" s="115"/>
      <c r="H729" s="115"/>
      <c r="I729" s="134"/>
      <c r="J729" s="115"/>
      <c r="K729" s="115"/>
    </row>
    <row r="730" spans="1:11" ht="15.75" x14ac:dyDescent="0.25">
      <c r="A730" s="105"/>
      <c r="B730" s="105"/>
      <c r="C730" s="93" t="str">
        <f t="shared" si="22"/>
        <v/>
      </c>
      <c r="D730" s="93" t="str">
        <f t="shared" si="23"/>
        <v/>
      </c>
      <c r="E730" s="115"/>
      <c r="F730" s="115"/>
      <c r="G730" s="115"/>
      <c r="H730" s="115"/>
      <c r="I730" s="134"/>
      <c r="J730" s="115"/>
      <c r="K730" s="115"/>
    </row>
    <row r="731" spans="1:11" ht="15.75" x14ac:dyDescent="0.25">
      <c r="A731" s="105"/>
      <c r="B731" s="105"/>
      <c r="C731" s="93" t="str">
        <f t="shared" si="22"/>
        <v/>
      </c>
      <c r="D731" s="93" t="str">
        <f t="shared" si="23"/>
        <v/>
      </c>
      <c r="E731" s="115"/>
      <c r="F731" s="115"/>
      <c r="G731" s="115"/>
      <c r="H731" s="115"/>
      <c r="I731" s="134"/>
      <c r="J731" s="115"/>
      <c r="K731" s="115"/>
    </row>
    <row r="732" spans="1:11" ht="15.75" x14ac:dyDescent="0.25">
      <c r="A732" s="105"/>
      <c r="B732" s="105"/>
      <c r="C732" s="93" t="str">
        <f t="shared" si="22"/>
        <v/>
      </c>
      <c r="D732" s="93" t="str">
        <f t="shared" si="23"/>
        <v/>
      </c>
      <c r="E732" s="115"/>
      <c r="F732" s="115"/>
      <c r="G732" s="115"/>
      <c r="H732" s="115"/>
      <c r="I732" s="134"/>
      <c r="J732" s="115"/>
      <c r="K732" s="115"/>
    </row>
    <row r="733" spans="1:11" ht="15.75" x14ac:dyDescent="0.25">
      <c r="A733" s="105"/>
      <c r="B733" s="105"/>
      <c r="C733" s="93" t="str">
        <f t="shared" si="22"/>
        <v/>
      </c>
      <c r="D733" s="93" t="str">
        <f t="shared" si="23"/>
        <v/>
      </c>
      <c r="E733" s="115"/>
      <c r="F733" s="115"/>
      <c r="G733" s="115"/>
      <c r="H733" s="115"/>
      <c r="I733" s="134"/>
      <c r="J733" s="115"/>
      <c r="K733" s="115"/>
    </row>
    <row r="734" spans="1:11" ht="15.75" x14ac:dyDescent="0.25">
      <c r="A734" s="105"/>
      <c r="B734" s="105"/>
      <c r="C734" s="93" t="str">
        <f t="shared" si="22"/>
        <v/>
      </c>
      <c r="D734" s="93" t="str">
        <f t="shared" si="23"/>
        <v/>
      </c>
      <c r="E734" s="115"/>
      <c r="F734" s="115"/>
      <c r="G734" s="115"/>
      <c r="H734" s="115"/>
      <c r="I734" s="134"/>
      <c r="J734" s="115"/>
      <c r="K734" s="115"/>
    </row>
    <row r="735" spans="1:11" ht="15.75" x14ac:dyDescent="0.25">
      <c r="A735" s="105"/>
      <c r="B735" s="105"/>
      <c r="C735" s="93" t="str">
        <f t="shared" si="22"/>
        <v/>
      </c>
      <c r="D735" s="93" t="str">
        <f t="shared" si="23"/>
        <v/>
      </c>
      <c r="E735" s="115"/>
      <c r="F735" s="115"/>
      <c r="G735" s="115"/>
      <c r="H735" s="115"/>
      <c r="I735" s="134"/>
      <c r="J735" s="115"/>
      <c r="K735" s="115"/>
    </row>
    <row r="736" spans="1:11" ht="15.75" x14ac:dyDescent="0.25">
      <c r="A736" s="105"/>
      <c r="B736" s="105"/>
      <c r="C736" s="93" t="str">
        <f t="shared" si="22"/>
        <v/>
      </c>
      <c r="D736" s="93" t="str">
        <f t="shared" si="23"/>
        <v/>
      </c>
      <c r="E736" s="115"/>
      <c r="F736" s="115"/>
      <c r="G736" s="115"/>
      <c r="H736" s="115"/>
      <c r="I736" s="134"/>
      <c r="J736" s="115"/>
      <c r="K736" s="115"/>
    </row>
    <row r="737" spans="1:11" ht="15.75" x14ac:dyDescent="0.25">
      <c r="A737" s="105"/>
      <c r="B737" s="105"/>
      <c r="C737" s="93" t="str">
        <f t="shared" si="22"/>
        <v/>
      </c>
      <c r="D737" s="93" t="str">
        <f t="shared" si="23"/>
        <v/>
      </c>
      <c r="E737" s="115"/>
      <c r="F737" s="115"/>
      <c r="G737" s="115"/>
      <c r="H737" s="115"/>
      <c r="I737" s="134"/>
      <c r="J737" s="115"/>
      <c r="K737" s="115"/>
    </row>
    <row r="738" spans="1:11" ht="15.75" x14ac:dyDescent="0.25">
      <c r="A738" s="105"/>
      <c r="B738" s="105"/>
      <c r="C738" s="93" t="str">
        <f t="shared" si="22"/>
        <v/>
      </c>
      <c r="D738" s="93" t="str">
        <f t="shared" si="23"/>
        <v/>
      </c>
      <c r="E738" s="115"/>
      <c r="F738" s="115"/>
      <c r="G738" s="115"/>
      <c r="H738" s="115"/>
      <c r="I738" s="134"/>
      <c r="J738" s="115"/>
      <c r="K738" s="115"/>
    </row>
    <row r="739" spans="1:11" ht="15.75" x14ac:dyDescent="0.25">
      <c r="A739" s="105"/>
      <c r="B739" s="105"/>
      <c r="C739" s="93" t="str">
        <f t="shared" si="22"/>
        <v/>
      </c>
      <c r="D739" s="93" t="str">
        <f t="shared" si="23"/>
        <v/>
      </c>
      <c r="E739" s="115"/>
      <c r="F739" s="115"/>
      <c r="G739" s="115"/>
      <c r="H739" s="115"/>
      <c r="I739" s="134"/>
      <c r="J739" s="115"/>
      <c r="K739" s="115"/>
    </row>
    <row r="740" spans="1:11" ht="15.75" x14ac:dyDescent="0.25">
      <c r="A740" s="105"/>
      <c r="B740" s="105"/>
      <c r="C740" s="93" t="str">
        <f t="shared" si="22"/>
        <v/>
      </c>
      <c r="D740" s="93" t="str">
        <f t="shared" si="23"/>
        <v/>
      </c>
      <c r="E740" s="115"/>
      <c r="F740" s="115"/>
      <c r="G740" s="115"/>
      <c r="H740" s="115"/>
      <c r="I740" s="134"/>
      <c r="J740" s="115"/>
      <c r="K740" s="115"/>
    </row>
    <row r="741" spans="1:11" ht="15.75" x14ac:dyDescent="0.25">
      <c r="A741" s="105"/>
      <c r="B741" s="105"/>
      <c r="C741" s="93" t="str">
        <f t="shared" si="22"/>
        <v/>
      </c>
      <c r="D741" s="93" t="str">
        <f t="shared" si="23"/>
        <v/>
      </c>
      <c r="E741" s="115"/>
      <c r="F741" s="115"/>
      <c r="G741" s="115"/>
      <c r="H741" s="115"/>
      <c r="I741" s="134"/>
      <c r="J741" s="115"/>
      <c r="K741" s="115"/>
    </row>
    <row r="742" spans="1:11" ht="15.75" x14ac:dyDescent="0.25">
      <c r="A742" s="105"/>
      <c r="B742" s="105"/>
      <c r="C742" s="93" t="str">
        <f t="shared" si="22"/>
        <v/>
      </c>
      <c r="D742" s="93" t="str">
        <f t="shared" si="23"/>
        <v/>
      </c>
      <c r="E742" s="115"/>
      <c r="F742" s="115"/>
      <c r="G742" s="115"/>
      <c r="H742" s="115"/>
      <c r="I742" s="134"/>
      <c r="J742" s="115"/>
      <c r="K742" s="115"/>
    </row>
    <row r="743" spans="1:11" ht="15.75" x14ac:dyDescent="0.25">
      <c r="A743" s="105"/>
      <c r="B743" s="105"/>
      <c r="C743" s="93" t="str">
        <f t="shared" si="22"/>
        <v/>
      </c>
      <c r="D743" s="93" t="str">
        <f t="shared" si="23"/>
        <v/>
      </c>
      <c r="E743" s="115"/>
      <c r="F743" s="115"/>
      <c r="G743" s="115"/>
      <c r="H743" s="115"/>
      <c r="I743" s="134"/>
      <c r="J743" s="115"/>
      <c r="K743" s="115"/>
    </row>
    <row r="744" spans="1:11" ht="15.75" x14ac:dyDescent="0.25">
      <c r="A744" s="105"/>
      <c r="B744" s="105"/>
      <c r="C744" s="93" t="str">
        <f t="shared" si="22"/>
        <v/>
      </c>
      <c r="D744" s="93" t="str">
        <f t="shared" si="23"/>
        <v/>
      </c>
      <c r="E744" s="115"/>
      <c r="F744" s="115"/>
      <c r="G744" s="115"/>
      <c r="H744" s="115"/>
      <c r="I744" s="134"/>
      <c r="J744" s="115"/>
      <c r="K744" s="115"/>
    </row>
    <row r="745" spans="1:11" ht="15.75" x14ac:dyDescent="0.25">
      <c r="A745" s="105"/>
      <c r="B745" s="105"/>
      <c r="C745" s="93" t="str">
        <f t="shared" si="22"/>
        <v/>
      </c>
      <c r="D745" s="93" t="str">
        <f t="shared" si="23"/>
        <v/>
      </c>
      <c r="E745" s="115"/>
      <c r="F745" s="115"/>
      <c r="G745" s="115"/>
      <c r="H745" s="115"/>
      <c r="I745" s="134"/>
      <c r="J745" s="115"/>
      <c r="K745" s="115"/>
    </row>
    <row r="746" spans="1:11" ht="15.75" x14ac:dyDescent="0.25">
      <c r="A746" s="105"/>
      <c r="B746" s="105"/>
      <c r="C746" s="93" t="str">
        <f t="shared" si="22"/>
        <v/>
      </c>
      <c r="D746" s="93" t="str">
        <f t="shared" si="23"/>
        <v/>
      </c>
      <c r="E746" s="115"/>
      <c r="F746" s="115"/>
      <c r="G746" s="115"/>
      <c r="H746" s="115"/>
      <c r="I746" s="134"/>
      <c r="J746" s="115"/>
      <c r="K746" s="115"/>
    </row>
    <row r="747" spans="1:11" ht="15.75" x14ac:dyDescent="0.25">
      <c r="A747" s="105"/>
      <c r="B747" s="105"/>
      <c r="C747" s="93" t="str">
        <f t="shared" si="22"/>
        <v/>
      </c>
      <c r="D747" s="93" t="str">
        <f t="shared" si="23"/>
        <v/>
      </c>
      <c r="E747" s="115"/>
      <c r="F747" s="115"/>
      <c r="G747" s="115"/>
      <c r="H747" s="115"/>
      <c r="I747" s="134"/>
      <c r="J747" s="115"/>
      <c r="K747" s="115"/>
    </row>
    <row r="748" spans="1:11" ht="15.75" x14ac:dyDescent="0.25">
      <c r="A748" s="105"/>
      <c r="B748" s="105"/>
      <c r="C748" s="93" t="str">
        <f t="shared" si="22"/>
        <v/>
      </c>
      <c r="D748" s="93" t="str">
        <f t="shared" si="23"/>
        <v/>
      </c>
      <c r="E748" s="115"/>
      <c r="F748" s="115"/>
      <c r="G748" s="115"/>
      <c r="H748" s="115"/>
      <c r="I748" s="134"/>
      <c r="J748" s="115"/>
      <c r="K748" s="115"/>
    </row>
    <row r="749" spans="1:11" ht="15.75" x14ac:dyDescent="0.25">
      <c r="A749" s="105"/>
      <c r="B749" s="105"/>
      <c r="C749" s="93" t="str">
        <f t="shared" si="22"/>
        <v/>
      </c>
      <c r="D749" s="93" t="str">
        <f t="shared" si="23"/>
        <v/>
      </c>
      <c r="E749" s="115"/>
      <c r="F749" s="115"/>
      <c r="G749" s="115"/>
      <c r="H749" s="115"/>
      <c r="I749" s="134"/>
      <c r="J749" s="115"/>
      <c r="K749" s="115"/>
    </row>
    <row r="750" spans="1:11" ht="15.75" x14ac:dyDescent="0.25">
      <c r="A750" s="105"/>
      <c r="B750" s="105"/>
      <c r="C750" s="93" t="str">
        <f t="shared" si="22"/>
        <v/>
      </c>
      <c r="D750" s="93" t="str">
        <f t="shared" si="23"/>
        <v/>
      </c>
      <c r="E750" s="115"/>
      <c r="F750" s="115"/>
      <c r="G750" s="115"/>
      <c r="H750" s="115"/>
      <c r="I750" s="134"/>
      <c r="J750" s="115"/>
      <c r="K750" s="115"/>
    </row>
    <row r="751" spans="1:11" ht="15.75" x14ac:dyDescent="0.25">
      <c r="A751" s="105"/>
      <c r="B751" s="105"/>
      <c r="C751" s="93" t="str">
        <f t="shared" si="22"/>
        <v/>
      </c>
      <c r="D751" s="93" t="str">
        <f t="shared" si="23"/>
        <v/>
      </c>
      <c r="E751" s="115"/>
      <c r="F751" s="115"/>
      <c r="G751" s="115"/>
      <c r="H751" s="115"/>
      <c r="I751" s="134"/>
      <c r="J751" s="115"/>
      <c r="K751" s="115"/>
    </row>
    <row r="752" spans="1:11" ht="15.75" x14ac:dyDescent="0.25">
      <c r="A752" s="105"/>
      <c r="B752" s="105"/>
      <c r="C752" s="93" t="str">
        <f t="shared" si="22"/>
        <v/>
      </c>
      <c r="D752" s="93" t="str">
        <f t="shared" si="23"/>
        <v/>
      </c>
      <c r="E752" s="115"/>
      <c r="F752" s="115"/>
      <c r="G752" s="115"/>
      <c r="H752" s="115"/>
      <c r="I752" s="134"/>
      <c r="J752" s="115"/>
      <c r="K752" s="115"/>
    </row>
    <row r="753" spans="1:11" ht="15.75" x14ac:dyDescent="0.25">
      <c r="A753" s="105"/>
      <c r="B753" s="105"/>
      <c r="C753" s="93" t="str">
        <f t="shared" si="22"/>
        <v/>
      </c>
      <c r="D753" s="93" t="str">
        <f t="shared" si="23"/>
        <v/>
      </c>
      <c r="E753" s="115"/>
      <c r="F753" s="115"/>
      <c r="G753" s="115"/>
      <c r="H753" s="115"/>
      <c r="I753" s="134"/>
      <c r="J753" s="115"/>
      <c r="K753" s="115"/>
    </row>
    <row r="754" spans="1:11" ht="15.75" x14ac:dyDescent="0.25">
      <c r="A754" s="105"/>
      <c r="B754" s="105"/>
      <c r="C754" s="93" t="str">
        <f t="shared" si="22"/>
        <v/>
      </c>
      <c r="D754" s="93" t="str">
        <f t="shared" si="23"/>
        <v/>
      </c>
      <c r="E754" s="115"/>
      <c r="F754" s="115"/>
      <c r="G754" s="115"/>
      <c r="H754" s="115"/>
      <c r="I754" s="134"/>
      <c r="J754" s="115"/>
      <c r="K754" s="115"/>
    </row>
    <row r="755" spans="1:11" ht="15.75" x14ac:dyDescent="0.25">
      <c r="A755" s="105"/>
      <c r="B755" s="105"/>
      <c r="C755" s="93" t="str">
        <f t="shared" si="22"/>
        <v/>
      </c>
      <c r="D755" s="93" t="str">
        <f t="shared" si="23"/>
        <v/>
      </c>
      <c r="E755" s="115"/>
      <c r="F755" s="115"/>
      <c r="G755" s="115"/>
      <c r="H755" s="115"/>
      <c r="I755" s="134"/>
      <c r="J755" s="115"/>
      <c r="K755" s="115"/>
    </row>
    <row r="756" spans="1:11" ht="15.75" x14ac:dyDescent="0.25">
      <c r="A756" s="105"/>
      <c r="B756" s="105"/>
      <c r="C756" s="93" t="str">
        <f t="shared" si="22"/>
        <v/>
      </c>
      <c r="D756" s="93" t="str">
        <f t="shared" si="23"/>
        <v/>
      </c>
      <c r="E756" s="115"/>
      <c r="F756" s="115"/>
      <c r="G756" s="115"/>
      <c r="H756" s="115"/>
      <c r="I756" s="134"/>
      <c r="J756" s="115"/>
      <c r="K756" s="115"/>
    </row>
    <row r="757" spans="1:11" ht="15.75" x14ac:dyDescent="0.25">
      <c r="A757" s="105"/>
      <c r="B757" s="105"/>
      <c r="C757" s="93" t="str">
        <f t="shared" si="22"/>
        <v/>
      </c>
      <c r="D757" s="93" t="str">
        <f t="shared" si="23"/>
        <v/>
      </c>
      <c r="E757" s="115"/>
      <c r="F757" s="115"/>
      <c r="G757" s="115"/>
      <c r="H757" s="115"/>
      <c r="I757" s="134"/>
      <c r="J757" s="115"/>
      <c r="K757" s="115"/>
    </row>
    <row r="758" spans="1:11" ht="15.75" x14ac:dyDescent="0.25">
      <c r="A758" s="105"/>
      <c r="B758" s="105"/>
      <c r="C758" s="93" t="str">
        <f t="shared" si="22"/>
        <v/>
      </c>
      <c r="D758" s="93" t="str">
        <f t="shared" si="23"/>
        <v/>
      </c>
      <c r="E758" s="115"/>
      <c r="F758" s="115"/>
      <c r="G758" s="115"/>
      <c r="H758" s="115"/>
      <c r="I758" s="134"/>
      <c r="J758" s="115"/>
      <c r="K758" s="115"/>
    </row>
    <row r="759" spans="1:11" ht="15.75" x14ac:dyDescent="0.25">
      <c r="A759" s="105"/>
      <c r="B759" s="105"/>
      <c r="C759" s="93" t="str">
        <f t="shared" si="22"/>
        <v/>
      </c>
      <c r="D759" s="93" t="str">
        <f t="shared" si="23"/>
        <v/>
      </c>
      <c r="E759" s="115"/>
      <c r="F759" s="115"/>
      <c r="G759" s="115"/>
      <c r="H759" s="115"/>
      <c r="I759" s="134"/>
      <c r="J759" s="115"/>
      <c r="K759" s="115"/>
    </row>
    <row r="760" spans="1:11" ht="15.75" x14ac:dyDescent="0.25">
      <c r="A760" s="105"/>
      <c r="B760" s="105"/>
      <c r="C760" s="93" t="str">
        <f t="shared" si="22"/>
        <v/>
      </c>
      <c r="D760" s="93" t="str">
        <f t="shared" si="23"/>
        <v/>
      </c>
      <c r="E760" s="115"/>
      <c r="F760" s="115"/>
      <c r="G760" s="115"/>
      <c r="H760" s="115"/>
      <c r="I760" s="134"/>
      <c r="J760" s="115"/>
      <c r="K760" s="115"/>
    </row>
    <row r="761" spans="1:11" ht="15.75" x14ac:dyDescent="0.25">
      <c r="A761" s="105"/>
      <c r="B761" s="105"/>
      <c r="C761" s="93" t="str">
        <f t="shared" si="22"/>
        <v/>
      </c>
      <c r="D761" s="93" t="str">
        <f t="shared" si="23"/>
        <v/>
      </c>
      <c r="E761" s="115"/>
      <c r="F761" s="115"/>
      <c r="G761" s="115"/>
      <c r="H761" s="115"/>
      <c r="I761" s="134"/>
      <c r="J761" s="115"/>
      <c r="K761" s="115"/>
    </row>
    <row r="762" spans="1:11" ht="15.75" x14ac:dyDescent="0.25">
      <c r="A762" s="105"/>
      <c r="B762" s="105"/>
      <c r="C762" s="93" t="str">
        <f t="shared" si="22"/>
        <v/>
      </c>
      <c r="D762" s="93" t="str">
        <f t="shared" si="23"/>
        <v/>
      </c>
      <c r="E762" s="115"/>
      <c r="F762" s="115"/>
      <c r="G762" s="115"/>
      <c r="H762" s="115"/>
      <c r="I762" s="134"/>
      <c r="J762" s="115"/>
      <c r="K762" s="115"/>
    </row>
    <row r="763" spans="1:11" ht="15.75" x14ac:dyDescent="0.25">
      <c r="A763" s="105"/>
      <c r="B763" s="105"/>
      <c r="C763" s="93" t="str">
        <f t="shared" si="22"/>
        <v/>
      </c>
      <c r="D763" s="93" t="str">
        <f t="shared" si="23"/>
        <v/>
      </c>
      <c r="E763" s="115"/>
      <c r="F763" s="115"/>
      <c r="G763" s="115"/>
      <c r="H763" s="115"/>
      <c r="I763" s="134"/>
      <c r="J763" s="115"/>
      <c r="K763" s="115"/>
    </row>
    <row r="764" spans="1:11" ht="15.75" x14ac:dyDescent="0.25">
      <c r="A764" s="105"/>
      <c r="B764" s="105"/>
      <c r="C764" s="93" t="str">
        <f t="shared" si="22"/>
        <v/>
      </c>
      <c r="D764" s="93" t="str">
        <f t="shared" si="23"/>
        <v/>
      </c>
      <c r="E764" s="115"/>
      <c r="F764" s="115"/>
      <c r="G764" s="115"/>
      <c r="H764" s="115"/>
      <c r="I764" s="134"/>
      <c r="J764" s="115"/>
      <c r="K764" s="115"/>
    </row>
    <row r="765" spans="1:11" ht="15.75" x14ac:dyDescent="0.25">
      <c r="A765" s="105"/>
      <c r="B765" s="105"/>
      <c r="C765" s="93" t="str">
        <f t="shared" si="22"/>
        <v/>
      </c>
      <c r="D765" s="93" t="str">
        <f t="shared" si="23"/>
        <v/>
      </c>
      <c r="E765" s="115"/>
      <c r="F765" s="115"/>
      <c r="G765" s="115"/>
      <c r="H765" s="115"/>
      <c r="I765" s="134"/>
      <c r="J765" s="115"/>
      <c r="K765" s="115"/>
    </row>
    <row r="766" spans="1:11" ht="15.75" x14ac:dyDescent="0.25">
      <c r="A766" s="105"/>
      <c r="B766" s="105"/>
      <c r="C766" s="93" t="str">
        <f t="shared" si="22"/>
        <v/>
      </c>
      <c r="D766" s="93" t="str">
        <f t="shared" si="23"/>
        <v/>
      </c>
      <c r="E766" s="115"/>
      <c r="F766" s="115"/>
      <c r="G766" s="115"/>
      <c r="H766" s="115"/>
      <c r="I766" s="134"/>
      <c r="J766" s="115"/>
      <c r="K766" s="115"/>
    </row>
    <row r="767" spans="1:11" ht="15.75" x14ac:dyDescent="0.25">
      <c r="A767" s="105"/>
      <c r="B767" s="105"/>
      <c r="C767" s="93" t="str">
        <f t="shared" si="22"/>
        <v/>
      </c>
      <c r="D767" s="93" t="str">
        <f t="shared" si="23"/>
        <v/>
      </c>
      <c r="E767" s="115"/>
      <c r="F767" s="115"/>
      <c r="G767" s="115"/>
      <c r="H767" s="115"/>
      <c r="I767" s="134"/>
      <c r="J767" s="115"/>
      <c r="K767" s="115"/>
    </row>
    <row r="768" spans="1:11" ht="15.75" x14ac:dyDescent="0.25">
      <c r="A768" s="105"/>
      <c r="B768" s="105"/>
      <c r="C768" s="93" t="str">
        <f t="shared" si="22"/>
        <v/>
      </c>
      <c r="D768" s="93" t="str">
        <f t="shared" si="23"/>
        <v/>
      </c>
      <c r="E768" s="115"/>
      <c r="F768" s="115"/>
      <c r="G768" s="115"/>
      <c r="H768" s="115"/>
      <c r="I768" s="134"/>
      <c r="J768" s="115"/>
      <c r="K768" s="115"/>
    </row>
    <row r="769" spans="1:11" ht="15.75" x14ac:dyDescent="0.25">
      <c r="A769" s="105"/>
      <c r="B769" s="105"/>
      <c r="C769" s="93" t="str">
        <f t="shared" si="22"/>
        <v/>
      </c>
      <c r="D769" s="93" t="str">
        <f t="shared" si="23"/>
        <v/>
      </c>
      <c r="E769" s="115"/>
      <c r="F769" s="115"/>
      <c r="G769" s="115"/>
      <c r="H769" s="115"/>
      <c r="I769" s="134"/>
      <c r="J769" s="115"/>
      <c r="K769" s="115"/>
    </row>
    <row r="770" spans="1:11" ht="15.75" x14ac:dyDescent="0.25">
      <c r="A770" s="105"/>
      <c r="B770" s="105"/>
      <c r="C770" s="93" t="str">
        <f t="shared" si="22"/>
        <v/>
      </c>
      <c r="D770" s="93" t="str">
        <f t="shared" si="23"/>
        <v/>
      </c>
      <c r="E770" s="115"/>
      <c r="F770" s="115"/>
      <c r="G770" s="115"/>
      <c r="H770" s="115"/>
      <c r="I770" s="134"/>
      <c r="J770" s="115"/>
      <c r="K770" s="115"/>
    </row>
    <row r="771" spans="1:11" ht="15.75" x14ac:dyDescent="0.25">
      <c r="A771" s="105"/>
      <c r="B771" s="105"/>
      <c r="C771" s="93" t="str">
        <f t="shared" si="22"/>
        <v/>
      </c>
      <c r="D771" s="93" t="str">
        <f t="shared" si="23"/>
        <v/>
      </c>
      <c r="E771" s="115"/>
      <c r="F771" s="115"/>
      <c r="G771" s="115"/>
      <c r="H771" s="115"/>
      <c r="I771" s="134"/>
      <c r="J771" s="115"/>
      <c r="K771" s="115"/>
    </row>
    <row r="772" spans="1:11" ht="15.75" x14ac:dyDescent="0.25">
      <c r="A772" s="105"/>
      <c r="B772" s="105"/>
      <c r="C772" s="93" t="str">
        <f t="shared" si="22"/>
        <v/>
      </c>
      <c r="D772" s="93" t="str">
        <f t="shared" si="23"/>
        <v/>
      </c>
      <c r="E772" s="115"/>
      <c r="F772" s="115"/>
      <c r="G772" s="115"/>
      <c r="H772" s="115"/>
      <c r="I772" s="134"/>
      <c r="J772" s="115"/>
      <c r="K772" s="115"/>
    </row>
    <row r="773" spans="1:11" ht="15.75" x14ac:dyDescent="0.25">
      <c r="A773" s="105"/>
      <c r="B773" s="105"/>
      <c r="C773" s="93" t="str">
        <f t="shared" si="22"/>
        <v/>
      </c>
      <c r="D773" s="93" t="str">
        <f t="shared" si="23"/>
        <v/>
      </c>
      <c r="E773" s="115"/>
      <c r="F773" s="115"/>
      <c r="G773" s="115"/>
      <c r="H773" s="115"/>
      <c r="I773" s="134"/>
      <c r="J773" s="115"/>
      <c r="K773" s="115"/>
    </row>
    <row r="774" spans="1:11" ht="15.75" x14ac:dyDescent="0.25">
      <c r="A774" s="105"/>
      <c r="B774" s="105"/>
      <c r="C774" s="93" t="str">
        <f t="shared" si="22"/>
        <v/>
      </c>
      <c r="D774" s="93" t="str">
        <f t="shared" si="23"/>
        <v/>
      </c>
      <c r="E774" s="115"/>
      <c r="F774" s="115"/>
      <c r="G774" s="115"/>
      <c r="H774" s="115"/>
      <c r="I774" s="134"/>
      <c r="J774" s="115"/>
      <c r="K774" s="115"/>
    </row>
    <row r="775" spans="1:11" ht="15.75" x14ac:dyDescent="0.25">
      <c r="A775" s="105"/>
      <c r="B775" s="105"/>
      <c r="C775" s="93" t="str">
        <f t="shared" si="22"/>
        <v/>
      </c>
      <c r="D775" s="93" t="str">
        <f t="shared" si="23"/>
        <v/>
      </c>
      <c r="E775" s="115"/>
      <c r="F775" s="115"/>
      <c r="G775" s="115"/>
      <c r="H775" s="115"/>
      <c r="I775" s="134"/>
      <c r="J775" s="115"/>
      <c r="K775" s="115"/>
    </row>
    <row r="776" spans="1:11" ht="15.75" x14ac:dyDescent="0.25">
      <c r="A776" s="105"/>
      <c r="B776" s="105"/>
      <c r="C776" s="93" t="str">
        <f t="shared" si="22"/>
        <v/>
      </c>
      <c r="D776" s="93" t="str">
        <f t="shared" si="23"/>
        <v/>
      </c>
      <c r="E776" s="115"/>
      <c r="F776" s="115"/>
      <c r="G776" s="115"/>
      <c r="H776" s="115"/>
      <c r="I776" s="134"/>
      <c r="J776" s="115"/>
      <c r="K776" s="115"/>
    </row>
    <row r="777" spans="1:11" ht="15.75" x14ac:dyDescent="0.25">
      <c r="A777" s="105"/>
      <c r="B777" s="105"/>
      <c r="C777" s="93" t="str">
        <f t="shared" si="22"/>
        <v/>
      </c>
      <c r="D777" s="93" t="str">
        <f t="shared" si="23"/>
        <v/>
      </c>
      <c r="E777" s="115"/>
      <c r="F777" s="115"/>
      <c r="G777" s="115"/>
      <c r="H777" s="115"/>
      <c r="I777" s="134"/>
      <c r="J777" s="115"/>
      <c r="K777" s="115"/>
    </row>
    <row r="778" spans="1:11" ht="15.75" x14ac:dyDescent="0.25">
      <c r="A778" s="105"/>
      <c r="B778" s="105"/>
      <c r="C778" s="93" t="str">
        <f t="shared" si="22"/>
        <v/>
      </c>
      <c r="D778" s="93" t="str">
        <f t="shared" si="23"/>
        <v/>
      </c>
      <c r="E778" s="115"/>
      <c r="F778" s="115"/>
      <c r="G778" s="115"/>
      <c r="H778" s="115"/>
      <c r="I778" s="134"/>
      <c r="J778" s="115"/>
      <c r="K778" s="115"/>
    </row>
    <row r="779" spans="1:11" ht="15.75" x14ac:dyDescent="0.25">
      <c r="A779" s="105"/>
      <c r="B779" s="105"/>
      <c r="C779" s="93" t="str">
        <f t="shared" si="22"/>
        <v/>
      </c>
      <c r="D779" s="93" t="str">
        <f t="shared" si="23"/>
        <v/>
      </c>
      <c r="E779" s="115"/>
      <c r="F779" s="115"/>
      <c r="G779" s="115"/>
      <c r="H779" s="115"/>
      <c r="I779" s="134"/>
      <c r="J779" s="115"/>
      <c r="K779" s="115"/>
    </row>
    <row r="780" spans="1:11" ht="15.75" x14ac:dyDescent="0.25">
      <c r="A780" s="105"/>
      <c r="B780" s="105"/>
      <c r="C780" s="93" t="str">
        <f t="shared" si="22"/>
        <v/>
      </c>
      <c r="D780" s="93" t="str">
        <f t="shared" si="23"/>
        <v/>
      </c>
      <c r="E780" s="115"/>
      <c r="F780" s="115"/>
      <c r="G780" s="115"/>
      <c r="H780" s="115"/>
      <c r="I780" s="134"/>
      <c r="J780" s="115"/>
      <c r="K780" s="115"/>
    </row>
    <row r="781" spans="1:11" ht="15.75" x14ac:dyDescent="0.25">
      <c r="A781" s="105"/>
      <c r="B781" s="105"/>
      <c r="C781" s="93" t="str">
        <f t="shared" si="22"/>
        <v/>
      </c>
      <c r="D781" s="93" t="str">
        <f t="shared" si="23"/>
        <v/>
      </c>
      <c r="E781" s="115"/>
      <c r="F781" s="115"/>
      <c r="G781" s="115"/>
      <c r="H781" s="115"/>
      <c r="I781" s="134"/>
      <c r="J781" s="115"/>
      <c r="K781" s="115"/>
    </row>
    <row r="782" spans="1:11" ht="15.75" x14ac:dyDescent="0.25">
      <c r="A782" s="105"/>
      <c r="B782" s="105"/>
      <c r="C782" s="93" t="str">
        <f t="shared" si="22"/>
        <v/>
      </c>
      <c r="D782" s="93" t="str">
        <f t="shared" si="23"/>
        <v/>
      </c>
      <c r="E782" s="115"/>
      <c r="F782" s="115"/>
      <c r="G782" s="115"/>
      <c r="H782" s="115"/>
      <c r="I782" s="134"/>
      <c r="J782" s="115"/>
      <c r="K782" s="115"/>
    </row>
    <row r="783" spans="1:11" ht="15.75" x14ac:dyDescent="0.25">
      <c r="A783" s="105"/>
      <c r="B783" s="105"/>
      <c r="C783" s="93" t="str">
        <f t="shared" si="22"/>
        <v/>
      </c>
      <c r="D783" s="93" t="str">
        <f t="shared" si="23"/>
        <v/>
      </c>
      <c r="E783" s="115"/>
      <c r="F783" s="115"/>
      <c r="G783" s="115"/>
      <c r="H783" s="115"/>
      <c r="I783" s="134"/>
      <c r="J783" s="115"/>
      <c r="K783" s="115"/>
    </row>
    <row r="784" spans="1:11" ht="15.75" x14ac:dyDescent="0.25">
      <c r="A784" s="105"/>
      <c r="B784" s="105"/>
      <c r="C784" s="93" t="str">
        <f t="shared" si="22"/>
        <v/>
      </c>
      <c r="D784" s="93" t="str">
        <f t="shared" si="23"/>
        <v/>
      </c>
      <c r="E784" s="115"/>
      <c r="F784" s="115"/>
      <c r="G784" s="115"/>
      <c r="H784" s="115"/>
      <c r="I784" s="134"/>
      <c r="J784" s="115"/>
      <c r="K784" s="115"/>
    </row>
    <row r="785" spans="1:11" ht="15.75" x14ac:dyDescent="0.25">
      <c r="A785" s="105"/>
      <c r="B785" s="105"/>
      <c r="C785" s="93" t="str">
        <f t="shared" si="22"/>
        <v/>
      </c>
      <c r="D785" s="93" t="str">
        <f t="shared" si="23"/>
        <v/>
      </c>
      <c r="E785" s="115"/>
      <c r="F785" s="115"/>
      <c r="G785" s="115"/>
      <c r="H785" s="115"/>
      <c r="I785" s="134"/>
      <c r="J785" s="115"/>
      <c r="K785" s="115"/>
    </row>
    <row r="786" spans="1:11" ht="15.75" x14ac:dyDescent="0.25">
      <c r="A786" s="105"/>
      <c r="B786" s="105"/>
      <c r="C786" s="93" t="str">
        <f t="shared" si="22"/>
        <v/>
      </c>
      <c r="D786" s="93" t="str">
        <f t="shared" si="23"/>
        <v/>
      </c>
      <c r="E786" s="115"/>
      <c r="F786" s="115"/>
      <c r="G786" s="115"/>
      <c r="H786" s="115"/>
      <c r="I786" s="134"/>
      <c r="J786" s="115"/>
      <c r="K786" s="115"/>
    </row>
    <row r="787" spans="1:11" ht="15.75" x14ac:dyDescent="0.25">
      <c r="A787" s="105"/>
      <c r="B787" s="105"/>
      <c r="C787" s="93" t="str">
        <f t="shared" si="22"/>
        <v/>
      </c>
      <c r="D787" s="93" t="str">
        <f t="shared" si="23"/>
        <v/>
      </c>
      <c r="E787" s="115"/>
      <c r="F787" s="115"/>
      <c r="G787" s="115"/>
      <c r="H787" s="115"/>
      <c r="I787" s="134"/>
      <c r="J787" s="115"/>
      <c r="K787" s="115"/>
    </row>
    <row r="788" spans="1:11" ht="15.75" x14ac:dyDescent="0.25">
      <c r="A788" s="105"/>
      <c r="B788" s="105"/>
      <c r="C788" s="93" t="str">
        <f t="shared" ref="C788:C851" si="24">IF(A788=0,"",VLOOKUP(B788,MatDB,2,FALSE))</f>
        <v/>
      </c>
      <c r="D788" s="93" t="str">
        <f t="shared" si="23"/>
        <v/>
      </c>
      <c r="E788" s="115"/>
      <c r="F788" s="115"/>
      <c r="G788" s="115"/>
      <c r="H788" s="115"/>
      <c r="I788" s="134"/>
      <c r="J788" s="115"/>
      <c r="K788" s="115"/>
    </row>
    <row r="789" spans="1:11" ht="15.75" x14ac:dyDescent="0.25">
      <c r="A789" s="105"/>
      <c r="B789" s="105"/>
      <c r="C789" s="93" t="str">
        <f t="shared" si="24"/>
        <v/>
      </c>
      <c r="D789" s="93" t="str">
        <f t="shared" ref="D789:D852" si="25">IF(A789=0,"","Steel02")</f>
        <v/>
      </c>
      <c r="E789" s="115"/>
      <c r="F789" s="115"/>
      <c r="G789" s="115"/>
      <c r="H789" s="115"/>
      <c r="I789" s="134"/>
      <c r="J789" s="115"/>
      <c r="K789" s="115"/>
    </row>
    <row r="790" spans="1:11" ht="15.75" x14ac:dyDescent="0.25">
      <c r="A790" s="105"/>
      <c r="B790" s="105"/>
      <c r="C790" s="93" t="str">
        <f t="shared" si="24"/>
        <v/>
      </c>
      <c r="D790" s="93" t="str">
        <f t="shared" si="25"/>
        <v/>
      </c>
      <c r="E790" s="115"/>
      <c r="F790" s="115"/>
      <c r="G790" s="115"/>
      <c r="H790" s="115"/>
      <c r="I790" s="134"/>
      <c r="J790" s="115"/>
      <c r="K790" s="115"/>
    </row>
    <row r="791" spans="1:11" ht="15.75" x14ac:dyDescent="0.25">
      <c r="A791" s="105"/>
      <c r="B791" s="105"/>
      <c r="C791" s="93" t="str">
        <f t="shared" si="24"/>
        <v/>
      </c>
      <c r="D791" s="93" t="str">
        <f t="shared" si="25"/>
        <v/>
      </c>
      <c r="E791" s="115"/>
      <c r="F791" s="115"/>
      <c r="G791" s="115"/>
      <c r="H791" s="115"/>
      <c r="I791" s="134"/>
      <c r="J791" s="115"/>
      <c r="K791" s="115"/>
    </row>
    <row r="792" spans="1:11" ht="15.75" x14ac:dyDescent="0.25">
      <c r="A792" s="105"/>
      <c r="B792" s="105"/>
      <c r="C792" s="93" t="str">
        <f t="shared" si="24"/>
        <v/>
      </c>
      <c r="D792" s="93" t="str">
        <f t="shared" si="25"/>
        <v/>
      </c>
      <c r="E792" s="115"/>
      <c r="F792" s="115"/>
      <c r="G792" s="115"/>
      <c r="H792" s="115"/>
      <c r="I792" s="134"/>
      <c r="J792" s="115"/>
      <c r="K792" s="115"/>
    </row>
    <row r="793" spans="1:11" ht="15.75" x14ac:dyDescent="0.25">
      <c r="A793" s="105"/>
      <c r="B793" s="105"/>
      <c r="C793" s="93" t="str">
        <f t="shared" si="24"/>
        <v/>
      </c>
      <c r="D793" s="93" t="str">
        <f t="shared" si="25"/>
        <v/>
      </c>
      <c r="E793" s="115"/>
      <c r="F793" s="115"/>
      <c r="G793" s="115"/>
      <c r="H793" s="115"/>
      <c r="I793" s="134"/>
      <c r="J793" s="115"/>
      <c r="K793" s="115"/>
    </row>
    <row r="794" spans="1:11" ht="15.75" x14ac:dyDescent="0.25">
      <c r="A794" s="105"/>
      <c r="B794" s="105"/>
      <c r="C794" s="93" t="str">
        <f t="shared" si="24"/>
        <v/>
      </c>
      <c r="D794" s="93" t="str">
        <f t="shared" si="25"/>
        <v/>
      </c>
      <c r="E794" s="115"/>
      <c r="F794" s="115"/>
      <c r="G794" s="115"/>
      <c r="H794" s="115"/>
      <c r="I794" s="134"/>
      <c r="J794" s="115"/>
      <c r="K794" s="115"/>
    </row>
    <row r="795" spans="1:11" ht="15.75" x14ac:dyDescent="0.25">
      <c r="A795" s="105"/>
      <c r="B795" s="105"/>
      <c r="C795" s="93" t="str">
        <f t="shared" si="24"/>
        <v/>
      </c>
      <c r="D795" s="93" t="str">
        <f t="shared" si="25"/>
        <v/>
      </c>
      <c r="E795" s="115"/>
      <c r="F795" s="115"/>
      <c r="G795" s="115"/>
      <c r="H795" s="115"/>
      <c r="I795" s="134"/>
      <c r="J795" s="115"/>
      <c r="K795" s="115"/>
    </row>
    <row r="796" spans="1:11" ht="15.75" x14ac:dyDescent="0.25">
      <c r="A796" s="105"/>
      <c r="B796" s="105"/>
      <c r="C796" s="93" t="str">
        <f t="shared" si="24"/>
        <v/>
      </c>
      <c r="D796" s="93" t="str">
        <f t="shared" si="25"/>
        <v/>
      </c>
      <c r="E796" s="115"/>
      <c r="F796" s="115"/>
      <c r="G796" s="115"/>
      <c r="H796" s="115"/>
      <c r="I796" s="134"/>
      <c r="J796" s="115"/>
      <c r="K796" s="115"/>
    </row>
    <row r="797" spans="1:11" ht="15.75" x14ac:dyDescent="0.25">
      <c r="A797" s="105"/>
      <c r="B797" s="105"/>
      <c r="C797" s="93" t="str">
        <f t="shared" si="24"/>
        <v/>
      </c>
      <c r="D797" s="93" t="str">
        <f t="shared" si="25"/>
        <v/>
      </c>
      <c r="E797" s="115"/>
      <c r="F797" s="115"/>
      <c r="G797" s="115"/>
      <c r="H797" s="115"/>
      <c r="I797" s="134"/>
      <c r="J797" s="115"/>
      <c r="K797" s="115"/>
    </row>
    <row r="798" spans="1:11" ht="15.75" x14ac:dyDescent="0.25">
      <c r="A798" s="105"/>
      <c r="B798" s="105"/>
      <c r="C798" s="93" t="str">
        <f t="shared" si="24"/>
        <v/>
      </c>
      <c r="D798" s="93" t="str">
        <f t="shared" si="25"/>
        <v/>
      </c>
      <c r="E798" s="115"/>
      <c r="F798" s="115"/>
      <c r="G798" s="115"/>
      <c r="H798" s="115"/>
      <c r="I798" s="134"/>
      <c r="J798" s="115"/>
      <c r="K798" s="115"/>
    </row>
    <row r="799" spans="1:11" ht="15.75" x14ac:dyDescent="0.25">
      <c r="A799" s="105"/>
      <c r="B799" s="105"/>
      <c r="C799" s="93" t="str">
        <f t="shared" si="24"/>
        <v/>
      </c>
      <c r="D799" s="93" t="str">
        <f t="shared" si="25"/>
        <v/>
      </c>
      <c r="E799" s="115"/>
      <c r="F799" s="115"/>
      <c r="G799" s="115"/>
      <c r="H799" s="115"/>
      <c r="I799" s="134"/>
      <c r="J799" s="115"/>
      <c r="K799" s="115"/>
    </row>
    <row r="800" spans="1:11" ht="15.75" x14ac:dyDescent="0.25">
      <c r="A800" s="105"/>
      <c r="B800" s="105"/>
      <c r="C800" s="93" t="str">
        <f t="shared" si="24"/>
        <v/>
      </c>
      <c r="D800" s="93" t="str">
        <f t="shared" si="25"/>
        <v/>
      </c>
      <c r="E800" s="115"/>
      <c r="F800" s="115"/>
      <c r="G800" s="115"/>
      <c r="H800" s="115"/>
      <c r="I800" s="134"/>
      <c r="J800" s="115"/>
      <c r="K800" s="115"/>
    </row>
    <row r="801" spans="1:11" ht="15.75" x14ac:dyDescent="0.25">
      <c r="A801" s="105"/>
      <c r="B801" s="105"/>
      <c r="C801" s="93" t="str">
        <f t="shared" si="24"/>
        <v/>
      </c>
      <c r="D801" s="93" t="str">
        <f t="shared" si="25"/>
        <v/>
      </c>
      <c r="E801" s="115"/>
      <c r="F801" s="115"/>
      <c r="G801" s="115"/>
      <c r="H801" s="115"/>
      <c r="I801" s="134"/>
      <c r="J801" s="115"/>
      <c r="K801" s="115"/>
    </row>
    <row r="802" spans="1:11" ht="15.75" x14ac:dyDescent="0.25">
      <c r="A802" s="105"/>
      <c r="B802" s="105"/>
      <c r="C802" s="93" t="str">
        <f t="shared" si="24"/>
        <v/>
      </c>
      <c r="D802" s="93" t="str">
        <f t="shared" si="25"/>
        <v/>
      </c>
      <c r="E802" s="115"/>
      <c r="F802" s="115"/>
      <c r="G802" s="115"/>
      <c r="H802" s="115"/>
      <c r="I802" s="134"/>
      <c r="J802" s="115"/>
      <c r="K802" s="115"/>
    </row>
    <row r="803" spans="1:11" ht="15.75" x14ac:dyDescent="0.25">
      <c r="A803" s="105"/>
      <c r="B803" s="105"/>
      <c r="C803" s="93" t="str">
        <f t="shared" si="24"/>
        <v/>
      </c>
      <c r="D803" s="93" t="str">
        <f t="shared" si="25"/>
        <v/>
      </c>
      <c r="E803" s="115"/>
      <c r="F803" s="115"/>
      <c r="G803" s="115"/>
      <c r="H803" s="115"/>
      <c r="I803" s="134"/>
      <c r="J803" s="115"/>
      <c r="K803" s="115"/>
    </row>
    <row r="804" spans="1:11" ht="15.75" x14ac:dyDescent="0.25">
      <c r="A804" s="105"/>
      <c r="B804" s="105"/>
      <c r="C804" s="93" t="str">
        <f t="shared" si="24"/>
        <v/>
      </c>
      <c r="D804" s="93" t="str">
        <f t="shared" si="25"/>
        <v/>
      </c>
      <c r="E804" s="115"/>
      <c r="F804" s="115"/>
      <c r="G804" s="115"/>
      <c r="H804" s="115"/>
      <c r="I804" s="134"/>
      <c r="J804" s="115"/>
      <c r="K804" s="115"/>
    </row>
    <row r="805" spans="1:11" ht="15.75" x14ac:dyDescent="0.25">
      <c r="A805" s="105"/>
      <c r="B805" s="105"/>
      <c r="C805" s="93" t="str">
        <f t="shared" si="24"/>
        <v/>
      </c>
      <c r="D805" s="93" t="str">
        <f t="shared" si="25"/>
        <v/>
      </c>
      <c r="E805" s="115"/>
      <c r="F805" s="115"/>
      <c r="G805" s="115"/>
      <c r="H805" s="115"/>
      <c r="I805" s="134"/>
      <c r="J805" s="115"/>
      <c r="K805" s="115"/>
    </row>
    <row r="806" spans="1:11" ht="15.75" x14ac:dyDescent="0.25">
      <c r="A806" s="105"/>
      <c r="B806" s="105"/>
      <c r="C806" s="93" t="str">
        <f t="shared" si="24"/>
        <v/>
      </c>
      <c r="D806" s="93" t="str">
        <f t="shared" si="25"/>
        <v/>
      </c>
      <c r="E806" s="115"/>
      <c r="F806" s="115"/>
      <c r="G806" s="115"/>
      <c r="H806" s="115"/>
      <c r="I806" s="134"/>
      <c r="J806" s="115"/>
      <c r="K806" s="115"/>
    </row>
    <row r="807" spans="1:11" ht="15.75" x14ac:dyDescent="0.25">
      <c r="A807" s="105"/>
      <c r="B807" s="105"/>
      <c r="C807" s="93" t="str">
        <f t="shared" si="24"/>
        <v/>
      </c>
      <c r="D807" s="93" t="str">
        <f t="shared" si="25"/>
        <v/>
      </c>
      <c r="E807" s="115"/>
      <c r="F807" s="115"/>
      <c r="G807" s="115"/>
      <c r="H807" s="115"/>
      <c r="I807" s="134"/>
      <c r="J807" s="115"/>
      <c r="K807" s="115"/>
    </row>
    <row r="808" spans="1:11" ht="15.75" x14ac:dyDescent="0.25">
      <c r="A808" s="105"/>
      <c r="B808" s="105"/>
      <c r="C808" s="93" t="str">
        <f t="shared" si="24"/>
        <v/>
      </c>
      <c r="D808" s="93" t="str">
        <f t="shared" si="25"/>
        <v/>
      </c>
      <c r="E808" s="115"/>
      <c r="F808" s="115"/>
      <c r="G808" s="115"/>
      <c r="H808" s="115"/>
      <c r="I808" s="134"/>
      <c r="J808" s="115"/>
      <c r="K808" s="115"/>
    </row>
    <row r="809" spans="1:11" ht="15.75" x14ac:dyDescent="0.25">
      <c r="A809" s="105"/>
      <c r="B809" s="105"/>
      <c r="C809" s="93" t="str">
        <f t="shared" si="24"/>
        <v/>
      </c>
      <c r="D809" s="93" t="str">
        <f t="shared" si="25"/>
        <v/>
      </c>
      <c r="E809" s="115"/>
      <c r="F809" s="115"/>
      <c r="G809" s="115"/>
      <c r="H809" s="115"/>
      <c r="I809" s="134"/>
      <c r="J809" s="115"/>
      <c r="K809" s="115"/>
    </row>
    <row r="810" spans="1:11" ht="15.75" x14ac:dyDescent="0.25">
      <c r="A810" s="105"/>
      <c r="B810" s="105"/>
      <c r="C810" s="93" t="str">
        <f t="shared" si="24"/>
        <v/>
      </c>
      <c r="D810" s="93" t="str">
        <f t="shared" si="25"/>
        <v/>
      </c>
      <c r="E810" s="115"/>
      <c r="F810" s="115"/>
      <c r="G810" s="115"/>
      <c r="H810" s="115"/>
      <c r="I810" s="134"/>
      <c r="J810" s="115"/>
      <c r="K810" s="115"/>
    </row>
    <row r="811" spans="1:11" ht="15.75" x14ac:dyDescent="0.25">
      <c r="A811" s="105"/>
      <c r="B811" s="105"/>
      <c r="C811" s="93" t="str">
        <f t="shared" si="24"/>
        <v/>
      </c>
      <c r="D811" s="93" t="str">
        <f t="shared" si="25"/>
        <v/>
      </c>
      <c r="E811" s="115"/>
      <c r="F811" s="115"/>
      <c r="G811" s="115"/>
      <c r="H811" s="115"/>
      <c r="I811" s="134"/>
      <c r="J811" s="115"/>
      <c r="K811" s="115"/>
    </row>
    <row r="812" spans="1:11" ht="15.75" x14ac:dyDescent="0.25">
      <c r="A812" s="105"/>
      <c r="B812" s="105"/>
      <c r="C812" s="93" t="str">
        <f t="shared" si="24"/>
        <v/>
      </c>
      <c r="D812" s="93" t="str">
        <f t="shared" si="25"/>
        <v/>
      </c>
      <c r="E812" s="115"/>
      <c r="F812" s="115"/>
      <c r="G812" s="115"/>
      <c r="H812" s="115"/>
      <c r="I812" s="134"/>
      <c r="J812" s="115"/>
      <c r="K812" s="115"/>
    </row>
    <row r="813" spans="1:11" ht="15.75" x14ac:dyDescent="0.25">
      <c r="A813" s="105"/>
      <c r="B813" s="105"/>
      <c r="C813" s="93" t="str">
        <f t="shared" si="24"/>
        <v/>
      </c>
      <c r="D813" s="93" t="str">
        <f t="shared" si="25"/>
        <v/>
      </c>
      <c r="E813" s="115"/>
      <c r="F813" s="115"/>
      <c r="G813" s="115"/>
      <c r="H813" s="115"/>
      <c r="I813" s="134"/>
      <c r="J813" s="115"/>
      <c r="K813" s="115"/>
    </row>
    <row r="814" spans="1:11" ht="15.75" x14ac:dyDescent="0.25">
      <c r="A814" s="105"/>
      <c r="B814" s="105"/>
      <c r="C814" s="93" t="str">
        <f t="shared" si="24"/>
        <v/>
      </c>
      <c r="D814" s="93" t="str">
        <f t="shared" si="25"/>
        <v/>
      </c>
      <c r="E814" s="115"/>
      <c r="F814" s="115"/>
      <c r="G814" s="115"/>
      <c r="H814" s="115"/>
      <c r="I814" s="134"/>
      <c r="J814" s="115"/>
      <c r="K814" s="115"/>
    </row>
    <row r="815" spans="1:11" ht="15.75" x14ac:dyDescent="0.25">
      <c r="A815" s="105"/>
      <c r="B815" s="105"/>
      <c r="C815" s="93" t="str">
        <f t="shared" si="24"/>
        <v/>
      </c>
      <c r="D815" s="93" t="str">
        <f t="shared" si="25"/>
        <v/>
      </c>
      <c r="E815" s="115"/>
      <c r="F815" s="115"/>
      <c r="G815" s="115"/>
      <c r="H815" s="115"/>
      <c r="I815" s="134"/>
      <c r="J815" s="115"/>
      <c r="K815" s="115"/>
    </row>
    <row r="816" spans="1:11" ht="15.75" x14ac:dyDescent="0.25">
      <c r="A816" s="105"/>
      <c r="B816" s="105"/>
      <c r="C816" s="93" t="str">
        <f t="shared" si="24"/>
        <v/>
      </c>
      <c r="D816" s="93" t="str">
        <f t="shared" si="25"/>
        <v/>
      </c>
      <c r="E816" s="115"/>
      <c r="F816" s="115"/>
      <c r="G816" s="115"/>
      <c r="H816" s="115"/>
      <c r="I816" s="134"/>
      <c r="J816" s="115"/>
      <c r="K816" s="115"/>
    </row>
    <row r="817" spans="1:11" ht="15.75" x14ac:dyDescent="0.25">
      <c r="A817" s="105"/>
      <c r="B817" s="105"/>
      <c r="C817" s="93" t="str">
        <f t="shared" si="24"/>
        <v/>
      </c>
      <c r="D817" s="93" t="str">
        <f t="shared" si="25"/>
        <v/>
      </c>
      <c r="E817" s="115"/>
      <c r="F817" s="115"/>
      <c r="G817" s="115"/>
      <c r="H817" s="115"/>
      <c r="I817" s="134"/>
      <c r="J817" s="115"/>
      <c r="K817" s="115"/>
    </row>
    <row r="818" spans="1:11" ht="15.75" x14ac:dyDescent="0.25">
      <c r="A818" s="105"/>
      <c r="B818" s="105"/>
      <c r="C818" s="93" t="str">
        <f t="shared" si="24"/>
        <v/>
      </c>
      <c r="D818" s="93" t="str">
        <f t="shared" si="25"/>
        <v/>
      </c>
      <c r="E818" s="115"/>
      <c r="F818" s="115"/>
      <c r="G818" s="115"/>
      <c r="H818" s="115"/>
      <c r="I818" s="134"/>
      <c r="J818" s="115"/>
      <c r="K818" s="115"/>
    </row>
    <row r="819" spans="1:11" ht="15.75" x14ac:dyDescent="0.25">
      <c r="A819" s="105"/>
      <c r="B819" s="105"/>
      <c r="C819" s="93" t="str">
        <f t="shared" si="24"/>
        <v/>
      </c>
      <c r="D819" s="93" t="str">
        <f t="shared" si="25"/>
        <v/>
      </c>
      <c r="E819" s="115"/>
      <c r="F819" s="115"/>
      <c r="G819" s="115"/>
      <c r="H819" s="115"/>
      <c r="I819" s="134"/>
      <c r="J819" s="115"/>
      <c r="K819" s="115"/>
    </row>
    <row r="820" spans="1:11" ht="15.75" x14ac:dyDescent="0.25">
      <c r="A820" s="105"/>
      <c r="B820" s="105"/>
      <c r="C820" s="93" t="str">
        <f t="shared" si="24"/>
        <v/>
      </c>
      <c r="D820" s="93" t="str">
        <f t="shared" si="25"/>
        <v/>
      </c>
      <c r="E820" s="115"/>
      <c r="F820" s="115"/>
      <c r="G820" s="115"/>
      <c r="H820" s="115"/>
      <c r="I820" s="134"/>
      <c r="J820" s="115"/>
      <c r="K820" s="115"/>
    </row>
    <row r="821" spans="1:11" ht="15.75" x14ac:dyDescent="0.25">
      <c r="A821" s="105"/>
      <c r="B821" s="105"/>
      <c r="C821" s="93" t="str">
        <f t="shared" si="24"/>
        <v/>
      </c>
      <c r="D821" s="93" t="str">
        <f t="shared" si="25"/>
        <v/>
      </c>
      <c r="E821" s="115"/>
      <c r="F821" s="115"/>
      <c r="G821" s="115"/>
      <c r="H821" s="115"/>
      <c r="I821" s="134"/>
      <c r="J821" s="115"/>
      <c r="K821" s="115"/>
    </row>
    <row r="822" spans="1:11" ht="15.75" x14ac:dyDescent="0.25">
      <c r="A822" s="105"/>
      <c r="B822" s="105"/>
      <c r="C822" s="93" t="str">
        <f t="shared" si="24"/>
        <v/>
      </c>
      <c r="D822" s="93" t="str">
        <f t="shared" si="25"/>
        <v/>
      </c>
      <c r="E822" s="115"/>
      <c r="F822" s="115"/>
      <c r="G822" s="115"/>
      <c r="H822" s="115"/>
      <c r="I822" s="134"/>
      <c r="J822" s="115"/>
      <c r="K822" s="115"/>
    </row>
    <row r="823" spans="1:11" ht="15.75" x14ac:dyDescent="0.25">
      <c r="A823" s="105"/>
      <c r="B823" s="105"/>
      <c r="C823" s="93" t="str">
        <f t="shared" si="24"/>
        <v/>
      </c>
      <c r="D823" s="93" t="str">
        <f t="shared" si="25"/>
        <v/>
      </c>
      <c r="E823" s="115"/>
      <c r="F823" s="115"/>
      <c r="G823" s="115"/>
      <c r="H823" s="115"/>
      <c r="I823" s="134"/>
      <c r="J823" s="115"/>
      <c r="K823" s="115"/>
    </row>
    <row r="824" spans="1:11" ht="15.75" x14ac:dyDescent="0.25">
      <c r="A824" s="105"/>
      <c r="B824" s="105"/>
      <c r="C824" s="93" t="str">
        <f t="shared" si="24"/>
        <v/>
      </c>
      <c r="D824" s="93" t="str">
        <f t="shared" si="25"/>
        <v/>
      </c>
      <c r="E824" s="115"/>
      <c r="F824" s="115"/>
      <c r="G824" s="115"/>
      <c r="H824" s="115"/>
      <c r="I824" s="134"/>
      <c r="J824" s="115"/>
      <c r="K824" s="115"/>
    </row>
    <row r="825" spans="1:11" ht="15.75" x14ac:dyDescent="0.25">
      <c r="A825" s="105"/>
      <c r="B825" s="105"/>
      <c r="C825" s="93" t="str">
        <f t="shared" si="24"/>
        <v/>
      </c>
      <c r="D825" s="93" t="str">
        <f t="shared" si="25"/>
        <v/>
      </c>
      <c r="E825" s="115"/>
      <c r="F825" s="115"/>
      <c r="G825" s="115"/>
      <c r="H825" s="115"/>
      <c r="I825" s="134"/>
      <c r="J825" s="115"/>
      <c r="K825" s="115"/>
    </row>
    <row r="826" spans="1:11" ht="15.75" x14ac:dyDescent="0.25">
      <c r="A826" s="105"/>
      <c r="B826" s="105"/>
      <c r="C826" s="93" t="str">
        <f t="shared" si="24"/>
        <v/>
      </c>
      <c r="D826" s="93" t="str">
        <f t="shared" si="25"/>
        <v/>
      </c>
      <c r="E826" s="115"/>
      <c r="F826" s="115"/>
      <c r="G826" s="115"/>
      <c r="H826" s="115"/>
      <c r="I826" s="134"/>
      <c r="J826" s="115"/>
      <c r="K826" s="115"/>
    </row>
    <row r="827" spans="1:11" ht="15.75" x14ac:dyDescent="0.25">
      <c r="A827" s="105"/>
      <c r="B827" s="105"/>
      <c r="C827" s="93" t="str">
        <f t="shared" si="24"/>
        <v/>
      </c>
      <c r="D827" s="93" t="str">
        <f t="shared" si="25"/>
        <v/>
      </c>
      <c r="E827" s="115"/>
      <c r="F827" s="115"/>
      <c r="G827" s="115"/>
      <c r="H827" s="115"/>
      <c r="I827" s="134"/>
      <c r="J827" s="115"/>
      <c r="K827" s="115"/>
    </row>
    <row r="828" spans="1:11" ht="15.75" x14ac:dyDescent="0.25">
      <c r="A828" s="105"/>
      <c r="B828" s="105"/>
      <c r="C828" s="93" t="str">
        <f t="shared" si="24"/>
        <v/>
      </c>
      <c r="D828" s="93" t="str">
        <f t="shared" si="25"/>
        <v/>
      </c>
      <c r="E828" s="115"/>
      <c r="F828" s="115"/>
      <c r="G828" s="115"/>
      <c r="H828" s="115"/>
      <c r="I828" s="134"/>
      <c r="J828" s="115"/>
      <c r="K828" s="115"/>
    </row>
    <row r="829" spans="1:11" ht="15.75" x14ac:dyDescent="0.25">
      <c r="A829" s="105"/>
      <c r="B829" s="105"/>
      <c r="C829" s="93" t="str">
        <f t="shared" si="24"/>
        <v/>
      </c>
      <c r="D829" s="93" t="str">
        <f t="shared" si="25"/>
        <v/>
      </c>
      <c r="E829" s="115"/>
      <c r="F829" s="115"/>
      <c r="G829" s="115"/>
      <c r="H829" s="115"/>
      <c r="I829" s="134"/>
      <c r="J829" s="115"/>
      <c r="K829" s="115"/>
    </row>
    <row r="830" spans="1:11" ht="15.75" x14ac:dyDescent="0.25">
      <c r="A830" s="105"/>
      <c r="B830" s="105"/>
      <c r="C830" s="93" t="str">
        <f t="shared" si="24"/>
        <v/>
      </c>
      <c r="D830" s="93" t="str">
        <f t="shared" si="25"/>
        <v/>
      </c>
      <c r="E830" s="115"/>
      <c r="F830" s="115"/>
      <c r="G830" s="115"/>
      <c r="H830" s="115"/>
      <c r="I830" s="134"/>
      <c r="J830" s="115"/>
      <c r="K830" s="115"/>
    </row>
    <row r="831" spans="1:11" ht="15.75" x14ac:dyDescent="0.25">
      <c r="A831" s="105"/>
      <c r="B831" s="105"/>
      <c r="C831" s="93" t="str">
        <f t="shared" si="24"/>
        <v/>
      </c>
      <c r="D831" s="93" t="str">
        <f t="shared" si="25"/>
        <v/>
      </c>
      <c r="E831" s="115"/>
      <c r="F831" s="115"/>
      <c r="G831" s="115"/>
      <c r="H831" s="115"/>
      <c r="I831" s="134"/>
      <c r="J831" s="115"/>
      <c r="K831" s="115"/>
    </row>
    <row r="832" spans="1:11" ht="15.75" x14ac:dyDescent="0.25">
      <c r="A832" s="105"/>
      <c r="B832" s="105"/>
      <c r="C832" s="93" t="str">
        <f t="shared" si="24"/>
        <v/>
      </c>
      <c r="D832" s="93" t="str">
        <f t="shared" si="25"/>
        <v/>
      </c>
      <c r="E832" s="115"/>
      <c r="F832" s="115"/>
      <c r="G832" s="115"/>
      <c r="H832" s="115"/>
      <c r="I832" s="134"/>
      <c r="J832" s="115"/>
      <c r="K832" s="115"/>
    </row>
    <row r="833" spans="1:11" ht="15.75" x14ac:dyDescent="0.25">
      <c r="A833" s="105"/>
      <c r="B833" s="105"/>
      <c r="C833" s="93" t="str">
        <f t="shared" si="24"/>
        <v/>
      </c>
      <c r="D833" s="93" t="str">
        <f t="shared" si="25"/>
        <v/>
      </c>
      <c r="E833" s="115"/>
      <c r="F833" s="115"/>
      <c r="G833" s="115"/>
      <c r="H833" s="115"/>
      <c r="I833" s="134"/>
      <c r="J833" s="115"/>
      <c r="K833" s="115"/>
    </row>
    <row r="834" spans="1:11" ht="15.75" x14ac:dyDescent="0.25">
      <c r="A834" s="105"/>
      <c r="B834" s="105"/>
      <c r="C834" s="93" t="str">
        <f t="shared" si="24"/>
        <v/>
      </c>
      <c r="D834" s="93" t="str">
        <f t="shared" si="25"/>
        <v/>
      </c>
      <c r="E834" s="115"/>
      <c r="F834" s="115"/>
      <c r="G834" s="115"/>
      <c r="H834" s="115"/>
      <c r="I834" s="134"/>
      <c r="J834" s="115"/>
      <c r="K834" s="115"/>
    </row>
    <row r="835" spans="1:11" ht="15.75" x14ac:dyDescent="0.25">
      <c r="A835" s="105"/>
      <c r="B835" s="105"/>
      <c r="C835" s="93" t="str">
        <f t="shared" si="24"/>
        <v/>
      </c>
      <c r="D835" s="93" t="str">
        <f t="shared" si="25"/>
        <v/>
      </c>
      <c r="E835" s="115"/>
      <c r="F835" s="115"/>
      <c r="G835" s="115"/>
      <c r="H835" s="115"/>
      <c r="I835" s="134"/>
      <c r="J835" s="115"/>
      <c r="K835" s="115"/>
    </row>
    <row r="836" spans="1:11" ht="15.75" x14ac:dyDescent="0.25">
      <c r="A836" s="105"/>
      <c r="B836" s="105"/>
      <c r="C836" s="93" t="str">
        <f t="shared" si="24"/>
        <v/>
      </c>
      <c r="D836" s="93" t="str">
        <f t="shared" si="25"/>
        <v/>
      </c>
      <c r="E836" s="115"/>
      <c r="F836" s="115"/>
      <c r="G836" s="115"/>
      <c r="H836" s="115"/>
      <c r="I836" s="134"/>
      <c r="J836" s="115"/>
      <c r="K836" s="115"/>
    </row>
    <row r="837" spans="1:11" ht="15.75" x14ac:dyDescent="0.25">
      <c r="A837" s="105"/>
      <c r="B837" s="105"/>
      <c r="C837" s="93" t="str">
        <f t="shared" si="24"/>
        <v/>
      </c>
      <c r="D837" s="93" t="str">
        <f t="shared" si="25"/>
        <v/>
      </c>
      <c r="E837" s="115"/>
      <c r="F837" s="115"/>
      <c r="G837" s="115"/>
      <c r="H837" s="115"/>
      <c r="I837" s="134"/>
      <c r="J837" s="115"/>
      <c r="K837" s="115"/>
    </row>
    <row r="838" spans="1:11" ht="15.75" x14ac:dyDescent="0.25">
      <c r="A838" s="105"/>
      <c r="B838" s="105"/>
      <c r="C838" s="93" t="str">
        <f t="shared" si="24"/>
        <v/>
      </c>
      <c r="D838" s="93" t="str">
        <f t="shared" si="25"/>
        <v/>
      </c>
      <c r="E838" s="115"/>
      <c r="F838" s="115"/>
      <c r="G838" s="115"/>
      <c r="H838" s="115"/>
      <c r="I838" s="134"/>
      <c r="J838" s="115"/>
      <c r="K838" s="115"/>
    </row>
    <row r="839" spans="1:11" ht="15.75" x14ac:dyDescent="0.25">
      <c r="A839" s="105"/>
      <c r="B839" s="105"/>
      <c r="C839" s="93" t="str">
        <f t="shared" si="24"/>
        <v/>
      </c>
      <c r="D839" s="93" t="str">
        <f t="shared" si="25"/>
        <v/>
      </c>
      <c r="E839" s="115"/>
      <c r="F839" s="115"/>
      <c r="G839" s="115"/>
      <c r="H839" s="115"/>
      <c r="I839" s="134"/>
      <c r="J839" s="115"/>
      <c r="K839" s="115"/>
    </row>
    <row r="840" spans="1:11" ht="15.75" x14ac:dyDescent="0.25">
      <c r="A840" s="105"/>
      <c r="B840" s="105"/>
      <c r="C840" s="93" t="str">
        <f t="shared" si="24"/>
        <v/>
      </c>
      <c r="D840" s="93" t="str">
        <f t="shared" si="25"/>
        <v/>
      </c>
      <c r="E840" s="115"/>
      <c r="F840" s="115"/>
      <c r="G840" s="115"/>
      <c r="H840" s="115"/>
      <c r="I840" s="134"/>
      <c r="J840" s="115"/>
      <c r="K840" s="115"/>
    </row>
    <row r="841" spans="1:11" ht="15.75" x14ac:dyDescent="0.25">
      <c r="A841" s="105"/>
      <c r="B841" s="105"/>
      <c r="C841" s="93" t="str">
        <f t="shared" si="24"/>
        <v/>
      </c>
      <c r="D841" s="93" t="str">
        <f t="shared" si="25"/>
        <v/>
      </c>
      <c r="E841" s="115"/>
      <c r="F841" s="115"/>
      <c r="G841" s="115"/>
      <c r="H841" s="115"/>
      <c r="I841" s="134"/>
      <c r="J841" s="115"/>
      <c r="K841" s="115"/>
    </row>
    <row r="842" spans="1:11" ht="15.75" x14ac:dyDescent="0.25">
      <c r="A842" s="105"/>
      <c r="B842" s="105"/>
      <c r="C842" s="93" t="str">
        <f t="shared" si="24"/>
        <v/>
      </c>
      <c r="D842" s="93" t="str">
        <f t="shared" si="25"/>
        <v/>
      </c>
      <c r="E842" s="115"/>
      <c r="F842" s="115"/>
      <c r="G842" s="115"/>
      <c r="H842" s="115"/>
      <c r="I842" s="134"/>
      <c r="J842" s="115"/>
      <c r="K842" s="115"/>
    </row>
    <row r="843" spans="1:11" ht="15.75" x14ac:dyDescent="0.25">
      <c r="A843" s="105"/>
      <c r="B843" s="105"/>
      <c r="C843" s="93" t="str">
        <f t="shared" si="24"/>
        <v/>
      </c>
      <c r="D843" s="93" t="str">
        <f t="shared" si="25"/>
        <v/>
      </c>
      <c r="E843" s="115"/>
      <c r="F843" s="115"/>
      <c r="G843" s="115"/>
      <c r="H843" s="115"/>
      <c r="I843" s="134"/>
      <c r="J843" s="115"/>
      <c r="K843" s="115"/>
    </row>
    <row r="844" spans="1:11" ht="15.75" x14ac:dyDescent="0.25">
      <c r="A844" s="105"/>
      <c r="B844" s="105"/>
      <c r="C844" s="93" t="str">
        <f t="shared" si="24"/>
        <v/>
      </c>
      <c r="D844" s="93" t="str">
        <f t="shared" si="25"/>
        <v/>
      </c>
      <c r="E844" s="115"/>
      <c r="F844" s="115"/>
      <c r="G844" s="115"/>
      <c r="H844" s="115"/>
      <c r="I844" s="134"/>
      <c r="J844" s="115"/>
      <c r="K844" s="115"/>
    </row>
    <row r="845" spans="1:11" ht="15.75" x14ac:dyDescent="0.25">
      <c r="A845" s="105"/>
      <c r="B845" s="105"/>
      <c r="C845" s="93" t="str">
        <f t="shared" si="24"/>
        <v/>
      </c>
      <c r="D845" s="93" t="str">
        <f t="shared" si="25"/>
        <v/>
      </c>
      <c r="E845" s="115"/>
      <c r="F845" s="115"/>
      <c r="G845" s="115"/>
      <c r="H845" s="115"/>
      <c r="I845" s="134"/>
      <c r="J845" s="115"/>
      <c r="K845" s="115"/>
    </row>
    <row r="846" spans="1:11" ht="15.75" x14ac:dyDescent="0.25">
      <c r="A846" s="105"/>
      <c r="B846" s="105"/>
      <c r="C846" s="93" t="str">
        <f t="shared" si="24"/>
        <v/>
      </c>
      <c r="D846" s="93" t="str">
        <f t="shared" si="25"/>
        <v/>
      </c>
      <c r="E846" s="115"/>
      <c r="F846" s="115"/>
      <c r="G846" s="115"/>
      <c r="H846" s="115"/>
      <c r="I846" s="134"/>
      <c r="J846" s="115"/>
      <c r="K846" s="115"/>
    </row>
    <row r="847" spans="1:11" ht="15.75" x14ac:dyDescent="0.25">
      <c r="A847" s="105"/>
      <c r="B847" s="105"/>
      <c r="C847" s="93" t="str">
        <f t="shared" si="24"/>
        <v/>
      </c>
      <c r="D847" s="93" t="str">
        <f t="shared" si="25"/>
        <v/>
      </c>
      <c r="E847" s="115"/>
      <c r="F847" s="115"/>
      <c r="G847" s="115"/>
      <c r="H847" s="115"/>
      <c r="I847" s="134"/>
      <c r="J847" s="115"/>
      <c r="K847" s="115"/>
    </row>
    <row r="848" spans="1:11" ht="15.75" x14ac:dyDescent="0.25">
      <c r="A848" s="105"/>
      <c r="B848" s="105"/>
      <c r="C848" s="93" t="str">
        <f t="shared" si="24"/>
        <v/>
      </c>
      <c r="D848" s="93" t="str">
        <f t="shared" si="25"/>
        <v/>
      </c>
      <c r="E848" s="115"/>
      <c r="F848" s="115"/>
      <c r="G848" s="115"/>
      <c r="H848" s="115"/>
      <c r="I848" s="134"/>
      <c r="J848" s="115"/>
      <c r="K848" s="115"/>
    </row>
    <row r="849" spans="1:11" ht="15.75" x14ac:dyDescent="0.25">
      <c r="A849" s="105"/>
      <c r="B849" s="105"/>
      <c r="C849" s="93" t="str">
        <f t="shared" si="24"/>
        <v/>
      </c>
      <c r="D849" s="93" t="str">
        <f t="shared" si="25"/>
        <v/>
      </c>
      <c r="E849" s="115"/>
      <c r="F849" s="115"/>
      <c r="G849" s="115"/>
      <c r="H849" s="115"/>
      <c r="I849" s="134"/>
      <c r="J849" s="115"/>
      <c r="K849" s="115"/>
    </row>
    <row r="850" spans="1:11" ht="15.75" x14ac:dyDescent="0.25">
      <c r="A850" s="105"/>
      <c r="B850" s="105"/>
      <c r="C850" s="93" t="str">
        <f t="shared" si="24"/>
        <v/>
      </c>
      <c r="D850" s="93" t="str">
        <f t="shared" si="25"/>
        <v/>
      </c>
      <c r="E850" s="115"/>
      <c r="F850" s="115"/>
      <c r="G850" s="115"/>
      <c r="H850" s="115"/>
      <c r="I850" s="134"/>
      <c r="J850" s="115"/>
      <c r="K850" s="115"/>
    </row>
    <row r="851" spans="1:11" ht="15.75" x14ac:dyDescent="0.25">
      <c r="A851" s="105"/>
      <c r="B851" s="105"/>
      <c r="C851" s="93" t="str">
        <f t="shared" si="24"/>
        <v/>
      </c>
      <c r="D851" s="93" t="str">
        <f t="shared" si="25"/>
        <v/>
      </c>
      <c r="E851" s="115"/>
      <c r="F851" s="115"/>
      <c r="G851" s="115"/>
      <c r="H851" s="115"/>
      <c r="I851" s="134"/>
      <c r="J851" s="115"/>
      <c r="K851" s="115"/>
    </row>
    <row r="852" spans="1:11" ht="15.75" x14ac:dyDescent="0.25">
      <c r="A852" s="105"/>
      <c r="B852" s="105"/>
      <c r="C852" s="93" t="str">
        <f t="shared" ref="C852:C915" si="26">IF(A852=0,"",VLOOKUP(B852,MatDB,2,FALSE))</f>
        <v/>
      </c>
      <c r="D852" s="93" t="str">
        <f t="shared" si="25"/>
        <v/>
      </c>
      <c r="E852" s="115"/>
      <c r="F852" s="115"/>
      <c r="G852" s="115"/>
      <c r="H852" s="115"/>
      <c r="I852" s="134"/>
      <c r="J852" s="115"/>
      <c r="K852" s="115"/>
    </row>
    <row r="853" spans="1:11" ht="15.75" x14ac:dyDescent="0.25">
      <c r="A853" s="105"/>
      <c r="B853" s="105"/>
      <c r="C853" s="93" t="str">
        <f t="shared" si="26"/>
        <v/>
      </c>
      <c r="D853" s="93" t="str">
        <f t="shared" ref="D853:D916" si="27">IF(A853=0,"","Steel02")</f>
        <v/>
      </c>
      <c r="E853" s="115"/>
      <c r="F853" s="115"/>
      <c r="G853" s="115"/>
      <c r="H853" s="115"/>
      <c r="I853" s="134"/>
      <c r="J853" s="115"/>
      <c r="K853" s="115"/>
    </row>
    <row r="854" spans="1:11" ht="15.75" x14ac:dyDescent="0.25">
      <c r="A854" s="105"/>
      <c r="B854" s="105"/>
      <c r="C854" s="93" t="str">
        <f t="shared" si="26"/>
        <v/>
      </c>
      <c r="D854" s="93" t="str">
        <f t="shared" si="27"/>
        <v/>
      </c>
      <c r="E854" s="115"/>
      <c r="F854" s="115"/>
      <c r="G854" s="115"/>
      <c r="H854" s="115"/>
      <c r="I854" s="134"/>
      <c r="J854" s="115"/>
      <c r="K854" s="115"/>
    </row>
    <row r="855" spans="1:11" ht="15.75" x14ac:dyDescent="0.25">
      <c r="A855" s="105"/>
      <c r="B855" s="105"/>
      <c r="C855" s="93" t="str">
        <f t="shared" si="26"/>
        <v/>
      </c>
      <c r="D855" s="93" t="str">
        <f t="shared" si="27"/>
        <v/>
      </c>
      <c r="E855" s="115"/>
      <c r="F855" s="115"/>
      <c r="G855" s="115"/>
      <c r="H855" s="115"/>
      <c r="I855" s="134"/>
      <c r="J855" s="115"/>
      <c r="K855" s="115"/>
    </row>
    <row r="856" spans="1:11" ht="15.75" x14ac:dyDescent="0.25">
      <c r="A856" s="105"/>
      <c r="B856" s="105"/>
      <c r="C856" s="93" t="str">
        <f t="shared" si="26"/>
        <v/>
      </c>
      <c r="D856" s="93" t="str">
        <f t="shared" si="27"/>
        <v/>
      </c>
      <c r="E856" s="115"/>
      <c r="F856" s="115"/>
      <c r="G856" s="115"/>
      <c r="H856" s="115"/>
      <c r="I856" s="134"/>
      <c r="J856" s="115"/>
      <c r="K856" s="115"/>
    </row>
    <row r="857" spans="1:11" ht="15.75" x14ac:dyDescent="0.25">
      <c r="A857" s="105"/>
      <c r="B857" s="105"/>
      <c r="C857" s="93" t="str">
        <f t="shared" si="26"/>
        <v/>
      </c>
      <c r="D857" s="93" t="str">
        <f t="shared" si="27"/>
        <v/>
      </c>
      <c r="E857" s="115"/>
      <c r="F857" s="115"/>
      <c r="G857" s="115"/>
      <c r="H857" s="115"/>
      <c r="I857" s="134"/>
      <c r="J857" s="115"/>
      <c r="K857" s="115"/>
    </row>
    <row r="858" spans="1:11" ht="15.75" x14ac:dyDescent="0.25">
      <c r="A858" s="105"/>
      <c r="B858" s="105"/>
      <c r="C858" s="93" t="str">
        <f t="shared" si="26"/>
        <v/>
      </c>
      <c r="D858" s="93" t="str">
        <f t="shared" si="27"/>
        <v/>
      </c>
      <c r="E858" s="115"/>
      <c r="F858" s="115"/>
      <c r="G858" s="115"/>
      <c r="H858" s="115"/>
      <c r="I858" s="134"/>
      <c r="J858" s="115"/>
      <c r="K858" s="115"/>
    </row>
    <row r="859" spans="1:11" ht="15.75" x14ac:dyDescent="0.25">
      <c r="A859" s="105"/>
      <c r="B859" s="105"/>
      <c r="C859" s="93" t="str">
        <f t="shared" si="26"/>
        <v/>
      </c>
      <c r="D859" s="93" t="str">
        <f t="shared" si="27"/>
        <v/>
      </c>
      <c r="E859" s="115"/>
      <c r="F859" s="115"/>
      <c r="G859" s="115"/>
      <c r="H859" s="115"/>
      <c r="I859" s="134"/>
      <c r="J859" s="115"/>
      <c r="K859" s="115"/>
    </row>
    <row r="860" spans="1:11" ht="15.75" x14ac:dyDescent="0.25">
      <c r="A860" s="105"/>
      <c r="B860" s="105"/>
      <c r="C860" s="93" t="str">
        <f t="shared" si="26"/>
        <v/>
      </c>
      <c r="D860" s="93" t="str">
        <f t="shared" si="27"/>
        <v/>
      </c>
      <c r="E860" s="115"/>
      <c r="F860" s="115"/>
      <c r="G860" s="115"/>
      <c r="H860" s="115"/>
      <c r="I860" s="134"/>
      <c r="J860" s="115"/>
      <c r="K860" s="115"/>
    </row>
    <row r="861" spans="1:11" ht="15.75" x14ac:dyDescent="0.25">
      <c r="A861" s="105"/>
      <c r="B861" s="105"/>
      <c r="C861" s="93" t="str">
        <f t="shared" si="26"/>
        <v/>
      </c>
      <c r="D861" s="93" t="str">
        <f t="shared" si="27"/>
        <v/>
      </c>
      <c r="E861" s="115"/>
      <c r="F861" s="115"/>
      <c r="G861" s="115"/>
      <c r="H861" s="115"/>
      <c r="I861" s="134"/>
      <c r="J861" s="115"/>
      <c r="K861" s="115"/>
    </row>
    <row r="862" spans="1:11" ht="15.75" x14ac:dyDescent="0.25">
      <c r="A862" s="105"/>
      <c r="B862" s="105"/>
      <c r="C862" s="93" t="str">
        <f t="shared" si="26"/>
        <v/>
      </c>
      <c r="D862" s="93" t="str">
        <f t="shared" si="27"/>
        <v/>
      </c>
      <c r="E862" s="115"/>
      <c r="F862" s="115"/>
      <c r="G862" s="115"/>
      <c r="H862" s="115"/>
      <c r="I862" s="134"/>
      <c r="J862" s="115"/>
      <c r="K862" s="115"/>
    </row>
    <row r="863" spans="1:11" ht="15.75" x14ac:dyDescent="0.25">
      <c r="A863" s="105"/>
      <c r="B863" s="105"/>
      <c r="C863" s="93" t="str">
        <f t="shared" si="26"/>
        <v/>
      </c>
      <c r="D863" s="93" t="str">
        <f t="shared" si="27"/>
        <v/>
      </c>
      <c r="E863" s="115"/>
      <c r="F863" s="115"/>
      <c r="G863" s="115"/>
      <c r="H863" s="115"/>
      <c r="I863" s="134"/>
      <c r="J863" s="115"/>
      <c r="K863" s="115"/>
    </row>
    <row r="864" spans="1:11" ht="15.75" x14ac:dyDescent="0.25">
      <c r="A864" s="105"/>
      <c r="B864" s="105"/>
      <c r="C864" s="93" t="str">
        <f t="shared" si="26"/>
        <v/>
      </c>
      <c r="D864" s="93" t="str">
        <f t="shared" si="27"/>
        <v/>
      </c>
      <c r="E864" s="115"/>
      <c r="F864" s="115"/>
      <c r="G864" s="115"/>
      <c r="H864" s="115"/>
      <c r="I864" s="134"/>
      <c r="J864" s="115"/>
      <c r="K864" s="115"/>
    </row>
    <row r="865" spans="1:11" ht="15.75" x14ac:dyDescent="0.25">
      <c r="A865" s="105"/>
      <c r="B865" s="105"/>
      <c r="C865" s="93" t="str">
        <f t="shared" si="26"/>
        <v/>
      </c>
      <c r="D865" s="93" t="str">
        <f t="shared" si="27"/>
        <v/>
      </c>
      <c r="E865" s="115"/>
      <c r="F865" s="115"/>
      <c r="G865" s="115"/>
      <c r="H865" s="115"/>
      <c r="I865" s="134"/>
      <c r="J865" s="115"/>
      <c r="K865" s="115"/>
    </row>
    <row r="866" spans="1:11" ht="15.75" x14ac:dyDescent="0.25">
      <c r="A866" s="105"/>
      <c r="B866" s="105"/>
      <c r="C866" s="93" t="str">
        <f t="shared" si="26"/>
        <v/>
      </c>
      <c r="D866" s="93" t="str">
        <f t="shared" si="27"/>
        <v/>
      </c>
      <c r="E866" s="115"/>
      <c r="F866" s="115"/>
      <c r="G866" s="115"/>
      <c r="H866" s="115"/>
      <c r="I866" s="134"/>
      <c r="J866" s="115"/>
      <c r="K866" s="115"/>
    </row>
    <row r="867" spans="1:11" ht="15.75" x14ac:dyDescent="0.25">
      <c r="A867" s="105"/>
      <c r="B867" s="105"/>
      <c r="C867" s="93" t="str">
        <f t="shared" si="26"/>
        <v/>
      </c>
      <c r="D867" s="93" t="str">
        <f t="shared" si="27"/>
        <v/>
      </c>
      <c r="E867" s="115"/>
      <c r="F867" s="115"/>
      <c r="G867" s="115"/>
      <c r="H867" s="115"/>
      <c r="I867" s="134"/>
      <c r="J867" s="115"/>
      <c r="K867" s="115"/>
    </row>
    <row r="868" spans="1:11" ht="15.75" x14ac:dyDescent="0.25">
      <c r="A868" s="105"/>
      <c r="B868" s="105"/>
      <c r="C868" s="93" t="str">
        <f t="shared" si="26"/>
        <v/>
      </c>
      <c r="D868" s="93" t="str">
        <f t="shared" si="27"/>
        <v/>
      </c>
      <c r="E868" s="115"/>
      <c r="F868" s="115"/>
      <c r="G868" s="115"/>
      <c r="H868" s="115"/>
      <c r="I868" s="134"/>
      <c r="J868" s="115"/>
      <c r="K868" s="115"/>
    </row>
    <row r="869" spans="1:11" ht="15.75" x14ac:dyDescent="0.25">
      <c r="A869" s="105"/>
      <c r="B869" s="105"/>
      <c r="C869" s="93" t="str">
        <f t="shared" si="26"/>
        <v/>
      </c>
      <c r="D869" s="93" t="str">
        <f t="shared" si="27"/>
        <v/>
      </c>
      <c r="E869" s="115"/>
      <c r="F869" s="115"/>
      <c r="G869" s="115"/>
      <c r="H869" s="115"/>
      <c r="I869" s="134"/>
      <c r="J869" s="115"/>
      <c r="K869" s="115"/>
    </row>
    <row r="870" spans="1:11" ht="15.75" x14ac:dyDescent="0.25">
      <c r="A870" s="105"/>
      <c r="B870" s="105"/>
      <c r="C870" s="93" t="str">
        <f t="shared" si="26"/>
        <v/>
      </c>
      <c r="D870" s="93" t="str">
        <f t="shared" si="27"/>
        <v/>
      </c>
      <c r="E870" s="115"/>
      <c r="F870" s="115"/>
      <c r="G870" s="115"/>
      <c r="H870" s="115"/>
      <c r="I870" s="134"/>
      <c r="J870" s="115"/>
      <c r="K870" s="115"/>
    </row>
    <row r="871" spans="1:11" ht="15.75" x14ac:dyDescent="0.25">
      <c r="A871" s="105"/>
      <c r="B871" s="105"/>
      <c r="C871" s="93" t="str">
        <f t="shared" si="26"/>
        <v/>
      </c>
      <c r="D871" s="93" t="str">
        <f t="shared" si="27"/>
        <v/>
      </c>
      <c r="E871" s="115"/>
      <c r="F871" s="115"/>
      <c r="G871" s="115"/>
      <c r="H871" s="115"/>
      <c r="I871" s="134"/>
      <c r="J871" s="115"/>
      <c r="K871" s="115"/>
    </row>
    <row r="872" spans="1:11" ht="15.75" x14ac:dyDescent="0.25">
      <c r="A872" s="105"/>
      <c r="B872" s="105"/>
      <c r="C872" s="93" t="str">
        <f t="shared" si="26"/>
        <v/>
      </c>
      <c r="D872" s="93" t="str">
        <f t="shared" si="27"/>
        <v/>
      </c>
      <c r="E872" s="115"/>
      <c r="F872" s="115"/>
      <c r="G872" s="115"/>
      <c r="H872" s="115"/>
      <c r="I872" s="134"/>
      <c r="J872" s="115"/>
      <c r="K872" s="115"/>
    </row>
    <row r="873" spans="1:11" ht="15.75" x14ac:dyDescent="0.25">
      <c r="A873" s="105"/>
      <c r="B873" s="105"/>
      <c r="C873" s="93" t="str">
        <f t="shared" si="26"/>
        <v/>
      </c>
      <c r="D873" s="93" t="str">
        <f t="shared" si="27"/>
        <v/>
      </c>
      <c r="E873" s="115"/>
      <c r="F873" s="115"/>
      <c r="G873" s="115"/>
      <c r="H873" s="115"/>
      <c r="I873" s="134"/>
      <c r="J873" s="115"/>
      <c r="K873" s="115"/>
    </row>
    <row r="874" spans="1:11" ht="15.75" x14ac:dyDescent="0.25">
      <c r="A874" s="105"/>
      <c r="B874" s="105"/>
      <c r="C874" s="93" t="str">
        <f t="shared" si="26"/>
        <v/>
      </c>
      <c r="D874" s="93" t="str">
        <f t="shared" si="27"/>
        <v/>
      </c>
      <c r="E874" s="115"/>
      <c r="F874" s="115"/>
      <c r="G874" s="115"/>
      <c r="H874" s="115"/>
      <c r="I874" s="134"/>
      <c r="J874" s="115"/>
      <c r="K874" s="115"/>
    </row>
    <row r="875" spans="1:11" ht="15.75" x14ac:dyDescent="0.25">
      <c r="A875" s="105"/>
      <c r="B875" s="105"/>
      <c r="C875" s="93" t="str">
        <f t="shared" si="26"/>
        <v/>
      </c>
      <c r="D875" s="93" t="str">
        <f t="shared" si="27"/>
        <v/>
      </c>
      <c r="E875" s="115"/>
      <c r="F875" s="115"/>
      <c r="G875" s="115"/>
      <c r="H875" s="115"/>
      <c r="I875" s="134"/>
      <c r="J875" s="115"/>
      <c r="K875" s="115"/>
    </row>
    <row r="876" spans="1:11" ht="15.75" x14ac:dyDescent="0.25">
      <c r="A876" s="105"/>
      <c r="B876" s="105"/>
      <c r="C876" s="93" t="str">
        <f t="shared" si="26"/>
        <v/>
      </c>
      <c r="D876" s="93" t="str">
        <f t="shared" si="27"/>
        <v/>
      </c>
      <c r="E876" s="115"/>
      <c r="F876" s="115"/>
      <c r="G876" s="115"/>
      <c r="H876" s="115"/>
      <c r="I876" s="134"/>
      <c r="J876" s="115"/>
      <c r="K876" s="115"/>
    </row>
    <row r="877" spans="1:11" ht="15.75" x14ac:dyDescent="0.25">
      <c r="A877" s="105"/>
      <c r="B877" s="105"/>
      <c r="C877" s="93" t="str">
        <f t="shared" si="26"/>
        <v/>
      </c>
      <c r="D877" s="93" t="str">
        <f t="shared" si="27"/>
        <v/>
      </c>
      <c r="E877" s="115"/>
      <c r="F877" s="115"/>
      <c r="G877" s="115"/>
      <c r="H877" s="115"/>
      <c r="I877" s="134"/>
      <c r="J877" s="115"/>
      <c r="K877" s="115"/>
    </row>
    <row r="878" spans="1:11" ht="15.75" x14ac:dyDescent="0.25">
      <c r="A878" s="105"/>
      <c r="B878" s="105"/>
      <c r="C878" s="93" t="str">
        <f t="shared" si="26"/>
        <v/>
      </c>
      <c r="D878" s="93" t="str">
        <f t="shared" si="27"/>
        <v/>
      </c>
      <c r="E878" s="115"/>
      <c r="F878" s="115"/>
      <c r="G878" s="115"/>
      <c r="H878" s="115"/>
      <c r="I878" s="134"/>
      <c r="J878" s="115"/>
      <c r="K878" s="115"/>
    </row>
    <row r="879" spans="1:11" ht="15.75" x14ac:dyDescent="0.25">
      <c r="A879" s="105"/>
      <c r="B879" s="105"/>
      <c r="C879" s="93" t="str">
        <f t="shared" si="26"/>
        <v/>
      </c>
      <c r="D879" s="93" t="str">
        <f t="shared" si="27"/>
        <v/>
      </c>
      <c r="E879" s="115"/>
      <c r="F879" s="115"/>
      <c r="G879" s="115"/>
      <c r="H879" s="115"/>
      <c r="I879" s="134"/>
      <c r="J879" s="115"/>
      <c r="K879" s="115"/>
    </row>
    <row r="880" spans="1:11" ht="15.75" x14ac:dyDescent="0.25">
      <c r="A880" s="105"/>
      <c r="B880" s="105"/>
      <c r="C880" s="93" t="str">
        <f t="shared" si="26"/>
        <v/>
      </c>
      <c r="D880" s="93" t="str">
        <f t="shared" si="27"/>
        <v/>
      </c>
      <c r="E880" s="115"/>
      <c r="F880" s="115"/>
      <c r="G880" s="115"/>
      <c r="H880" s="115"/>
      <c r="I880" s="134"/>
      <c r="J880" s="115"/>
      <c r="K880" s="115"/>
    </row>
    <row r="881" spans="1:11" ht="15.75" x14ac:dyDescent="0.25">
      <c r="A881" s="105"/>
      <c r="B881" s="105"/>
      <c r="C881" s="93" t="str">
        <f t="shared" si="26"/>
        <v/>
      </c>
      <c r="D881" s="93" t="str">
        <f t="shared" si="27"/>
        <v/>
      </c>
      <c r="E881" s="115"/>
      <c r="F881" s="115"/>
      <c r="G881" s="115"/>
      <c r="H881" s="115"/>
      <c r="I881" s="134"/>
      <c r="J881" s="115"/>
      <c r="K881" s="115"/>
    </row>
    <row r="882" spans="1:11" ht="15.75" x14ac:dyDescent="0.25">
      <c r="A882" s="105"/>
      <c r="B882" s="105"/>
      <c r="C882" s="93" t="str">
        <f t="shared" si="26"/>
        <v/>
      </c>
      <c r="D882" s="93" t="str">
        <f t="shared" si="27"/>
        <v/>
      </c>
      <c r="E882" s="115"/>
      <c r="F882" s="115"/>
      <c r="G882" s="115"/>
      <c r="H882" s="115"/>
      <c r="I882" s="134"/>
      <c r="J882" s="115"/>
      <c r="K882" s="115"/>
    </row>
    <row r="883" spans="1:11" ht="15.75" x14ac:dyDescent="0.25">
      <c r="A883" s="105"/>
      <c r="B883" s="105"/>
      <c r="C883" s="93" t="str">
        <f t="shared" si="26"/>
        <v/>
      </c>
      <c r="D883" s="93" t="str">
        <f t="shared" si="27"/>
        <v/>
      </c>
      <c r="E883" s="115"/>
      <c r="F883" s="115"/>
      <c r="G883" s="115"/>
      <c r="H883" s="115"/>
      <c r="I883" s="134"/>
      <c r="J883" s="115"/>
      <c r="K883" s="115"/>
    </row>
    <row r="884" spans="1:11" ht="15.75" x14ac:dyDescent="0.25">
      <c r="A884" s="105"/>
      <c r="B884" s="105"/>
      <c r="C884" s="93" t="str">
        <f t="shared" si="26"/>
        <v/>
      </c>
      <c r="D884" s="93" t="str">
        <f t="shared" si="27"/>
        <v/>
      </c>
      <c r="E884" s="115"/>
      <c r="F884" s="115"/>
      <c r="G884" s="115"/>
      <c r="H884" s="115"/>
      <c r="I884" s="134"/>
      <c r="J884" s="115"/>
      <c r="K884" s="115"/>
    </row>
    <row r="885" spans="1:11" ht="15.75" x14ac:dyDescent="0.25">
      <c r="A885" s="105"/>
      <c r="B885" s="105"/>
      <c r="C885" s="93" t="str">
        <f t="shared" si="26"/>
        <v/>
      </c>
      <c r="D885" s="93" t="str">
        <f t="shared" si="27"/>
        <v/>
      </c>
      <c r="E885" s="115"/>
      <c r="F885" s="115"/>
      <c r="G885" s="115"/>
      <c r="H885" s="115"/>
      <c r="I885" s="134"/>
      <c r="J885" s="115"/>
      <c r="K885" s="115"/>
    </row>
    <row r="886" spans="1:11" ht="15.75" x14ac:dyDescent="0.25">
      <c r="A886" s="105"/>
      <c r="B886" s="105"/>
      <c r="C886" s="93" t="str">
        <f t="shared" si="26"/>
        <v/>
      </c>
      <c r="D886" s="93" t="str">
        <f t="shared" si="27"/>
        <v/>
      </c>
      <c r="E886" s="115"/>
      <c r="F886" s="115"/>
      <c r="G886" s="115"/>
      <c r="H886" s="115"/>
      <c r="I886" s="134"/>
      <c r="J886" s="115"/>
      <c r="K886" s="115"/>
    </row>
    <row r="887" spans="1:11" ht="15.75" x14ac:dyDescent="0.25">
      <c r="A887" s="105"/>
      <c r="B887" s="105"/>
      <c r="C887" s="93" t="str">
        <f t="shared" si="26"/>
        <v/>
      </c>
      <c r="D887" s="93" t="str">
        <f t="shared" si="27"/>
        <v/>
      </c>
      <c r="E887" s="115"/>
      <c r="F887" s="115"/>
      <c r="G887" s="115"/>
      <c r="H887" s="115"/>
      <c r="I887" s="134"/>
      <c r="J887" s="115"/>
      <c r="K887" s="115"/>
    </row>
    <row r="888" spans="1:11" ht="15.75" x14ac:dyDescent="0.25">
      <c r="A888" s="105"/>
      <c r="B888" s="105"/>
      <c r="C888" s="93" t="str">
        <f t="shared" si="26"/>
        <v/>
      </c>
      <c r="D888" s="93" t="str">
        <f t="shared" si="27"/>
        <v/>
      </c>
      <c r="E888" s="115"/>
      <c r="F888" s="115"/>
      <c r="G888" s="115"/>
      <c r="H888" s="115"/>
      <c r="I888" s="134"/>
      <c r="J888" s="115"/>
      <c r="K888" s="115"/>
    </row>
    <row r="889" spans="1:11" ht="15.75" x14ac:dyDescent="0.25">
      <c r="A889" s="105"/>
      <c r="B889" s="105"/>
      <c r="C889" s="93" t="str">
        <f t="shared" si="26"/>
        <v/>
      </c>
      <c r="D889" s="93" t="str">
        <f t="shared" si="27"/>
        <v/>
      </c>
      <c r="E889" s="115"/>
      <c r="F889" s="115"/>
      <c r="G889" s="115"/>
      <c r="H889" s="115"/>
      <c r="I889" s="134"/>
      <c r="J889" s="115"/>
      <c r="K889" s="115"/>
    </row>
    <row r="890" spans="1:11" ht="15.75" x14ac:dyDescent="0.25">
      <c r="A890" s="105"/>
      <c r="B890" s="105"/>
      <c r="C890" s="93" t="str">
        <f t="shared" si="26"/>
        <v/>
      </c>
      <c r="D890" s="93" t="str">
        <f t="shared" si="27"/>
        <v/>
      </c>
      <c r="E890" s="115"/>
      <c r="F890" s="115"/>
      <c r="G890" s="115"/>
      <c r="H890" s="115"/>
      <c r="I890" s="134"/>
      <c r="J890" s="115"/>
      <c r="K890" s="115"/>
    </row>
    <row r="891" spans="1:11" ht="15.75" x14ac:dyDescent="0.25">
      <c r="A891" s="105"/>
      <c r="B891" s="105"/>
      <c r="C891" s="93" t="str">
        <f t="shared" si="26"/>
        <v/>
      </c>
      <c r="D891" s="93" t="str">
        <f t="shared" si="27"/>
        <v/>
      </c>
      <c r="E891" s="115"/>
      <c r="F891" s="115"/>
      <c r="G891" s="115"/>
      <c r="H891" s="115"/>
      <c r="I891" s="134"/>
      <c r="J891" s="115"/>
      <c r="K891" s="115"/>
    </row>
    <row r="892" spans="1:11" ht="15.75" x14ac:dyDescent="0.25">
      <c r="A892" s="105"/>
      <c r="B892" s="105"/>
      <c r="C892" s="93" t="str">
        <f t="shared" si="26"/>
        <v/>
      </c>
      <c r="D892" s="93" t="str">
        <f t="shared" si="27"/>
        <v/>
      </c>
      <c r="E892" s="115"/>
      <c r="F892" s="115"/>
      <c r="G892" s="115"/>
      <c r="H892" s="115"/>
      <c r="I892" s="134"/>
      <c r="J892" s="115"/>
      <c r="K892" s="115"/>
    </row>
    <row r="893" spans="1:11" ht="15.75" x14ac:dyDescent="0.25">
      <c r="A893" s="105"/>
      <c r="B893" s="105"/>
      <c r="C893" s="93" t="str">
        <f t="shared" si="26"/>
        <v/>
      </c>
      <c r="D893" s="93" t="str">
        <f t="shared" si="27"/>
        <v/>
      </c>
      <c r="E893" s="115"/>
      <c r="F893" s="115"/>
      <c r="G893" s="115"/>
      <c r="H893" s="115"/>
      <c r="I893" s="134"/>
      <c r="J893" s="115"/>
      <c r="K893" s="115"/>
    </row>
    <row r="894" spans="1:11" ht="15.75" x14ac:dyDescent="0.25">
      <c r="A894" s="105"/>
      <c r="B894" s="105"/>
      <c r="C894" s="93" t="str">
        <f t="shared" si="26"/>
        <v/>
      </c>
      <c r="D894" s="93" t="str">
        <f t="shared" si="27"/>
        <v/>
      </c>
      <c r="E894" s="115"/>
      <c r="F894" s="115"/>
      <c r="G894" s="115"/>
      <c r="H894" s="115"/>
      <c r="I894" s="134"/>
      <c r="J894" s="115"/>
      <c r="K894" s="115"/>
    </row>
    <row r="895" spans="1:11" ht="15.75" x14ac:dyDescent="0.25">
      <c r="A895" s="105"/>
      <c r="B895" s="105"/>
      <c r="C895" s="93" t="str">
        <f t="shared" si="26"/>
        <v/>
      </c>
      <c r="D895" s="93" t="str">
        <f t="shared" si="27"/>
        <v/>
      </c>
      <c r="E895" s="115"/>
      <c r="F895" s="115"/>
      <c r="G895" s="115"/>
      <c r="H895" s="115"/>
      <c r="I895" s="134"/>
      <c r="J895" s="115"/>
      <c r="K895" s="115"/>
    </row>
    <row r="896" spans="1:11" ht="15.75" x14ac:dyDescent="0.25">
      <c r="A896" s="105"/>
      <c r="B896" s="105"/>
      <c r="C896" s="93" t="str">
        <f t="shared" si="26"/>
        <v/>
      </c>
      <c r="D896" s="93" t="str">
        <f t="shared" si="27"/>
        <v/>
      </c>
      <c r="E896" s="115"/>
      <c r="F896" s="115"/>
      <c r="G896" s="115"/>
      <c r="H896" s="115"/>
      <c r="I896" s="134"/>
      <c r="J896" s="115"/>
      <c r="K896" s="115"/>
    </row>
    <row r="897" spans="1:11" ht="15.75" x14ac:dyDescent="0.25">
      <c r="A897" s="105"/>
      <c r="B897" s="105"/>
      <c r="C897" s="93" t="str">
        <f t="shared" si="26"/>
        <v/>
      </c>
      <c r="D897" s="93" t="str">
        <f t="shared" si="27"/>
        <v/>
      </c>
      <c r="E897" s="115"/>
      <c r="F897" s="115"/>
      <c r="G897" s="115"/>
      <c r="H897" s="115"/>
      <c r="I897" s="134"/>
      <c r="J897" s="115"/>
      <c r="K897" s="115"/>
    </row>
    <row r="898" spans="1:11" ht="15.75" x14ac:dyDescent="0.25">
      <c r="A898" s="105"/>
      <c r="B898" s="105"/>
      <c r="C898" s="93" t="str">
        <f t="shared" si="26"/>
        <v/>
      </c>
      <c r="D898" s="93" t="str">
        <f t="shared" si="27"/>
        <v/>
      </c>
      <c r="E898" s="115"/>
      <c r="F898" s="115"/>
      <c r="G898" s="115"/>
      <c r="H898" s="115"/>
      <c r="I898" s="134"/>
      <c r="J898" s="115"/>
      <c r="K898" s="115"/>
    </row>
    <row r="899" spans="1:11" ht="15.75" x14ac:dyDescent="0.25">
      <c r="A899" s="105"/>
      <c r="B899" s="105"/>
      <c r="C899" s="93" t="str">
        <f t="shared" si="26"/>
        <v/>
      </c>
      <c r="D899" s="93" t="str">
        <f t="shared" si="27"/>
        <v/>
      </c>
      <c r="E899" s="115"/>
      <c r="F899" s="115"/>
      <c r="G899" s="115"/>
      <c r="H899" s="115"/>
      <c r="I899" s="134"/>
      <c r="J899" s="115"/>
      <c r="K899" s="115"/>
    </row>
    <row r="900" spans="1:11" ht="15.75" x14ac:dyDescent="0.25">
      <c r="A900" s="105"/>
      <c r="B900" s="105"/>
      <c r="C900" s="93" t="str">
        <f t="shared" si="26"/>
        <v/>
      </c>
      <c r="D900" s="93" t="str">
        <f t="shared" si="27"/>
        <v/>
      </c>
      <c r="E900" s="115"/>
      <c r="F900" s="115"/>
      <c r="G900" s="115"/>
      <c r="H900" s="115"/>
      <c r="I900" s="134"/>
      <c r="J900" s="115"/>
      <c r="K900" s="115"/>
    </row>
    <row r="901" spans="1:11" ht="15.75" x14ac:dyDescent="0.25">
      <c r="A901" s="105"/>
      <c r="B901" s="105"/>
      <c r="C901" s="93" t="str">
        <f t="shared" si="26"/>
        <v/>
      </c>
      <c r="D901" s="93" t="str">
        <f t="shared" si="27"/>
        <v/>
      </c>
      <c r="E901" s="115"/>
      <c r="F901" s="115"/>
      <c r="G901" s="115"/>
      <c r="H901" s="115"/>
      <c r="I901" s="134"/>
      <c r="J901" s="115"/>
      <c r="K901" s="115"/>
    </row>
    <row r="902" spans="1:11" ht="15.75" x14ac:dyDescent="0.25">
      <c r="A902" s="105"/>
      <c r="B902" s="105"/>
      <c r="C902" s="93" t="str">
        <f t="shared" si="26"/>
        <v/>
      </c>
      <c r="D902" s="93" t="str">
        <f t="shared" si="27"/>
        <v/>
      </c>
      <c r="E902" s="115"/>
      <c r="F902" s="115"/>
      <c r="G902" s="115"/>
      <c r="H902" s="115"/>
      <c r="I902" s="134"/>
      <c r="J902" s="115"/>
      <c r="K902" s="115"/>
    </row>
    <row r="903" spans="1:11" ht="15.75" x14ac:dyDescent="0.25">
      <c r="A903" s="105"/>
      <c r="B903" s="105"/>
      <c r="C903" s="93" t="str">
        <f t="shared" si="26"/>
        <v/>
      </c>
      <c r="D903" s="93" t="str">
        <f t="shared" si="27"/>
        <v/>
      </c>
      <c r="E903" s="115"/>
      <c r="F903" s="115"/>
      <c r="G903" s="115"/>
      <c r="H903" s="115"/>
      <c r="I903" s="134"/>
      <c r="J903" s="115"/>
      <c r="K903" s="115"/>
    </row>
    <row r="904" spans="1:11" ht="15.75" x14ac:dyDescent="0.25">
      <c r="A904" s="105"/>
      <c r="B904" s="105"/>
      <c r="C904" s="93" t="str">
        <f t="shared" si="26"/>
        <v/>
      </c>
      <c r="D904" s="93" t="str">
        <f t="shared" si="27"/>
        <v/>
      </c>
      <c r="E904" s="115"/>
      <c r="F904" s="115"/>
      <c r="G904" s="115"/>
      <c r="H904" s="115"/>
      <c r="I904" s="134"/>
      <c r="J904" s="115"/>
      <c r="K904" s="115"/>
    </row>
    <row r="905" spans="1:11" ht="15.75" x14ac:dyDescent="0.25">
      <c r="A905" s="105"/>
      <c r="B905" s="105"/>
      <c r="C905" s="93" t="str">
        <f t="shared" si="26"/>
        <v/>
      </c>
      <c r="D905" s="93" t="str">
        <f t="shared" si="27"/>
        <v/>
      </c>
      <c r="E905" s="115"/>
      <c r="F905" s="115"/>
      <c r="G905" s="115"/>
      <c r="H905" s="115"/>
      <c r="I905" s="134"/>
      <c r="J905" s="115"/>
      <c r="K905" s="115"/>
    </row>
    <row r="906" spans="1:11" ht="15.75" x14ac:dyDescent="0.25">
      <c r="A906" s="105"/>
      <c r="B906" s="105"/>
      <c r="C906" s="93" t="str">
        <f t="shared" si="26"/>
        <v/>
      </c>
      <c r="D906" s="93" t="str">
        <f t="shared" si="27"/>
        <v/>
      </c>
      <c r="E906" s="115"/>
      <c r="F906" s="115"/>
      <c r="G906" s="115"/>
      <c r="H906" s="115"/>
      <c r="I906" s="134"/>
      <c r="J906" s="115"/>
      <c r="K906" s="115"/>
    </row>
    <row r="907" spans="1:11" ht="15.75" x14ac:dyDescent="0.25">
      <c r="A907" s="105"/>
      <c r="B907" s="105"/>
      <c r="C907" s="93" t="str">
        <f t="shared" si="26"/>
        <v/>
      </c>
      <c r="D907" s="93" t="str">
        <f t="shared" si="27"/>
        <v/>
      </c>
      <c r="E907" s="115"/>
      <c r="F907" s="115"/>
      <c r="G907" s="115"/>
      <c r="H907" s="115"/>
      <c r="I907" s="134"/>
      <c r="J907" s="115"/>
      <c r="K907" s="115"/>
    </row>
    <row r="908" spans="1:11" ht="15.75" x14ac:dyDescent="0.25">
      <c r="A908" s="105"/>
      <c r="B908" s="105"/>
      <c r="C908" s="93" t="str">
        <f t="shared" si="26"/>
        <v/>
      </c>
      <c r="D908" s="93" t="str">
        <f t="shared" si="27"/>
        <v/>
      </c>
      <c r="E908" s="115"/>
      <c r="F908" s="115"/>
      <c r="G908" s="115"/>
      <c r="H908" s="115"/>
      <c r="I908" s="134"/>
      <c r="J908" s="115"/>
      <c r="K908" s="115"/>
    </row>
    <row r="909" spans="1:11" ht="15.75" x14ac:dyDescent="0.25">
      <c r="A909" s="105"/>
      <c r="B909" s="105"/>
      <c r="C909" s="93" t="str">
        <f t="shared" si="26"/>
        <v/>
      </c>
      <c r="D909" s="93" t="str">
        <f t="shared" si="27"/>
        <v/>
      </c>
      <c r="E909" s="115"/>
      <c r="F909" s="115"/>
      <c r="G909" s="115"/>
      <c r="H909" s="115"/>
      <c r="I909" s="134"/>
      <c r="J909" s="115"/>
      <c r="K909" s="115"/>
    </row>
    <row r="910" spans="1:11" ht="15.75" x14ac:dyDescent="0.25">
      <c r="A910" s="105"/>
      <c r="B910" s="105"/>
      <c r="C910" s="93" t="str">
        <f t="shared" si="26"/>
        <v/>
      </c>
      <c r="D910" s="93" t="str">
        <f t="shared" si="27"/>
        <v/>
      </c>
      <c r="E910" s="115"/>
      <c r="F910" s="115"/>
      <c r="G910" s="115"/>
      <c r="H910" s="115"/>
      <c r="I910" s="134"/>
      <c r="J910" s="115"/>
      <c r="K910" s="115"/>
    </row>
    <row r="911" spans="1:11" ht="15.75" x14ac:dyDescent="0.25">
      <c r="A911" s="105"/>
      <c r="B911" s="105"/>
      <c r="C911" s="93" t="str">
        <f t="shared" si="26"/>
        <v/>
      </c>
      <c r="D911" s="93" t="str">
        <f t="shared" si="27"/>
        <v/>
      </c>
      <c r="E911" s="115"/>
      <c r="F911" s="115"/>
      <c r="G911" s="115"/>
      <c r="H911" s="115"/>
      <c r="I911" s="134"/>
      <c r="J911" s="115"/>
      <c r="K911" s="115"/>
    </row>
    <row r="912" spans="1:11" ht="15.75" x14ac:dyDescent="0.25">
      <c r="A912" s="105"/>
      <c r="B912" s="105"/>
      <c r="C912" s="93" t="str">
        <f t="shared" si="26"/>
        <v/>
      </c>
      <c r="D912" s="93" t="str">
        <f t="shared" si="27"/>
        <v/>
      </c>
      <c r="E912" s="115"/>
      <c r="F912" s="115"/>
      <c r="G912" s="115"/>
      <c r="H912" s="115"/>
      <c r="I912" s="134"/>
      <c r="J912" s="115"/>
      <c r="K912" s="115"/>
    </row>
    <row r="913" spans="1:11" ht="15.75" x14ac:dyDescent="0.25">
      <c r="A913" s="105"/>
      <c r="B913" s="105"/>
      <c r="C913" s="93" t="str">
        <f t="shared" si="26"/>
        <v/>
      </c>
      <c r="D913" s="93" t="str">
        <f t="shared" si="27"/>
        <v/>
      </c>
      <c r="E913" s="115"/>
      <c r="F913" s="115"/>
      <c r="G913" s="115"/>
      <c r="H913" s="115"/>
      <c r="I913" s="134"/>
      <c r="J913" s="115"/>
      <c r="K913" s="115"/>
    </row>
    <row r="914" spans="1:11" ht="15.75" x14ac:dyDescent="0.25">
      <c r="A914" s="105"/>
      <c r="B914" s="105"/>
      <c r="C914" s="93" t="str">
        <f t="shared" si="26"/>
        <v/>
      </c>
      <c r="D914" s="93" t="str">
        <f t="shared" si="27"/>
        <v/>
      </c>
      <c r="E914" s="115"/>
      <c r="F914" s="115"/>
      <c r="G914" s="115"/>
      <c r="H914" s="115"/>
      <c r="I914" s="134"/>
      <c r="J914" s="115"/>
      <c r="K914" s="115"/>
    </row>
    <row r="915" spans="1:11" ht="15.75" x14ac:dyDescent="0.25">
      <c r="A915" s="105"/>
      <c r="B915" s="105"/>
      <c r="C915" s="93" t="str">
        <f t="shared" si="26"/>
        <v/>
      </c>
      <c r="D915" s="93" t="str">
        <f t="shared" si="27"/>
        <v/>
      </c>
      <c r="E915" s="115"/>
      <c r="F915" s="115"/>
      <c r="G915" s="115"/>
      <c r="H915" s="115"/>
      <c r="I915" s="134"/>
      <c r="J915" s="115"/>
      <c r="K915" s="115"/>
    </row>
    <row r="916" spans="1:11" ht="15.75" x14ac:dyDescent="0.25">
      <c r="A916" s="105"/>
      <c r="B916" s="105"/>
      <c r="C916" s="93" t="str">
        <f t="shared" ref="C916:C979" si="28">IF(A916=0,"",VLOOKUP(B916,MatDB,2,FALSE))</f>
        <v/>
      </c>
      <c r="D916" s="93" t="str">
        <f t="shared" si="27"/>
        <v/>
      </c>
      <c r="E916" s="115"/>
      <c r="F916" s="115"/>
      <c r="G916" s="115"/>
      <c r="H916" s="115"/>
      <c r="I916" s="134"/>
      <c r="J916" s="115"/>
      <c r="K916" s="115"/>
    </row>
    <row r="917" spans="1:11" ht="15.75" x14ac:dyDescent="0.25">
      <c r="A917" s="105"/>
      <c r="B917" s="105"/>
      <c r="C917" s="93" t="str">
        <f t="shared" si="28"/>
        <v/>
      </c>
      <c r="D917" s="93" t="str">
        <f t="shared" ref="D917:D980" si="29">IF(A917=0,"","Steel02")</f>
        <v/>
      </c>
      <c r="E917" s="115"/>
      <c r="F917" s="115"/>
      <c r="G917" s="115"/>
      <c r="H917" s="115"/>
      <c r="I917" s="134"/>
      <c r="J917" s="115"/>
      <c r="K917" s="115"/>
    </row>
    <row r="918" spans="1:11" ht="15.75" x14ac:dyDescent="0.25">
      <c r="A918" s="105"/>
      <c r="B918" s="105"/>
      <c r="C918" s="93" t="str">
        <f t="shared" si="28"/>
        <v/>
      </c>
      <c r="D918" s="93" t="str">
        <f t="shared" si="29"/>
        <v/>
      </c>
      <c r="E918" s="115"/>
      <c r="F918" s="115"/>
      <c r="G918" s="115"/>
      <c r="H918" s="115"/>
      <c r="I918" s="134"/>
      <c r="J918" s="115"/>
      <c r="K918" s="115"/>
    </row>
    <row r="919" spans="1:11" ht="15.75" x14ac:dyDescent="0.25">
      <c r="A919" s="105"/>
      <c r="B919" s="105"/>
      <c r="C919" s="93" t="str">
        <f t="shared" si="28"/>
        <v/>
      </c>
      <c r="D919" s="93" t="str">
        <f t="shared" si="29"/>
        <v/>
      </c>
      <c r="E919" s="115"/>
      <c r="F919" s="115"/>
      <c r="G919" s="115"/>
      <c r="H919" s="115"/>
      <c r="I919" s="134"/>
      <c r="J919" s="115"/>
      <c r="K919" s="115"/>
    </row>
    <row r="920" spans="1:11" ht="15.75" x14ac:dyDescent="0.25">
      <c r="A920" s="105"/>
      <c r="B920" s="105"/>
      <c r="C920" s="93" t="str">
        <f t="shared" si="28"/>
        <v/>
      </c>
      <c r="D920" s="93" t="str">
        <f t="shared" si="29"/>
        <v/>
      </c>
      <c r="E920" s="115"/>
      <c r="F920" s="115"/>
      <c r="G920" s="115"/>
      <c r="H920" s="115"/>
      <c r="I920" s="134"/>
      <c r="J920" s="115"/>
      <c r="K920" s="115"/>
    </row>
    <row r="921" spans="1:11" ht="15.75" x14ac:dyDescent="0.25">
      <c r="A921" s="105"/>
      <c r="B921" s="105"/>
      <c r="C921" s="93" t="str">
        <f t="shared" si="28"/>
        <v/>
      </c>
      <c r="D921" s="93" t="str">
        <f t="shared" si="29"/>
        <v/>
      </c>
      <c r="E921" s="115"/>
      <c r="F921" s="115"/>
      <c r="G921" s="115"/>
      <c r="H921" s="115"/>
      <c r="I921" s="134"/>
      <c r="J921" s="115"/>
      <c r="K921" s="115"/>
    </row>
    <row r="922" spans="1:11" ht="15.75" x14ac:dyDescent="0.25">
      <c r="A922" s="105"/>
      <c r="B922" s="105"/>
      <c r="C922" s="93" t="str">
        <f t="shared" si="28"/>
        <v/>
      </c>
      <c r="D922" s="93" t="str">
        <f t="shared" si="29"/>
        <v/>
      </c>
      <c r="E922" s="115"/>
      <c r="F922" s="115"/>
      <c r="G922" s="115"/>
      <c r="H922" s="115"/>
      <c r="I922" s="134"/>
      <c r="J922" s="115"/>
      <c r="K922" s="115"/>
    </row>
    <row r="923" spans="1:11" ht="15.75" x14ac:dyDescent="0.25">
      <c r="A923" s="105"/>
      <c r="B923" s="105"/>
      <c r="C923" s="93" t="str">
        <f t="shared" si="28"/>
        <v/>
      </c>
      <c r="D923" s="93" t="str">
        <f t="shared" si="29"/>
        <v/>
      </c>
      <c r="E923" s="115"/>
      <c r="F923" s="115"/>
      <c r="G923" s="115"/>
      <c r="H923" s="115"/>
      <c r="I923" s="134"/>
      <c r="J923" s="115"/>
      <c r="K923" s="115"/>
    </row>
    <row r="924" spans="1:11" ht="15.75" x14ac:dyDescent="0.25">
      <c r="A924" s="105"/>
      <c r="B924" s="105"/>
      <c r="C924" s="93" t="str">
        <f t="shared" si="28"/>
        <v/>
      </c>
      <c r="D924" s="93" t="str">
        <f t="shared" si="29"/>
        <v/>
      </c>
      <c r="E924" s="115"/>
      <c r="F924" s="115"/>
      <c r="G924" s="115"/>
      <c r="H924" s="115"/>
      <c r="I924" s="134"/>
      <c r="J924" s="115"/>
      <c r="K924" s="115"/>
    </row>
    <row r="925" spans="1:11" ht="15.75" x14ac:dyDescent="0.25">
      <c r="A925" s="105"/>
      <c r="B925" s="105"/>
      <c r="C925" s="93" t="str">
        <f t="shared" si="28"/>
        <v/>
      </c>
      <c r="D925" s="93" t="str">
        <f t="shared" si="29"/>
        <v/>
      </c>
      <c r="E925" s="115"/>
      <c r="F925" s="115"/>
      <c r="G925" s="115"/>
      <c r="H925" s="115"/>
      <c r="I925" s="134"/>
      <c r="J925" s="115"/>
      <c r="K925" s="115"/>
    </row>
    <row r="926" spans="1:11" ht="15.75" x14ac:dyDescent="0.25">
      <c r="A926" s="105"/>
      <c r="B926" s="105"/>
      <c r="C926" s="93" t="str">
        <f t="shared" si="28"/>
        <v/>
      </c>
      <c r="D926" s="93" t="str">
        <f t="shared" si="29"/>
        <v/>
      </c>
      <c r="E926" s="115"/>
      <c r="F926" s="115"/>
      <c r="G926" s="115"/>
      <c r="H926" s="115"/>
      <c r="I926" s="134"/>
      <c r="J926" s="115"/>
      <c r="K926" s="115"/>
    </row>
    <row r="927" spans="1:11" ht="15.75" x14ac:dyDescent="0.25">
      <c r="A927" s="105"/>
      <c r="B927" s="105"/>
      <c r="C927" s="93" t="str">
        <f t="shared" si="28"/>
        <v/>
      </c>
      <c r="D927" s="93" t="str">
        <f t="shared" si="29"/>
        <v/>
      </c>
      <c r="E927" s="115"/>
      <c r="F927" s="115"/>
      <c r="G927" s="115"/>
      <c r="H927" s="115"/>
      <c r="I927" s="134"/>
      <c r="J927" s="115"/>
      <c r="K927" s="115"/>
    </row>
    <row r="928" spans="1:11" ht="15.75" x14ac:dyDescent="0.25">
      <c r="A928" s="105"/>
      <c r="B928" s="105"/>
      <c r="C928" s="93" t="str">
        <f t="shared" si="28"/>
        <v/>
      </c>
      <c r="D928" s="93" t="str">
        <f t="shared" si="29"/>
        <v/>
      </c>
      <c r="E928" s="115"/>
      <c r="F928" s="115"/>
      <c r="G928" s="115"/>
      <c r="H928" s="115"/>
      <c r="I928" s="134"/>
      <c r="J928" s="115"/>
      <c r="K928" s="115"/>
    </row>
    <row r="929" spans="1:11" ht="15.75" x14ac:dyDescent="0.25">
      <c r="A929" s="105"/>
      <c r="B929" s="105"/>
      <c r="C929" s="93" t="str">
        <f t="shared" si="28"/>
        <v/>
      </c>
      <c r="D929" s="93" t="str">
        <f t="shared" si="29"/>
        <v/>
      </c>
      <c r="E929" s="115"/>
      <c r="F929" s="115"/>
      <c r="G929" s="115"/>
      <c r="H929" s="115"/>
      <c r="I929" s="134"/>
      <c r="J929" s="115"/>
      <c r="K929" s="115"/>
    </row>
    <row r="930" spans="1:11" ht="15.75" x14ac:dyDescent="0.25">
      <c r="A930" s="105"/>
      <c r="B930" s="105"/>
      <c r="C930" s="93" t="str">
        <f t="shared" si="28"/>
        <v/>
      </c>
      <c r="D930" s="93" t="str">
        <f t="shared" si="29"/>
        <v/>
      </c>
      <c r="E930" s="115"/>
      <c r="F930" s="115"/>
      <c r="G930" s="115"/>
      <c r="H930" s="115"/>
      <c r="I930" s="134"/>
      <c r="J930" s="115"/>
      <c r="K930" s="115"/>
    </row>
    <row r="931" spans="1:11" ht="15.75" x14ac:dyDescent="0.25">
      <c r="A931" s="105"/>
      <c r="B931" s="105"/>
      <c r="C931" s="93" t="str">
        <f t="shared" si="28"/>
        <v/>
      </c>
      <c r="D931" s="93" t="str">
        <f t="shared" si="29"/>
        <v/>
      </c>
      <c r="E931" s="115"/>
      <c r="F931" s="115"/>
      <c r="G931" s="115"/>
      <c r="H931" s="115"/>
      <c r="I931" s="134"/>
      <c r="J931" s="115"/>
      <c r="K931" s="115"/>
    </row>
    <row r="932" spans="1:11" ht="15.75" x14ac:dyDescent="0.25">
      <c r="A932" s="105"/>
      <c r="B932" s="105"/>
      <c r="C932" s="93" t="str">
        <f t="shared" si="28"/>
        <v/>
      </c>
      <c r="D932" s="93" t="str">
        <f t="shared" si="29"/>
        <v/>
      </c>
      <c r="E932" s="115"/>
      <c r="F932" s="115"/>
      <c r="G932" s="115"/>
      <c r="H932" s="115"/>
      <c r="I932" s="134"/>
      <c r="J932" s="115"/>
      <c r="K932" s="115"/>
    </row>
    <row r="933" spans="1:11" ht="15.75" x14ac:dyDescent="0.25">
      <c r="A933" s="105"/>
      <c r="B933" s="105"/>
      <c r="C933" s="93" t="str">
        <f t="shared" si="28"/>
        <v/>
      </c>
      <c r="D933" s="93" t="str">
        <f t="shared" si="29"/>
        <v/>
      </c>
      <c r="E933" s="115"/>
      <c r="F933" s="115"/>
      <c r="G933" s="115"/>
      <c r="H933" s="115"/>
      <c r="I933" s="134"/>
      <c r="J933" s="115"/>
      <c r="K933" s="115"/>
    </row>
    <row r="934" spans="1:11" ht="15.75" x14ac:dyDescent="0.25">
      <c r="A934" s="105"/>
      <c r="B934" s="105"/>
      <c r="C934" s="93" t="str">
        <f t="shared" si="28"/>
        <v/>
      </c>
      <c r="D934" s="93" t="str">
        <f t="shared" si="29"/>
        <v/>
      </c>
      <c r="E934" s="115"/>
      <c r="F934" s="115"/>
      <c r="G934" s="115"/>
      <c r="H934" s="115"/>
      <c r="I934" s="134"/>
      <c r="J934" s="115"/>
      <c r="K934" s="115"/>
    </row>
    <row r="935" spans="1:11" ht="15.75" x14ac:dyDescent="0.25">
      <c r="A935" s="105"/>
      <c r="B935" s="105"/>
      <c r="C935" s="93" t="str">
        <f t="shared" si="28"/>
        <v/>
      </c>
      <c r="D935" s="93" t="str">
        <f t="shared" si="29"/>
        <v/>
      </c>
      <c r="E935" s="115"/>
      <c r="F935" s="115"/>
      <c r="G935" s="115"/>
      <c r="H935" s="115"/>
      <c r="I935" s="134"/>
      <c r="J935" s="115"/>
      <c r="K935" s="115"/>
    </row>
    <row r="936" spans="1:11" ht="15.75" x14ac:dyDescent="0.25">
      <c r="A936" s="105"/>
      <c r="B936" s="105"/>
      <c r="C936" s="93" t="str">
        <f t="shared" si="28"/>
        <v/>
      </c>
      <c r="D936" s="93" t="str">
        <f t="shared" si="29"/>
        <v/>
      </c>
      <c r="E936" s="115"/>
      <c r="F936" s="115"/>
      <c r="G936" s="115"/>
      <c r="H936" s="115"/>
      <c r="I936" s="134"/>
      <c r="J936" s="115"/>
      <c r="K936" s="115"/>
    </row>
    <row r="937" spans="1:11" ht="15.75" x14ac:dyDescent="0.25">
      <c r="A937" s="105"/>
      <c r="B937" s="105"/>
      <c r="C937" s="93" t="str">
        <f t="shared" si="28"/>
        <v/>
      </c>
      <c r="D937" s="93" t="str">
        <f t="shared" si="29"/>
        <v/>
      </c>
      <c r="E937" s="115"/>
      <c r="F937" s="115"/>
      <c r="G937" s="115"/>
      <c r="H937" s="115"/>
      <c r="I937" s="134"/>
      <c r="J937" s="115"/>
      <c r="K937" s="115"/>
    </row>
    <row r="938" spans="1:11" ht="15.75" x14ac:dyDescent="0.25">
      <c r="A938" s="105"/>
      <c r="B938" s="105"/>
      <c r="C938" s="93" t="str">
        <f t="shared" si="28"/>
        <v/>
      </c>
      <c r="D938" s="93" t="str">
        <f t="shared" si="29"/>
        <v/>
      </c>
      <c r="E938" s="115"/>
      <c r="F938" s="115"/>
      <c r="G938" s="115"/>
      <c r="H938" s="115"/>
      <c r="I938" s="134"/>
      <c r="J938" s="115"/>
      <c r="K938" s="115"/>
    </row>
    <row r="939" spans="1:11" ht="15.75" x14ac:dyDescent="0.25">
      <c r="A939" s="105"/>
      <c r="B939" s="105"/>
      <c r="C939" s="93" t="str">
        <f t="shared" si="28"/>
        <v/>
      </c>
      <c r="D939" s="93" t="str">
        <f t="shared" si="29"/>
        <v/>
      </c>
      <c r="E939" s="115"/>
      <c r="F939" s="115"/>
      <c r="G939" s="115"/>
      <c r="H939" s="115"/>
      <c r="I939" s="134"/>
      <c r="J939" s="115"/>
      <c r="K939" s="115"/>
    </row>
    <row r="940" spans="1:11" ht="15.75" x14ac:dyDescent="0.25">
      <c r="A940" s="105"/>
      <c r="B940" s="105"/>
      <c r="C940" s="93" t="str">
        <f t="shared" si="28"/>
        <v/>
      </c>
      <c r="D940" s="93" t="str">
        <f t="shared" si="29"/>
        <v/>
      </c>
      <c r="E940" s="115"/>
      <c r="F940" s="115"/>
      <c r="G940" s="115"/>
      <c r="H940" s="115"/>
      <c r="I940" s="134"/>
      <c r="J940" s="115"/>
      <c r="K940" s="115"/>
    </row>
    <row r="941" spans="1:11" ht="15.75" x14ac:dyDescent="0.25">
      <c r="A941" s="105"/>
      <c r="B941" s="105"/>
      <c r="C941" s="93" t="str">
        <f t="shared" si="28"/>
        <v/>
      </c>
      <c r="D941" s="93" t="str">
        <f t="shared" si="29"/>
        <v/>
      </c>
      <c r="E941" s="115"/>
      <c r="F941" s="115"/>
      <c r="G941" s="115"/>
      <c r="H941" s="115"/>
      <c r="I941" s="134"/>
      <c r="J941" s="115"/>
      <c r="K941" s="115"/>
    </row>
    <row r="942" spans="1:11" ht="15.75" x14ac:dyDescent="0.25">
      <c r="A942" s="105"/>
      <c r="B942" s="105"/>
      <c r="C942" s="93" t="str">
        <f t="shared" si="28"/>
        <v/>
      </c>
      <c r="D942" s="93" t="str">
        <f t="shared" si="29"/>
        <v/>
      </c>
      <c r="E942" s="115"/>
      <c r="F942" s="115"/>
      <c r="G942" s="115"/>
      <c r="H942" s="115"/>
      <c r="I942" s="134"/>
      <c r="J942" s="115"/>
      <c r="K942" s="115"/>
    </row>
    <row r="943" spans="1:11" ht="15.75" x14ac:dyDescent="0.25">
      <c r="A943" s="105"/>
      <c r="B943" s="105"/>
      <c r="C943" s="93" t="str">
        <f t="shared" si="28"/>
        <v/>
      </c>
      <c r="D943" s="93" t="str">
        <f t="shared" si="29"/>
        <v/>
      </c>
      <c r="E943" s="115"/>
      <c r="F943" s="115"/>
      <c r="G943" s="115"/>
      <c r="H943" s="115"/>
      <c r="I943" s="134"/>
      <c r="J943" s="115"/>
      <c r="K943" s="115"/>
    </row>
    <row r="944" spans="1:11" ht="15.75" x14ac:dyDescent="0.25">
      <c r="A944" s="105"/>
      <c r="B944" s="105"/>
      <c r="C944" s="93" t="str">
        <f t="shared" si="28"/>
        <v/>
      </c>
      <c r="D944" s="93" t="str">
        <f t="shared" si="29"/>
        <v/>
      </c>
      <c r="E944" s="115"/>
      <c r="F944" s="115"/>
      <c r="G944" s="115"/>
      <c r="H944" s="115"/>
      <c r="I944" s="134"/>
      <c r="J944" s="115"/>
      <c r="K944" s="115"/>
    </row>
    <row r="945" spans="1:11" ht="15.75" x14ac:dyDescent="0.25">
      <c r="A945" s="105"/>
      <c r="B945" s="105"/>
      <c r="C945" s="93" t="str">
        <f t="shared" si="28"/>
        <v/>
      </c>
      <c r="D945" s="93" t="str">
        <f t="shared" si="29"/>
        <v/>
      </c>
      <c r="E945" s="115"/>
      <c r="F945" s="115"/>
      <c r="G945" s="115"/>
      <c r="H945" s="115"/>
      <c r="I945" s="134"/>
      <c r="J945" s="115"/>
      <c r="K945" s="115"/>
    </row>
    <row r="946" spans="1:11" ht="15.75" x14ac:dyDescent="0.25">
      <c r="A946" s="105"/>
      <c r="B946" s="105"/>
      <c r="C946" s="93" t="str">
        <f t="shared" si="28"/>
        <v/>
      </c>
      <c r="D946" s="93" t="str">
        <f t="shared" si="29"/>
        <v/>
      </c>
      <c r="E946" s="115"/>
      <c r="F946" s="115"/>
      <c r="G946" s="115"/>
      <c r="H946" s="115"/>
      <c r="I946" s="134"/>
      <c r="J946" s="115"/>
      <c r="K946" s="115"/>
    </row>
    <row r="947" spans="1:11" ht="15.75" x14ac:dyDescent="0.25">
      <c r="A947" s="105"/>
      <c r="B947" s="105"/>
      <c r="C947" s="93" t="str">
        <f t="shared" si="28"/>
        <v/>
      </c>
      <c r="D947" s="93" t="str">
        <f t="shared" si="29"/>
        <v/>
      </c>
      <c r="E947" s="115"/>
      <c r="F947" s="115"/>
      <c r="G947" s="115"/>
      <c r="H947" s="115"/>
      <c r="I947" s="134"/>
      <c r="J947" s="115"/>
      <c r="K947" s="115"/>
    </row>
    <row r="948" spans="1:11" ht="15.75" x14ac:dyDescent="0.25">
      <c r="A948" s="105"/>
      <c r="B948" s="105"/>
      <c r="C948" s="93" t="str">
        <f t="shared" si="28"/>
        <v/>
      </c>
      <c r="D948" s="93" t="str">
        <f t="shared" si="29"/>
        <v/>
      </c>
      <c r="E948" s="115"/>
      <c r="F948" s="115"/>
      <c r="G948" s="115"/>
      <c r="H948" s="115"/>
      <c r="I948" s="134"/>
      <c r="J948" s="115"/>
      <c r="K948" s="115"/>
    </row>
    <row r="949" spans="1:11" ht="15.75" x14ac:dyDescent="0.25">
      <c r="A949" s="105"/>
      <c r="B949" s="105"/>
      <c r="C949" s="93" t="str">
        <f t="shared" si="28"/>
        <v/>
      </c>
      <c r="D949" s="93" t="str">
        <f t="shared" si="29"/>
        <v/>
      </c>
      <c r="E949" s="115"/>
      <c r="F949" s="115"/>
      <c r="G949" s="115"/>
      <c r="H949" s="115"/>
      <c r="I949" s="134"/>
      <c r="J949" s="115"/>
      <c r="K949" s="115"/>
    </row>
    <row r="950" spans="1:11" ht="15.75" x14ac:dyDescent="0.25">
      <c r="A950" s="105"/>
      <c r="B950" s="105"/>
      <c r="C950" s="93" t="str">
        <f t="shared" si="28"/>
        <v/>
      </c>
      <c r="D950" s="93" t="str">
        <f t="shared" si="29"/>
        <v/>
      </c>
      <c r="E950" s="115"/>
      <c r="F950" s="115"/>
      <c r="G950" s="115"/>
      <c r="H950" s="115"/>
      <c r="I950" s="134"/>
      <c r="J950" s="115"/>
      <c r="K950" s="115"/>
    </row>
    <row r="951" spans="1:11" ht="15.75" x14ac:dyDescent="0.25">
      <c r="A951" s="105"/>
      <c r="B951" s="105"/>
      <c r="C951" s="93" t="str">
        <f t="shared" si="28"/>
        <v/>
      </c>
      <c r="D951" s="93" t="str">
        <f t="shared" si="29"/>
        <v/>
      </c>
      <c r="E951" s="115"/>
      <c r="F951" s="115"/>
      <c r="G951" s="115"/>
      <c r="H951" s="115"/>
      <c r="I951" s="134"/>
      <c r="J951" s="115"/>
      <c r="K951" s="115"/>
    </row>
    <row r="952" spans="1:11" ht="15.75" x14ac:dyDescent="0.25">
      <c r="A952" s="105"/>
      <c r="B952" s="105"/>
      <c r="C952" s="93" t="str">
        <f t="shared" si="28"/>
        <v/>
      </c>
      <c r="D952" s="93" t="str">
        <f t="shared" si="29"/>
        <v/>
      </c>
      <c r="E952" s="115"/>
      <c r="F952" s="115"/>
      <c r="G952" s="115"/>
      <c r="H952" s="115"/>
      <c r="I952" s="134"/>
      <c r="J952" s="115"/>
      <c r="K952" s="115"/>
    </row>
    <row r="953" spans="1:11" ht="15.75" x14ac:dyDescent="0.25">
      <c r="A953" s="105"/>
      <c r="B953" s="105"/>
      <c r="C953" s="93" t="str">
        <f t="shared" si="28"/>
        <v/>
      </c>
      <c r="D953" s="93" t="str">
        <f t="shared" si="29"/>
        <v/>
      </c>
      <c r="E953" s="115"/>
      <c r="F953" s="115"/>
      <c r="G953" s="115"/>
      <c r="H953" s="115"/>
      <c r="I953" s="134"/>
      <c r="J953" s="115"/>
      <c r="K953" s="115"/>
    </row>
    <row r="954" spans="1:11" ht="15.75" x14ac:dyDescent="0.25">
      <c r="A954" s="105"/>
      <c r="B954" s="105"/>
      <c r="C954" s="93" t="str">
        <f t="shared" si="28"/>
        <v/>
      </c>
      <c r="D954" s="93" t="str">
        <f t="shared" si="29"/>
        <v/>
      </c>
      <c r="E954" s="115"/>
      <c r="F954" s="115"/>
      <c r="G954" s="115"/>
      <c r="H954" s="115"/>
      <c r="I954" s="134"/>
      <c r="J954" s="115"/>
      <c r="K954" s="115"/>
    </row>
    <row r="955" spans="1:11" ht="15.75" x14ac:dyDescent="0.25">
      <c r="A955" s="105"/>
      <c r="B955" s="105"/>
      <c r="C955" s="93" t="str">
        <f t="shared" si="28"/>
        <v/>
      </c>
      <c r="D955" s="93" t="str">
        <f t="shared" si="29"/>
        <v/>
      </c>
      <c r="E955" s="115"/>
      <c r="F955" s="115"/>
      <c r="G955" s="115"/>
      <c r="H955" s="115"/>
      <c r="I955" s="134"/>
      <c r="J955" s="115"/>
      <c r="K955" s="115"/>
    </row>
    <row r="956" spans="1:11" ht="15.75" x14ac:dyDescent="0.25">
      <c r="A956" s="105"/>
      <c r="B956" s="105"/>
      <c r="C956" s="93" t="str">
        <f t="shared" si="28"/>
        <v/>
      </c>
      <c r="D956" s="93" t="str">
        <f t="shared" si="29"/>
        <v/>
      </c>
      <c r="E956" s="115"/>
      <c r="F956" s="115"/>
      <c r="G956" s="115"/>
      <c r="H956" s="115"/>
      <c r="I956" s="134"/>
      <c r="J956" s="115"/>
      <c r="K956" s="115"/>
    </row>
    <row r="957" spans="1:11" ht="15.75" x14ac:dyDescent="0.25">
      <c r="A957" s="105"/>
      <c r="B957" s="105"/>
      <c r="C957" s="93" t="str">
        <f t="shared" si="28"/>
        <v/>
      </c>
      <c r="D957" s="93" t="str">
        <f t="shared" si="29"/>
        <v/>
      </c>
      <c r="E957" s="115"/>
      <c r="F957" s="115"/>
      <c r="G957" s="115"/>
      <c r="H957" s="115"/>
      <c r="I957" s="134"/>
      <c r="J957" s="115"/>
      <c r="K957" s="115"/>
    </row>
    <row r="958" spans="1:11" ht="15.75" x14ac:dyDescent="0.25">
      <c r="A958" s="105"/>
      <c r="B958" s="105"/>
      <c r="C958" s="93" t="str">
        <f t="shared" si="28"/>
        <v/>
      </c>
      <c r="D958" s="93" t="str">
        <f t="shared" si="29"/>
        <v/>
      </c>
      <c r="E958" s="115"/>
      <c r="F958" s="115"/>
      <c r="G958" s="115"/>
      <c r="H958" s="115"/>
      <c r="I958" s="134"/>
      <c r="J958" s="115"/>
      <c r="K958" s="115"/>
    </row>
    <row r="959" spans="1:11" ht="15.75" x14ac:dyDescent="0.25">
      <c r="A959" s="105"/>
      <c r="B959" s="105"/>
      <c r="C959" s="93" t="str">
        <f t="shared" si="28"/>
        <v/>
      </c>
      <c r="D959" s="93" t="str">
        <f t="shared" si="29"/>
        <v/>
      </c>
      <c r="E959" s="115"/>
      <c r="F959" s="115"/>
      <c r="G959" s="115"/>
      <c r="H959" s="115"/>
      <c r="I959" s="134"/>
      <c r="J959" s="115"/>
      <c r="K959" s="115"/>
    </row>
    <row r="960" spans="1:11" ht="15.75" x14ac:dyDescent="0.25">
      <c r="A960" s="105"/>
      <c r="B960" s="105"/>
      <c r="C960" s="93" t="str">
        <f t="shared" si="28"/>
        <v/>
      </c>
      <c r="D960" s="93" t="str">
        <f t="shared" si="29"/>
        <v/>
      </c>
      <c r="E960" s="115"/>
      <c r="F960" s="115"/>
      <c r="G960" s="115"/>
      <c r="H960" s="115"/>
      <c r="I960" s="134"/>
      <c r="J960" s="115"/>
      <c r="K960" s="115"/>
    </row>
    <row r="961" spans="1:11" ht="15.75" x14ac:dyDescent="0.25">
      <c r="A961" s="105"/>
      <c r="B961" s="105"/>
      <c r="C961" s="93" t="str">
        <f t="shared" si="28"/>
        <v/>
      </c>
      <c r="D961" s="93" t="str">
        <f t="shared" si="29"/>
        <v/>
      </c>
      <c r="E961" s="115"/>
      <c r="F961" s="115"/>
      <c r="G961" s="115"/>
      <c r="H961" s="115"/>
      <c r="I961" s="134"/>
      <c r="J961" s="115"/>
      <c r="K961" s="115"/>
    </row>
    <row r="962" spans="1:11" ht="15.75" x14ac:dyDescent="0.25">
      <c r="A962" s="105"/>
      <c r="B962" s="105"/>
      <c r="C962" s="93" t="str">
        <f t="shared" si="28"/>
        <v/>
      </c>
      <c r="D962" s="93" t="str">
        <f t="shared" si="29"/>
        <v/>
      </c>
      <c r="E962" s="115"/>
      <c r="F962" s="115"/>
      <c r="G962" s="115"/>
      <c r="H962" s="115"/>
      <c r="I962" s="134"/>
      <c r="J962" s="115"/>
      <c r="K962" s="115"/>
    </row>
    <row r="963" spans="1:11" ht="15.75" x14ac:dyDescent="0.25">
      <c r="A963" s="105"/>
      <c r="B963" s="105"/>
      <c r="C963" s="93" t="str">
        <f t="shared" si="28"/>
        <v/>
      </c>
      <c r="D963" s="93" t="str">
        <f t="shared" si="29"/>
        <v/>
      </c>
      <c r="E963" s="115"/>
      <c r="F963" s="115"/>
      <c r="G963" s="115"/>
      <c r="H963" s="115"/>
      <c r="I963" s="134"/>
      <c r="J963" s="115"/>
      <c r="K963" s="115"/>
    </row>
    <row r="964" spans="1:11" ht="15.75" x14ac:dyDescent="0.25">
      <c r="A964" s="105"/>
      <c r="B964" s="105"/>
      <c r="C964" s="93" t="str">
        <f t="shared" si="28"/>
        <v/>
      </c>
      <c r="D964" s="93" t="str">
        <f t="shared" si="29"/>
        <v/>
      </c>
      <c r="E964" s="115"/>
      <c r="F964" s="115"/>
      <c r="G964" s="115"/>
      <c r="H964" s="115"/>
      <c r="I964" s="134"/>
      <c r="J964" s="115"/>
      <c r="K964" s="115"/>
    </row>
    <row r="965" spans="1:11" ht="15.75" x14ac:dyDescent="0.25">
      <c r="A965" s="105"/>
      <c r="B965" s="105"/>
      <c r="C965" s="93" t="str">
        <f t="shared" si="28"/>
        <v/>
      </c>
      <c r="D965" s="93" t="str">
        <f t="shared" si="29"/>
        <v/>
      </c>
      <c r="E965" s="115"/>
      <c r="F965" s="115"/>
      <c r="G965" s="115"/>
      <c r="H965" s="115"/>
      <c r="I965" s="134"/>
      <c r="J965" s="115"/>
      <c r="K965" s="115"/>
    </row>
    <row r="966" spans="1:11" ht="15.75" x14ac:dyDescent="0.25">
      <c r="A966" s="105"/>
      <c r="B966" s="105"/>
      <c r="C966" s="93" t="str">
        <f t="shared" si="28"/>
        <v/>
      </c>
      <c r="D966" s="93" t="str">
        <f t="shared" si="29"/>
        <v/>
      </c>
      <c r="E966" s="115"/>
      <c r="F966" s="115"/>
      <c r="G966" s="115"/>
      <c r="H966" s="115"/>
      <c r="I966" s="134"/>
      <c r="J966" s="115"/>
      <c r="K966" s="115"/>
    </row>
    <row r="967" spans="1:11" ht="15.75" x14ac:dyDescent="0.25">
      <c r="A967" s="105"/>
      <c r="B967" s="105"/>
      <c r="C967" s="93" t="str">
        <f t="shared" si="28"/>
        <v/>
      </c>
      <c r="D967" s="93" t="str">
        <f t="shared" si="29"/>
        <v/>
      </c>
      <c r="E967" s="115"/>
      <c r="F967" s="115"/>
      <c r="G967" s="115"/>
      <c r="H967" s="115"/>
      <c r="I967" s="134"/>
      <c r="J967" s="115"/>
      <c r="K967" s="115"/>
    </row>
    <row r="968" spans="1:11" ht="15.75" x14ac:dyDescent="0.25">
      <c r="A968" s="105"/>
      <c r="B968" s="105"/>
      <c r="C968" s="93" t="str">
        <f t="shared" si="28"/>
        <v/>
      </c>
      <c r="D968" s="93" t="str">
        <f t="shared" si="29"/>
        <v/>
      </c>
      <c r="E968" s="115"/>
      <c r="F968" s="115"/>
      <c r="G968" s="115"/>
      <c r="H968" s="115"/>
      <c r="I968" s="134"/>
      <c r="J968" s="115"/>
      <c r="K968" s="115"/>
    </row>
    <row r="969" spans="1:11" ht="15.75" x14ac:dyDescent="0.25">
      <c r="A969" s="105"/>
      <c r="B969" s="105"/>
      <c r="C969" s="93" t="str">
        <f t="shared" si="28"/>
        <v/>
      </c>
      <c r="D969" s="93" t="str">
        <f t="shared" si="29"/>
        <v/>
      </c>
      <c r="E969" s="115"/>
      <c r="F969" s="115"/>
      <c r="G969" s="115"/>
      <c r="H969" s="115"/>
      <c r="I969" s="134"/>
      <c r="J969" s="115"/>
      <c r="K969" s="115"/>
    </row>
    <row r="970" spans="1:11" ht="15.75" x14ac:dyDescent="0.25">
      <c r="A970" s="105"/>
      <c r="B970" s="105"/>
      <c r="C970" s="93" t="str">
        <f t="shared" si="28"/>
        <v/>
      </c>
      <c r="D970" s="93" t="str">
        <f t="shared" si="29"/>
        <v/>
      </c>
      <c r="E970" s="115"/>
      <c r="F970" s="115"/>
      <c r="G970" s="115"/>
      <c r="H970" s="115"/>
      <c r="I970" s="134"/>
      <c r="J970" s="115"/>
      <c r="K970" s="115"/>
    </row>
    <row r="971" spans="1:11" ht="15.75" x14ac:dyDescent="0.25">
      <c r="A971" s="105"/>
      <c r="B971" s="105"/>
      <c r="C971" s="93" t="str">
        <f t="shared" si="28"/>
        <v/>
      </c>
      <c r="D971" s="93" t="str">
        <f t="shared" si="29"/>
        <v/>
      </c>
      <c r="E971" s="115"/>
      <c r="F971" s="115"/>
      <c r="G971" s="115"/>
      <c r="H971" s="115"/>
      <c r="I971" s="134"/>
      <c r="J971" s="115"/>
      <c r="K971" s="115"/>
    </row>
    <row r="972" spans="1:11" ht="15.75" x14ac:dyDescent="0.25">
      <c r="A972" s="105"/>
      <c r="B972" s="105"/>
      <c r="C972" s="93" t="str">
        <f t="shared" si="28"/>
        <v/>
      </c>
      <c r="D972" s="93" t="str">
        <f t="shared" si="29"/>
        <v/>
      </c>
      <c r="E972" s="115"/>
      <c r="F972" s="115"/>
      <c r="G972" s="115"/>
      <c r="H972" s="115"/>
      <c r="I972" s="134"/>
      <c r="J972" s="115"/>
      <c r="K972" s="115"/>
    </row>
    <row r="973" spans="1:11" ht="15.75" x14ac:dyDescent="0.25">
      <c r="A973" s="105"/>
      <c r="B973" s="105"/>
      <c r="C973" s="93" t="str">
        <f t="shared" si="28"/>
        <v/>
      </c>
      <c r="D973" s="93" t="str">
        <f t="shared" si="29"/>
        <v/>
      </c>
      <c r="E973" s="115"/>
      <c r="F973" s="115"/>
      <c r="G973" s="115"/>
      <c r="H973" s="115"/>
      <c r="I973" s="134"/>
      <c r="J973" s="115"/>
      <c r="K973" s="115"/>
    </row>
    <row r="974" spans="1:11" ht="15.75" x14ac:dyDescent="0.25">
      <c r="A974" s="105"/>
      <c r="B974" s="105"/>
      <c r="C974" s="93" t="str">
        <f t="shared" si="28"/>
        <v/>
      </c>
      <c r="D974" s="93" t="str">
        <f t="shared" si="29"/>
        <v/>
      </c>
      <c r="E974" s="115"/>
      <c r="F974" s="115"/>
      <c r="G974" s="115"/>
      <c r="H974" s="115"/>
      <c r="I974" s="134"/>
      <c r="J974" s="115"/>
      <c r="K974" s="115"/>
    </row>
    <row r="975" spans="1:11" ht="15.75" x14ac:dyDescent="0.25">
      <c r="A975" s="105"/>
      <c r="B975" s="105"/>
      <c r="C975" s="93" t="str">
        <f t="shared" si="28"/>
        <v/>
      </c>
      <c r="D975" s="93" t="str">
        <f t="shared" si="29"/>
        <v/>
      </c>
      <c r="E975" s="115"/>
      <c r="F975" s="115"/>
      <c r="G975" s="115"/>
      <c r="H975" s="115"/>
      <c r="I975" s="134"/>
      <c r="J975" s="115"/>
      <c r="K975" s="115"/>
    </row>
    <row r="976" spans="1:11" ht="15.75" x14ac:dyDescent="0.25">
      <c r="A976" s="105"/>
      <c r="B976" s="105"/>
      <c r="C976" s="93" t="str">
        <f t="shared" si="28"/>
        <v/>
      </c>
      <c r="D976" s="93" t="str">
        <f t="shared" si="29"/>
        <v/>
      </c>
      <c r="E976" s="115"/>
      <c r="F976" s="115"/>
      <c r="G976" s="115"/>
      <c r="H976" s="115"/>
      <c r="I976" s="134"/>
      <c r="J976" s="115"/>
      <c r="K976" s="115"/>
    </row>
    <row r="977" spans="1:11" ht="15.75" x14ac:dyDescent="0.25">
      <c r="A977" s="105"/>
      <c r="B977" s="105"/>
      <c r="C977" s="93" t="str">
        <f t="shared" si="28"/>
        <v/>
      </c>
      <c r="D977" s="93" t="str">
        <f t="shared" si="29"/>
        <v/>
      </c>
      <c r="E977" s="115"/>
      <c r="F977" s="115"/>
      <c r="G977" s="115"/>
      <c r="H977" s="115"/>
      <c r="I977" s="134"/>
      <c r="J977" s="115"/>
      <c r="K977" s="115"/>
    </row>
    <row r="978" spans="1:11" ht="15.75" x14ac:dyDescent="0.25">
      <c r="A978" s="105"/>
      <c r="B978" s="105"/>
      <c r="C978" s="93" t="str">
        <f t="shared" si="28"/>
        <v/>
      </c>
      <c r="D978" s="93" t="str">
        <f t="shared" si="29"/>
        <v/>
      </c>
      <c r="E978" s="115"/>
      <c r="F978" s="115"/>
      <c r="G978" s="115"/>
      <c r="H978" s="115"/>
      <c r="I978" s="134"/>
      <c r="J978" s="115"/>
      <c r="K978" s="115"/>
    </row>
    <row r="979" spans="1:11" ht="15.75" x14ac:dyDescent="0.25">
      <c r="A979" s="105"/>
      <c r="B979" s="105"/>
      <c r="C979" s="93" t="str">
        <f t="shared" si="28"/>
        <v/>
      </c>
      <c r="D979" s="93" t="str">
        <f t="shared" si="29"/>
        <v/>
      </c>
      <c r="E979" s="115"/>
      <c r="F979" s="115"/>
      <c r="G979" s="115"/>
      <c r="H979" s="115"/>
      <c r="I979" s="134"/>
      <c r="J979" s="115"/>
      <c r="K979" s="115"/>
    </row>
    <row r="980" spans="1:11" ht="15.75" x14ac:dyDescent="0.25">
      <c r="A980" s="105"/>
      <c r="B980" s="105"/>
      <c r="C980" s="93" t="str">
        <f t="shared" ref="C980:C1019" si="30">IF(A980=0,"",VLOOKUP(B980,MatDB,2,FALSE))</f>
        <v/>
      </c>
      <c r="D980" s="93" t="str">
        <f t="shared" si="29"/>
        <v/>
      </c>
      <c r="E980" s="115"/>
      <c r="F980" s="115"/>
      <c r="G980" s="115"/>
      <c r="H980" s="115"/>
      <c r="I980" s="134"/>
      <c r="J980" s="115"/>
      <c r="K980" s="115"/>
    </row>
    <row r="981" spans="1:11" ht="15.75" x14ac:dyDescent="0.25">
      <c r="A981" s="105"/>
      <c r="B981" s="105"/>
      <c r="C981" s="93" t="str">
        <f t="shared" si="30"/>
        <v/>
      </c>
      <c r="D981" s="93" t="str">
        <f t="shared" ref="D981:D1019" si="31">IF(A981=0,"","Steel02")</f>
        <v/>
      </c>
      <c r="E981" s="115"/>
      <c r="F981" s="115"/>
      <c r="G981" s="115"/>
      <c r="H981" s="115"/>
      <c r="I981" s="134"/>
      <c r="J981" s="115"/>
      <c r="K981" s="115"/>
    </row>
    <row r="982" spans="1:11" ht="15.75" x14ac:dyDescent="0.25">
      <c r="A982" s="105"/>
      <c r="B982" s="105"/>
      <c r="C982" s="93" t="str">
        <f t="shared" si="30"/>
        <v/>
      </c>
      <c r="D982" s="93" t="str">
        <f t="shared" si="31"/>
        <v/>
      </c>
      <c r="E982" s="115"/>
      <c r="F982" s="115"/>
      <c r="G982" s="115"/>
      <c r="H982" s="115"/>
      <c r="I982" s="134"/>
      <c r="J982" s="115"/>
      <c r="K982" s="115"/>
    </row>
    <row r="983" spans="1:11" ht="15.75" x14ac:dyDescent="0.25">
      <c r="A983" s="105"/>
      <c r="B983" s="105"/>
      <c r="C983" s="93" t="str">
        <f t="shared" si="30"/>
        <v/>
      </c>
      <c r="D983" s="93" t="str">
        <f t="shared" si="31"/>
        <v/>
      </c>
      <c r="E983" s="115"/>
      <c r="F983" s="115"/>
      <c r="G983" s="115"/>
      <c r="H983" s="115"/>
      <c r="I983" s="134"/>
      <c r="J983" s="115"/>
      <c r="K983" s="115"/>
    </row>
    <row r="984" spans="1:11" ht="15.75" x14ac:dyDescent="0.25">
      <c r="A984" s="105"/>
      <c r="B984" s="105"/>
      <c r="C984" s="93" t="str">
        <f t="shared" si="30"/>
        <v/>
      </c>
      <c r="D984" s="93" t="str">
        <f t="shared" si="31"/>
        <v/>
      </c>
      <c r="E984" s="115"/>
      <c r="F984" s="115"/>
      <c r="G984" s="115"/>
      <c r="H984" s="115"/>
      <c r="I984" s="134"/>
      <c r="J984" s="115"/>
      <c r="K984" s="115"/>
    </row>
    <row r="985" spans="1:11" ht="15.75" x14ac:dyDescent="0.25">
      <c r="A985" s="105"/>
      <c r="B985" s="105"/>
      <c r="C985" s="93" t="str">
        <f t="shared" si="30"/>
        <v/>
      </c>
      <c r="D985" s="93" t="str">
        <f t="shared" si="31"/>
        <v/>
      </c>
      <c r="E985" s="115"/>
      <c r="F985" s="115"/>
      <c r="G985" s="115"/>
      <c r="H985" s="115"/>
      <c r="I985" s="134"/>
      <c r="J985" s="115"/>
      <c r="K985" s="115"/>
    </row>
    <row r="986" spans="1:11" ht="15.75" x14ac:dyDescent="0.25">
      <c r="A986" s="105"/>
      <c r="B986" s="105"/>
      <c r="C986" s="93" t="str">
        <f t="shared" si="30"/>
        <v/>
      </c>
      <c r="D986" s="93" t="str">
        <f t="shared" si="31"/>
        <v/>
      </c>
      <c r="E986" s="115"/>
      <c r="F986" s="115"/>
      <c r="G986" s="115"/>
      <c r="H986" s="115"/>
      <c r="I986" s="134"/>
      <c r="J986" s="115"/>
      <c r="K986" s="115"/>
    </row>
    <row r="987" spans="1:11" ht="15.75" x14ac:dyDescent="0.25">
      <c r="A987" s="105"/>
      <c r="B987" s="105"/>
      <c r="C987" s="93" t="str">
        <f t="shared" si="30"/>
        <v/>
      </c>
      <c r="D987" s="93" t="str">
        <f t="shared" si="31"/>
        <v/>
      </c>
      <c r="E987" s="115"/>
      <c r="F987" s="115"/>
      <c r="G987" s="115"/>
      <c r="H987" s="115"/>
      <c r="I987" s="134"/>
      <c r="J987" s="115"/>
      <c r="K987" s="115"/>
    </row>
    <row r="988" spans="1:11" ht="15.75" x14ac:dyDescent="0.25">
      <c r="A988" s="105"/>
      <c r="B988" s="105"/>
      <c r="C988" s="93" t="str">
        <f t="shared" si="30"/>
        <v/>
      </c>
      <c r="D988" s="93" t="str">
        <f t="shared" si="31"/>
        <v/>
      </c>
      <c r="E988" s="115"/>
      <c r="F988" s="115"/>
      <c r="G988" s="115"/>
      <c r="H988" s="115"/>
      <c r="I988" s="134"/>
      <c r="J988" s="115"/>
      <c r="K988" s="115"/>
    </row>
    <row r="989" spans="1:11" ht="15.75" x14ac:dyDescent="0.25">
      <c r="A989" s="105"/>
      <c r="B989" s="105"/>
      <c r="C989" s="93" t="str">
        <f t="shared" si="30"/>
        <v/>
      </c>
      <c r="D989" s="93" t="str">
        <f t="shared" si="31"/>
        <v/>
      </c>
      <c r="E989" s="115"/>
      <c r="F989" s="115"/>
      <c r="G989" s="115"/>
      <c r="H989" s="115"/>
      <c r="I989" s="134"/>
      <c r="J989" s="115"/>
      <c r="K989" s="115"/>
    </row>
    <row r="990" spans="1:11" ht="15.75" x14ac:dyDescent="0.25">
      <c r="A990" s="105"/>
      <c r="B990" s="105"/>
      <c r="C990" s="93" t="str">
        <f t="shared" si="30"/>
        <v/>
      </c>
      <c r="D990" s="93" t="str">
        <f t="shared" si="31"/>
        <v/>
      </c>
      <c r="E990" s="115"/>
      <c r="F990" s="115"/>
      <c r="G990" s="115"/>
      <c r="H990" s="115"/>
      <c r="I990" s="134"/>
      <c r="J990" s="115"/>
      <c r="K990" s="115"/>
    </row>
    <row r="991" spans="1:11" ht="15.75" x14ac:dyDescent="0.25">
      <c r="A991" s="105"/>
      <c r="B991" s="105"/>
      <c r="C991" s="93" t="str">
        <f t="shared" si="30"/>
        <v/>
      </c>
      <c r="D991" s="93" t="str">
        <f t="shared" si="31"/>
        <v/>
      </c>
      <c r="E991" s="115"/>
      <c r="F991" s="115"/>
      <c r="G991" s="115"/>
      <c r="H991" s="115"/>
      <c r="I991" s="134"/>
      <c r="J991" s="115"/>
      <c r="K991" s="115"/>
    </row>
    <row r="992" spans="1:11" ht="15.75" x14ac:dyDescent="0.25">
      <c r="A992" s="105"/>
      <c r="B992" s="105"/>
      <c r="C992" s="93" t="str">
        <f t="shared" si="30"/>
        <v/>
      </c>
      <c r="D992" s="93" t="str">
        <f t="shared" si="31"/>
        <v/>
      </c>
      <c r="E992" s="115"/>
      <c r="F992" s="115"/>
      <c r="G992" s="115"/>
      <c r="H992" s="115"/>
      <c r="I992" s="134"/>
      <c r="J992" s="115"/>
      <c r="K992" s="115"/>
    </row>
    <row r="993" spans="1:11" ht="15.75" x14ac:dyDescent="0.25">
      <c r="A993" s="105"/>
      <c r="B993" s="105"/>
      <c r="C993" s="93" t="str">
        <f t="shared" si="30"/>
        <v/>
      </c>
      <c r="D993" s="93" t="str">
        <f t="shared" si="31"/>
        <v/>
      </c>
      <c r="E993" s="115"/>
      <c r="F993" s="115"/>
      <c r="G993" s="115"/>
      <c r="H993" s="115"/>
      <c r="I993" s="134"/>
      <c r="J993" s="115"/>
      <c r="K993" s="115"/>
    </row>
    <row r="994" spans="1:11" ht="15.75" x14ac:dyDescent="0.25">
      <c r="A994" s="105"/>
      <c r="B994" s="105"/>
      <c r="C994" s="93" t="str">
        <f t="shared" si="30"/>
        <v/>
      </c>
      <c r="D994" s="93" t="str">
        <f t="shared" si="31"/>
        <v/>
      </c>
      <c r="E994" s="115"/>
      <c r="F994" s="115"/>
      <c r="G994" s="115"/>
      <c r="H994" s="115"/>
      <c r="I994" s="134"/>
      <c r="J994" s="115"/>
      <c r="K994" s="115"/>
    </row>
    <row r="995" spans="1:11" ht="15.75" x14ac:dyDescent="0.25">
      <c r="A995" s="105"/>
      <c r="B995" s="105"/>
      <c r="C995" s="93" t="str">
        <f t="shared" si="30"/>
        <v/>
      </c>
      <c r="D995" s="93" t="str">
        <f t="shared" si="31"/>
        <v/>
      </c>
      <c r="E995" s="115"/>
      <c r="F995" s="115"/>
      <c r="G995" s="115"/>
      <c r="H995" s="115"/>
      <c r="I995" s="134"/>
      <c r="J995" s="115"/>
      <c r="K995" s="115"/>
    </row>
    <row r="996" spans="1:11" ht="15.75" x14ac:dyDescent="0.25">
      <c r="A996" s="105"/>
      <c r="B996" s="105"/>
      <c r="C996" s="93" t="str">
        <f t="shared" si="30"/>
        <v/>
      </c>
      <c r="D996" s="93" t="str">
        <f t="shared" si="31"/>
        <v/>
      </c>
      <c r="E996" s="115"/>
      <c r="F996" s="115"/>
      <c r="G996" s="115"/>
      <c r="H996" s="115"/>
      <c r="I996" s="134"/>
      <c r="J996" s="115"/>
      <c r="K996" s="115"/>
    </row>
    <row r="997" spans="1:11" ht="15.75" x14ac:dyDescent="0.25">
      <c r="A997" s="105"/>
      <c r="B997" s="105"/>
      <c r="C997" s="93" t="str">
        <f t="shared" si="30"/>
        <v/>
      </c>
      <c r="D997" s="93" t="str">
        <f t="shared" si="31"/>
        <v/>
      </c>
      <c r="E997" s="115"/>
      <c r="F997" s="115"/>
      <c r="G997" s="115"/>
      <c r="H997" s="115"/>
      <c r="I997" s="134"/>
      <c r="J997" s="115"/>
      <c r="K997" s="115"/>
    </row>
    <row r="998" spans="1:11" ht="15.75" x14ac:dyDescent="0.25">
      <c r="A998" s="105"/>
      <c r="B998" s="105"/>
      <c r="C998" s="93" t="str">
        <f t="shared" si="30"/>
        <v/>
      </c>
      <c r="D998" s="93" t="str">
        <f t="shared" si="31"/>
        <v/>
      </c>
      <c r="E998" s="115"/>
      <c r="F998" s="115"/>
      <c r="G998" s="115"/>
      <c r="H998" s="115"/>
      <c r="I998" s="134"/>
      <c r="J998" s="115"/>
      <c r="K998" s="115"/>
    </row>
    <row r="999" spans="1:11" ht="15.75" x14ac:dyDescent="0.25">
      <c r="A999" s="105"/>
      <c r="B999" s="105"/>
      <c r="C999" s="93" t="str">
        <f t="shared" si="30"/>
        <v/>
      </c>
      <c r="D999" s="93" t="str">
        <f t="shared" si="31"/>
        <v/>
      </c>
      <c r="E999" s="115"/>
      <c r="F999" s="115"/>
      <c r="G999" s="115"/>
      <c r="H999" s="115"/>
      <c r="I999" s="134"/>
      <c r="J999" s="115"/>
      <c r="K999" s="115"/>
    </row>
    <row r="1000" spans="1:11" ht="15.75" x14ac:dyDescent="0.25">
      <c r="A1000" s="105"/>
      <c r="B1000" s="105"/>
      <c r="C1000" s="93" t="str">
        <f t="shared" si="30"/>
        <v/>
      </c>
      <c r="D1000" s="93" t="str">
        <f t="shared" si="31"/>
        <v/>
      </c>
      <c r="E1000" s="115"/>
      <c r="F1000" s="115"/>
      <c r="G1000" s="115"/>
      <c r="H1000" s="115"/>
      <c r="I1000" s="134"/>
      <c r="J1000" s="115"/>
      <c r="K1000" s="115"/>
    </row>
    <row r="1001" spans="1:11" ht="15.75" x14ac:dyDescent="0.25">
      <c r="A1001" s="105"/>
      <c r="B1001" s="105"/>
      <c r="C1001" s="93" t="str">
        <f t="shared" si="30"/>
        <v/>
      </c>
      <c r="D1001" s="93" t="str">
        <f t="shared" si="31"/>
        <v/>
      </c>
      <c r="E1001" s="115"/>
      <c r="F1001" s="115"/>
      <c r="G1001" s="115"/>
      <c r="H1001" s="115"/>
      <c r="I1001" s="134"/>
      <c r="J1001" s="115"/>
      <c r="K1001" s="115"/>
    </row>
    <row r="1002" spans="1:11" ht="15.75" x14ac:dyDescent="0.25">
      <c r="A1002" s="105"/>
      <c r="B1002" s="105"/>
      <c r="C1002" s="93" t="str">
        <f t="shared" si="30"/>
        <v/>
      </c>
      <c r="D1002" s="93" t="str">
        <f t="shared" si="31"/>
        <v/>
      </c>
      <c r="E1002" s="115"/>
      <c r="F1002" s="115"/>
      <c r="G1002" s="115"/>
      <c r="H1002" s="115"/>
      <c r="I1002" s="134"/>
      <c r="J1002" s="115"/>
      <c r="K1002" s="115"/>
    </row>
    <row r="1003" spans="1:11" ht="15.75" x14ac:dyDescent="0.25">
      <c r="A1003" s="105"/>
      <c r="B1003" s="105"/>
      <c r="C1003" s="93" t="str">
        <f t="shared" si="30"/>
        <v/>
      </c>
      <c r="D1003" s="93" t="str">
        <f t="shared" si="31"/>
        <v/>
      </c>
      <c r="E1003" s="115"/>
      <c r="F1003" s="115"/>
      <c r="G1003" s="115"/>
      <c r="H1003" s="115"/>
      <c r="I1003" s="134"/>
      <c r="J1003" s="115"/>
      <c r="K1003" s="115"/>
    </row>
    <row r="1004" spans="1:11" ht="15.75" x14ac:dyDescent="0.25">
      <c r="A1004" s="105"/>
      <c r="B1004" s="105"/>
      <c r="C1004" s="93" t="str">
        <f t="shared" si="30"/>
        <v/>
      </c>
      <c r="D1004" s="93" t="str">
        <f t="shared" si="31"/>
        <v/>
      </c>
      <c r="E1004" s="115"/>
      <c r="F1004" s="115"/>
      <c r="G1004" s="115"/>
      <c r="H1004" s="115"/>
      <c r="I1004" s="134"/>
      <c r="J1004" s="115"/>
      <c r="K1004" s="115"/>
    </row>
    <row r="1005" spans="1:11" ht="15.75" x14ac:dyDescent="0.25">
      <c r="A1005" s="105"/>
      <c r="B1005" s="105"/>
      <c r="C1005" s="93" t="str">
        <f t="shared" si="30"/>
        <v/>
      </c>
      <c r="D1005" s="93" t="str">
        <f t="shared" si="31"/>
        <v/>
      </c>
      <c r="E1005" s="115"/>
      <c r="F1005" s="115"/>
      <c r="G1005" s="115"/>
      <c r="H1005" s="115"/>
      <c r="I1005" s="134"/>
      <c r="J1005" s="115"/>
      <c r="K1005" s="115"/>
    </row>
    <row r="1006" spans="1:11" ht="15.75" x14ac:dyDescent="0.25">
      <c r="A1006" s="105"/>
      <c r="B1006" s="105"/>
      <c r="C1006" s="93" t="str">
        <f t="shared" si="30"/>
        <v/>
      </c>
      <c r="D1006" s="93" t="str">
        <f t="shared" si="31"/>
        <v/>
      </c>
      <c r="E1006" s="115"/>
      <c r="F1006" s="115"/>
      <c r="G1006" s="115"/>
      <c r="H1006" s="115"/>
      <c r="I1006" s="134"/>
      <c r="J1006" s="115"/>
      <c r="K1006" s="115"/>
    </row>
    <row r="1007" spans="1:11" ht="15.75" x14ac:dyDescent="0.25">
      <c r="A1007" s="105"/>
      <c r="B1007" s="105"/>
      <c r="C1007" s="93" t="str">
        <f t="shared" si="30"/>
        <v/>
      </c>
      <c r="D1007" s="93" t="str">
        <f t="shared" si="31"/>
        <v/>
      </c>
      <c r="E1007" s="115"/>
      <c r="F1007" s="115"/>
      <c r="G1007" s="115"/>
      <c r="H1007" s="115"/>
      <c r="I1007" s="134"/>
      <c r="J1007" s="115"/>
      <c r="K1007" s="115"/>
    </row>
    <row r="1008" spans="1:11" ht="15.75" x14ac:dyDescent="0.25">
      <c r="A1008" s="105"/>
      <c r="B1008" s="105"/>
      <c r="C1008" s="93" t="str">
        <f t="shared" si="30"/>
        <v/>
      </c>
      <c r="D1008" s="93" t="str">
        <f t="shared" si="31"/>
        <v/>
      </c>
      <c r="E1008" s="115"/>
      <c r="F1008" s="115"/>
      <c r="G1008" s="115"/>
      <c r="H1008" s="115"/>
      <c r="I1008" s="134"/>
      <c r="J1008" s="115"/>
      <c r="K1008" s="115"/>
    </row>
    <row r="1009" spans="1:11" ht="15.75" x14ac:dyDescent="0.25">
      <c r="A1009" s="105"/>
      <c r="B1009" s="105"/>
      <c r="C1009" s="93" t="str">
        <f t="shared" si="30"/>
        <v/>
      </c>
      <c r="D1009" s="93" t="str">
        <f t="shared" si="31"/>
        <v/>
      </c>
      <c r="E1009" s="115"/>
      <c r="F1009" s="115"/>
      <c r="G1009" s="115"/>
      <c r="H1009" s="115"/>
      <c r="I1009" s="134"/>
      <c r="J1009" s="115"/>
      <c r="K1009" s="115"/>
    </row>
    <row r="1010" spans="1:11" ht="15.75" x14ac:dyDescent="0.25">
      <c r="A1010" s="105"/>
      <c r="B1010" s="105"/>
      <c r="C1010" s="93" t="str">
        <f t="shared" si="30"/>
        <v/>
      </c>
      <c r="D1010" s="93" t="str">
        <f t="shared" si="31"/>
        <v/>
      </c>
      <c r="E1010" s="115"/>
      <c r="F1010" s="115"/>
      <c r="G1010" s="115"/>
      <c r="H1010" s="115"/>
      <c r="I1010" s="134"/>
      <c r="J1010" s="115"/>
      <c r="K1010" s="115"/>
    </row>
    <row r="1011" spans="1:11" ht="15.75" x14ac:dyDescent="0.25">
      <c r="A1011" s="105"/>
      <c r="B1011" s="105"/>
      <c r="C1011" s="93" t="str">
        <f t="shared" si="30"/>
        <v/>
      </c>
      <c r="D1011" s="93" t="str">
        <f t="shared" si="31"/>
        <v/>
      </c>
      <c r="E1011" s="115"/>
      <c r="F1011" s="115"/>
      <c r="G1011" s="115"/>
      <c r="H1011" s="115"/>
      <c r="I1011" s="134"/>
      <c r="J1011" s="115"/>
      <c r="K1011" s="115"/>
    </row>
    <row r="1012" spans="1:11" ht="15.75" x14ac:dyDescent="0.25">
      <c r="A1012" s="105"/>
      <c r="B1012" s="105"/>
      <c r="C1012" s="93" t="str">
        <f t="shared" si="30"/>
        <v/>
      </c>
      <c r="D1012" s="93" t="str">
        <f t="shared" si="31"/>
        <v/>
      </c>
      <c r="E1012" s="115"/>
      <c r="F1012" s="115"/>
      <c r="G1012" s="115"/>
      <c r="H1012" s="115"/>
      <c r="I1012" s="134"/>
      <c r="J1012" s="115"/>
      <c r="K1012" s="115"/>
    </row>
    <row r="1013" spans="1:11" ht="15.75" x14ac:dyDescent="0.25">
      <c r="A1013" s="105"/>
      <c r="B1013" s="105"/>
      <c r="C1013" s="93" t="str">
        <f t="shared" si="30"/>
        <v/>
      </c>
      <c r="D1013" s="93" t="str">
        <f t="shared" si="31"/>
        <v/>
      </c>
      <c r="E1013" s="115"/>
      <c r="F1013" s="115"/>
      <c r="G1013" s="115"/>
      <c r="H1013" s="115"/>
      <c r="I1013" s="134"/>
      <c r="J1013" s="115"/>
      <c r="K1013" s="115"/>
    </row>
    <row r="1014" spans="1:11" ht="15.75" x14ac:dyDescent="0.25">
      <c r="A1014" s="105"/>
      <c r="B1014" s="105"/>
      <c r="C1014" s="93" t="str">
        <f t="shared" si="30"/>
        <v/>
      </c>
      <c r="D1014" s="93" t="str">
        <f t="shared" si="31"/>
        <v/>
      </c>
      <c r="E1014" s="115"/>
      <c r="F1014" s="115"/>
      <c r="G1014" s="115"/>
      <c r="H1014" s="115"/>
      <c r="I1014" s="134"/>
      <c r="J1014" s="115"/>
      <c r="K1014" s="115"/>
    </row>
    <row r="1015" spans="1:11" ht="15.75" x14ac:dyDescent="0.25">
      <c r="A1015" s="105"/>
      <c r="B1015" s="105"/>
      <c r="C1015" s="93" t="str">
        <f t="shared" si="30"/>
        <v/>
      </c>
      <c r="D1015" s="93" t="str">
        <f t="shared" si="31"/>
        <v/>
      </c>
      <c r="E1015" s="115"/>
      <c r="F1015" s="115"/>
      <c r="G1015" s="115"/>
      <c r="H1015" s="115"/>
      <c r="I1015" s="134"/>
      <c r="J1015" s="115"/>
      <c r="K1015" s="115"/>
    </row>
    <row r="1016" spans="1:11" ht="15.75" x14ac:dyDescent="0.25">
      <c r="A1016" s="105"/>
      <c r="B1016" s="105"/>
      <c r="C1016" s="93" t="str">
        <f t="shared" si="30"/>
        <v/>
      </c>
      <c r="D1016" s="93" t="str">
        <f t="shared" si="31"/>
        <v/>
      </c>
      <c r="E1016" s="115"/>
      <c r="F1016" s="115"/>
      <c r="G1016" s="115"/>
      <c r="H1016" s="115"/>
      <c r="I1016" s="134"/>
      <c r="J1016" s="115"/>
      <c r="K1016" s="115"/>
    </row>
    <row r="1017" spans="1:11" ht="15.75" x14ac:dyDescent="0.25">
      <c r="A1017" s="105"/>
      <c r="B1017" s="105"/>
      <c r="C1017" s="93" t="str">
        <f t="shared" si="30"/>
        <v/>
      </c>
      <c r="D1017" s="93" t="str">
        <f t="shared" si="31"/>
        <v/>
      </c>
      <c r="E1017" s="115"/>
      <c r="F1017" s="115"/>
      <c r="G1017" s="115"/>
      <c r="H1017" s="115"/>
      <c r="I1017" s="134"/>
      <c r="J1017" s="115"/>
      <c r="K1017" s="115"/>
    </row>
    <row r="1018" spans="1:11" ht="15.75" x14ac:dyDescent="0.25">
      <c r="A1018" s="105"/>
      <c r="B1018" s="105"/>
      <c r="C1018" s="93" t="str">
        <f t="shared" si="30"/>
        <v/>
      </c>
      <c r="D1018" s="93" t="str">
        <f t="shared" si="31"/>
        <v/>
      </c>
      <c r="E1018" s="115"/>
      <c r="F1018" s="115"/>
      <c r="G1018" s="115"/>
      <c r="H1018" s="115"/>
      <c r="I1018" s="134"/>
      <c r="J1018" s="115"/>
      <c r="K1018" s="115"/>
    </row>
    <row r="1019" spans="1:11" ht="15.75" x14ac:dyDescent="0.25">
      <c r="A1019" s="105"/>
      <c r="B1019" s="105"/>
      <c r="C1019" s="93" t="str">
        <f t="shared" si="30"/>
        <v/>
      </c>
      <c r="D1019" s="93" t="str">
        <f t="shared" si="31"/>
        <v/>
      </c>
      <c r="E1019" s="115"/>
      <c r="F1019" s="115"/>
      <c r="G1019" s="115"/>
      <c r="H1019" s="115"/>
      <c r="I1019" s="134"/>
      <c r="J1019" s="115"/>
      <c r="K1019" s="115"/>
    </row>
  </sheetData>
  <dataValidations count="4">
    <dataValidation type="list" showInputMessage="1" showErrorMessage="1" errorTitle="Invalid Input" error="Choose from the list" sqref="B20:B1048576" xr:uid="{A57FCBED-8540-44B9-A9DF-AB89476B3982}">
      <formula1>Base_Mat_Steel</formula1>
    </dataValidation>
    <dataValidation type="textLength" allowBlank="1" showInputMessage="1" showErrorMessage="1" errorTitle="Invalid Input" error="Please enter maximum 32 characters only." sqref="A20:A1048576" xr:uid="{7626A076-48BB-4CD8-AC31-9EA7CD48F8EC}">
      <formula1>1</formula1>
      <formula2>32</formula2>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B12" sqref="B12"/>
    </sheetView>
  </sheetViews>
  <sheetFormatPr defaultColWidth="8.85546875" defaultRowHeight="15" x14ac:dyDescent="0.25"/>
  <cols>
    <col min="1" max="2" width="20.7109375" style="137" customWidth="1"/>
    <col min="3" max="4" width="20.7109375" style="125" customWidth="1"/>
    <col min="5" max="6" width="10.7109375" style="150" customWidth="1"/>
    <col min="7" max="16384" width="8.85546875" style="127"/>
  </cols>
  <sheetData>
    <row r="1" spans="1:6" ht="15.75" x14ac:dyDescent="0.25">
      <c r="A1" s="71" t="s">
        <v>199</v>
      </c>
      <c r="B1" s="139"/>
      <c r="C1" s="139"/>
      <c r="D1" s="139"/>
      <c r="E1" s="140"/>
      <c r="F1" s="141"/>
    </row>
    <row r="2" spans="1:6" ht="15.75" x14ac:dyDescent="0.25">
      <c r="A2" s="96" t="s">
        <v>229</v>
      </c>
      <c r="B2" s="142"/>
      <c r="C2" s="142"/>
      <c r="D2" s="142"/>
      <c r="E2" s="143"/>
      <c r="F2" s="144"/>
    </row>
    <row r="3" spans="1:6" ht="15.75" x14ac:dyDescent="0.25">
      <c r="A3" s="96" t="s">
        <v>255</v>
      </c>
      <c r="B3" s="142"/>
      <c r="C3" s="142"/>
      <c r="D3" s="142"/>
      <c r="E3" s="143"/>
      <c r="F3" s="144"/>
    </row>
    <row r="4" spans="1:6" ht="15.75" x14ac:dyDescent="0.25">
      <c r="A4" s="96" t="s">
        <v>262</v>
      </c>
      <c r="B4" s="142"/>
      <c r="C4" s="142"/>
      <c r="D4" s="142"/>
      <c r="E4" s="143"/>
      <c r="F4" s="144"/>
    </row>
    <row r="5" spans="1:6" ht="15.75" x14ac:dyDescent="0.25">
      <c r="A5" s="96" t="s">
        <v>233</v>
      </c>
      <c r="B5" s="142"/>
      <c r="C5" s="142"/>
      <c r="D5" s="142"/>
      <c r="E5" s="143"/>
      <c r="F5" s="144"/>
    </row>
    <row r="6" spans="1:6" ht="15.75" x14ac:dyDescent="0.25">
      <c r="A6" s="96" t="s">
        <v>256</v>
      </c>
      <c r="B6" s="142"/>
      <c r="C6" s="142"/>
      <c r="D6" s="142"/>
      <c r="E6" s="143"/>
      <c r="F6" s="144"/>
    </row>
    <row r="7" spans="1:6" ht="15.75" x14ac:dyDescent="0.25">
      <c r="A7" s="120" t="s">
        <v>257</v>
      </c>
      <c r="B7" s="145"/>
      <c r="C7" s="145"/>
      <c r="D7" s="145"/>
      <c r="E7" s="146"/>
      <c r="F7" s="147"/>
    </row>
    <row r="8" spans="1:6" x14ac:dyDescent="0.25">
      <c r="A8" s="148"/>
      <c r="B8" s="130"/>
      <c r="C8" s="130"/>
      <c r="D8" s="130"/>
      <c r="E8" s="149"/>
      <c r="F8" s="149"/>
    </row>
    <row r="9" spans="1:6" ht="15.75" x14ac:dyDescent="0.25">
      <c r="A9" s="85" t="s">
        <v>10</v>
      </c>
      <c r="B9" s="85" t="s">
        <v>34</v>
      </c>
      <c r="C9" s="85" t="s">
        <v>8</v>
      </c>
      <c r="D9" s="85" t="s">
        <v>19</v>
      </c>
      <c r="E9" s="85" t="s">
        <v>258</v>
      </c>
      <c r="F9" s="85" t="s">
        <v>259</v>
      </c>
    </row>
    <row r="10" spans="1:6" ht="15.75" x14ac:dyDescent="0.25">
      <c r="A10" s="105" t="s">
        <v>35</v>
      </c>
      <c r="B10" s="105" t="s">
        <v>32</v>
      </c>
      <c r="C10" s="93" t="str" cm="1">
        <f t="array" ref="C10">IF(A10=0,"",VLOOKUP(B10,_xlfn.LET(_xlpm.data,_xlfn.VSTACK(Mat_Concrete04!A14:D1013,Mat_Steel02!A20:D1019),_xlfn._xlws.FILTER(_xlpm.data,_xlfn.BYROW(_xlpm.data,_xlfn.LAMBDA(_xlpm.r,SUM(LEN(TRIM(_xlpm.r)))&gt;0)))),3,FALSE))</f>
        <v>Rebar</v>
      </c>
      <c r="D10" s="93" t="str">
        <f>IF(A10=0,"","MinMax")</f>
        <v>MinMax</v>
      </c>
      <c r="E10" s="123">
        <v>0.08</v>
      </c>
      <c r="F10" s="123">
        <v>0.08</v>
      </c>
    </row>
    <row r="11" spans="1:6" ht="15.75" x14ac:dyDescent="0.25">
      <c r="A11" s="105"/>
      <c r="B11" s="105"/>
      <c r="C11" s="93"/>
      <c r="D11" s="93" t="str">
        <f t="shared" ref="D11:D74" si="0">IF(A11=0,"","MinMax")</f>
        <v/>
      </c>
      <c r="E11" s="123"/>
      <c r="F11" s="123"/>
    </row>
    <row r="12" spans="1:6" ht="15.75" x14ac:dyDescent="0.25">
      <c r="A12" s="105"/>
      <c r="B12" s="105"/>
      <c r="C12" s="93"/>
      <c r="D12" s="93" t="str">
        <f t="shared" si="0"/>
        <v/>
      </c>
      <c r="E12" s="123"/>
      <c r="F12" s="123"/>
    </row>
    <row r="13" spans="1:6" ht="15.75" x14ac:dyDescent="0.25">
      <c r="A13" s="105"/>
      <c r="B13" s="105"/>
      <c r="C13" s="93"/>
      <c r="D13" s="93" t="str">
        <f t="shared" si="0"/>
        <v/>
      </c>
      <c r="E13" s="123"/>
      <c r="F13" s="123"/>
    </row>
    <row r="14" spans="1:6" ht="15.75" x14ac:dyDescent="0.25">
      <c r="A14" s="105"/>
      <c r="B14" s="105"/>
      <c r="C14" s="93"/>
      <c r="D14" s="93" t="str">
        <f t="shared" si="0"/>
        <v/>
      </c>
      <c r="E14" s="123"/>
      <c r="F14" s="123"/>
    </row>
    <row r="15" spans="1:6" ht="15.75" x14ac:dyDescent="0.25">
      <c r="A15" s="105"/>
      <c r="B15" s="105"/>
      <c r="C15" s="93"/>
      <c r="D15" s="93" t="str">
        <f t="shared" si="0"/>
        <v/>
      </c>
      <c r="E15" s="123"/>
      <c r="F15" s="123"/>
    </row>
    <row r="16" spans="1:6" ht="15.75" x14ac:dyDescent="0.25">
      <c r="A16" s="105"/>
      <c r="B16" s="105"/>
      <c r="C16" s="93"/>
      <c r="D16" s="93" t="str">
        <f t="shared" si="0"/>
        <v/>
      </c>
      <c r="E16" s="123"/>
      <c r="F16" s="123"/>
    </row>
    <row r="17" spans="1:6" ht="15.75" x14ac:dyDescent="0.25">
      <c r="A17" s="105"/>
      <c r="B17" s="105"/>
      <c r="C17" s="93"/>
      <c r="D17" s="93" t="str">
        <f t="shared" si="0"/>
        <v/>
      </c>
      <c r="E17" s="123"/>
      <c r="F17" s="123"/>
    </row>
    <row r="18" spans="1:6" ht="15.75" x14ac:dyDescent="0.25">
      <c r="A18" s="105"/>
      <c r="B18" s="105"/>
      <c r="C18" s="93"/>
      <c r="D18" s="93" t="str">
        <f t="shared" si="0"/>
        <v/>
      </c>
      <c r="E18" s="123"/>
      <c r="F18" s="123"/>
    </row>
    <row r="19" spans="1:6" ht="15.75" x14ac:dyDescent="0.25">
      <c r="A19" s="105"/>
      <c r="B19" s="105"/>
      <c r="C19" s="93"/>
      <c r="D19" s="93" t="str">
        <f t="shared" si="0"/>
        <v/>
      </c>
      <c r="E19" s="123"/>
      <c r="F19" s="123"/>
    </row>
    <row r="20" spans="1:6" ht="15.75" x14ac:dyDescent="0.25">
      <c r="A20" s="105"/>
      <c r="B20" s="105"/>
      <c r="C20" s="93"/>
      <c r="D20" s="93" t="str">
        <f t="shared" si="0"/>
        <v/>
      </c>
      <c r="E20" s="123"/>
      <c r="F20" s="123"/>
    </row>
    <row r="21" spans="1:6" ht="15.75" x14ac:dyDescent="0.25">
      <c r="A21" s="105"/>
      <c r="B21" s="105"/>
      <c r="C21" s="93"/>
      <c r="D21" s="93" t="str">
        <f t="shared" si="0"/>
        <v/>
      </c>
      <c r="E21" s="123"/>
      <c r="F21" s="123"/>
    </row>
    <row r="22" spans="1:6" ht="15.75" x14ac:dyDescent="0.25">
      <c r="A22" s="105"/>
      <c r="B22" s="105"/>
      <c r="C22" s="93"/>
      <c r="D22" s="93" t="str">
        <f t="shared" si="0"/>
        <v/>
      </c>
      <c r="E22" s="123"/>
      <c r="F22" s="123"/>
    </row>
    <row r="23" spans="1:6" ht="15.75" x14ac:dyDescent="0.25">
      <c r="A23" s="105"/>
      <c r="B23" s="105"/>
      <c r="C23" s="93"/>
      <c r="D23" s="93" t="str">
        <f t="shared" si="0"/>
        <v/>
      </c>
      <c r="E23" s="123"/>
      <c r="F23" s="123"/>
    </row>
    <row r="24" spans="1:6" ht="15.75" x14ac:dyDescent="0.25">
      <c r="A24" s="105"/>
      <c r="B24" s="105"/>
      <c r="C24" s="93"/>
      <c r="D24" s="93" t="str">
        <f t="shared" si="0"/>
        <v/>
      </c>
      <c r="E24" s="123"/>
      <c r="F24" s="123"/>
    </row>
    <row r="25" spans="1:6" ht="15.75" x14ac:dyDescent="0.25">
      <c r="A25" s="105"/>
      <c r="B25" s="105"/>
      <c r="C25" s="93"/>
      <c r="D25" s="93" t="str">
        <f t="shared" si="0"/>
        <v/>
      </c>
      <c r="E25" s="123"/>
      <c r="F25" s="123"/>
    </row>
    <row r="26" spans="1:6" ht="15.75" x14ac:dyDescent="0.25">
      <c r="A26" s="105"/>
      <c r="B26" s="105"/>
      <c r="C26" s="93"/>
      <c r="D26" s="93" t="str">
        <f t="shared" si="0"/>
        <v/>
      </c>
      <c r="E26" s="123"/>
      <c r="F26" s="123"/>
    </row>
    <row r="27" spans="1:6" ht="15.75" x14ac:dyDescent="0.25">
      <c r="A27" s="105"/>
      <c r="B27" s="105"/>
      <c r="C27" s="93"/>
      <c r="D27" s="93" t="str">
        <f t="shared" si="0"/>
        <v/>
      </c>
      <c r="E27" s="123"/>
      <c r="F27" s="123"/>
    </row>
    <row r="28" spans="1:6" ht="15.75" x14ac:dyDescent="0.25">
      <c r="A28" s="105"/>
      <c r="B28" s="105"/>
      <c r="C28" s="93"/>
      <c r="D28" s="93" t="str">
        <f t="shared" si="0"/>
        <v/>
      </c>
      <c r="E28" s="123"/>
      <c r="F28" s="123"/>
    </row>
    <row r="29" spans="1:6" ht="15.75" x14ac:dyDescent="0.25">
      <c r="A29" s="105"/>
      <c r="B29" s="105"/>
      <c r="C29" s="93"/>
      <c r="D29" s="93" t="str">
        <f t="shared" si="0"/>
        <v/>
      </c>
      <c r="E29" s="123"/>
      <c r="F29" s="123"/>
    </row>
    <row r="30" spans="1:6" ht="15.75" x14ac:dyDescent="0.25">
      <c r="A30" s="105"/>
      <c r="B30" s="105"/>
      <c r="C30" s="93"/>
      <c r="D30" s="93" t="str">
        <f t="shared" si="0"/>
        <v/>
      </c>
      <c r="E30" s="123"/>
      <c r="F30" s="123"/>
    </row>
    <row r="31" spans="1:6" ht="15.75" x14ac:dyDescent="0.25">
      <c r="A31" s="105"/>
      <c r="B31" s="105"/>
      <c r="C31" s="93"/>
      <c r="D31" s="93" t="str">
        <f t="shared" si="0"/>
        <v/>
      </c>
      <c r="E31" s="123"/>
      <c r="F31" s="123"/>
    </row>
    <row r="32" spans="1:6" ht="15.75" x14ac:dyDescent="0.25">
      <c r="A32" s="105"/>
      <c r="B32" s="105"/>
      <c r="C32" s="93"/>
      <c r="D32" s="93" t="str">
        <f t="shared" si="0"/>
        <v/>
      </c>
      <c r="E32" s="123"/>
      <c r="F32" s="123"/>
    </row>
    <row r="33" spans="1:6" ht="15.75" x14ac:dyDescent="0.25">
      <c r="A33" s="105"/>
      <c r="B33" s="105"/>
      <c r="C33" s="93"/>
      <c r="D33" s="93" t="str">
        <f t="shared" si="0"/>
        <v/>
      </c>
      <c r="E33" s="123"/>
      <c r="F33" s="123"/>
    </row>
    <row r="34" spans="1:6" ht="15.75" x14ac:dyDescent="0.25">
      <c r="A34" s="105"/>
      <c r="B34" s="105"/>
      <c r="C34" s="93"/>
      <c r="D34" s="93" t="str">
        <f t="shared" si="0"/>
        <v/>
      </c>
      <c r="E34" s="123"/>
      <c r="F34" s="123"/>
    </row>
    <row r="35" spans="1:6" ht="15.75" x14ac:dyDescent="0.25">
      <c r="A35" s="105"/>
      <c r="B35" s="105"/>
      <c r="C35" s="93"/>
      <c r="D35" s="93" t="str">
        <f t="shared" si="0"/>
        <v/>
      </c>
      <c r="E35" s="123"/>
      <c r="F35" s="123"/>
    </row>
    <row r="36" spans="1:6" ht="15.75" x14ac:dyDescent="0.25">
      <c r="A36" s="105"/>
      <c r="B36" s="105"/>
      <c r="C36" s="93"/>
      <c r="D36" s="93" t="str">
        <f t="shared" si="0"/>
        <v/>
      </c>
      <c r="E36" s="123"/>
      <c r="F36" s="123"/>
    </row>
    <row r="37" spans="1:6" ht="15.75" x14ac:dyDescent="0.25">
      <c r="A37" s="105"/>
      <c r="B37" s="105"/>
      <c r="C37" s="93"/>
      <c r="D37" s="93" t="str">
        <f t="shared" si="0"/>
        <v/>
      </c>
      <c r="E37" s="123"/>
      <c r="F37" s="123"/>
    </row>
    <row r="38" spans="1:6" ht="15.75" x14ac:dyDescent="0.25">
      <c r="A38" s="105"/>
      <c r="B38" s="105"/>
      <c r="C38" s="93"/>
      <c r="D38" s="93" t="str">
        <f t="shared" si="0"/>
        <v/>
      </c>
      <c r="E38" s="123"/>
      <c r="F38" s="123"/>
    </row>
    <row r="39" spans="1:6" ht="15.75" x14ac:dyDescent="0.25">
      <c r="A39" s="105"/>
      <c r="B39" s="105"/>
      <c r="C39" s="93"/>
      <c r="D39" s="93" t="str">
        <f t="shared" si="0"/>
        <v/>
      </c>
      <c r="E39" s="123"/>
      <c r="F39" s="123"/>
    </row>
    <row r="40" spans="1:6" ht="15.75" x14ac:dyDescent="0.25">
      <c r="A40" s="105"/>
      <c r="B40" s="105"/>
      <c r="C40" s="93"/>
      <c r="D40" s="93" t="str">
        <f t="shared" si="0"/>
        <v/>
      </c>
      <c r="E40" s="123"/>
      <c r="F40" s="123"/>
    </row>
    <row r="41" spans="1:6" ht="15.75" x14ac:dyDescent="0.25">
      <c r="A41" s="105"/>
      <c r="B41" s="105"/>
      <c r="C41" s="93"/>
      <c r="D41" s="93" t="str">
        <f t="shared" si="0"/>
        <v/>
      </c>
      <c r="E41" s="123"/>
      <c r="F41" s="123"/>
    </row>
    <row r="42" spans="1:6" ht="15.75" x14ac:dyDescent="0.25">
      <c r="A42" s="105"/>
      <c r="B42" s="105"/>
      <c r="C42" s="93"/>
      <c r="D42" s="93" t="str">
        <f t="shared" si="0"/>
        <v/>
      </c>
      <c r="E42" s="123"/>
      <c r="F42" s="123"/>
    </row>
    <row r="43" spans="1:6" ht="15.75" x14ac:dyDescent="0.25">
      <c r="A43" s="105"/>
      <c r="B43" s="105"/>
      <c r="C43" s="93"/>
      <c r="D43" s="93" t="str">
        <f t="shared" si="0"/>
        <v/>
      </c>
      <c r="E43" s="123"/>
      <c r="F43" s="123"/>
    </row>
    <row r="44" spans="1:6" ht="15.75" x14ac:dyDescent="0.25">
      <c r="A44" s="105"/>
      <c r="B44" s="105"/>
      <c r="C44" s="93"/>
      <c r="D44" s="93" t="str">
        <f t="shared" si="0"/>
        <v/>
      </c>
      <c r="E44" s="123"/>
      <c r="F44" s="123"/>
    </row>
    <row r="45" spans="1:6" ht="15.75" x14ac:dyDescent="0.25">
      <c r="A45" s="105"/>
      <c r="B45" s="105"/>
      <c r="C45" s="93"/>
      <c r="D45" s="93" t="str">
        <f t="shared" si="0"/>
        <v/>
      </c>
      <c r="E45" s="123"/>
      <c r="F45" s="123"/>
    </row>
    <row r="46" spans="1:6" ht="15.75" x14ac:dyDescent="0.25">
      <c r="A46" s="105"/>
      <c r="B46" s="105"/>
      <c r="C46" s="93"/>
      <c r="D46" s="93" t="str">
        <f t="shared" si="0"/>
        <v/>
      </c>
      <c r="E46" s="123"/>
      <c r="F46" s="123"/>
    </row>
    <row r="47" spans="1:6" ht="15.75" x14ac:dyDescent="0.25">
      <c r="A47" s="105"/>
      <c r="B47" s="105"/>
      <c r="C47" s="93"/>
      <c r="D47" s="93" t="str">
        <f t="shared" si="0"/>
        <v/>
      </c>
      <c r="E47" s="123"/>
      <c r="F47" s="123"/>
    </row>
    <row r="48" spans="1:6" ht="15.75" x14ac:dyDescent="0.25">
      <c r="A48" s="105"/>
      <c r="B48" s="105"/>
      <c r="C48" s="93"/>
      <c r="D48" s="93" t="str">
        <f t="shared" si="0"/>
        <v/>
      </c>
      <c r="E48" s="123"/>
      <c r="F48" s="123"/>
    </row>
    <row r="49" spans="1:6" ht="15.75" x14ac:dyDescent="0.25">
      <c r="A49" s="105"/>
      <c r="B49" s="105"/>
      <c r="C49" s="93"/>
      <c r="D49" s="93" t="str">
        <f t="shared" si="0"/>
        <v/>
      </c>
      <c r="E49" s="123"/>
      <c r="F49" s="123"/>
    </row>
    <row r="50" spans="1:6" ht="15.75" x14ac:dyDescent="0.25">
      <c r="A50" s="105"/>
      <c r="B50" s="105"/>
      <c r="C50" s="93"/>
      <c r="D50" s="93" t="str">
        <f t="shared" si="0"/>
        <v/>
      </c>
      <c r="E50" s="123"/>
      <c r="F50" s="123"/>
    </row>
    <row r="51" spans="1:6" ht="15.75" x14ac:dyDescent="0.25">
      <c r="A51" s="105"/>
      <c r="B51" s="105"/>
      <c r="C51" s="93"/>
      <c r="D51" s="93" t="str">
        <f t="shared" si="0"/>
        <v/>
      </c>
      <c r="E51" s="123"/>
      <c r="F51" s="123"/>
    </row>
    <row r="52" spans="1:6" ht="15.75" x14ac:dyDescent="0.25">
      <c r="A52" s="105"/>
      <c r="B52" s="105"/>
      <c r="C52" s="93"/>
      <c r="D52" s="93" t="str">
        <f t="shared" si="0"/>
        <v/>
      </c>
      <c r="E52" s="123"/>
      <c r="F52" s="123"/>
    </row>
    <row r="53" spans="1:6" ht="15.75" x14ac:dyDescent="0.25">
      <c r="A53" s="105"/>
      <c r="B53" s="105"/>
      <c r="C53" s="93"/>
      <c r="D53" s="93" t="str">
        <f t="shared" si="0"/>
        <v/>
      </c>
      <c r="E53" s="123"/>
      <c r="F53" s="123"/>
    </row>
    <row r="54" spans="1:6" ht="15.75" x14ac:dyDescent="0.25">
      <c r="A54" s="105"/>
      <c r="B54" s="105"/>
      <c r="C54" s="93"/>
      <c r="D54" s="93" t="str">
        <f t="shared" si="0"/>
        <v/>
      </c>
      <c r="E54" s="123"/>
      <c r="F54" s="123"/>
    </row>
    <row r="55" spans="1:6" ht="15.75" x14ac:dyDescent="0.25">
      <c r="A55" s="105"/>
      <c r="B55" s="105"/>
      <c r="C55" s="93"/>
      <c r="D55" s="93" t="str">
        <f t="shared" si="0"/>
        <v/>
      </c>
      <c r="E55" s="123"/>
      <c r="F55" s="123"/>
    </row>
    <row r="56" spans="1:6" ht="15.75" x14ac:dyDescent="0.25">
      <c r="A56" s="105"/>
      <c r="B56" s="105"/>
      <c r="C56" s="93"/>
      <c r="D56" s="93" t="str">
        <f t="shared" si="0"/>
        <v/>
      </c>
      <c r="E56" s="123"/>
      <c r="F56" s="123"/>
    </row>
    <row r="57" spans="1:6" ht="15.75" x14ac:dyDescent="0.25">
      <c r="A57" s="105"/>
      <c r="B57" s="105"/>
      <c r="C57" s="93"/>
      <c r="D57" s="93" t="str">
        <f t="shared" si="0"/>
        <v/>
      </c>
      <c r="E57" s="123"/>
      <c r="F57" s="123"/>
    </row>
    <row r="58" spans="1:6" ht="15.75" x14ac:dyDescent="0.25">
      <c r="A58" s="105"/>
      <c r="B58" s="105"/>
      <c r="C58" s="93"/>
      <c r="D58" s="93" t="str">
        <f t="shared" si="0"/>
        <v/>
      </c>
      <c r="E58" s="123"/>
      <c r="F58" s="123"/>
    </row>
    <row r="59" spans="1:6" ht="15.75" x14ac:dyDescent="0.25">
      <c r="A59" s="105"/>
      <c r="B59" s="105"/>
      <c r="C59" s="93"/>
      <c r="D59" s="93" t="str">
        <f t="shared" si="0"/>
        <v/>
      </c>
      <c r="E59" s="123"/>
      <c r="F59" s="123"/>
    </row>
    <row r="60" spans="1:6" ht="15.75" x14ac:dyDescent="0.25">
      <c r="A60" s="105"/>
      <c r="B60" s="105"/>
      <c r="C60" s="93"/>
      <c r="D60" s="93" t="str">
        <f t="shared" si="0"/>
        <v/>
      </c>
      <c r="E60" s="123"/>
      <c r="F60" s="123"/>
    </row>
    <row r="61" spans="1:6" ht="15.75" x14ac:dyDescent="0.25">
      <c r="A61" s="105"/>
      <c r="B61" s="105"/>
      <c r="C61" s="93"/>
      <c r="D61" s="93" t="str">
        <f t="shared" si="0"/>
        <v/>
      </c>
      <c r="E61" s="123"/>
      <c r="F61" s="123"/>
    </row>
    <row r="62" spans="1:6" ht="15.75" x14ac:dyDescent="0.25">
      <c r="A62" s="105"/>
      <c r="B62" s="105"/>
      <c r="C62" s="93"/>
      <c r="D62" s="93" t="str">
        <f t="shared" si="0"/>
        <v/>
      </c>
      <c r="E62" s="123"/>
      <c r="F62" s="123"/>
    </row>
    <row r="63" spans="1:6" ht="15.75" x14ac:dyDescent="0.25">
      <c r="A63" s="105"/>
      <c r="B63" s="105"/>
      <c r="C63" s="93"/>
      <c r="D63" s="93" t="str">
        <f t="shared" si="0"/>
        <v/>
      </c>
      <c r="E63" s="123"/>
      <c r="F63" s="123"/>
    </row>
    <row r="64" spans="1:6" ht="15.75" x14ac:dyDescent="0.25">
      <c r="A64" s="105"/>
      <c r="B64" s="105"/>
      <c r="C64" s="93"/>
      <c r="D64" s="93" t="str">
        <f t="shared" si="0"/>
        <v/>
      </c>
      <c r="E64" s="123"/>
      <c r="F64" s="123"/>
    </row>
    <row r="65" spans="1:6" ht="15.75" x14ac:dyDescent="0.25">
      <c r="A65" s="105"/>
      <c r="B65" s="105"/>
      <c r="C65" s="93"/>
      <c r="D65" s="93" t="str">
        <f t="shared" si="0"/>
        <v/>
      </c>
      <c r="E65" s="123"/>
      <c r="F65" s="123"/>
    </row>
    <row r="66" spans="1:6" ht="15.75" x14ac:dyDescent="0.25">
      <c r="A66" s="105"/>
      <c r="B66" s="105"/>
      <c r="C66" s="93"/>
      <c r="D66" s="93" t="str">
        <f t="shared" si="0"/>
        <v/>
      </c>
      <c r="E66" s="123"/>
      <c r="F66" s="123"/>
    </row>
    <row r="67" spans="1:6" ht="15.75" x14ac:dyDescent="0.25">
      <c r="A67" s="105"/>
      <c r="B67" s="105"/>
      <c r="C67" s="93"/>
      <c r="D67" s="93" t="str">
        <f t="shared" si="0"/>
        <v/>
      </c>
      <c r="E67" s="123"/>
      <c r="F67" s="123"/>
    </row>
    <row r="68" spans="1:6" ht="15.75" x14ac:dyDescent="0.25">
      <c r="A68" s="105"/>
      <c r="B68" s="105"/>
      <c r="C68" s="93"/>
      <c r="D68" s="93" t="str">
        <f t="shared" si="0"/>
        <v/>
      </c>
      <c r="E68" s="123"/>
      <c r="F68" s="123"/>
    </row>
    <row r="69" spans="1:6" ht="15.75" x14ac:dyDescent="0.25">
      <c r="A69" s="105"/>
      <c r="B69" s="105"/>
      <c r="C69" s="93"/>
      <c r="D69" s="93" t="str">
        <f t="shared" si="0"/>
        <v/>
      </c>
      <c r="E69" s="123"/>
      <c r="F69" s="123"/>
    </row>
    <row r="70" spans="1:6" ht="15.75" x14ac:dyDescent="0.25">
      <c r="A70" s="105"/>
      <c r="B70" s="105"/>
      <c r="C70" s="93"/>
      <c r="D70" s="93" t="str">
        <f t="shared" si="0"/>
        <v/>
      </c>
      <c r="E70" s="123"/>
      <c r="F70" s="123"/>
    </row>
    <row r="71" spans="1:6" ht="15.75" x14ac:dyDescent="0.25">
      <c r="A71" s="105"/>
      <c r="B71" s="105"/>
      <c r="C71" s="93"/>
      <c r="D71" s="93" t="str">
        <f t="shared" si="0"/>
        <v/>
      </c>
      <c r="E71" s="123"/>
      <c r="F71" s="123"/>
    </row>
    <row r="72" spans="1:6" ht="15.75" x14ac:dyDescent="0.25">
      <c r="A72" s="105"/>
      <c r="B72" s="105"/>
      <c r="C72" s="93"/>
      <c r="D72" s="93" t="str">
        <f t="shared" si="0"/>
        <v/>
      </c>
      <c r="E72" s="123"/>
      <c r="F72" s="123"/>
    </row>
    <row r="73" spans="1:6" ht="15.75" x14ac:dyDescent="0.25">
      <c r="A73" s="105"/>
      <c r="B73" s="105"/>
      <c r="C73" s="93"/>
      <c r="D73" s="93" t="str">
        <f t="shared" si="0"/>
        <v/>
      </c>
      <c r="E73" s="123"/>
      <c r="F73" s="123"/>
    </row>
    <row r="74" spans="1:6" ht="15.75" x14ac:dyDescent="0.25">
      <c r="A74" s="105"/>
      <c r="B74" s="105"/>
      <c r="C74" s="93"/>
      <c r="D74" s="93" t="str">
        <f t="shared" si="0"/>
        <v/>
      </c>
      <c r="E74" s="123"/>
      <c r="F74" s="123"/>
    </row>
    <row r="75" spans="1:6" ht="15.75" x14ac:dyDescent="0.25">
      <c r="A75" s="105"/>
      <c r="B75" s="105"/>
      <c r="C75" s="93"/>
      <c r="D75" s="93" t="str">
        <f t="shared" ref="D75:D138" si="1">IF(A75=0,"","MinMax")</f>
        <v/>
      </c>
      <c r="E75" s="123"/>
      <c r="F75" s="123"/>
    </row>
    <row r="76" spans="1:6" ht="15.75" x14ac:dyDescent="0.25">
      <c r="A76" s="105"/>
      <c r="B76" s="105"/>
      <c r="C76" s="93"/>
      <c r="D76" s="93" t="str">
        <f t="shared" si="1"/>
        <v/>
      </c>
      <c r="E76" s="123"/>
      <c r="F76" s="123"/>
    </row>
    <row r="77" spans="1:6" ht="15.75" x14ac:dyDescent="0.25">
      <c r="A77" s="105"/>
      <c r="B77" s="105"/>
      <c r="C77" s="93"/>
      <c r="D77" s="93" t="str">
        <f t="shared" si="1"/>
        <v/>
      </c>
      <c r="E77" s="123"/>
      <c r="F77" s="123"/>
    </row>
    <row r="78" spans="1:6" ht="15.75" x14ac:dyDescent="0.25">
      <c r="A78" s="105"/>
      <c r="B78" s="105"/>
      <c r="C78" s="93"/>
      <c r="D78" s="93" t="str">
        <f t="shared" si="1"/>
        <v/>
      </c>
      <c r="E78" s="123"/>
      <c r="F78" s="123"/>
    </row>
    <row r="79" spans="1:6" ht="15.75" x14ac:dyDescent="0.25">
      <c r="A79" s="105"/>
      <c r="B79" s="105"/>
      <c r="C79" s="93"/>
      <c r="D79" s="93" t="str">
        <f t="shared" si="1"/>
        <v/>
      </c>
      <c r="E79" s="123"/>
      <c r="F79" s="123"/>
    </row>
    <row r="80" spans="1:6" ht="15.75" x14ac:dyDescent="0.25">
      <c r="A80" s="105"/>
      <c r="B80" s="105"/>
      <c r="C80" s="93"/>
      <c r="D80" s="93" t="str">
        <f t="shared" si="1"/>
        <v/>
      </c>
      <c r="E80" s="123"/>
      <c r="F80" s="123"/>
    </row>
    <row r="81" spans="1:6" ht="15.75" x14ac:dyDescent="0.25">
      <c r="A81" s="105"/>
      <c r="B81" s="105"/>
      <c r="C81" s="93"/>
      <c r="D81" s="93" t="str">
        <f t="shared" si="1"/>
        <v/>
      </c>
      <c r="E81" s="123"/>
      <c r="F81" s="123"/>
    </row>
    <row r="82" spans="1:6" ht="15.75" x14ac:dyDescent="0.25">
      <c r="A82" s="105"/>
      <c r="B82" s="105"/>
      <c r="C82" s="93"/>
      <c r="D82" s="93" t="str">
        <f t="shared" si="1"/>
        <v/>
      </c>
      <c r="E82" s="123"/>
      <c r="F82" s="123"/>
    </row>
    <row r="83" spans="1:6" ht="15.75" x14ac:dyDescent="0.25">
      <c r="A83" s="105"/>
      <c r="B83" s="105"/>
      <c r="C83" s="93"/>
      <c r="D83" s="93" t="str">
        <f t="shared" si="1"/>
        <v/>
      </c>
      <c r="E83" s="123"/>
      <c r="F83" s="123"/>
    </row>
    <row r="84" spans="1:6" ht="15.75" x14ac:dyDescent="0.25">
      <c r="A84" s="105"/>
      <c r="B84" s="105"/>
      <c r="C84" s="93"/>
      <c r="D84" s="93" t="str">
        <f t="shared" si="1"/>
        <v/>
      </c>
      <c r="E84" s="123"/>
      <c r="F84" s="123"/>
    </row>
    <row r="85" spans="1:6" ht="15.75" x14ac:dyDescent="0.25">
      <c r="A85" s="105"/>
      <c r="B85" s="105"/>
      <c r="C85" s="93"/>
      <c r="D85" s="93" t="str">
        <f t="shared" si="1"/>
        <v/>
      </c>
      <c r="E85" s="123"/>
      <c r="F85" s="123"/>
    </row>
    <row r="86" spans="1:6" ht="15.75" x14ac:dyDescent="0.25">
      <c r="A86" s="105"/>
      <c r="B86" s="105"/>
      <c r="C86" s="93"/>
      <c r="D86" s="93" t="str">
        <f t="shared" si="1"/>
        <v/>
      </c>
      <c r="E86" s="123"/>
      <c r="F86" s="123"/>
    </row>
    <row r="87" spans="1:6" ht="15.75" x14ac:dyDescent="0.25">
      <c r="A87" s="105"/>
      <c r="B87" s="105"/>
      <c r="C87" s="93"/>
      <c r="D87" s="93" t="str">
        <f t="shared" si="1"/>
        <v/>
      </c>
      <c r="E87" s="123"/>
      <c r="F87" s="123"/>
    </row>
    <row r="88" spans="1:6" ht="15.75" x14ac:dyDescent="0.25">
      <c r="A88" s="105"/>
      <c r="B88" s="105"/>
      <c r="C88" s="93"/>
      <c r="D88" s="93" t="str">
        <f t="shared" si="1"/>
        <v/>
      </c>
      <c r="E88" s="123"/>
      <c r="F88" s="123"/>
    </row>
    <row r="89" spans="1:6" ht="15.75" x14ac:dyDescent="0.25">
      <c r="A89" s="105"/>
      <c r="B89" s="105"/>
      <c r="C89" s="93"/>
      <c r="D89" s="93" t="str">
        <f t="shared" si="1"/>
        <v/>
      </c>
      <c r="E89" s="123"/>
      <c r="F89" s="123"/>
    </row>
    <row r="90" spans="1:6" ht="15.75" x14ac:dyDescent="0.25">
      <c r="A90" s="105"/>
      <c r="B90" s="105"/>
      <c r="C90" s="93"/>
      <c r="D90" s="93" t="str">
        <f t="shared" si="1"/>
        <v/>
      </c>
      <c r="E90" s="123"/>
      <c r="F90" s="123"/>
    </row>
    <row r="91" spans="1:6" ht="15.75" x14ac:dyDescent="0.25">
      <c r="A91" s="105"/>
      <c r="B91" s="105"/>
      <c r="C91" s="93"/>
      <c r="D91" s="93" t="str">
        <f t="shared" si="1"/>
        <v/>
      </c>
      <c r="E91" s="123"/>
      <c r="F91" s="123"/>
    </row>
    <row r="92" spans="1:6" ht="15.75" x14ac:dyDescent="0.25">
      <c r="A92" s="105"/>
      <c r="B92" s="105"/>
      <c r="C92" s="93"/>
      <c r="D92" s="93" t="str">
        <f t="shared" si="1"/>
        <v/>
      </c>
      <c r="E92" s="123"/>
      <c r="F92" s="123"/>
    </row>
    <row r="93" spans="1:6" ht="15.75" x14ac:dyDescent="0.25">
      <c r="A93" s="105"/>
      <c r="B93" s="105"/>
      <c r="C93" s="93"/>
      <c r="D93" s="93" t="str">
        <f t="shared" si="1"/>
        <v/>
      </c>
      <c r="E93" s="123"/>
      <c r="F93" s="123"/>
    </row>
    <row r="94" spans="1:6" ht="15.75" x14ac:dyDescent="0.25">
      <c r="A94" s="105"/>
      <c r="B94" s="105"/>
      <c r="C94" s="93"/>
      <c r="D94" s="93" t="str">
        <f t="shared" si="1"/>
        <v/>
      </c>
      <c r="E94" s="123"/>
      <c r="F94" s="123"/>
    </row>
    <row r="95" spans="1:6" ht="15.75" x14ac:dyDescent="0.25">
      <c r="A95" s="105"/>
      <c r="B95" s="105"/>
      <c r="C95" s="93"/>
      <c r="D95" s="93" t="str">
        <f t="shared" si="1"/>
        <v/>
      </c>
      <c r="E95" s="123"/>
      <c r="F95" s="123"/>
    </row>
    <row r="96" spans="1:6" ht="15.75" x14ac:dyDescent="0.25">
      <c r="A96" s="105"/>
      <c r="B96" s="105"/>
      <c r="C96" s="93"/>
      <c r="D96" s="93" t="str">
        <f t="shared" si="1"/>
        <v/>
      </c>
      <c r="E96" s="123"/>
      <c r="F96" s="123"/>
    </row>
    <row r="97" spans="1:6" ht="15.75" x14ac:dyDescent="0.25">
      <c r="A97" s="105"/>
      <c r="B97" s="105"/>
      <c r="C97" s="93"/>
      <c r="D97" s="93" t="str">
        <f t="shared" si="1"/>
        <v/>
      </c>
      <c r="E97" s="123"/>
      <c r="F97" s="123"/>
    </row>
    <row r="98" spans="1:6" ht="15.75" x14ac:dyDescent="0.25">
      <c r="A98" s="105"/>
      <c r="B98" s="105"/>
      <c r="C98" s="93"/>
      <c r="D98" s="93" t="str">
        <f t="shared" si="1"/>
        <v/>
      </c>
      <c r="E98" s="123"/>
      <c r="F98" s="123"/>
    </row>
    <row r="99" spans="1:6" ht="15.75" x14ac:dyDescent="0.25">
      <c r="A99" s="105"/>
      <c r="B99" s="105"/>
      <c r="C99" s="93"/>
      <c r="D99" s="93" t="str">
        <f t="shared" si="1"/>
        <v/>
      </c>
      <c r="E99" s="123"/>
      <c r="F99" s="123"/>
    </row>
    <row r="100" spans="1:6" ht="15.75" x14ac:dyDescent="0.25">
      <c r="A100" s="105"/>
      <c r="B100" s="105"/>
      <c r="C100" s="93"/>
      <c r="D100" s="93" t="str">
        <f t="shared" si="1"/>
        <v/>
      </c>
      <c r="E100" s="123"/>
      <c r="F100" s="123"/>
    </row>
    <row r="101" spans="1:6" ht="15.75" x14ac:dyDescent="0.25">
      <c r="A101" s="105"/>
      <c r="B101" s="105"/>
      <c r="C101" s="93"/>
      <c r="D101" s="93" t="str">
        <f t="shared" si="1"/>
        <v/>
      </c>
      <c r="E101" s="123"/>
      <c r="F101" s="123"/>
    </row>
    <row r="102" spans="1:6" ht="15.75" x14ac:dyDescent="0.25">
      <c r="A102" s="105"/>
      <c r="B102" s="105"/>
      <c r="C102" s="93"/>
      <c r="D102" s="93" t="str">
        <f t="shared" si="1"/>
        <v/>
      </c>
      <c r="E102" s="123"/>
      <c r="F102" s="123"/>
    </row>
    <row r="103" spans="1:6" ht="15.75" x14ac:dyDescent="0.25">
      <c r="A103" s="105"/>
      <c r="B103" s="105"/>
      <c r="C103" s="93"/>
      <c r="D103" s="93" t="str">
        <f t="shared" si="1"/>
        <v/>
      </c>
      <c r="E103" s="123"/>
      <c r="F103" s="123"/>
    </row>
    <row r="104" spans="1:6" ht="15.75" x14ac:dyDescent="0.25">
      <c r="A104" s="105"/>
      <c r="B104" s="105"/>
      <c r="C104" s="93"/>
      <c r="D104" s="93" t="str">
        <f t="shared" si="1"/>
        <v/>
      </c>
      <c r="E104" s="123"/>
      <c r="F104" s="123"/>
    </row>
    <row r="105" spans="1:6" ht="15.75" x14ac:dyDescent="0.25">
      <c r="A105" s="105"/>
      <c r="B105" s="105"/>
      <c r="C105" s="93"/>
      <c r="D105" s="93" t="str">
        <f t="shared" si="1"/>
        <v/>
      </c>
      <c r="E105" s="123"/>
      <c r="F105" s="123"/>
    </row>
    <row r="106" spans="1:6" ht="15.75" x14ac:dyDescent="0.25">
      <c r="A106" s="105"/>
      <c r="B106" s="105"/>
      <c r="C106" s="93"/>
      <c r="D106" s="93" t="str">
        <f t="shared" si="1"/>
        <v/>
      </c>
      <c r="E106" s="123"/>
      <c r="F106" s="123"/>
    </row>
    <row r="107" spans="1:6" ht="15.75" x14ac:dyDescent="0.25">
      <c r="A107" s="105"/>
      <c r="B107" s="105"/>
      <c r="C107" s="93"/>
      <c r="D107" s="93" t="str">
        <f t="shared" si="1"/>
        <v/>
      </c>
      <c r="E107" s="123"/>
      <c r="F107" s="123"/>
    </row>
    <row r="108" spans="1:6" ht="15.75" x14ac:dyDescent="0.25">
      <c r="A108" s="105"/>
      <c r="B108" s="105"/>
      <c r="C108" s="93"/>
      <c r="D108" s="93" t="str">
        <f t="shared" si="1"/>
        <v/>
      </c>
      <c r="E108" s="123"/>
      <c r="F108" s="123"/>
    </row>
    <row r="109" spans="1:6" ht="15.75" x14ac:dyDescent="0.25">
      <c r="A109" s="105"/>
      <c r="B109" s="105"/>
      <c r="C109" s="93"/>
      <c r="D109" s="93" t="str">
        <f t="shared" si="1"/>
        <v/>
      </c>
      <c r="E109" s="123"/>
      <c r="F109" s="123"/>
    </row>
    <row r="110" spans="1:6" ht="15.75" x14ac:dyDescent="0.25">
      <c r="A110" s="105"/>
      <c r="B110" s="105"/>
      <c r="C110" s="93"/>
      <c r="D110" s="93" t="str">
        <f t="shared" si="1"/>
        <v/>
      </c>
      <c r="E110" s="123"/>
      <c r="F110" s="123"/>
    </row>
    <row r="111" spans="1:6" ht="15.75" x14ac:dyDescent="0.25">
      <c r="A111" s="105"/>
      <c r="B111" s="105"/>
      <c r="C111" s="93"/>
      <c r="D111" s="93" t="str">
        <f t="shared" si="1"/>
        <v/>
      </c>
      <c r="E111" s="123"/>
      <c r="F111" s="123"/>
    </row>
    <row r="112" spans="1:6" ht="15.75" x14ac:dyDescent="0.25">
      <c r="A112" s="105"/>
      <c r="B112" s="105"/>
      <c r="C112" s="93"/>
      <c r="D112" s="93" t="str">
        <f t="shared" si="1"/>
        <v/>
      </c>
      <c r="E112" s="123"/>
      <c r="F112" s="123"/>
    </row>
    <row r="113" spans="1:6" ht="15.75" x14ac:dyDescent="0.25">
      <c r="A113" s="105"/>
      <c r="B113" s="105"/>
      <c r="C113" s="93"/>
      <c r="D113" s="93" t="str">
        <f t="shared" si="1"/>
        <v/>
      </c>
      <c r="E113" s="123"/>
      <c r="F113" s="123"/>
    </row>
    <row r="114" spans="1:6" ht="15.75" x14ac:dyDescent="0.25">
      <c r="A114" s="105"/>
      <c r="B114" s="105"/>
      <c r="C114" s="93"/>
      <c r="D114" s="93" t="str">
        <f t="shared" si="1"/>
        <v/>
      </c>
      <c r="E114" s="123"/>
      <c r="F114" s="123"/>
    </row>
    <row r="115" spans="1:6" ht="15.75" x14ac:dyDescent="0.25">
      <c r="A115" s="105"/>
      <c r="B115" s="105"/>
      <c r="C115" s="93"/>
      <c r="D115" s="93" t="str">
        <f t="shared" si="1"/>
        <v/>
      </c>
      <c r="E115" s="123"/>
      <c r="F115" s="123"/>
    </row>
    <row r="116" spans="1:6" ht="15.75" x14ac:dyDescent="0.25">
      <c r="A116" s="105"/>
      <c r="B116" s="105"/>
      <c r="C116" s="93"/>
      <c r="D116" s="93" t="str">
        <f t="shared" si="1"/>
        <v/>
      </c>
      <c r="E116" s="123"/>
      <c r="F116" s="123"/>
    </row>
    <row r="117" spans="1:6" ht="15.75" x14ac:dyDescent="0.25">
      <c r="A117" s="105"/>
      <c r="B117" s="105"/>
      <c r="C117" s="93"/>
      <c r="D117" s="93" t="str">
        <f t="shared" si="1"/>
        <v/>
      </c>
      <c r="E117" s="123"/>
      <c r="F117" s="123"/>
    </row>
    <row r="118" spans="1:6" ht="15.75" x14ac:dyDescent="0.25">
      <c r="A118" s="105"/>
      <c r="B118" s="105"/>
      <c r="C118" s="93"/>
      <c r="D118" s="93" t="str">
        <f t="shared" si="1"/>
        <v/>
      </c>
      <c r="E118" s="123"/>
      <c r="F118" s="123"/>
    </row>
    <row r="119" spans="1:6" ht="15.75" x14ac:dyDescent="0.25">
      <c r="A119" s="105"/>
      <c r="B119" s="105"/>
      <c r="C119" s="93"/>
      <c r="D119" s="93" t="str">
        <f t="shared" si="1"/>
        <v/>
      </c>
      <c r="E119" s="123"/>
      <c r="F119" s="123"/>
    </row>
    <row r="120" spans="1:6" ht="15.75" x14ac:dyDescent="0.25">
      <c r="A120" s="105"/>
      <c r="B120" s="105"/>
      <c r="C120" s="93"/>
      <c r="D120" s="93" t="str">
        <f t="shared" si="1"/>
        <v/>
      </c>
      <c r="E120" s="123"/>
      <c r="F120" s="123"/>
    </row>
    <row r="121" spans="1:6" ht="15.75" x14ac:dyDescent="0.25">
      <c r="A121" s="105"/>
      <c r="B121" s="105"/>
      <c r="C121" s="93"/>
      <c r="D121" s="93" t="str">
        <f t="shared" si="1"/>
        <v/>
      </c>
      <c r="E121" s="123"/>
      <c r="F121" s="123"/>
    </row>
    <row r="122" spans="1:6" ht="15.75" x14ac:dyDescent="0.25">
      <c r="A122" s="105"/>
      <c r="B122" s="105"/>
      <c r="C122" s="93"/>
      <c r="D122" s="93" t="str">
        <f t="shared" si="1"/>
        <v/>
      </c>
      <c r="E122" s="123"/>
      <c r="F122" s="123"/>
    </row>
    <row r="123" spans="1:6" ht="15.75" x14ac:dyDescent="0.25">
      <c r="A123" s="105"/>
      <c r="B123" s="105"/>
      <c r="C123" s="93"/>
      <c r="D123" s="93" t="str">
        <f t="shared" si="1"/>
        <v/>
      </c>
      <c r="E123" s="123"/>
      <c r="F123" s="123"/>
    </row>
    <row r="124" spans="1:6" ht="15.75" x14ac:dyDescent="0.25">
      <c r="A124" s="105"/>
      <c r="B124" s="105"/>
      <c r="C124" s="93"/>
      <c r="D124" s="93" t="str">
        <f t="shared" si="1"/>
        <v/>
      </c>
      <c r="E124" s="123"/>
      <c r="F124" s="123"/>
    </row>
    <row r="125" spans="1:6" ht="15.75" x14ac:dyDescent="0.25">
      <c r="A125" s="105"/>
      <c r="B125" s="105"/>
      <c r="C125" s="93"/>
      <c r="D125" s="93" t="str">
        <f t="shared" si="1"/>
        <v/>
      </c>
      <c r="E125" s="123"/>
      <c r="F125" s="123"/>
    </row>
    <row r="126" spans="1:6" ht="15.75" x14ac:dyDescent="0.25">
      <c r="A126" s="105"/>
      <c r="B126" s="105"/>
      <c r="C126" s="93"/>
      <c r="D126" s="93" t="str">
        <f t="shared" si="1"/>
        <v/>
      </c>
      <c r="E126" s="123"/>
      <c r="F126" s="123"/>
    </row>
    <row r="127" spans="1:6" ht="15.75" x14ac:dyDescent="0.25">
      <c r="A127" s="105"/>
      <c r="B127" s="105"/>
      <c r="C127" s="93"/>
      <c r="D127" s="93" t="str">
        <f t="shared" si="1"/>
        <v/>
      </c>
      <c r="E127" s="123"/>
      <c r="F127" s="123"/>
    </row>
    <row r="128" spans="1:6" ht="15.75" x14ac:dyDescent="0.25">
      <c r="A128" s="105"/>
      <c r="B128" s="105"/>
      <c r="C128" s="93"/>
      <c r="D128" s="93" t="str">
        <f t="shared" si="1"/>
        <v/>
      </c>
      <c r="E128" s="123"/>
      <c r="F128" s="123"/>
    </row>
    <row r="129" spans="1:6" ht="15.75" x14ac:dyDescent="0.25">
      <c r="A129" s="105"/>
      <c r="B129" s="105"/>
      <c r="C129" s="93"/>
      <c r="D129" s="93" t="str">
        <f t="shared" si="1"/>
        <v/>
      </c>
      <c r="E129" s="123"/>
      <c r="F129" s="123"/>
    </row>
    <row r="130" spans="1:6" ht="15.75" x14ac:dyDescent="0.25">
      <c r="A130" s="105"/>
      <c r="B130" s="105"/>
      <c r="C130" s="93"/>
      <c r="D130" s="93" t="str">
        <f t="shared" si="1"/>
        <v/>
      </c>
      <c r="E130" s="123"/>
      <c r="F130" s="123"/>
    </row>
    <row r="131" spans="1:6" ht="15.75" x14ac:dyDescent="0.25">
      <c r="A131" s="105"/>
      <c r="B131" s="105"/>
      <c r="C131" s="93"/>
      <c r="D131" s="93" t="str">
        <f t="shared" si="1"/>
        <v/>
      </c>
      <c r="E131" s="123"/>
      <c r="F131" s="123"/>
    </row>
    <row r="132" spans="1:6" ht="15.75" x14ac:dyDescent="0.25">
      <c r="A132" s="105"/>
      <c r="B132" s="105"/>
      <c r="C132" s="93"/>
      <c r="D132" s="93" t="str">
        <f t="shared" si="1"/>
        <v/>
      </c>
      <c r="E132" s="123"/>
      <c r="F132" s="123"/>
    </row>
    <row r="133" spans="1:6" ht="15.75" x14ac:dyDescent="0.25">
      <c r="A133" s="105"/>
      <c r="B133" s="105"/>
      <c r="C133" s="93"/>
      <c r="D133" s="93" t="str">
        <f t="shared" si="1"/>
        <v/>
      </c>
      <c r="E133" s="123"/>
      <c r="F133" s="123"/>
    </row>
    <row r="134" spans="1:6" ht="15.75" x14ac:dyDescent="0.25">
      <c r="A134" s="105"/>
      <c r="B134" s="105"/>
      <c r="C134" s="93"/>
      <c r="D134" s="93" t="str">
        <f t="shared" si="1"/>
        <v/>
      </c>
      <c r="E134" s="123"/>
      <c r="F134" s="123"/>
    </row>
    <row r="135" spans="1:6" ht="15.75" x14ac:dyDescent="0.25">
      <c r="A135" s="105"/>
      <c r="B135" s="105"/>
      <c r="C135" s="93"/>
      <c r="D135" s="93" t="str">
        <f t="shared" si="1"/>
        <v/>
      </c>
      <c r="E135" s="123"/>
      <c r="F135" s="123"/>
    </row>
    <row r="136" spans="1:6" ht="15.75" x14ac:dyDescent="0.25">
      <c r="A136" s="105"/>
      <c r="B136" s="105"/>
      <c r="C136" s="93"/>
      <c r="D136" s="93" t="str">
        <f t="shared" si="1"/>
        <v/>
      </c>
      <c r="E136" s="123"/>
      <c r="F136" s="123"/>
    </row>
    <row r="137" spans="1:6" ht="15.75" x14ac:dyDescent="0.25">
      <c r="A137" s="105"/>
      <c r="B137" s="105"/>
      <c r="C137" s="93"/>
      <c r="D137" s="93" t="str">
        <f t="shared" si="1"/>
        <v/>
      </c>
      <c r="E137" s="123"/>
      <c r="F137" s="123"/>
    </row>
    <row r="138" spans="1:6" ht="15.75" x14ac:dyDescent="0.25">
      <c r="A138" s="105"/>
      <c r="B138" s="105"/>
      <c r="C138" s="93"/>
      <c r="D138" s="93" t="str">
        <f t="shared" si="1"/>
        <v/>
      </c>
      <c r="E138" s="123"/>
      <c r="F138" s="123"/>
    </row>
    <row r="139" spans="1:6" ht="15.75" x14ac:dyDescent="0.25">
      <c r="A139" s="105"/>
      <c r="B139" s="105"/>
      <c r="C139" s="93"/>
      <c r="D139" s="93" t="str">
        <f t="shared" ref="D139:D202" si="2">IF(A139=0,"","MinMax")</f>
        <v/>
      </c>
      <c r="E139" s="123"/>
      <c r="F139" s="123"/>
    </row>
    <row r="140" spans="1:6" ht="15.75" x14ac:dyDescent="0.25">
      <c r="A140" s="105"/>
      <c r="B140" s="105"/>
      <c r="C140" s="93"/>
      <c r="D140" s="93" t="str">
        <f t="shared" si="2"/>
        <v/>
      </c>
      <c r="E140" s="123"/>
      <c r="F140" s="123"/>
    </row>
    <row r="141" spans="1:6" ht="15.75" x14ac:dyDescent="0.25">
      <c r="A141" s="105"/>
      <c r="B141" s="105"/>
      <c r="C141" s="93"/>
      <c r="D141" s="93" t="str">
        <f t="shared" si="2"/>
        <v/>
      </c>
      <c r="E141" s="123"/>
      <c r="F141" s="123"/>
    </row>
    <row r="142" spans="1:6" ht="15.75" x14ac:dyDescent="0.25">
      <c r="A142" s="105"/>
      <c r="B142" s="105"/>
      <c r="C142" s="93"/>
      <c r="D142" s="93" t="str">
        <f t="shared" si="2"/>
        <v/>
      </c>
      <c r="E142" s="123"/>
      <c r="F142" s="123"/>
    </row>
    <row r="143" spans="1:6" ht="15.75" x14ac:dyDescent="0.25">
      <c r="A143" s="105"/>
      <c r="B143" s="105"/>
      <c r="C143" s="93"/>
      <c r="D143" s="93" t="str">
        <f t="shared" si="2"/>
        <v/>
      </c>
      <c r="E143" s="123"/>
      <c r="F143" s="123"/>
    </row>
    <row r="144" spans="1:6" ht="15.75" x14ac:dyDescent="0.25">
      <c r="A144" s="105"/>
      <c r="B144" s="105"/>
      <c r="C144" s="93"/>
      <c r="D144" s="93" t="str">
        <f t="shared" si="2"/>
        <v/>
      </c>
      <c r="E144" s="123"/>
      <c r="F144" s="123"/>
    </row>
    <row r="145" spans="1:6" ht="15.75" x14ac:dyDescent="0.25">
      <c r="A145" s="105"/>
      <c r="B145" s="105"/>
      <c r="C145" s="93"/>
      <c r="D145" s="93" t="str">
        <f t="shared" si="2"/>
        <v/>
      </c>
      <c r="E145" s="123"/>
      <c r="F145" s="123"/>
    </row>
    <row r="146" spans="1:6" ht="15.75" x14ac:dyDescent="0.25">
      <c r="A146" s="105"/>
      <c r="B146" s="105"/>
      <c r="C146" s="93"/>
      <c r="D146" s="93" t="str">
        <f t="shared" si="2"/>
        <v/>
      </c>
      <c r="E146" s="123"/>
      <c r="F146" s="123"/>
    </row>
    <row r="147" spans="1:6" ht="15.75" x14ac:dyDescent="0.25">
      <c r="A147" s="105"/>
      <c r="B147" s="105"/>
      <c r="C147" s="93"/>
      <c r="D147" s="93" t="str">
        <f t="shared" si="2"/>
        <v/>
      </c>
      <c r="E147" s="123"/>
      <c r="F147" s="123"/>
    </row>
    <row r="148" spans="1:6" ht="15.75" x14ac:dyDescent="0.25">
      <c r="A148" s="105"/>
      <c r="B148" s="105"/>
      <c r="C148" s="93"/>
      <c r="D148" s="93" t="str">
        <f t="shared" si="2"/>
        <v/>
      </c>
      <c r="E148" s="123"/>
      <c r="F148" s="123"/>
    </row>
    <row r="149" spans="1:6" ht="15.75" x14ac:dyDescent="0.25">
      <c r="A149" s="105"/>
      <c r="B149" s="105"/>
      <c r="C149" s="93"/>
      <c r="D149" s="93" t="str">
        <f t="shared" si="2"/>
        <v/>
      </c>
      <c r="E149" s="123"/>
      <c r="F149" s="123"/>
    </row>
    <row r="150" spans="1:6" ht="15.75" x14ac:dyDescent="0.25">
      <c r="A150" s="105"/>
      <c r="B150" s="105"/>
      <c r="C150" s="93"/>
      <c r="D150" s="93" t="str">
        <f t="shared" si="2"/>
        <v/>
      </c>
      <c r="E150" s="123"/>
      <c r="F150" s="123"/>
    </row>
    <row r="151" spans="1:6" ht="15.75" x14ac:dyDescent="0.25">
      <c r="A151" s="105"/>
      <c r="B151" s="105"/>
      <c r="C151" s="93"/>
      <c r="D151" s="93" t="str">
        <f t="shared" si="2"/>
        <v/>
      </c>
      <c r="E151" s="123"/>
      <c r="F151" s="123"/>
    </row>
    <row r="152" spans="1:6" ht="15.75" x14ac:dyDescent="0.25">
      <c r="A152" s="105"/>
      <c r="B152" s="105"/>
      <c r="C152" s="93"/>
      <c r="D152" s="93" t="str">
        <f t="shared" si="2"/>
        <v/>
      </c>
      <c r="E152" s="123"/>
      <c r="F152" s="123"/>
    </row>
    <row r="153" spans="1:6" ht="15.75" x14ac:dyDescent="0.25">
      <c r="A153" s="105"/>
      <c r="B153" s="105"/>
      <c r="C153" s="93"/>
      <c r="D153" s="93" t="str">
        <f t="shared" si="2"/>
        <v/>
      </c>
      <c r="E153" s="123"/>
      <c r="F153" s="123"/>
    </row>
    <row r="154" spans="1:6" ht="15.75" x14ac:dyDescent="0.25">
      <c r="A154" s="105"/>
      <c r="B154" s="105"/>
      <c r="C154" s="93"/>
      <c r="D154" s="93" t="str">
        <f t="shared" si="2"/>
        <v/>
      </c>
      <c r="E154" s="123"/>
      <c r="F154" s="123"/>
    </row>
    <row r="155" spans="1:6" ht="15.75" x14ac:dyDescent="0.25">
      <c r="A155" s="105"/>
      <c r="B155" s="105"/>
      <c r="C155" s="93"/>
      <c r="D155" s="93" t="str">
        <f t="shared" si="2"/>
        <v/>
      </c>
      <c r="E155" s="123"/>
      <c r="F155" s="123"/>
    </row>
    <row r="156" spans="1:6" ht="15.75" x14ac:dyDescent="0.25">
      <c r="A156" s="105"/>
      <c r="B156" s="105"/>
      <c r="C156" s="93"/>
      <c r="D156" s="93" t="str">
        <f t="shared" si="2"/>
        <v/>
      </c>
      <c r="E156" s="123"/>
      <c r="F156" s="123"/>
    </row>
    <row r="157" spans="1:6" ht="15.75" x14ac:dyDescent="0.25">
      <c r="A157" s="105"/>
      <c r="B157" s="105"/>
      <c r="C157" s="93"/>
      <c r="D157" s="93" t="str">
        <f t="shared" si="2"/>
        <v/>
      </c>
      <c r="E157" s="123"/>
      <c r="F157" s="123"/>
    </row>
    <row r="158" spans="1:6" ht="15.75" x14ac:dyDescent="0.25">
      <c r="A158" s="105"/>
      <c r="B158" s="105"/>
      <c r="C158" s="93"/>
      <c r="D158" s="93" t="str">
        <f t="shared" si="2"/>
        <v/>
      </c>
      <c r="E158" s="123"/>
      <c r="F158" s="123"/>
    </row>
    <row r="159" spans="1:6" ht="15.75" x14ac:dyDescent="0.25">
      <c r="A159" s="105"/>
      <c r="B159" s="105"/>
      <c r="C159" s="93"/>
      <c r="D159" s="93" t="str">
        <f t="shared" si="2"/>
        <v/>
      </c>
      <c r="E159" s="123"/>
      <c r="F159" s="123"/>
    </row>
    <row r="160" spans="1:6" ht="15.75" x14ac:dyDescent="0.25">
      <c r="A160" s="105"/>
      <c r="B160" s="105"/>
      <c r="C160" s="93"/>
      <c r="D160" s="93" t="str">
        <f t="shared" si="2"/>
        <v/>
      </c>
      <c r="E160" s="123"/>
      <c r="F160" s="123"/>
    </row>
    <row r="161" spans="1:6" ht="15.75" x14ac:dyDescent="0.25">
      <c r="A161" s="105"/>
      <c r="B161" s="105"/>
      <c r="C161" s="93"/>
      <c r="D161" s="93" t="str">
        <f t="shared" si="2"/>
        <v/>
      </c>
      <c r="E161" s="123"/>
      <c r="F161" s="123"/>
    </row>
    <row r="162" spans="1:6" ht="15.75" x14ac:dyDescent="0.25">
      <c r="A162" s="105"/>
      <c r="B162" s="105"/>
      <c r="C162" s="93"/>
      <c r="D162" s="93" t="str">
        <f t="shared" si="2"/>
        <v/>
      </c>
      <c r="E162" s="123"/>
      <c r="F162" s="123"/>
    </row>
    <row r="163" spans="1:6" ht="15.75" x14ac:dyDescent="0.25">
      <c r="A163" s="105"/>
      <c r="B163" s="105"/>
      <c r="C163" s="93"/>
      <c r="D163" s="93" t="str">
        <f t="shared" si="2"/>
        <v/>
      </c>
      <c r="E163" s="123"/>
      <c r="F163" s="123"/>
    </row>
    <row r="164" spans="1:6" ht="15.75" x14ac:dyDescent="0.25">
      <c r="A164" s="105"/>
      <c r="B164" s="105"/>
      <c r="C164" s="93"/>
      <c r="D164" s="93" t="str">
        <f t="shared" si="2"/>
        <v/>
      </c>
      <c r="E164" s="123"/>
      <c r="F164" s="123"/>
    </row>
    <row r="165" spans="1:6" ht="15.75" x14ac:dyDescent="0.25">
      <c r="A165" s="105"/>
      <c r="B165" s="105"/>
      <c r="C165" s="93"/>
      <c r="D165" s="93" t="str">
        <f t="shared" si="2"/>
        <v/>
      </c>
      <c r="E165" s="123"/>
      <c r="F165" s="123"/>
    </row>
    <row r="166" spans="1:6" ht="15.75" x14ac:dyDescent="0.25">
      <c r="A166" s="105"/>
      <c r="B166" s="105"/>
      <c r="C166" s="93"/>
      <c r="D166" s="93" t="str">
        <f t="shared" si="2"/>
        <v/>
      </c>
      <c r="E166" s="123"/>
      <c r="F166" s="123"/>
    </row>
    <row r="167" spans="1:6" ht="15.75" x14ac:dyDescent="0.25">
      <c r="A167" s="105"/>
      <c r="B167" s="105"/>
      <c r="C167" s="93"/>
      <c r="D167" s="93" t="str">
        <f t="shared" si="2"/>
        <v/>
      </c>
      <c r="E167" s="123"/>
      <c r="F167" s="123"/>
    </row>
    <row r="168" spans="1:6" ht="15.75" x14ac:dyDescent="0.25">
      <c r="A168" s="105"/>
      <c r="B168" s="105"/>
      <c r="C168" s="93"/>
      <c r="D168" s="93" t="str">
        <f t="shared" si="2"/>
        <v/>
      </c>
      <c r="E168" s="123"/>
      <c r="F168" s="123"/>
    </row>
    <row r="169" spans="1:6" ht="15.75" x14ac:dyDescent="0.25">
      <c r="A169" s="105"/>
      <c r="B169" s="105"/>
      <c r="C169" s="93"/>
      <c r="D169" s="93" t="str">
        <f t="shared" si="2"/>
        <v/>
      </c>
      <c r="E169" s="123"/>
      <c r="F169" s="123"/>
    </row>
    <row r="170" spans="1:6" ht="15.75" x14ac:dyDescent="0.25">
      <c r="A170" s="105"/>
      <c r="B170" s="105"/>
      <c r="C170" s="93"/>
      <c r="D170" s="93" t="str">
        <f t="shared" si="2"/>
        <v/>
      </c>
      <c r="E170" s="123"/>
      <c r="F170" s="123"/>
    </row>
    <row r="171" spans="1:6" ht="15.75" x14ac:dyDescent="0.25">
      <c r="A171" s="105"/>
      <c r="B171" s="105"/>
      <c r="C171" s="93"/>
      <c r="D171" s="93" t="str">
        <f t="shared" si="2"/>
        <v/>
      </c>
      <c r="E171" s="123"/>
      <c r="F171" s="123"/>
    </row>
    <row r="172" spans="1:6" ht="15.75" x14ac:dyDescent="0.25">
      <c r="A172" s="105"/>
      <c r="B172" s="105"/>
      <c r="C172" s="93"/>
      <c r="D172" s="93" t="str">
        <f t="shared" si="2"/>
        <v/>
      </c>
      <c r="E172" s="123"/>
      <c r="F172" s="123"/>
    </row>
    <row r="173" spans="1:6" ht="15.75" x14ac:dyDescent="0.25">
      <c r="A173" s="105"/>
      <c r="B173" s="105"/>
      <c r="C173" s="93"/>
      <c r="D173" s="93" t="str">
        <f t="shared" si="2"/>
        <v/>
      </c>
      <c r="E173" s="123"/>
      <c r="F173" s="123"/>
    </row>
    <row r="174" spans="1:6" ht="15.75" x14ac:dyDescent="0.25">
      <c r="A174" s="105"/>
      <c r="B174" s="105"/>
      <c r="C174" s="93"/>
      <c r="D174" s="93" t="str">
        <f t="shared" si="2"/>
        <v/>
      </c>
      <c r="E174" s="123"/>
      <c r="F174" s="123"/>
    </row>
    <row r="175" spans="1:6" ht="15.75" x14ac:dyDescent="0.25">
      <c r="A175" s="105"/>
      <c r="B175" s="105"/>
      <c r="C175" s="93"/>
      <c r="D175" s="93" t="str">
        <f t="shared" si="2"/>
        <v/>
      </c>
      <c r="E175" s="123"/>
      <c r="F175" s="123"/>
    </row>
    <row r="176" spans="1:6" ht="15.75" x14ac:dyDescent="0.25">
      <c r="A176" s="105"/>
      <c r="B176" s="105"/>
      <c r="C176" s="93"/>
      <c r="D176" s="93" t="str">
        <f t="shared" si="2"/>
        <v/>
      </c>
      <c r="E176" s="123"/>
      <c r="F176" s="123"/>
    </row>
    <row r="177" spans="1:6" ht="15.75" x14ac:dyDescent="0.25">
      <c r="A177" s="105"/>
      <c r="B177" s="105"/>
      <c r="C177" s="93"/>
      <c r="D177" s="93" t="str">
        <f t="shared" si="2"/>
        <v/>
      </c>
      <c r="E177" s="123"/>
      <c r="F177" s="123"/>
    </row>
    <row r="178" spans="1:6" ht="15.75" x14ac:dyDescent="0.25">
      <c r="A178" s="105"/>
      <c r="B178" s="105"/>
      <c r="C178" s="93"/>
      <c r="D178" s="93" t="str">
        <f t="shared" si="2"/>
        <v/>
      </c>
      <c r="E178" s="123"/>
      <c r="F178" s="123"/>
    </row>
    <row r="179" spans="1:6" ht="15.75" x14ac:dyDescent="0.25">
      <c r="A179" s="105"/>
      <c r="B179" s="105"/>
      <c r="C179" s="93"/>
      <c r="D179" s="93" t="str">
        <f t="shared" si="2"/>
        <v/>
      </c>
      <c r="E179" s="123"/>
      <c r="F179" s="123"/>
    </row>
    <row r="180" spans="1:6" ht="15.75" x14ac:dyDescent="0.25">
      <c r="A180" s="105"/>
      <c r="B180" s="105"/>
      <c r="C180" s="93"/>
      <c r="D180" s="93" t="str">
        <f t="shared" si="2"/>
        <v/>
      </c>
      <c r="E180" s="123"/>
      <c r="F180" s="123"/>
    </row>
    <row r="181" spans="1:6" ht="15.75" x14ac:dyDescent="0.25">
      <c r="A181" s="105"/>
      <c r="B181" s="105"/>
      <c r="C181" s="93"/>
      <c r="D181" s="93" t="str">
        <f t="shared" si="2"/>
        <v/>
      </c>
      <c r="E181" s="123"/>
      <c r="F181" s="123"/>
    </row>
    <row r="182" spans="1:6" ht="15.75" x14ac:dyDescent="0.25">
      <c r="A182" s="105"/>
      <c r="B182" s="105"/>
      <c r="C182" s="93"/>
      <c r="D182" s="93" t="str">
        <f t="shared" si="2"/>
        <v/>
      </c>
      <c r="E182" s="123"/>
      <c r="F182" s="123"/>
    </row>
    <row r="183" spans="1:6" ht="15.75" x14ac:dyDescent="0.25">
      <c r="A183" s="105"/>
      <c r="B183" s="105"/>
      <c r="C183" s="93"/>
      <c r="D183" s="93" t="str">
        <f t="shared" si="2"/>
        <v/>
      </c>
      <c r="E183" s="123"/>
      <c r="F183" s="123"/>
    </row>
    <row r="184" spans="1:6" ht="15.75" x14ac:dyDescent="0.25">
      <c r="A184" s="105"/>
      <c r="B184" s="105"/>
      <c r="C184" s="93"/>
      <c r="D184" s="93" t="str">
        <f t="shared" si="2"/>
        <v/>
      </c>
      <c r="E184" s="123"/>
      <c r="F184" s="123"/>
    </row>
    <row r="185" spans="1:6" ht="15.75" x14ac:dyDescent="0.25">
      <c r="A185" s="105"/>
      <c r="B185" s="105"/>
      <c r="C185" s="93"/>
      <c r="D185" s="93" t="str">
        <f t="shared" si="2"/>
        <v/>
      </c>
      <c r="E185" s="123"/>
      <c r="F185" s="123"/>
    </row>
    <row r="186" spans="1:6" ht="15.75" x14ac:dyDescent="0.25">
      <c r="A186" s="105"/>
      <c r="B186" s="105"/>
      <c r="C186" s="93"/>
      <c r="D186" s="93" t="str">
        <f t="shared" si="2"/>
        <v/>
      </c>
      <c r="E186" s="123"/>
      <c r="F186" s="123"/>
    </row>
    <row r="187" spans="1:6" ht="15.75" x14ac:dyDescent="0.25">
      <c r="A187" s="105"/>
      <c r="B187" s="105"/>
      <c r="C187" s="93"/>
      <c r="D187" s="93" t="str">
        <f t="shared" si="2"/>
        <v/>
      </c>
      <c r="E187" s="123"/>
      <c r="F187" s="123"/>
    </row>
    <row r="188" spans="1:6" ht="15.75" x14ac:dyDescent="0.25">
      <c r="A188" s="105"/>
      <c r="B188" s="105"/>
      <c r="C188" s="93"/>
      <c r="D188" s="93" t="str">
        <f t="shared" si="2"/>
        <v/>
      </c>
      <c r="E188" s="123"/>
      <c r="F188" s="123"/>
    </row>
    <row r="189" spans="1:6" ht="15.75" x14ac:dyDescent="0.25">
      <c r="A189" s="105"/>
      <c r="B189" s="105"/>
      <c r="C189" s="93"/>
      <c r="D189" s="93" t="str">
        <f t="shared" si="2"/>
        <v/>
      </c>
      <c r="E189" s="123"/>
      <c r="F189" s="123"/>
    </row>
    <row r="190" spans="1:6" ht="15.75" x14ac:dyDescent="0.25">
      <c r="A190" s="105"/>
      <c r="B190" s="105"/>
      <c r="C190" s="93"/>
      <c r="D190" s="93" t="str">
        <f t="shared" si="2"/>
        <v/>
      </c>
      <c r="E190" s="123"/>
      <c r="F190" s="123"/>
    </row>
    <row r="191" spans="1:6" ht="15.75" x14ac:dyDescent="0.25">
      <c r="A191" s="105"/>
      <c r="B191" s="105"/>
      <c r="C191" s="93"/>
      <c r="D191" s="93" t="str">
        <f t="shared" si="2"/>
        <v/>
      </c>
      <c r="E191" s="123"/>
      <c r="F191" s="123"/>
    </row>
    <row r="192" spans="1:6" ht="15.75" x14ac:dyDescent="0.25">
      <c r="A192" s="105"/>
      <c r="B192" s="105"/>
      <c r="C192" s="93"/>
      <c r="D192" s="93" t="str">
        <f t="shared" si="2"/>
        <v/>
      </c>
      <c r="E192" s="123"/>
      <c r="F192" s="123"/>
    </row>
    <row r="193" spans="1:6" ht="15.75" x14ac:dyDescent="0.25">
      <c r="A193" s="105"/>
      <c r="B193" s="105"/>
      <c r="C193" s="93"/>
      <c r="D193" s="93" t="str">
        <f t="shared" si="2"/>
        <v/>
      </c>
      <c r="E193" s="123"/>
      <c r="F193" s="123"/>
    </row>
    <row r="194" spans="1:6" ht="15.75" x14ac:dyDescent="0.25">
      <c r="A194" s="105"/>
      <c r="B194" s="105"/>
      <c r="C194" s="93"/>
      <c r="D194" s="93" t="str">
        <f t="shared" si="2"/>
        <v/>
      </c>
      <c r="E194" s="123"/>
      <c r="F194" s="123"/>
    </row>
    <row r="195" spans="1:6" ht="15.75" x14ac:dyDescent="0.25">
      <c r="A195" s="105"/>
      <c r="B195" s="105"/>
      <c r="C195" s="93"/>
      <c r="D195" s="93" t="str">
        <f t="shared" si="2"/>
        <v/>
      </c>
      <c r="E195" s="123"/>
      <c r="F195" s="123"/>
    </row>
    <row r="196" spans="1:6" ht="15.75" x14ac:dyDescent="0.25">
      <c r="A196" s="105"/>
      <c r="B196" s="105"/>
      <c r="C196" s="93"/>
      <c r="D196" s="93" t="str">
        <f t="shared" si="2"/>
        <v/>
      </c>
      <c r="E196" s="123"/>
      <c r="F196" s="123"/>
    </row>
    <row r="197" spans="1:6" ht="15.75" x14ac:dyDescent="0.25">
      <c r="A197" s="105"/>
      <c r="B197" s="105"/>
      <c r="C197" s="93"/>
      <c r="D197" s="93" t="str">
        <f t="shared" si="2"/>
        <v/>
      </c>
      <c r="E197" s="123"/>
      <c r="F197" s="123"/>
    </row>
    <row r="198" spans="1:6" ht="15.75" x14ac:dyDescent="0.25">
      <c r="A198" s="105"/>
      <c r="B198" s="105"/>
      <c r="C198" s="93"/>
      <c r="D198" s="93" t="str">
        <f t="shared" si="2"/>
        <v/>
      </c>
      <c r="E198" s="123"/>
      <c r="F198" s="123"/>
    </row>
    <row r="199" spans="1:6" ht="15.75" x14ac:dyDescent="0.25">
      <c r="A199" s="105"/>
      <c r="B199" s="105"/>
      <c r="C199" s="93"/>
      <c r="D199" s="93" t="str">
        <f t="shared" si="2"/>
        <v/>
      </c>
      <c r="E199" s="123"/>
      <c r="F199" s="123"/>
    </row>
    <row r="200" spans="1:6" ht="15.75" x14ac:dyDescent="0.25">
      <c r="A200" s="105"/>
      <c r="B200" s="105"/>
      <c r="C200" s="93"/>
      <c r="D200" s="93" t="str">
        <f t="shared" si="2"/>
        <v/>
      </c>
      <c r="E200" s="123"/>
      <c r="F200" s="123"/>
    </row>
    <row r="201" spans="1:6" ht="15.75" x14ac:dyDescent="0.25">
      <c r="A201" s="105"/>
      <c r="B201" s="105"/>
      <c r="C201" s="93"/>
      <c r="D201" s="93" t="str">
        <f t="shared" si="2"/>
        <v/>
      </c>
      <c r="E201" s="123"/>
      <c r="F201" s="123"/>
    </row>
    <row r="202" spans="1:6" ht="15.75" x14ac:dyDescent="0.25">
      <c r="A202" s="105"/>
      <c r="B202" s="105"/>
      <c r="C202" s="93"/>
      <c r="D202" s="93" t="str">
        <f t="shared" si="2"/>
        <v/>
      </c>
      <c r="E202" s="123"/>
      <c r="F202" s="123"/>
    </row>
    <row r="203" spans="1:6" ht="15.75" x14ac:dyDescent="0.25">
      <c r="A203" s="105"/>
      <c r="B203" s="105"/>
      <c r="C203" s="93"/>
      <c r="D203" s="93" t="str">
        <f t="shared" ref="D203:D266" si="3">IF(A203=0,"","MinMax")</f>
        <v/>
      </c>
      <c r="E203" s="123"/>
      <c r="F203" s="123"/>
    </row>
    <row r="204" spans="1:6" ht="15.75" x14ac:dyDescent="0.25">
      <c r="A204" s="105"/>
      <c r="B204" s="105"/>
      <c r="C204" s="93"/>
      <c r="D204" s="93" t="str">
        <f t="shared" si="3"/>
        <v/>
      </c>
      <c r="E204" s="123"/>
      <c r="F204" s="123"/>
    </row>
    <row r="205" spans="1:6" ht="15.75" x14ac:dyDescent="0.25">
      <c r="A205" s="105"/>
      <c r="B205" s="105"/>
      <c r="C205" s="93"/>
      <c r="D205" s="93" t="str">
        <f t="shared" si="3"/>
        <v/>
      </c>
      <c r="E205" s="123"/>
      <c r="F205" s="123"/>
    </row>
    <row r="206" spans="1:6" ht="15.75" x14ac:dyDescent="0.25">
      <c r="A206" s="105"/>
      <c r="B206" s="105"/>
      <c r="C206" s="93"/>
      <c r="D206" s="93" t="str">
        <f t="shared" si="3"/>
        <v/>
      </c>
      <c r="E206" s="123"/>
      <c r="F206" s="123"/>
    </row>
    <row r="207" spans="1:6" ht="15.75" x14ac:dyDescent="0.25">
      <c r="A207" s="105"/>
      <c r="B207" s="105"/>
      <c r="C207" s="93"/>
      <c r="D207" s="93" t="str">
        <f t="shared" si="3"/>
        <v/>
      </c>
      <c r="E207" s="123"/>
      <c r="F207" s="123"/>
    </row>
    <row r="208" spans="1:6" ht="15.75" x14ac:dyDescent="0.25">
      <c r="A208" s="105"/>
      <c r="B208" s="105"/>
      <c r="C208" s="93"/>
      <c r="D208" s="93" t="str">
        <f t="shared" si="3"/>
        <v/>
      </c>
      <c r="E208" s="123"/>
      <c r="F208" s="123"/>
    </row>
    <row r="209" spans="1:6" ht="15.75" x14ac:dyDescent="0.25">
      <c r="A209" s="105"/>
      <c r="B209" s="105"/>
      <c r="C209" s="93"/>
      <c r="D209" s="93" t="str">
        <f t="shared" si="3"/>
        <v/>
      </c>
      <c r="E209" s="123"/>
      <c r="F209" s="123"/>
    </row>
    <row r="210" spans="1:6" ht="15.75" x14ac:dyDescent="0.25">
      <c r="A210" s="105"/>
      <c r="B210" s="105"/>
      <c r="C210" s="93"/>
      <c r="D210" s="93" t="str">
        <f t="shared" si="3"/>
        <v/>
      </c>
      <c r="E210" s="123"/>
      <c r="F210" s="123"/>
    </row>
    <row r="211" spans="1:6" ht="15.75" x14ac:dyDescent="0.25">
      <c r="A211" s="105"/>
      <c r="B211" s="105"/>
      <c r="C211" s="93"/>
      <c r="D211" s="93" t="str">
        <f t="shared" si="3"/>
        <v/>
      </c>
      <c r="E211" s="123"/>
      <c r="F211" s="123"/>
    </row>
    <row r="212" spans="1:6" ht="15.75" x14ac:dyDescent="0.25">
      <c r="A212" s="105"/>
      <c r="B212" s="105"/>
      <c r="C212" s="93"/>
      <c r="D212" s="93" t="str">
        <f t="shared" si="3"/>
        <v/>
      </c>
      <c r="E212" s="123"/>
      <c r="F212" s="123"/>
    </row>
    <row r="213" spans="1:6" ht="15.75" x14ac:dyDescent="0.25">
      <c r="A213" s="105"/>
      <c r="B213" s="105"/>
      <c r="C213" s="93"/>
      <c r="D213" s="93" t="str">
        <f t="shared" si="3"/>
        <v/>
      </c>
      <c r="E213" s="123"/>
      <c r="F213" s="123"/>
    </row>
    <row r="214" spans="1:6" ht="15.75" x14ac:dyDescent="0.25">
      <c r="A214" s="105"/>
      <c r="B214" s="105"/>
      <c r="C214" s="93"/>
      <c r="D214" s="93" t="str">
        <f t="shared" si="3"/>
        <v/>
      </c>
      <c r="E214" s="123"/>
      <c r="F214" s="123"/>
    </row>
    <row r="215" spans="1:6" ht="15.75" x14ac:dyDescent="0.25">
      <c r="A215" s="105"/>
      <c r="B215" s="105"/>
      <c r="C215" s="93"/>
      <c r="D215" s="93" t="str">
        <f t="shared" si="3"/>
        <v/>
      </c>
      <c r="E215" s="123"/>
      <c r="F215" s="123"/>
    </row>
    <row r="216" spans="1:6" ht="15.75" x14ac:dyDescent="0.25">
      <c r="A216" s="105"/>
      <c r="B216" s="105"/>
      <c r="C216" s="93"/>
      <c r="D216" s="93" t="str">
        <f t="shared" si="3"/>
        <v/>
      </c>
      <c r="E216" s="123"/>
      <c r="F216" s="123"/>
    </row>
    <row r="217" spans="1:6" ht="15.75" x14ac:dyDescent="0.25">
      <c r="A217" s="105"/>
      <c r="B217" s="105"/>
      <c r="C217" s="93"/>
      <c r="D217" s="93" t="str">
        <f t="shared" si="3"/>
        <v/>
      </c>
      <c r="E217" s="123"/>
      <c r="F217" s="123"/>
    </row>
    <row r="218" spans="1:6" ht="15.75" x14ac:dyDescent="0.25">
      <c r="A218" s="105"/>
      <c r="B218" s="105"/>
      <c r="C218" s="93"/>
      <c r="D218" s="93" t="str">
        <f t="shared" si="3"/>
        <v/>
      </c>
      <c r="E218" s="123"/>
      <c r="F218" s="123"/>
    </row>
    <row r="219" spans="1:6" ht="15.75" x14ac:dyDescent="0.25">
      <c r="A219" s="105"/>
      <c r="B219" s="105"/>
      <c r="C219" s="93"/>
      <c r="D219" s="93" t="str">
        <f t="shared" si="3"/>
        <v/>
      </c>
      <c r="E219" s="123"/>
      <c r="F219" s="123"/>
    </row>
    <row r="220" spans="1:6" ht="15.75" x14ac:dyDescent="0.25">
      <c r="A220" s="105"/>
      <c r="B220" s="105"/>
      <c r="C220" s="93"/>
      <c r="D220" s="93" t="str">
        <f t="shared" si="3"/>
        <v/>
      </c>
      <c r="E220" s="123"/>
      <c r="F220" s="123"/>
    </row>
    <row r="221" spans="1:6" ht="15.75" x14ac:dyDescent="0.25">
      <c r="A221" s="105"/>
      <c r="B221" s="105"/>
      <c r="C221" s="93"/>
      <c r="D221" s="93" t="str">
        <f t="shared" si="3"/>
        <v/>
      </c>
      <c r="E221" s="123"/>
      <c r="F221" s="123"/>
    </row>
    <row r="222" spans="1:6" ht="15.75" x14ac:dyDescent="0.25">
      <c r="A222" s="105"/>
      <c r="B222" s="105"/>
      <c r="C222" s="93"/>
      <c r="D222" s="93" t="str">
        <f t="shared" si="3"/>
        <v/>
      </c>
      <c r="E222" s="123"/>
      <c r="F222" s="123"/>
    </row>
    <row r="223" spans="1:6" ht="15.75" x14ac:dyDescent="0.25">
      <c r="A223" s="105"/>
      <c r="B223" s="105"/>
      <c r="C223" s="93"/>
      <c r="D223" s="93" t="str">
        <f t="shared" si="3"/>
        <v/>
      </c>
      <c r="E223" s="123"/>
      <c r="F223" s="123"/>
    </row>
    <row r="224" spans="1:6" ht="15.75" x14ac:dyDescent="0.25">
      <c r="A224" s="105"/>
      <c r="B224" s="105"/>
      <c r="C224" s="93"/>
      <c r="D224" s="93" t="str">
        <f t="shared" si="3"/>
        <v/>
      </c>
      <c r="E224" s="123"/>
      <c r="F224" s="123"/>
    </row>
    <row r="225" spans="1:6" ht="15.75" x14ac:dyDescent="0.25">
      <c r="A225" s="105"/>
      <c r="B225" s="105"/>
      <c r="C225" s="93"/>
      <c r="D225" s="93" t="str">
        <f t="shared" si="3"/>
        <v/>
      </c>
      <c r="E225" s="123"/>
      <c r="F225" s="123"/>
    </row>
    <row r="226" spans="1:6" ht="15.75" x14ac:dyDescent="0.25">
      <c r="A226" s="105"/>
      <c r="B226" s="105"/>
      <c r="C226" s="93"/>
      <c r="D226" s="93" t="str">
        <f t="shared" si="3"/>
        <v/>
      </c>
      <c r="E226" s="123"/>
      <c r="F226" s="123"/>
    </row>
    <row r="227" spans="1:6" ht="15.75" x14ac:dyDescent="0.25">
      <c r="A227" s="105"/>
      <c r="B227" s="105"/>
      <c r="C227" s="93"/>
      <c r="D227" s="93" t="str">
        <f t="shared" si="3"/>
        <v/>
      </c>
      <c r="E227" s="123"/>
      <c r="F227" s="123"/>
    </row>
    <row r="228" spans="1:6" ht="15.75" x14ac:dyDescent="0.25">
      <c r="A228" s="105"/>
      <c r="B228" s="105"/>
      <c r="C228" s="93"/>
      <c r="D228" s="93" t="str">
        <f t="shared" si="3"/>
        <v/>
      </c>
      <c r="E228" s="123"/>
      <c r="F228" s="123"/>
    </row>
    <row r="229" spans="1:6" ht="15.75" x14ac:dyDescent="0.25">
      <c r="A229" s="105"/>
      <c r="B229" s="105"/>
      <c r="C229" s="93"/>
      <c r="D229" s="93" t="str">
        <f t="shared" si="3"/>
        <v/>
      </c>
      <c r="E229" s="123"/>
      <c r="F229" s="123"/>
    </row>
    <row r="230" spans="1:6" ht="15.75" x14ac:dyDescent="0.25">
      <c r="A230" s="105"/>
      <c r="B230" s="105"/>
      <c r="C230" s="93"/>
      <c r="D230" s="93" t="str">
        <f t="shared" si="3"/>
        <v/>
      </c>
      <c r="E230" s="123"/>
      <c r="F230" s="123"/>
    </row>
    <row r="231" spans="1:6" ht="15.75" x14ac:dyDescent="0.25">
      <c r="A231" s="105"/>
      <c r="B231" s="105"/>
      <c r="C231" s="93"/>
      <c r="D231" s="93" t="str">
        <f t="shared" si="3"/>
        <v/>
      </c>
      <c r="E231" s="123"/>
      <c r="F231" s="123"/>
    </row>
    <row r="232" spans="1:6" ht="15.75" x14ac:dyDescent="0.25">
      <c r="A232" s="105"/>
      <c r="B232" s="105"/>
      <c r="C232" s="93"/>
      <c r="D232" s="93" t="str">
        <f t="shared" si="3"/>
        <v/>
      </c>
      <c r="E232" s="123"/>
      <c r="F232" s="123"/>
    </row>
    <row r="233" spans="1:6" ht="15.75" x14ac:dyDescent="0.25">
      <c r="A233" s="105"/>
      <c r="B233" s="105"/>
      <c r="C233" s="93"/>
      <c r="D233" s="93" t="str">
        <f t="shared" si="3"/>
        <v/>
      </c>
      <c r="E233" s="123"/>
      <c r="F233" s="123"/>
    </row>
    <row r="234" spans="1:6" ht="15.75" x14ac:dyDescent="0.25">
      <c r="A234" s="105"/>
      <c r="B234" s="105"/>
      <c r="C234" s="93"/>
      <c r="D234" s="93" t="str">
        <f t="shared" si="3"/>
        <v/>
      </c>
      <c r="E234" s="123"/>
      <c r="F234" s="123"/>
    </row>
    <row r="235" spans="1:6" ht="15.75" x14ac:dyDescent="0.25">
      <c r="A235" s="105"/>
      <c r="B235" s="105"/>
      <c r="C235" s="93"/>
      <c r="D235" s="93" t="str">
        <f t="shared" si="3"/>
        <v/>
      </c>
      <c r="E235" s="123"/>
      <c r="F235" s="123"/>
    </row>
    <row r="236" spans="1:6" ht="15.75" x14ac:dyDescent="0.25">
      <c r="A236" s="105"/>
      <c r="B236" s="105"/>
      <c r="C236" s="93"/>
      <c r="D236" s="93" t="str">
        <f t="shared" si="3"/>
        <v/>
      </c>
      <c r="E236" s="123"/>
      <c r="F236" s="123"/>
    </row>
    <row r="237" spans="1:6" ht="15.75" x14ac:dyDescent="0.25">
      <c r="A237" s="105"/>
      <c r="B237" s="105"/>
      <c r="C237" s="93"/>
      <c r="D237" s="93" t="str">
        <f t="shared" si="3"/>
        <v/>
      </c>
      <c r="E237" s="123"/>
      <c r="F237" s="123"/>
    </row>
    <row r="238" spans="1:6" ht="15.75" x14ac:dyDescent="0.25">
      <c r="A238" s="105"/>
      <c r="B238" s="105"/>
      <c r="C238" s="93"/>
      <c r="D238" s="93" t="str">
        <f t="shared" si="3"/>
        <v/>
      </c>
      <c r="E238" s="123"/>
      <c r="F238" s="123"/>
    </row>
    <row r="239" spans="1:6" ht="15.75" x14ac:dyDescent="0.25">
      <c r="A239" s="105"/>
      <c r="B239" s="105"/>
      <c r="C239" s="93"/>
      <c r="D239" s="93" t="str">
        <f t="shared" si="3"/>
        <v/>
      </c>
      <c r="E239" s="123"/>
      <c r="F239" s="123"/>
    </row>
    <row r="240" spans="1:6" ht="15.75" x14ac:dyDescent="0.25">
      <c r="A240" s="105"/>
      <c r="B240" s="105"/>
      <c r="C240" s="93"/>
      <c r="D240" s="93" t="str">
        <f t="shared" si="3"/>
        <v/>
      </c>
      <c r="E240" s="123"/>
      <c r="F240" s="123"/>
    </row>
    <row r="241" spans="1:6" ht="15.75" x14ac:dyDescent="0.25">
      <c r="A241" s="105"/>
      <c r="B241" s="105"/>
      <c r="C241" s="93"/>
      <c r="D241" s="93" t="str">
        <f t="shared" si="3"/>
        <v/>
      </c>
      <c r="E241" s="123"/>
      <c r="F241" s="123"/>
    </row>
    <row r="242" spans="1:6" ht="15.75" x14ac:dyDescent="0.25">
      <c r="A242" s="105"/>
      <c r="B242" s="105"/>
      <c r="C242" s="93"/>
      <c r="D242" s="93" t="str">
        <f t="shared" si="3"/>
        <v/>
      </c>
      <c r="E242" s="123"/>
      <c r="F242" s="123"/>
    </row>
    <row r="243" spans="1:6" ht="15.75" x14ac:dyDescent="0.25">
      <c r="A243" s="105"/>
      <c r="B243" s="105"/>
      <c r="C243" s="93"/>
      <c r="D243" s="93" t="str">
        <f t="shared" si="3"/>
        <v/>
      </c>
      <c r="E243" s="123"/>
      <c r="F243" s="123"/>
    </row>
    <row r="244" spans="1:6" ht="15.75" x14ac:dyDescent="0.25">
      <c r="A244" s="105"/>
      <c r="B244" s="105"/>
      <c r="C244" s="93"/>
      <c r="D244" s="93" t="str">
        <f t="shared" si="3"/>
        <v/>
      </c>
      <c r="E244" s="123"/>
      <c r="F244" s="123"/>
    </row>
    <row r="245" spans="1:6" ht="15.75" x14ac:dyDescent="0.25">
      <c r="A245" s="105"/>
      <c r="B245" s="105"/>
      <c r="C245" s="93"/>
      <c r="D245" s="93" t="str">
        <f t="shared" si="3"/>
        <v/>
      </c>
      <c r="E245" s="123"/>
      <c r="F245" s="123"/>
    </row>
    <row r="246" spans="1:6" ht="15.75" x14ac:dyDescent="0.25">
      <c r="A246" s="105"/>
      <c r="B246" s="105"/>
      <c r="C246" s="93"/>
      <c r="D246" s="93" t="str">
        <f t="shared" si="3"/>
        <v/>
      </c>
      <c r="E246" s="123"/>
      <c r="F246" s="123"/>
    </row>
    <row r="247" spans="1:6" ht="15.75" x14ac:dyDescent="0.25">
      <c r="A247" s="105"/>
      <c r="B247" s="105"/>
      <c r="C247" s="93"/>
      <c r="D247" s="93" t="str">
        <f t="shared" si="3"/>
        <v/>
      </c>
      <c r="E247" s="123"/>
      <c r="F247" s="123"/>
    </row>
    <row r="248" spans="1:6" ht="15.75" x14ac:dyDescent="0.25">
      <c r="A248" s="105"/>
      <c r="B248" s="105"/>
      <c r="C248" s="93"/>
      <c r="D248" s="93" t="str">
        <f t="shared" si="3"/>
        <v/>
      </c>
      <c r="E248" s="123"/>
      <c r="F248" s="123"/>
    </row>
    <row r="249" spans="1:6" ht="15.75" x14ac:dyDescent="0.25">
      <c r="A249" s="105"/>
      <c r="B249" s="105"/>
      <c r="C249" s="93"/>
      <c r="D249" s="93" t="str">
        <f t="shared" si="3"/>
        <v/>
      </c>
      <c r="E249" s="123"/>
      <c r="F249" s="123"/>
    </row>
    <row r="250" spans="1:6" ht="15.75" x14ac:dyDescent="0.25">
      <c r="A250" s="105"/>
      <c r="B250" s="105"/>
      <c r="C250" s="93"/>
      <c r="D250" s="93" t="str">
        <f t="shared" si="3"/>
        <v/>
      </c>
      <c r="E250" s="123"/>
      <c r="F250" s="123"/>
    </row>
    <row r="251" spans="1:6" ht="15.75" x14ac:dyDescent="0.25">
      <c r="A251" s="105"/>
      <c r="B251" s="105"/>
      <c r="C251" s="93"/>
      <c r="D251" s="93" t="str">
        <f t="shared" si="3"/>
        <v/>
      </c>
      <c r="E251" s="123"/>
      <c r="F251" s="123"/>
    </row>
    <row r="252" spans="1:6" ht="15.75" x14ac:dyDescent="0.25">
      <c r="A252" s="105"/>
      <c r="B252" s="105"/>
      <c r="C252" s="93"/>
      <c r="D252" s="93" t="str">
        <f t="shared" si="3"/>
        <v/>
      </c>
      <c r="E252" s="123"/>
      <c r="F252" s="123"/>
    </row>
    <row r="253" spans="1:6" ht="15.75" x14ac:dyDescent="0.25">
      <c r="A253" s="105"/>
      <c r="B253" s="105"/>
      <c r="C253" s="93"/>
      <c r="D253" s="93" t="str">
        <f t="shared" si="3"/>
        <v/>
      </c>
      <c r="E253" s="123"/>
      <c r="F253" s="123"/>
    </row>
    <row r="254" spans="1:6" ht="15.75" x14ac:dyDescent="0.25">
      <c r="A254" s="105"/>
      <c r="B254" s="105"/>
      <c r="C254" s="93"/>
      <c r="D254" s="93" t="str">
        <f t="shared" si="3"/>
        <v/>
      </c>
      <c r="E254" s="123"/>
      <c r="F254" s="123"/>
    </row>
    <row r="255" spans="1:6" ht="15.75" x14ac:dyDescent="0.25">
      <c r="A255" s="105"/>
      <c r="B255" s="105"/>
      <c r="C255" s="93"/>
      <c r="D255" s="93" t="str">
        <f t="shared" si="3"/>
        <v/>
      </c>
      <c r="E255" s="123"/>
      <c r="F255" s="123"/>
    </row>
    <row r="256" spans="1:6" ht="15.75" x14ac:dyDescent="0.25">
      <c r="A256" s="105"/>
      <c r="B256" s="105"/>
      <c r="C256" s="93"/>
      <c r="D256" s="93" t="str">
        <f t="shared" si="3"/>
        <v/>
      </c>
      <c r="E256" s="123"/>
      <c r="F256" s="123"/>
    </row>
    <row r="257" spans="1:6" ht="15.75" x14ac:dyDescent="0.25">
      <c r="A257" s="105"/>
      <c r="B257" s="105"/>
      <c r="C257" s="93"/>
      <c r="D257" s="93" t="str">
        <f t="shared" si="3"/>
        <v/>
      </c>
      <c r="E257" s="123"/>
      <c r="F257" s="123"/>
    </row>
    <row r="258" spans="1:6" ht="15.75" x14ac:dyDescent="0.25">
      <c r="A258" s="105"/>
      <c r="B258" s="105"/>
      <c r="C258" s="93"/>
      <c r="D258" s="93" t="str">
        <f t="shared" si="3"/>
        <v/>
      </c>
      <c r="E258" s="123"/>
      <c r="F258" s="123"/>
    </row>
    <row r="259" spans="1:6" ht="15.75" x14ac:dyDescent="0.25">
      <c r="A259" s="105"/>
      <c r="B259" s="105"/>
      <c r="C259" s="93"/>
      <c r="D259" s="93" t="str">
        <f t="shared" si="3"/>
        <v/>
      </c>
      <c r="E259" s="123"/>
      <c r="F259" s="123"/>
    </row>
    <row r="260" spans="1:6" ht="15.75" x14ac:dyDescent="0.25">
      <c r="A260" s="105"/>
      <c r="B260" s="105"/>
      <c r="C260" s="93"/>
      <c r="D260" s="93" t="str">
        <f t="shared" si="3"/>
        <v/>
      </c>
      <c r="E260" s="123"/>
      <c r="F260" s="123"/>
    </row>
    <row r="261" spans="1:6" ht="15.75" x14ac:dyDescent="0.25">
      <c r="A261" s="105"/>
      <c r="B261" s="105"/>
      <c r="C261" s="93"/>
      <c r="D261" s="93" t="str">
        <f t="shared" si="3"/>
        <v/>
      </c>
      <c r="E261" s="123"/>
      <c r="F261" s="123"/>
    </row>
    <row r="262" spans="1:6" ht="15.75" x14ac:dyDescent="0.25">
      <c r="A262" s="105"/>
      <c r="B262" s="105"/>
      <c r="C262" s="93"/>
      <c r="D262" s="93" t="str">
        <f t="shared" si="3"/>
        <v/>
      </c>
      <c r="E262" s="123"/>
      <c r="F262" s="123"/>
    </row>
    <row r="263" spans="1:6" ht="15.75" x14ac:dyDescent="0.25">
      <c r="A263" s="105"/>
      <c r="B263" s="105"/>
      <c r="C263" s="93"/>
      <c r="D263" s="93" t="str">
        <f t="shared" si="3"/>
        <v/>
      </c>
      <c r="E263" s="123"/>
      <c r="F263" s="123"/>
    </row>
    <row r="264" spans="1:6" ht="15.75" x14ac:dyDescent="0.25">
      <c r="A264" s="105"/>
      <c r="B264" s="105"/>
      <c r="C264" s="93"/>
      <c r="D264" s="93" t="str">
        <f t="shared" si="3"/>
        <v/>
      </c>
      <c r="E264" s="123"/>
      <c r="F264" s="123"/>
    </row>
    <row r="265" spans="1:6" ht="15.75" x14ac:dyDescent="0.25">
      <c r="A265" s="105"/>
      <c r="B265" s="105"/>
      <c r="C265" s="93"/>
      <c r="D265" s="93" t="str">
        <f t="shared" si="3"/>
        <v/>
      </c>
      <c r="E265" s="123"/>
      <c r="F265" s="123"/>
    </row>
    <row r="266" spans="1:6" ht="15.75" x14ac:dyDescent="0.25">
      <c r="A266" s="105"/>
      <c r="B266" s="105"/>
      <c r="C266" s="93"/>
      <c r="D266" s="93" t="str">
        <f t="shared" si="3"/>
        <v/>
      </c>
      <c r="E266" s="123"/>
      <c r="F266" s="123"/>
    </row>
    <row r="267" spans="1:6" ht="15.75" x14ac:dyDescent="0.25">
      <c r="A267" s="105"/>
      <c r="B267" s="105"/>
      <c r="C267" s="93"/>
      <c r="D267" s="93" t="str">
        <f t="shared" ref="D267:D330" si="4">IF(A267=0,"","MinMax")</f>
        <v/>
      </c>
      <c r="E267" s="123"/>
      <c r="F267" s="123"/>
    </row>
    <row r="268" spans="1:6" ht="15.75" x14ac:dyDescent="0.25">
      <c r="A268" s="105"/>
      <c r="B268" s="105"/>
      <c r="C268" s="93"/>
      <c r="D268" s="93" t="str">
        <f t="shared" si="4"/>
        <v/>
      </c>
      <c r="E268" s="123"/>
      <c r="F268" s="123"/>
    </row>
    <row r="269" spans="1:6" ht="15.75" x14ac:dyDescent="0.25">
      <c r="A269" s="105"/>
      <c r="B269" s="105"/>
      <c r="C269" s="93"/>
      <c r="D269" s="93" t="str">
        <f t="shared" si="4"/>
        <v/>
      </c>
      <c r="E269" s="123"/>
      <c r="F269" s="123"/>
    </row>
    <row r="270" spans="1:6" ht="15.75" x14ac:dyDescent="0.25">
      <c r="A270" s="105"/>
      <c r="B270" s="105"/>
      <c r="C270" s="93"/>
      <c r="D270" s="93" t="str">
        <f t="shared" si="4"/>
        <v/>
      </c>
      <c r="E270" s="123"/>
      <c r="F270" s="123"/>
    </row>
    <row r="271" spans="1:6" ht="15.75" x14ac:dyDescent="0.25">
      <c r="A271" s="105"/>
      <c r="B271" s="105"/>
      <c r="C271" s="93"/>
      <c r="D271" s="93" t="str">
        <f t="shared" si="4"/>
        <v/>
      </c>
      <c r="E271" s="123"/>
      <c r="F271" s="123"/>
    </row>
    <row r="272" spans="1:6" ht="15.75" x14ac:dyDescent="0.25">
      <c r="A272" s="105"/>
      <c r="B272" s="105"/>
      <c r="C272" s="93"/>
      <c r="D272" s="93" t="str">
        <f t="shared" si="4"/>
        <v/>
      </c>
      <c r="E272" s="123"/>
      <c r="F272" s="123"/>
    </row>
    <row r="273" spans="1:6" ht="15.75" x14ac:dyDescent="0.25">
      <c r="A273" s="105"/>
      <c r="B273" s="105"/>
      <c r="C273" s="93"/>
      <c r="D273" s="93" t="str">
        <f t="shared" si="4"/>
        <v/>
      </c>
      <c r="E273" s="123"/>
      <c r="F273" s="123"/>
    </row>
    <row r="274" spans="1:6" ht="15.75" x14ac:dyDescent="0.25">
      <c r="A274" s="105"/>
      <c r="B274" s="105"/>
      <c r="C274" s="93"/>
      <c r="D274" s="93" t="str">
        <f t="shared" si="4"/>
        <v/>
      </c>
      <c r="E274" s="123"/>
      <c r="F274" s="123"/>
    </row>
    <row r="275" spans="1:6" ht="15.75" x14ac:dyDescent="0.25">
      <c r="A275" s="105"/>
      <c r="B275" s="105"/>
      <c r="C275" s="93"/>
      <c r="D275" s="93" t="str">
        <f t="shared" si="4"/>
        <v/>
      </c>
      <c r="E275" s="123"/>
      <c r="F275" s="123"/>
    </row>
    <row r="276" spans="1:6" ht="15.75" x14ac:dyDescent="0.25">
      <c r="A276" s="105"/>
      <c r="B276" s="105"/>
      <c r="C276" s="93"/>
      <c r="D276" s="93" t="str">
        <f t="shared" si="4"/>
        <v/>
      </c>
      <c r="E276" s="123"/>
      <c r="F276" s="123"/>
    </row>
    <row r="277" spans="1:6" ht="15.75" x14ac:dyDescent="0.25">
      <c r="A277" s="105"/>
      <c r="B277" s="105"/>
      <c r="C277" s="93"/>
      <c r="D277" s="93" t="str">
        <f t="shared" si="4"/>
        <v/>
      </c>
      <c r="E277" s="123"/>
      <c r="F277" s="123"/>
    </row>
    <row r="278" spans="1:6" ht="15.75" x14ac:dyDescent="0.25">
      <c r="A278" s="105"/>
      <c r="B278" s="105"/>
      <c r="C278" s="93"/>
      <c r="D278" s="93" t="str">
        <f t="shared" si="4"/>
        <v/>
      </c>
      <c r="E278" s="123"/>
      <c r="F278" s="123"/>
    </row>
    <row r="279" spans="1:6" ht="15.75" x14ac:dyDescent="0.25">
      <c r="A279" s="105"/>
      <c r="B279" s="105"/>
      <c r="C279" s="93"/>
      <c r="D279" s="93" t="str">
        <f t="shared" si="4"/>
        <v/>
      </c>
      <c r="E279" s="123"/>
      <c r="F279" s="123"/>
    </row>
    <row r="280" spans="1:6" ht="15.75" x14ac:dyDescent="0.25">
      <c r="A280" s="105"/>
      <c r="B280" s="105"/>
      <c r="C280" s="93"/>
      <c r="D280" s="93" t="str">
        <f t="shared" si="4"/>
        <v/>
      </c>
      <c r="E280" s="123"/>
      <c r="F280" s="123"/>
    </row>
    <row r="281" spans="1:6" ht="15.75" x14ac:dyDescent="0.25">
      <c r="A281" s="105"/>
      <c r="B281" s="105"/>
      <c r="C281" s="93"/>
      <c r="D281" s="93" t="str">
        <f t="shared" si="4"/>
        <v/>
      </c>
      <c r="E281" s="123"/>
      <c r="F281" s="123"/>
    </row>
    <row r="282" spans="1:6" ht="15.75" x14ac:dyDescent="0.25">
      <c r="A282" s="105"/>
      <c r="B282" s="105"/>
      <c r="C282" s="93"/>
      <c r="D282" s="93" t="str">
        <f t="shared" si="4"/>
        <v/>
      </c>
      <c r="E282" s="123"/>
      <c r="F282" s="123"/>
    </row>
    <row r="283" spans="1:6" ht="15.75" x14ac:dyDescent="0.25">
      <c r="A283" s="105"/>
      <c r="B283" s="105"/>
      <c r="C283" s="93"/>
      <c r="D283" s="93" t="str">
        <f t="shared" si="4"/>
        <v/>
      </c>
      <c r="E283" s="123"/>
      <c r="F283" s="123"/>
    </row>
    <row r="284" spans="1:6" ht="15.75" x14ac:dyDescent="0.25">
      <c r="A284" s="105"/>
      <c r="B284" s="105"/>
      <c r="C284" s="93"/>
      <c r="D284" s="93" t="str">
        <f t="shared" si="4"/>
        <v/>
      </c>
      <c r="E284" s="123"/>
      <c r="F284" s="123"/>
    </row>
    <row r="285" spans="1:6" ht="15.75" x14ac:dyDescent="0.25">
      <c r="A285" s="105"/>
      <c r="B285" s="105"/>
      <c r="C285" s="93"/>
      <c r="D285" s="93" t="str">
        <f t="shared" si="4"/>
        <v/>
      </c>
      <c r="E285" s="123"/>
      <c r="F285" s="123"/>
    </row>
    <row r="286" spans="1:6" ht="15.75" x14ac:dyDescent="0.25">
      <c r="A286" s="105"/>
      <c r="B286" s="105"/>
      <c r="C286" s="93"/>
      <c r="D286" s="93" t="str">
        <f t="shared" si="4"/>
        <v/>
      </c>
      <c r="E286" s="123"/>
      <c r="F286" s="123"/>
    </row>
    <row r="287" spans="1:6" ht="15.75" x14ac:dyDescent="0.25">
      <c r="A287" s="105"/>
      <c r="B287" s="105"/>
      <c r="C287" s="93"/>
      <c r="D287" s="93" t="str">
        <f t="shared" si="4"/>
        <v/>
      </c>
      <c r="E287" s="123"/>
      <c r="F287" s="123"/>
    </row>
    <row r="288" spans="1:6" ht="15.75" x14ac:dyDescent="0.25">
      <c r="A288" s="105"/>
      <c r="B288" s="105"/>
      <c r="C288" s="93"/>
      <c r="D288" s="93" t="str">
        <f t="shared" si="4"/>
        <v/>
      </c>
      <c r="E288" s="123"/>
      <c r="F288" s="123"/>
    </row>
    <row r="289" spans="1:6" ht="15.75" x14ac:dyDescent="0.25">
      <c r="A289" s="105"/>
      <c r="B289" s="105"/>
      <c r="C289" s="93"/>
      <c r="D289" s="93" t="str">
        <f t="shared" si="4"/>
        <v/>
      </c>
      <c r="E289" s="123"/>
      <c r="F289" s="123"/>
    </row>
    <row r="290" spans="1:6" ht="15.75" x14ac:dyDescent="0.25">
      <c r="A290" s="105"/>
      <c r="B290" s="105"/>
      <c r="C290" s="93"/>
      <c r="D290" s="93" t="str">
        <f t="shared" si="4"/>
        <v/>
      </c>
      <c r="E290" s="123"/>
      <c r="F290" s="123"/>
    </row>
    <row r="291" spans="1:6" ht="15.75" x14ac:dyDescent="0.25">
      <c r="A291" s="105"/>
      <c r="B291" s="105"/>
      <c r="C291" s="93"/>
      <c r="D291" s="93" t="str">
        <f t="shared" si="4"/>
        <v/>
      </c>
      <c r="E291" s="123"/>
      <c r="F291" s="123"/>
    </row>
    <row r="292" spans="1:6" ht="15.75" x14ac:dyDescent="0.25">
      <c r="A292" s="105"/>
      <c r="B292" s="105"/>
      <c r="C292" s="93"/>
      <c r="D292" s="93" t="str">
        <f t="shared" si="4"/>
        <v/>
      </c>
      <c r="E292" s="123"/>
      <c r="F292" s="123"/>
    </row>
    <row r="293" spans="1:6" ht="15.75" x14ac:dyDescent="0.25">
      <c r="A293" s="105"/>
      <c r="B293" s="105"/>
      <c r="C293" s="93"/>
      <c r="D293" s="93" t="str">
        <f t="shared" si="4"/>
        <v/>
      </c>
      <c r="E293" s="123"/>
      <c r="F293" s="123"/>
    </row>
    <row r="294" spans="1:6" ht="15.75" x14ac:dyDescent="0.25">
      <c r="A294" s="105"/>
      <c r="B294" s="105"/>
      <c r="C294" s="93"/>
      <c r="D294" s="93" t="str">
        <f t="shared" si="4"/>
        <v/>
      </c>
      <c r="E294" s="123"/>
      <c r="F294" s="123"/>
    </row>
    <row r="295" spans="1:6" ht="15.75" x14ac:dyDescent="0.25">
      <c r="A295" s="105"/>
      <c r="B295" s="105"/>
      <c r="C295" s="93"/>
      <c r="D295" s="93" t="str">
        <f t="shared" si="4"/>
        <v/>
      </c>
      <c r="E295" s="123"/>
      <c r="F295" s="123"/>
    </row>
    <row r="296" spans="1:6" ht="15.75" x14ac:dyDescent="0.25">
      <c r="A296" s="105"/>
      <c r="B296" s="105"/>
      <c r="C296" s="93"/>
      <c r="D296" s="93" t="str">
        <f t="shared" si="4"/>
        <v/>
      </c>
      <c r="E296" s="123"/>
      <c r="F296" s="123"/>
    </row>
    <row r="297" spans="1:6" ht="15.75" x14ac:dyDescent="0.25">
      <c r="A297" s="105"/>
      <c r="B297" s="105"/>
      <c r="C297" s="93"/>
      <c r="D297" s="93" t="str">
        <f t="shared" si="4"/>
        <v/>
      </c>
      <c r="E297" s="123"/>
      <c r="F297" s="123"/>
    </row>
    <row r="298" spans="1:6" ht="15.75" x14ac:dyDescent="0.25">
      <c r="A298" s="105"/>
      <c r="B298" s="105"/>
      <c r="C298" s="93"/>
      <c r="D298" s="93" t="str">
        <f t="shared" si="4"/>
        <v/>
      </c>
      <c r="E298" s="123"/>
      <c r="F298" s="123"/>
    </row>
    <row r="299" spans="1:6" ht="15.75" x14ac:dyDescent="0.25">
      <c r="A299" s="105"/>
      <c r="B299" s="105"/>
      <c r="C299" s="93"/>
      <c r="D299" s="93" t="str">
        <f t="shared" si="4"/>
        <v/>
      </c>
      <c r="E299" s="123"/>
      <c r="F299" s="123"/>
    </row>
    <row r="300" spans="1:6" ht="15.75" x14ac:dyDescent="0.25">
      <c r="A300" s="105"/>
      <c r="B300" s="105"/>
      <c r="C300" s="93"/>
      <c r="D300" s="93" t="str">
        <f t="shared" si="4"/>
        <v/>
      </c>
      <c r="E300" s="123"/>
      <c r="F300" s="123"/>
    </row>
    <row r="301" spans="1:6" ht="15.75" x14ac:dyDescent="0.25">
      <c r="A301" s="105"/>
      <c r="B301" s="105"/>
      <c r="C301" s="93"/>
      <c r="D301" s="93" t="str">
        <f t="shared" si="4"/>
        <v/>
      </c>
      <c r="E301" s="123"/>
      <c r="F301" s="123"/>
    </row>
    <row r="302" spans="1:6" ht="15.75" x14ac:dyDescent="0.25">
      <c r="A302" s="105"/>
      <c r="B302" s="105"/>
      <c r="C302" s="93"/>
      <c r="D302" s="93" t="str">
        <f t="shared" si="4"/>
        <v/>
      </c>
      <c r="E302" s="123"/>
      <c r="F302" s="123"/>
    </row>
    <row r="303" spans="1:6" ht="15.75" x14ac:dyDescent="0.25">
      <c r="A303" s="105"/>
      <c r="B303" s="105"/>
      <c r="C303" s="93"/>
      <c r="D303" s="93" t="str">
        <f t="shared" si="4"/>
        <v/>
      </c>
      <c r="E303" s="123"/>
      <c r="F303" s="123"/>
    </row>
    <row r="304" spans="1:6" ht="15.75" x14ac:dyDescent="0.25">
      <c r="A304" s="105"/>
      <c r="B304" s="105"/>
      <c r="C304" s="93"/>
      <c r="D304" s="93" t="str">
        <f t="shared" si="4"/>
        <v/>
      </c>
      <c r="E304" s="123"/>
      <c r="F304" s="123"/>
    </row>
    <row r="305" spans="1:6" ht="15.75" x14ac:dyDescent="0.25">
      <c r="A305" s="105"/>
      <c r="B305" s="105"/>
      <c r="C305" s="93"/>
      <c r="D305" s="93" t="str">
        <f t="shared" si="4"/>
        <v/>
      </c>
      <c r="E305" s="123"/>
      <c r="F305" s="123"/>
    </row>
    <row r="306" spans="1:6" ht="15.75" x14ac:dyDescent="0.25">
      <c r="A306" s="105"/>
      <c r="B306" s="105"/>
      <c r="C306" s="93"/>
      <c r="D306" s="93" t="str">
        <f t="shared" si="4"/>
        <v/>
      </c>
      <c r="E306" s="123"/>
      <c r="F306" s="123"/>
    </row>
    <row r="307" spans="1:6" ht="15.75" x14ac:dyDescent="0.25">
      <c r="A307" s="105"/>
      <c r="B307" s="105"/>
      <c r="C307" s="93"/>
      <c r="D307" s="93" t="str">
        <f t="shared" si="4"/>
        <v/>
      </c>
      <c r="E307" s="123"/>
      <c r="F307" s="123"/>
    </row>
    <row r="308" spans="1:6" ht="15.75" x14ac:dyDescent="0.25">
      <c r="A308" s="105"/>
      <c r="B308" s="105"/>
      <c r="C308" s="93"/>
      <c r="D308" s="93" t="str">
        <f t="shared" si="4"/>
        <v/>
      </c>
      <c r="E308" s="123"/>
      <c r="F308" s="123"/>
    </row>
    <row r="309" spans="1:6" ht="15.75" x14ac:dyDescent="0.25">
      <c r="A309" s="105"/>
      <c r="B309" s="105"/>
      <c r="C309" s="93"/>
      <c r="D309" s="93" t="str">
        <f t="shared" si="4"/>
        <v/>
      </c>
      <c r="E309" s="123"/>
      <c r="F309" s="123"/>
    </row>
    <row r="310" spans="1:6" ht="15.75" x14ac:dyDescent="0.25">
      <c r="A310" s="105"/>
      <c r="B310" s="105"/>
      <c r="C310" s="93"/>
      <c r="D310" s="93" t="str">
        <f t="shared" si="4"/>
        <v/>
      </c>
      <c r="E310" s="123"/>
      <c r="F310" s="123"/>
    </row>
    <row r="311" spans="1:6" ht="15.75" x14ac:dyDescent="0.25">
      <c r="A311" s="105"/>
      <c r="B311" s="105"/>
      <c r="C311" s="93"/>
      <c r="D311" s="93" t="str">
        <f t="shared" si="4"/>
        <v/>
      </c>
      <c r="E311" s="123"/>
      <c r="F311" s="123"/>
    </row>
    <row r="312" spans="1:6" ht="15.75" x14ac:dyDescent="0.25">
      <c r="A312" s="105"/>
      <c r="B312" s="105"/>
      <c r="C312" s="93"/>
      <c r="D312" s="93" t="str">
        <f t="shared" si="4"/>
        <v/>
      </c>
      <c r="E312" s="123"/>
      <c r="F312" s="123"/>
    </row>
    <row r="313" spans="1:6" ht="15.75" x14ac:dyDescent="0.25">
      <c r="A313" s="105"/>
      <c r="B313" s="105"/>
      <c r="C313" s="93"/>
      <c r="D313" s="93" t="str">
        <f t="shared" si="4"/>
        <v/>
      </c>
      <c r="E313" s="123"/>
      <c r="F313" s="123"/>
    </row>
    <row r="314" spans="1:6" ht="15.75" x14ac:dyDescent="0.25">
      <c r="A314" s="105"/>
      <c r="B314" s="105"/>
      <c r="C314" s="93"/>
      <c r="D314" s="93" t="str">
        <f t="shared" si="4"/>
        <v/>
      </c>
      <c r="E314" s="123"/>
      <c r="F314" s="123"/>
    </row>
    <row r="315" spans="1:6" ht="15.75" x14ac:dyDescent="0.25">
      <c r="A315" s="105"/>
      <c r="B315" s="105"/>
      <c r="C315" s="93"/>
      <c r="D315" s="93" t="str">
        <f t="shared" si="4"/>
        <v/>
      </c>
      <c r="E315" s="123"/>
      <c r="F315" s="123"/>
    </row>
    <row r="316" spans="1:6" ht="15.75" x14ac:dyDescent="0.25">
      <c r="A316" s="105"/>
      <c r="B316" s="105"/>
      <c r="C316" s="93"/>
      <c r="D316" s="93" t="str">
        <f t="shared" si="4"/>
        <v/>
      </c>
      <c r="E316" s="123"/>
      <c r="F316" s="123"/>
    </row>
    <row r="317" spans="1:6" ht="15.75" x14ac:dyDescent="0.25">
      <c r="A317" s="105"/>
      <c r="B317" s="105"/>
      <c r="C317" s="93"/>
      <c r="D317" s="93" t="str">
        <f t="shared" si="4"/>
        <v/>
      </c>
      <c r="E317" s="123"/>
      <c r="F317" s="123"/>
    </row>
    <row r="318" spans="1:6" ht="15.75" x14ac:dyDescent="0.25">
      <c r="A318" s="105"/>
      <c r="B318" s="105"/>
      <c r="C318" s="93"/>
      <c r="D318" s="93" t="str">
        <f t="shared" si="4"/>
        <v/>
      </c>
      <c r="E318" s="123"/>
      <c r="F318" s="123"/>
    </row>
    <row r="319" spans="1:6" ht="15.75" x14ac:dyDescent="0.25">
      <c r="A319" s="105"/>
      <c r="B319" s="105"/>
      <c r="C319" s="93"/>
      <c r="D319" s="93" t="str">
        <f t="shared" si="4"/>
        <v/>
      </c>
      <c r="E319" s="123"/>
      <c r="F319" s="123"/>
    </row>
    <row r="320" spans="1:6" ht="15.75" x14ac:dyDescent="0.25">
      <c r="A320" s="105"/>
      <c r="B320" s="105"/>
      <c r="C320" s="93"/>
      <c r="D320" s="93" t="str">
        <f t="shared" si="4"/>
        <v/>
      </c>
      <c r="E320" s="123"/>
      <c r="F320" s="123"/>
    </row>
    <row r="321" spans="1:6" ht="15.75" x14ac:dyDescent="0.25">
      <c r="A321" s="105"/>
      <c r="B321" s="105"/>
      <c r="C321" s="93"/>
      <c r="D321" s="93" t="str">
        <f t="shared" si="4"/>
        <v/>
      </c>
      <c r="E321" s="123"/>
      <c r="F321" s="123"/>
    </row>
    <row r="322" spans="1:6" ht="15.75" x14ac:dyDescent="0.25">
      <c r="A322" s="105"/>
      <c r="B322" s="105"/>
      <c r="C322" s="93"/>
      <c r="D322" s="93" t="str">
        <f t="shared" si="4"/>
        <v/>
      </c>
      <c r="E322" s="123"/>
      <c r="F322" s="123"/>
    </row>
    <row r="323" spans="1:6" ht="15.75" x14ac:dyDescent="0.25">
      <c r="A323" s="105"/>
      <c r="B323" s="105"/>
      <c r="C323" s="93"/>
      <c r="D323" s="93" t="str">
        <f t="shared" si="4"/>
        <v/>
      </c>
      <c r="E323" s="123"/>
      <c r="F323" s="123"/>
    </row>
    <row r="324" spans="1:6" ht="15.75" x14ac:dyDescent="0.25">
      <c r="A324" s="105"/>
      <c r="B324" s="105"/>
      <c r="C324" s="93"/>
      <c r="D324" s="93" t="str">
        <f t="shared" si="4"/>
        <v/>
      </c>
      <c r="E324" s="123"/>
      <c r="F324" s="123"/>
    </row>
    <row r="325" spans="1:6" ht="15.75" x14ac:dyDescent="0.25">
      <c r="A325" s="105"/>
      <c r="B325" s="105"/>
      <c r="C325" s="93"/>
      <c r="D325" s="93" t="str">
        <f t="shared" si="4"/>
        <v/>
      </c>
      <c r="E325" s="123"/>
      <c r="F325" s="123"/>
    </row>
    <row r="326" spans="1:6" ht="15.75" x14ac:dyDescent="0.25">
      <c r="A326" s="105"/>
      <c r="B326" s="105"/>
      <c r="C326" s="93"/>
      <c r="D326" s="93" t="str">
        <f t="shared" si="4"/>
        <v/>
      </c>
      <c r="E326" s="123"/>
      <c r="F326" s="123"/>
    </row>
    <row r="327" spans="1:6" ht="15.75" x14ac:dyDescent="0.25">
      <c r="A327" s="105"/>
      <c r="B327" s="105"/>
      <c r="C327" s="93"/>
      <c r="D327" s="93" t="str">
        <f t="shared" si="4"/>
        <v/>
      </c>
      <c r="E327" s="123"/>
      <c r="F327" s="123"/>
    </row>
    <row r="328" spans="1:6" ht="15.75" x14ac:dyDescent="0.25">
      <c r="A328" s="105"/>
      <c r="B328" s="105"/>
      <c r="C328" s="93"/>
      <c r="D328" s="93" t="str">
        <f t="shared" si="4"/>
        <v/>
      </c>
      <c r="E328" s="123"/>
      <c r="F328" s="123"/>
    </row>
    <row r="329" spans="1:6" ht="15.75" x14ac:dyDescent="0.25">
      <c r="A329" s="105"/>
      <c r="B329" s="105"/>
      <c r="C329" s="93"/>
      <c r="D329" s="93" t="str">
        <f t="shared" si="4"/>
        <v/>
      </c>
      <c r="E329" s="123"/>
      <c r="F329" s="123"/>
    </row>
    <row r="330" spans="1:6" ht="15.75" x14ac:dyDescent="0.25">
      <c r="A330" s="105"/>
      <c r="B330" s="105"/>
      <c r="C330" s="93"/>
      <c r="D330" s="93" t="str">
        <f t="shared" si="4"/>
        <v/>
      </c>
      <c r="E330" s="123"/>
      <c r="F330" s="123"/>
    </row>
    <row r="331" spans="1:6" ht="15.75" x14ac:dyDescent="0.25">
      <c r="A331" s="105"/>
      <c r="B331" s="105"/>
      <c r="C331" s="93"/>
      <c r="D331" s="93" t="str">
        <f t="shared" ref="D331:D394" si="5">IF(A331=0,"","MinMax")</f>
        <v/>
      </c>
      <c r="E331" s="123"/>
      <c r="F331" s="123"/>
    </row>
    <row r="332" spans="1:6" ht="15.75" x14ac:dyDescent="0.25">
      <c r="A332" s="105"/>
      <c r="B332" s="105"/>
      <c r="C332" s="93"/>
      <c r="D332" s="93" t="str">
        <f t="shared" si="5"/>
        <v/>
      </c>
      <c r="E332" s="123"/>
      <c r="F332" s="123"/>
    </row>
    <row r="333" spans="1:6" ht="15.75" x14ac:dyDescent="0.25">
      <c r="A333" s="105"/>
      <c r="B333" s="105"/>
      <c r="C333" s="93"/>
      <c r="D333" s="93" t="str">
        <f t="shared" si="5"/>
        <v/>
      </c>
      <c r="E333" s="123"/>
      <c r="F333" s="123"/>
    </row>
    <row r="334" spans="1:6" ht="15.75" x14ac:dyDescent="0.25">
      <c r="A334" s="105"/>
      <c r="B334" s="105"/>
      <c r="C334" s="93"/>
      <c r="D334" s="93" t="str">
        <f t="shared" si="5"/>
        <v/>
      </c>
      <c r="E334" s="123"/>
      <c r="F334" s="123"/>
    </row>
    <row r="335" spans="1:6" ht="15.75" x14ac:dyDescent="0.25">
      <c r="A335" s="105"/>
      <c r="B335" s="105"/>
      <c r="C335" s="93"/>
      <c r="D335" s="93" t="str">
        <f t="shared" si="5"/>
        <v/>
      </c>
      <c r="E335" s="123"/>
      <c r="F335" s="123"/>
    </row>
    <row r="336" spans="1:6" ht="15.75" x14ac:dyDescent="0.25">
      <c r="A336" s="105"/>
      <c r="B336" s="105"/>
      <c r="C336" s="93"/>
      <c r="D336" s="93" t="str">
        <f t="shared" si="5"/>
        <v/>
      </c>
      <c r="E336" s="123"/>
      <c r="F336" s="123"/>
    </row>
    <row r="337" spans="1:6" ht="15.75" x14ac:dyDescent="0.25">
      <c r="A337" s="105"/>
      <c r="B337" s="105"/>
      <c r="C337" s="93"/>
      <c r="D337" s="93" t="str">
        <f t="shared" si="5"/>
        <v/>
      </c>
      <c r="E337" s="123"/>
      <c r="F337" s="123"/>
    </row>
    <row r="338" spans="1:6" ht="15.75" x14ac:dyDescent="0.25">
      <c r="A338" s="105"/>
      <c r="B338" s="105"/>
      <c r="C338" s="93"/>
      <c r="D338" s="93" t="str">
        <f t="shared" si="5"/>
        <v/>
      </c>
      <c r="E338" s="123"/>
      <c r="F338" s="123"/>
    </row>
    <row r="339" spans="1:6" ht="15.75" x14ac:dyDescent="0.25">
      <c r="A339" s="105"/>
      <c r="B339" s="105"/>
      <c r="C339" s="93"/>
      <c r="D339" s="93" t="str">
        <f t="shared" si="5"/>
        <v/>
      </c>
      <c r="E339" s="123"/>
      <c r="F339" s="123"/>
    </row>
    <row r="340" spans="1:6" ht="15.75" x14ac:dyDescent="0.25">
      <c r="A340" s="105"/>
      <c r="B340" s="105"/>
      <c r="C340" s="93"/>
      <c r="D340" s="93" t="str">
        <f t="shared" si="5"/>
        <v/>
      </c>
      <c r="E340" s="123"/>
      <c r="F340" s="123"/>
    </row>
    <row r="341" spans="1:6" ht="15.75" x14ac:dyDescent="0.25">
      <c r="A341" s="105"/>
      <c r="B341" s="105"/>
      <c r="C341" s="93"/>
      <c r="D341" s="93" t="str">
        <f t="shared" si="5"/>
        <v/>
      </c>
      <c r="E341" s="123"/>
      <c r="F341" s="123"/>
    </row>
    <row r="342" spans="1:6" ht="15.75" x14ac:dyDescent="0.25">
      <c r="A342" s="105"/>
      <c r="B342" s="105"/>
      <c r="C342" s="93"/>
      <c r="D342" s="93" t="str">
        <f t="shared" si="5"/>
        <v/>
      </c>
      <c r="E342" s="123"/>
      <c r="F342" s="123"/>
    </row>
    <row r="343" spans="1:6" ht="15.75" x14ac:dyDescent="0.25">
      <c r="A343" s="105"/>
      <c r="B343" s="105"/>
      <c r="C343" s="93"/>
      <c r="D343" s="93" t="str">
        <f t="shared" si="5"/>
        <v/>
      </c>
      <c r="E343" s="123"/>
      <c r="F343" s="123"/>
    </row>
    <row r="344" spans="1:6" ht="15.75" x14ac:dyDescent="0.25">
      <c r="A344" s="105"/>
      <c r="B344" s="105"/>
      <c r="C344" s="93"/>
      <c r="D344" s="93" t="str">
        <f t="shared" si="5"/>
        <v/>
      </c>
      <c r="E344" s="123"/>
      <c r="F344" s="123"/>
    </row>
    <row r="345" spans="1:6" ht="15.75" x14ac:dyDescent="0.25">
      <c r="A345" s="105"/>
      <c r="B345" s="105"/>
      <c r="C345" s="93"/>
      <c r="D345" s="93" t="str">
        <f t="shared" si="5"/>
        <v/>
      </c>
      <c r="E345" s="123"/>
      <c r="F345" s="123"/>
    </row>
    <row r="346" spans="1:6" ht="15.75" x14ac:dyDescent="0.25">
      <c r="A346" s="105"/>
      <c r="B346" s="105"/>
      <c r="C346" s="93"/>
      <c r="D346" s="93" t="str">
        <f t="shared" si="5"/>
        <v/>
      </c>
      <c r="E346" s="123"/>
      <c r="F346" s="123"/>
    </row>
    <row r="347" spans="1:6" ht="15.75" x14ac:dyDescent="0.25">
      <c r="A347" s="105"/>
      <c r="B347" s="105"/>
      <c r="C347" s="93"/>
      <c r="D347" s="93" t="str">
        <f t="shared" si="5"/>
        <v/>
      </c>
      <c r="E347" s="123"/>
      <c r="F347" s="123"/>
    </row>
    <row r="348" spans="1:6" ht="15.75" x14ac:dyDescent="0.25">
      <c r="A348" s="105"/>
      <c r="B348" s="105"/>
      <c r="C348" s="93"/>
      <c r="D348" s="93" t="str">
        <f t="shared" si="5"/>
        <v/>
      </c>
      <c r="E348" s="123"/>
      <c r="F348" s="123"/>
    </row>
    <row r="349" spans="1:6" ht="15.75" x14ac:dyDescent="0.25">
      <c r="A349" s="105"/>
      <c r="B349" s="105"/>
      <c r="C349" s="93"/>
      <c r="D349" s="93" t="str">
        <f t="shared" si="5"/>
        <v/>
      </c>
      <c r="E349" s="123"/>
      <c r="F349" s="123"/>
    </row>
    <row r="350" spans="1:6" ht="15.75" x14ac:dyDescent="0.25">
      <c r="A350" s="105"/>
      <c r="B350" s="105"/>
      <c r="C350" s="93"/>
      <c r="D350" s="93" t="str">
        <f t="shared" si="5"/>
        <v/>
      </c>
      <c r="E350" s="123"/>
      <c r="F350" s="123"/>
    </row>
    <row r="351" spans="1:6" ht="15.75" x14ac:dyDescent="0.25">
      <c r="A351" s="105"/>
      <c r="B351" s="105"/>
      <c r="C351" s="93"/>
      <c r="D351" s="93" t="str">
        <f t="shared" si="5"/>
        <v/>
      </c>
      <c r="E351" s="123"/>
      <c r="F351" s="123"/>
    </row>
    <row r="352" spans="1:6" ht="15.75" x14ac:dyDescent="0.25">
      <c r="A352" s="105"/>
      <c r="B352" s="105"/>
      <c r="C352" s="93"/>
      <c r="D352" s="93" t="str">
        <f t="shared" si="5"/>
        <v/>
      </c>
      <c r="E352" s="123"/>
      <c r="F352" s="123"/>
    </row>
    <row r="353" spans="1:6" ht="15.75" x14ac:dyDescent="0.25">
      <c r="A353" s="105"/>
      <c r="B353" s="105"/>
      <c r="C353" s="93"/>
      <c r="D353" s="93" t="str">
        <f t="shared" si="5"/>
        <v/>
      </c>
      <c r="E353" s="123"/>
      <c r="F353" s="123"/>
    </row>
    <row r="354" spans="1:6" ht="15.75" x14ac:dyDescent="0.25">
      <c r="A354" s="105"/>
      <c r="B354" s="105"/>
      <c r="C354" s="93"/>
      <c r="D354" s="93" t="str">
        <f t="shared" si="5"/>
        <v/>
      </c>
      <c r="E354" s="123"/>
      <c r="F354" s="123"/>
    </row>
    <row r="355" spans="1:6" ht="15.75" x14ac:dyDescent="0.25">
      <c r="A355" s="105"/>
      <c r="B355" s="105"/>
      <c r="C355" s="93"/>
      <c r="D355" s="93" t="str">
        <f t="shared" si="5"/>
        <v/>
      </c>
      <c r="E355" s="123"/>
      <c r="F355" s="123"/>
    </row>
    <row r="356" spans="1:6" ht="15.75" x14ac:dyDescent="0.25">
      <c r="A356" s="105"/>
      <c r="B356" s="105"/>
      <c r="C356" s="93"/>
      <c r="D356" s="93" t="str">
        <f t="shared" si="5"/>
        <v/>
      </c>
      <c r="E356" s="123"/>
      <c r="F356" s="123"/>
    </row>
    <row r="357" spans="1:6" ht="15.75" x14ac:dyDescent="0.25">
      <c r="A357" s="105"/>
      <c r="B357" s="105"/>
      <c r="C357" s="93"/>
      <c r="D357" s="93" t="str">
        <f t="shared" si="5"/>
        <v/>
      </c>
      <c r="E357" s="123"/>
      <c r="F357" s="123"/>
    </row>
    <row r="358" spans="1:6" ht="15.75" x14ac:dyDescent="0.25">
      <c r="A358" s="105"/>
      <c r="B358" s="105"/>
      <c r="C358" s="93"/>
      <c r="D358" s="93" t="str">
        <f t="shared" si="5"/>
        <v/>
      </c>
      <c r="E358" s="123"/>
      <c r="F358" s="123"/>
    </row>
    <row r="359" spans="1:6" ht="15.75" x14ac:dyDescent="0.25">
      <c r="A359" s="105"/>
      <c r="B359" s="105"/>
      <c r="C359" s="93"/>
      <c r="D359" s="93" t="str">
        <f t="shared" si="5"/>
        <v/>
      </c>
      <c r="E359" s="123"/>
      <c r="F359" s="123"/>
    </row>
    <row r="360" spans="1:6" ht="15.75" x14ac:dyDescent="0.25">
      <c r="A360" s="105"/>
      <c r="B360" s="105"/>
      <c r="C360" s="93"/>
      <c r="D360" s="93" t="str">
        <f t="shared" si="5"/>
        <v/>
      </c>
      <c r="E360" s="123"/>
      <c r="F360" s="123"/>
    </row>
    <row r="361" spans="1:6" ht="15.75" x14ac:dyDescent="0.25">
      <c r="A361" s="105"/>
      <c r="B361" s="105"/>
      <c r="C361" s="93"/>
      <c r="D361" s="93" t="str">
        <f t="shared" si="5"/>
        <v/>
      </c>
      <c r="E361" s="123"/>
      <c r="F361" s="123"/>
    </row>
    <row r="362" spans="1:6" ht="15.75" x14ac:dyDescent="0.25">
      <c r="A362" s="105"/>
      <c r="B362" s="105"/>
      <c r="C362" s="93"/>
      <c r="D362" s="93" t="str">
        <f t="shared" si="5"/>
        <v/>
      </c>
      <c r="E362" s="123"/>
      <c r="F362" s="123"/>
    </row>
    <row r="363" spans="1:6" ht="15.75" x14ac:dyDescent="0.25">
      <c r="A363" s="105"/>
      <c r="B363" s="105"/>
      <c r="C363" s="93"/>
      <c r="D363" s="93" t="str">
        <f t="shared" si="5"/>
        <v/>
      </c>
      <c r="E363" s="123"/>
      <c r="F363" s="123"/>
    </row>
    <row r="364" spans="1:6" ht="15.75" x14ac:dyDescent="0.25">
      <c r="A364" s="105"/>
      <c r="B364" s="105"/>
      <c r="C364" s="93"/>
      <c r="D364" s="93" t="str">
        <f t="shared" si="5"/>
        <v/>
      </c>
      <c r="E364" s="123"/>
      <c r="F364" s="123"/>
    </row>
    <row r="365" spans="1:6" ht="15.75" x14ac:dyDescent="0.25">
      <c r="A365" s="105"/>
      <c r="B365" s="105"/>
      <c r="C365" s="93"/>
      <c r="D365" s="93" t="str">
        <f t="shared" si="5"/>
        <v/>
      </c>
      <c r="E365" s="123"/>
      <c r="F365" s="123"/>
    </row>
    <row r="366" spans="1:6" ht="15.75" x14ac:dyDescent="0.25">
      <c r="A366" s="105"/>
      <c r="B366" s="105"/>
      <c r="C366" s="93"/>
      <c r="D366" s="93" t="str">
        <f t="shared" si="5"/>
        <v/>
      </c>
      <c r="E366" s="123"/>
      <c r="F366" s="123"/>
    </row>
    <row r="367" spans="1:6" ht="15.75" x14ac:dyDescent="0.25">
      <c r="A367" s="105"/>
      <c r="B367" s="105"/>
      <c r="C367" s="93"/>
      <c r="D367" s="93" t="str">
        <f t="shared" si="5"/>
        <v/>
      </c>
      <c r="E367" s="123"/>
      <c r="F367" s="123"/>
    </row>
    <row r="368" spans="1:6" ht="15.75" x14ac:dyDescent="0.25">
      <c r="A368" s="105"/>
      <c r="B368" s="105"/>
      <c r="C368" s="93"/>
      <c r="D368" s="93" t="str">
        <f t="shared" si="5"/>
        <v/>
      </c>
      <c r="E368" s="123"/>
      <c r="F368" s="123"/>
    </row>
    <row r="369" spans="1:6" ht="15.75" x14ac:dyDescent="0.25">
      <c r="A369" s="105"/>
      <c r="B369" s="105"/>
      <c r="C369" s="93"/>
      <c r="D369" s="93" t="str">
        <f t="shared" si="5"/>
        <v/>
      </c>
      <c r="E369" s="123"/>
      <c r="F369" s="123"/>
    </row>
    <row r="370" spans="1:6" ht="15.75" x14ac:dyDescent="0.25">
      <c r="A370" s="105"/>
      <c r="B370" s="105"/>
      <c r="C370" s="93"/>
      <c r="D370" s="93" t="str">
        <f t="shared" si="5"/>
        <v/>
      </c>
      <c r="E370" s="123"/>
      <c r="F370" s="123"/>
    </row>
    <row r="371" spans="1:6" ht="15.75" x14ac:dyDescent="0.25">
      <c r="A371" s="105"/>
      <c r="B371" s="105"/>
      <c r="C371" s="93"/>
      <c r="D371" s="93" t="str">
        <f t="shared" si="5"/>
        <v/>
      </c>
      <c r="E371" s="123"/>
      <c r="F371" s="123"/>
    </row>
    <row r="372" spans="1:6" ht="15.75" x14ac:dyDescent="0.25">
      <c r="A372" s="105"/>
      <c r="B372" s="105"/>
      <c r="C372" s="93"/>
      <c r="D372" s="93" t="str">
        <f t="shared" si="5"/>
        <v/>
      </c>
      <c r="E372" s="123"/>
      <c r="F372" s="123"/>
    </row>
    <row r="373" spans="1:6" ht="15.75" x14ac:dyDescent="0.25">
      <c r="A373" s="105"/>
      <c r="B373" s="105"/>
      <c r="C373" s="93"/>
      <c r="D373" s="93" t="str">
        <f t="shared" si="5"/>
        <v/>
      </c>
      <c r="E373" s="123"/>
      <c r="F373" s="123"/>
    </row>
    <row r="374" spans="1:6" ht="15.75" x14ac:dyDescent="0.25">
      <c r="A374" s="105"/>
      <c r="B374" s="105"/>
      <c r="C374" s="93"/>
      <c r="D374" s="93" t="str">
        <f t="shared" si="5"/>
        <v/>
      </c>
      <c r="E374" s="123"/>
      <c r="F374" s="123"/>
    </row>
    <row r="375" spans="1:6" ht="15.75" x14ac:dyDescent="0.25">
      <c r="A375" s="105"/>
      <c r="B375" s="105"/>
      <c r="C375" s="93"/>
      <c r="D375" s="93" t="str">
        <f t="shared" si="5"/>
        <v/>
      </c>
      <c r="E375" s="123"/>
      <c r="F375" s="123"/>
    </row>
    <row r="376" spans="1:6" ht="15.75" x14ac:dyDescent="0.25">
      <c r="A376" s="105"/>
      <c r="B376" s="105"/>
      <c r="C376" s="93"/>
      <c r="D376" s="93" t="str">
        <f t="shared" si="5"/>
        <v/>
      </c>
      <c r="E376" s="123"/>
      <c r="F376" s="123"/>
    </row>
    <row r="377" spans="1:6" ht="15.75" x14ac:dyDescent="0.25">
      <c r="A377" s="105"/>
      <c r="B377" s="105"/>
      <c r="C377" s="93"/>
      <c r="D377" s="93" t="str">
        <f t="shared" si="5"/>
        <v/>
      </c>
      <c r="E377" s="123"/>
      <c r="F377" s="123"/>
    </row>
    <row r="378" spans="1:6" ht="15.75" x14ac:dyDescent="0.25">
      <c r="A378" s="105"/>
      <c r="B378" s="105"/>
      <c r="C378" s="93"/>
      <c r="D378" s="93" t="str">
        <f t="shared" si="5"/>
        <v/>
      </c>
      <c r="E378" s="123"/>
      <c r="F378" s="123"/>
    </row>
    <row r="379" spans="1:6" ht="15.75" x14ac:dyDescent="0.25">
      <c r="A379" s="105"/>
      <c r="B379" s="105"/>
      <c r="C379" s="93"/>
      <c r="D379" s="93" t="str">
        <f t="shared" si="5"/>
        <v/>
      </c>
      <c r="E379" s="123"/>
      <c r="F379" s="123"/>
    </row>
    <row r="380" spans="1:6" ht="15.75" x14ac:dyDescent="0.25">
      <c r="A380" s="105"/>
      <c r="B380" s="105"/>
      <c r="C380" s="93"/>
      <c r="D380" s="93" t="str">
        <f t="shared" si="5"/>
        <v/>
      </c>
      <c r="E380" s="123"/>
      <c r="F380" s="123"/>
    </row>
    <row r="381" spans="1:6" ht="15.75" x14ac:dyDescent="0.25">
      <c r="A381" s="105"/>
      <c r="B381" s="105"/>
      <c r="C381" s="93"/>
      <c r="D381" s="93" t="str">
        <f t="shared" si="5"/>
        <v/>
      </c>
      <c r="E381" s="123"/>
      <c r="F381" s="123"/>
    </row>
    <row r="382" spans="1:6" ht="15.75" x14ac:dyDescent="0.25">
      <c r="A382" s="105"/>
      <c r="B382" s="105"/>
      <c r="C382" s="93"/>
      <c r="D382" s="93" t="str">
        <f t="shared" si="5"/>
        <v/>
      </c>
      <c r="E382" s="123"/>
      <c r="F382" s="123"/>
    </row>
    <row r="383" spans="1:6" ht="15.75" x14ac:dyDescent="0.25">
      <c r="A383" s="105"/>
      <c r="B383" s="105"/>
      <c r="C383" s="93"/>
      <c r="D383" s="93" t="str">
        <f t="shared" si="5"/>
        <v/>
      </c>
      <c r="E383" s="123"/>
      <c r="F383" s="123"/>
    </row>
    <row r="384" spans="1:6" ht="15.75" x14ac:dyDescent="0.25">
      <c r="A384" s="105"/>
      <c r="B384" s="105"/>
      <c r="C384" s="93"/>
      <c r="D384" s="93" t="str">
        <f t="shared" si="5"/>
        <v/>
      </c>
      <c r="E384" s="123"/>
      <c r="F384" s="123"/>
    </row>
    <row r="385" spans="1:6" ht="15.75" x14ac:dyDescent="0.25">
      <c r="A385" s="105"/>
      <c r="B385" s="105"/>
      <c r="C385" s="93"/>
      <c r="D385" s="93" t="str">
        <f t="shared" si="5"/>
        <v/>
      </c>
      <c r="E385" s="123"/>
      <c r="F385" s="123"/>
    </row>
    <row r="386" spans="1:6" ht="15.75" x14ac:dyDescent="0.25">
      <c r="A386" s="105"/>
      <c r="B386" s="105"/>
      <c r="C386" s="93"/>
      <c r="D386" s="93" t="str">
        <f t="shared" si="5"/>
        <v/>
      </c>
      <c r="E386" s="123"/>
      <c r="F386" s="123"/>
    </row>
    <row r="387" spans="1:6" ht="15.75" x14ac:dyDescent="0.25">
      <c r="A387" s="105"/>
      <c r="B387" s="105"/>
      <c r="C387" s="93"/>
      <c r="D387" s="93" t="str">
        <f t="shared" si="5"/>
        <v/>
      </c>
      <c r="E387" s="123"/>
      <c r="F387" s="123"/>
    </row>
    <row r="388" spans="1:6" ht="15.75" x14ac:dyDescent="0.25">
      <c r="A388" s="105"/>
      <c r="B388" s="105"/>
      <c r="C388" s="93"/>
      <c r="D388" s="93" t="str">
        <f t="shared" si="5"/>
        <v/>
      </c>
      <c r="E388" s="123"/>
      <c r="F388" s="123"/>
    </row>
    <row r="389" spans="1:6" ht="15.75" x14ac:dyDescent="0.25">
      <c r="A389" s="105"/>
      <c r="B389" s="105"/>
      <c r="C389" s="93"/>
      <c r="D389" s="93" t="str">
        <f t="shared" si="5"/>
        <v/>
      </c>
      <c r="E389" s="123"/>
      <c r="F389" s="123"/>
    </row>
    <row r="390" spans="1:6" ht="15.75" x14ac:dyDescent="0.25">
      <c r="A390" s="105"/>
      <c r="B390" s="105"/>
      <c r="C390" s="93"/>
      <c r="D390" s="93" t="str">
        <f t="shared" si="5"/>
        <v/>
      </c>
      <c r="E390" s="123"/>
      <c r="F390" s="123"/>
    </row>
    <row r="391" spans="1:6" ht="15.75" x14ac:dyDescent="0.25">
      <c r="A391" s="105"/>
      <c r="B391" s="105"/>
      <c r="C391" s="93"/>
      <c r="D391" s="93" t="str">
        <f t="shared" si="5"/>
        <v/>
      </c>
      <c r="E391" s="123"/>
      <c r="F391" s="123"/>
    </row>
    <row r="392" spans="1:6" ht="15.75" x14ac:dyDescent="0.25">
      <c r="A392" s="105"/>
      <c r="B392" s="105"/>
      <c r="C392" s="93"/>
      <c r="D392" s="93" t="str">
        <f t="shared" si="5"/>
        <v/>
      </c>
      <c r="E392" s="123"/>
      <c r="F392" s="123"/>
    </row>
    <row r="393" spans="1:6" ht="15.75" x14ac:dyDescent="0.25">
      <c r="A393" s="105"/>
      <c r="B393" s="105"/>
      <c r="C393" s="93"/>
      <c r="D393" s="93" t="str">
        <f t="shared" si="5"/>
        <v/>
      </c>
      <c r="E393" s="123"/>
      <c r="F393" s="123"/>
    </row>
    <row r="394" spans="1:6" ht="15.75" x14ac:dyDescent="0.25">
      <c r="A394" s="105"/>
      <c r="B394" s="105"/>
      <c r="C394" s="93"/>
      <c r="D394" s="93" t="str">
        <f t="shared" si="5"/>
        <v/>
      </c>
      <c r="E394" s="123"/>
      <c r="F394" s="123"/>
    </row>
    <row r="395" spans="1:6" ht="15.75" x14ac:dyDescent="0.25">
      <c r="A395" s="105"/>
      <c r="B395" s="105"/>
      <c r="C395" s="93"/>
      <c r="D395" s="93" t="str">
        <f t="shared" ref="D395:D458" si="6">IF(A395=0,"","MinMax")</f>
        <v/>
      </c>
      <c r="E395" s="123"/>
      <c r="F395" s="123"/>
    </row>
    <row r="396" spans="1:6" ht="15.75" x14ac:dyDescent="0.25">
      <c r="A396" s="105"/>
      <c r="B396" s="105"/>
      <c r="C396" s="93"/>
      <c r="D396" s="93" t="str">
        <f t="shared" si="6"/>
        <v/>
      </c>
      <c r="E396" s="123"/>
      <c r="F396" s="123"/>
    </row>
    <row r="397" spans="1:6" ht="15.75" x14ac:dyDescent="0.25">
      <c r="A397" s="105"/>
      <c r="B397" s="105"/>
      <c r="C397" s="93"/>
      <c r="D397" s="93" t="str">
        <f t="shared" si="6"/>
        <v/>
      </c>
      <c r="E397" s="123"/>
      <c r="F397" s="123"/>
    </row>
    <row r="398" spans="1:6" ht="15.75" x14ac:dyDescent="0.25">
      <c r="A398" s="105"/>
      <c r="B398" s="105"/>
      <c r="C398" s="93"/>
      <c r="D398" s="93" t="str">
        <f t="shared" si="6"/>
        <v/>
      </c>
      <c r="E398" s="123"/>
      <c r="F398" s="123"/>
    </row>
    <row r="399" spans="1:6" ht="15.75" x14ac:dyDescent="0.25">
      <c r="A399" s="105"/>
      <c r="B399" s="105"/>
      <c r="C399" s="93"/>
      <c r="D399" s="93" t="str">
        <f t="shared" si="6"/>
        <v/>
      </c>
      <c r="E399" s="123"/>
      <c r="F399" s="123"/>
    </row>
    <row r="400" spans="1:6" ht="15.75" x14ac:dyDescent="0.25">
      <c r="A400" s="105"/>
      <c r="B400" s="105"/>
      <c r="C400" s="93"/>
      <c r="D400" s="93" t="str">
        <f t="shared" si="6"/>
        <v/>
      </c>
      <c r="E400" s="123"/>
      <c r="F400" s="123"/>
    </row>
    <row r="401" spans="1:6" ht="15.75" x14ac:dyDescent="0.25">
      <c r="A401" s="105"/>
      <c r="B401" s="105"/>
      <c r="C401" s="93"/>
      <c r="D401" s="93" t="str">
        <f t="shared" si="6"/>
        <v/>
      </c>
      <c r="E401" s="123"/>
      <c r="F401" s="123"/>
    </row>
    <row r="402" spans="1:6" ht="15.75" x14ac:dyDescent="0.25">
      <c r="A402" s="105"/>
      <c r="B402" s="105"/>
      <c r="C402" s="93"/>
      <c r="D402" s="93" t="str">
        <f t="shared" si="6"/>
        <v/>
      </c>
      <c r="E402" s="123"/>
      <c r="F402" s="123"/>
    </row>
    <row r="403" spans="1:6" ht="15.75" x14ac:dyDescent="0.25">
      <c r="A403" s="105"/>
      <c r="B403" s="105"/>
      <c r="C403" s="93"/>
      <c r="D403" s="93" t="str">
        <f t="shared" si="6"/>
        <v/>
      </c>
      <c r="E403" s="123"/>
      <c r="F403" s="123"/>
    </row>
    <row r="404" spans="1:6" ht="15.75" x14ac:dyDescent="0.25">
      <c r="A404" s="105"/>
      <c r="B404" s="105"/>
      <c r="C404" s="93"/>
      <c r="D404" s="93" t="str">
        <f t="shared" si="6"/>
        <v/>
      </c>
      <c r="E404" s="123"/>
      <c r="F404" s="123"/>
    </row>
    <row r="405" spans="1:6" ht="15.75" x14ac:dyDescent="0.25">
      <c r="A405" s="105"/>
      <c r="B405" s="105"/>
      <c r="C405" s="93"/>
      <c r="D405" s="93" t="str">
        <f t="shared" si="6"/>
        <v/>
      </c>
      <c r="E405" s="123"/>
      <c r="F405" s="123"/>
    </row>
    <row r="406" spans="1:6" ht="15.75" x14ac:dyDescent="0.25">
      <c r="A406" s="105"/>
      <c r="B406" s="105"/>
      <c r="C406" s="93"/>
      <c r="D406" s="93" t="str">
        <f t="shared" si="6"/>
        <v/>
      </c>
      <c r="E406" s="123"/>
      <c r="F406" s="123"/>
    </row>
    <row r="407" spans="1:6" ht="15.75" x14ac:dyDescent="0.25">
      <c r="A407" s="105"/>
      <c r="B407" s="105"/>
      <c r="C407" s="93"/>
      <c r="D407" s="93" t="str">
        <f t="shared" si="6"/>
        <v/>
      </c>
      <c r="E407" s="123"/>
      <c r="F407" s="123"/>
    </row>
    <row r="408" spans="1:6" ht="15.75" x14ac:dyDescent="0.25">
      <c r="A408" s="105"/>
      <c r="B408" s="105"/>
      <c r="C408" s="93"/>
      <c r="D408" s="93" t="str">
        <f t="shared" si="6"/>
        <v/>
      </c>
      <c r="E408" s="123"/>
      <c r="F408" s="123"/>
    </row>
    <row r="409" spans="1:6" ht="15.75" x14ac:dyDescent="0.25">
      <c r="A409" s="105"/>
      <c r="B409" s="105"/>
      <c r="C409" s="93"/>
      <c r="D409" s="93" t="str">
        <f t="shared" si="6"/>
        <v/>
      </c>
      <c r="E409" s="123"/>
      <c r="F409" s="123"/>
    </row>
    <row r="410" spans="1:6" ht="15.75" x14ac:dyDescent="0.25">
      <c r="A410" s="105"/>
      <c r="B410" s="105"/>
      <c r="C410" s="93"/>
      <c r="D410" s="93" t="str">
        <f t="shared" si="6"/>
        <v/>
      </c>
      <c r="E410" s="123"/>
      <c r="F410" s="123"/>
    </row>
    <row r="411" spans="1:6" ht="15.75" x14ac:dyDescent="0.25">
      <c r="A411" s="105"/>
      <c r="B411" s="105"/>
      <c r="C411" s="93"/>
      <c r="D411" s="93" t="str">
        <f t="shared" si="6"/>
        <v/>
      </c>
      <c r="E411" s="123"/>
      <c r="F411" s="123"/>
    </row>
    <row r="412" spans="1:6" ht="15.75" x14ac:dyDescent="0.25">
      <c r="A412" s="105"/>
      <c r="B412" s="105"/>
      <c r="C412" s="93"/>
      <c r="D412" s="93" t="str">
        <f t="shared" si="6"/>
        <v/>
      </c>
      <c r="E412" s="123"/>
      <c r="F412" s="123"/>
    </row>
    <row r="413" spans="1:6" ht="15.75" x14ac:dyDescent="0.25">
      <c r="A413" s="105"/>
      <c r="B413" s="105"/>
      <c r="C413" s="93"/>
      <c r="D413" s="93" t="str">
        <f t="shared" si="6"/>
        <v/>
      </c>
      <c r="E413" s="123"/>
      <c r="F413" s="123"/>
    </row>
    <row r="414" spans="1:6" ht="15.75" x14ac:dyDescent="0.25">
      <c r="A414" s="105"/>
      <c r="B414" s="105"/>
      <c r="C414" s="93"/>
      <c r="D414" s="93" t="str">
        <f t="shared" si="6"/>
        <v/>
      </c>
      <c r="E414" s="123"/>
      <c r="F414" s="123"/>
    </row>
    <row r="415" spans="1:6" ht="15.75" x14ac:dyDescent="0.25">
      <c r="A415" s="105"/>
      <c r="B415" s="105"/>
      <c r="C415" s="93"/>
      <c r="D415" s="93" t="str">
        <f t="shared" si="6"/>
        <v/>
      </c>
      <c r="E415" s="123"/>
      <c r="F415" s="123"/>
    </row>
    <row r="416" spans="1:6" ht="15.75" x14ac:dyDescent="0.25">
      <c r="A416" s="105"/>
      <c r="B416" s="105"/>
      <c r="C416" s="93"/>
      <c r="D416" s="93" t="str">
        <f t="shared" si="6"/>
        <v/>
      </c>
      <c r="E416" s="123"/>
      <c r="F416" s="123"/>
    </row>
    <row r="417" spans="1:6" ht="15.75" x14ac:dyDescent="0.25">
      <c r="A417" s="105"/>
      <c r="B417" s="105"/>
      <c r="C417" s="93"/>
      <c r="D417" s="93" t="str">
        <f t="shared" si="6"/>
        <v/>
      </c>
      <c r="E417" s="123"/>
      <c r="F417" s="123"/>
    </row>
    <row r="418" spans="1:6" ht="15.75" x14ac:dyDescent="0.25">
      <c r="A418" s="105"/>
      <c r="B418" s="105"/>
      <c r="C418" s="93"/>
      <c r="D418" s="93" t="str">
        <f t="shared" si="6"/>
        <v/>
      </c>
      <c r="E418" s="123"/>
      <c r="F418" s="123"/>
    </row>
    <row r="419" spans="1:6" ht="15.75" x14ac:dyDescent="0.25">
      <c r="A419" s="105"/>
      <c r="B419" s="105"/>
      <c r="C419" s="93"/>
      <c r="D419" s="93" t="str">
        <f t="shared" si="6"/>
        <v/>
      </c>
      <c r="E419" s="123"/>
      <c r="F419" s="123"/>
    </row>
    <row r="420" spans="1:6" ht="15.75" x14ac:dyDescent="0.25">
      <c r="A420" s="105"/>
      <c r="B420" s="105"/>
      <c r="C420" s="93"/>
      <c r="D420" s="93" t="str">
        <f t="shared" si="6"/>
        <v/>
      </c>
      <c r="E420" s="123"/>
      <c r="F420" s="123"/>
    </row>
    <row r="421" spans="1:6" ht="15.75" x14ac:dyDescent="0.25">
      <c r="A421" s="105"/>
      <c r="B421" s="105"/>
      <c r="C421" s="93"/>
      <c r="D421" s="93" t="str">
        <f t="shared" si="6"/>
        <v/>
      </c>
      <c r="E421" s="123"/>
      <c r="F421" s="123"/>
    </row>
    <row r="422" spans="1:6" ht="15.75" x14ac:dyDescent="0.25">
      <c r="A422" s="105"/>
      <c r="B422" s="105"/>
      <c r="C422" s="93"/>
      <c r="D422" s="93" t="str">
        <f t="shared" si="6"/>
        <v/>
      </c>
      <c r="E422" s="123"/>
      <c r="F422" s="123"/>
    </row>
    <row r="423" spans="1:6" ht="15.75" x14ac:dyDescent="0.25">
      <c r="A423" s="105"/>
      <c r="B423" s="105"/>
      <c r="C423" s="93"/>
      <c r="D423" s="93" t="str">
        <f t="shared" si="6"/>
        <v/>
      </c>
      <c r="E423" s="123"/>
      <c r="F423" s="123"/>
    </row>
    <row r="424" spans="1:6" ht="15.75" x14ac:dyDescent="0.25">
      <c r="A424" s="105"/>
      <c r="B424" s="105"/>
      <c r="C424" s="93"/>
      <c r="D424" s="93" t="str">
        <f t="shared" si="6"/>
        <v/>
      </c>
      <c r="E424" s="123"/>
      <c r="F424" s="123"/>
    </row>
    <row r="425" spans="1:6" ht="15.75" x14ac:dyDescent="0.25">
      <c r="A425" s="105"/>
      <c r="B425" s="105"/>
      <c r="C425" s="93"/>
      <c r="D425" s="93" t="str">
        <f t="shared" si="6"/>
        <v/>
      </c>
      <c r="E425" s="123"/>
      <c r="F425" s="123"/>
    </row>
    <row r="426" spans="1:6" ht="15.75" x14ac:dyDescent="0.25">
      <c r="A426" s="105"/>
      <c r="B426" s="105"/>
      <c r="C426" s="93"/>
      <c r="D426" s="93" t="str">
        <f t="shared" si="6"/>
        <v/>
      </c>
      <c r="E426" s="123"/>
      <c r="F426" s="123"/>
    </row>
    <row r="427" spans="1:6" ht="15.75" x14ac:dyDescent="0.25">
      <c r="A427" s="105"/>
      <c r="B427" s="105"/>
      <c r="C427" s="93"/>
      <c r="D427" s="93" t="str">
        <f t="shared" si="6"/>
        <v/>
      </c>
      <c r="E427" s="123"/>
      <c r="F427" s="123"/>
    </row>
    <row r="428" spans="1:6" ht="15.75" x14ac:dyDescent="0.25">
      <c r="A428" s="105"/>
      <c r="B428" s="105"/>
      <c r="C428" s="93"/>
      <c r="D428" s="93" t="str">
        <f t="shared" si="6"/>
        <v/>
      </c>
      <c r="E428" s="123"/>
      <c r="F428" s="123"/>
    </row>
    <row r="429" spans="1:6" ht="15.75" x14ac:dyDescent="0.25">
      <c r="A429" s="105"/>
      <c r="B429" s="105"/>
      <c r="C429" s="93"/>
      <c r="D429" s="93" t="str">
        <f t="shared" si="6"/>
        <v/>
      </c>
      <c r="E429" s="123"/>
      <c r="F429" s="123"/>
    </row>
    <row r="430" spans="1:6" ht="15.75" x14ac:dyDescent="0.25">
      <c r="A430" s="105"/>
      <c r="B430" s="105"/>
      <c r="C430" s="93"/>
      <c r="D430" s="93" t="str">
        <f t="shared" si="6"/>
        <v/>
      </c>
      <c r="E430" s="123"/>
      <c r="F430" s="123"/>
    </row>
    <row r="431" spans="1:6" ht="15.75" x14ac:dyDescent="0.25">
      <c r="A431" s="105"/>
      <c r="B431" s="105"/>
      <c r="C431" s="93"/>
      <c r="D431" s="93" t="str">
        <f t="shared" si="6"/>
        <v/>
      </c>
      <c r="E431" s="123"/>
      <c r="F431" s="123"/>
    </row>
    <row r="432" spans="1:6" ht="15.75" x14ac:dyDescent="0.25">
      <c r="A432" s="105"/>
      <c r="B432" s="105"/>
      <c r="C432" s="93"/>
      <c r="D432" s="93" t="str">
        <f t="shared" si="6"/>
        <v/>
      </c>
      <c r="E432" s="123"/>
      <c r="F432" s="123"/>
    </row>
    <row r="433" spans="1:6" ht="15.75" x14ac:dyDescent="0.25">
      <c r="A433" s="105"/>
      <c r="B433" s="105"/>
      <c r="C433" s="93"/>
      <c r="D433" s="93" t="str">
        <f t="shared" si="6"/>
        <v/>
      </c>
      <c r="E433" s="123"/>
      <c r="F433" s="123"/>
    </row>
    <row r="434" spans="1:6" ht="15.75" x14ac:dyDescent="0.25">
      <c r="A434" s="105"/>
      <c r="B434" s="105"/>
      <c r="C434" s="93"/>
      <c r="D434" s="93" t="str">
        <f t="shared" si="6"/>
        <v/>
      </c>
      <c r="E434" s="123"/>
      <c r="F434" s="123"/>
    </row>
    <row r="435" spans="1:6" ht="15.75" x14ac:dyDescent="0.25">
      <c r="A435" s="105"/>
      <c r="B435" s="105"/>
      <c r="C435" s="93"/>
      <c r="D435" s="93" t="str">
        <f t="shared" si="6"/>
        <v/>
      </c>
      <c r="E435" s="123"/>
      <c r="F435" s="123"/>
    </row>
    <row r="436" spans="1:6" ht="15.75" x14ac:dyDescent="0.25">
      <c r="A436" s="105"/>
      <c r="B436" s="105"/>
      <c r="C436" s="93"/>
      <c r="D436" s="93" t="str">
        <f t="shared" si="6"/>
        <v/>
      </c>
      <c r="E436" s="123"/>
      <c r="F436" s="123"/>
    </row>
    <row r="437" spans="1:6" ht="15.75" x14ac:dyDescent="0.25">
      <c r="A437" s="105"/>
      <c r="B437" s="105"/>
      <c r="C437" s="93"/>
      <c r="D437" s="93" t="str">
        <f t="shared" si="6"/>
        <v/>
      </c>
      <c r="E437" s="123"/>
      <c r="F437" s="123"/>
    </row>
    <row r="438" spans="1:6" ht="15.75" x14ac:dyDescent="0.25">
      <c r="A438" s="105"/>
      <c r="B438" s="105"/>
      <c r="C438" s="93"/>
      <c r="D438" s="93" t="str">
        <f t="shared" si="6"/>
        <v/>
      </c>
      <c r="E438" s="123"/>
      <c r="F438" s="123"/>
    </row>
    <row r="439" spans="1:6" ht="15.75" x14ac:dyDescent="0.25">
      <c r="A439" s="105"/>
      <c r="B439" s="105"/>
      <c r="C439" s="93"/>
      <c r="D439" s="93" t="str">
        <f t="shared" si="6"/>
        <v/>
      </c>
      <c r="E439" s="123"/>
      <c r="F439" s="123"/>
    </row>
    <row r="440" spans="1:6" ht="15.75" x14ac:dyDescent="0.25">
      <c r="A440" s="105"/>
      <c r="B440" s="105"/>
      <c r="C440" s="93"/>
      <c r="D440" s="93" t="str">
        <f t="shared" si="6"/>
        <v/>
      </c>
      <c r="E440" s="123"/>
      <c r="F440" s="123"/>
    </row>
    <row r="441" spans="1:6" ht="15.75" x14ac:dyDescent="0.25">
      <c r="A441" s="105"/>
      <c r="B441" s="105"/>
      <c r="C441" s="93"/>
      <c r="D441" s="93" t="str">
        <f t="shared" si="6"/>
        <v/>
      </c>
      <c r="E441" s="123"/>
      <c r="F441" s="123"/>
    </row>
    <row r="442" spans="1:6" ht="15.75" x14ac:dyDescent="0.25">
      <c r="A442" s="105"/>
      <c r="B442" s="105"/>
      <c r="C442" s="93"/>
      <c r="D442" s="93" t="str">
        <f t="shared" si="6"/>
        <v/>
      </c>
      <c r="E442" s="123"/>
      <c r="F442" s="123"/>
    </row>
    <row r="443" spans="1:6" ht="15.75" x14ac:dyDescent="0.25">
      <c r="A443" s="105"/>
      <c r="B443" s="105"/>
      <c r="C443" s="93"/>
      <c r="D443" s="93" t="str">
        <f t="shared" si="6"/>
        <v/>
      </c>
      <c r="E443" s="123"/>
      <c r="F443" s="123"/>
    </row>
    <row r="444" spans="1:6" ht="15.75" x14ac:dyDescent="0.25">
      <c r="A444" s="105"/>
      <c r="B444" s="105"/>
      <c r="C444" s="93"/>
      <c r="D444" s="93" t="str">
        <f t="shared" si="6"/>
        <v/>
      </c>
      <c r="E444" s="123"/>
      <c r="F444" s="123"/>
    </row>
    <row r="445" spans="1:6" ht="15.75" x14ac:dyDescent="0.25">
      <c r="A445" s="105"/>
      <c r="B445" s="105"/>
      <c r="C445" s="93"/>
      <c r="D445" s="93" t="str">
        <f t="shared" si="6"/>
        <v/>
      </c>
      <c r="E445" s="123"/>
      <c r="F445" s="123"/>
    </row>
    <row r="446" spans="1:6" ht="15.75" x14ac:dyDescent="0.25">
      <c r="A446" s="105"/>
      <c r="B446" s="105"/>
      <c r="C446" s="93"/>
      <c r="D446" s="93" t="str">
        <f t="shared" si="6"/>
        <v/>
      </c>
      <c r="E446" s="123"/>
      <c r="F446" s="123"/>
    </row>
    <row r="447" spans="1:6" ht="15.75" x14ac:dyDescent="0.25">
      <c r="A447" s="105"/>
      <c r="B447" s="105"/>
      <c r="C447" s="93"/>
      <c r="D447" s="93" t="str">
        <f t="shared" si="6"/>
        <v/>
      </c>
      <c r="E447" s="123"/>
      <c r="F447" s="123"/>
    </row>
    <row r="448" spans="1:6" ht="15.75" x14ac:dyDescent="0.25">
      <c r="A448" s="105"/>
      <c r="B448" s="105"/>
      <c r="C448" s="93"/>
      <c r="D448" s="93" t="str">
        <f t="shared" si="6"/>
        <v/>
      </c>
      <c r="E448" s="123"/>
      <c r="F448" s="123"/>
    </row>
    <row r="449" spans="1:6" ht="15.75" x14ac:dyDescent="0.25">
      <c r="A449" s="105"/>
      <c r="B449" s="105"/>
      <c r="C449" s="93"/>
      <c r="D449" s="93" t="str">
        <f t="shared" si="6"/>
        <v/>
      </c>
      <c r="E449" s="123"/>
      <c r="F449" s="123"/>
    </row>
    <row r="450" spans="1:6" ht="15.75" x14ac:dyDescent="0.25">
      <c r="A450" s="105"/>
      <c r="B450" s="105"/>
      <c r="C450" s="93"/>
      <c r="D450" s="93" t="str">
        <f t="shared" si="6"/>
        <v/>
      </c>
      <c r="E450" s="123"/>
      <c r="F450" s="123"/>
    </row>
    <row r="451" spans="1:6" ht="15.75" x14ac:dyDescent="0.25">
      <c r="A451" s="105"/>
      <c r="B451" s="105"/>
      <c r="C451" s="93"/>
      <c r="D451" s="93" t="str">
        <f t="shared" si="6"/>
        <v/>
      </c>
      <c r="E451" s="123"/>
      <c r="F451" s="123"/>
    </row>
    <row r="452" spans="1:6" ht="15.75" x14ac:dyDescent="0.25">
      <c r="A452" s="105"/>
      <c r="B452" s="105"/>
      <c r="C452" s="93"/>
      <c r="D452" s="93" t="str">
        <f t="shared" si="6"/>
        <v/>
      </c>
      <c r="E452" s="123"/>
      <c r="F452" s="123"/>
    </row>
    <row r="453" spans="1:6" ht="15.75" x14ac:dyDescent="0.25">
      <c r="A453" s="105"/>
      <c r="B453" s="105"/>
      <c r="C453" s="93"/>
      <c r="D453" s="93" t="str">
        <f t="shared" si="6"/>
        <v/>
      </c>
      <c r="E453" s="123"/>
      <c r="F453" s="123"/>
    </row>
    <row r="454" spans="1:6" ht="15.75" x14ac:dyDescent="0.25">
      <c r="A454" s="105"/>
      <c r="B454" s="105"/>
      <c r="C454" s="93"/>
      <c r="D454" s="93" t="str">
        <f t="shared" si="6"/>
        <v/>
      </c>
      <c r="E454" s="123"/>
      <c r="F454" s="123"/>
    </row>
    <row r="455" spans="1:6" ht="15.75" x14ac:dyDescent="0.25">
      <c r="A455" s="105"/>
      <c r="B455" s="105"/>
      <c r="C455" s="93"/>
      <c r="D455" s="93" t="str">
        <f t="shared" si="6"/>
        <v/>
      </c>
      <c r="E455" s="123"/>
      <c r="F455" s="123"/>
    </row>
    <row r="456" spans="1:6" ht="15.75" x14ac:dyDescent="0.25">
      <c r="A456" s="105"/>
      <c r="B456" s="105"/>
      <c r="C456" s="93"/>
      <c r="D456" s="93" t="str">
        <f t="shared" si="6"/>
        <v/>
      </c>
      <c r="E456" s="123"/>
      <c r="F456" s="123"/>
    </row>
    <row r="457" spans="1:6" ht="15.75" x14ac:dyDescent="0.25">
      <c r="A457" s="105"/>
      <c r="B457" s="105"/>
      <c r="C457" s="93"/>
      <c r="D457" s="93" t="str">
        <f t="shared" si="6"/>
        <v/>
      </c>
      <c r="E457" s="123"/>
      <c r="F457" s="123"/>
    </row>
    <row r="458" spans="1:6" ht="15.75" x14ac:dyDescent="0.25">
      <c r="A458" s="105"/>
      <c r="B458" s="105"/>
      <c r="C458" s="93"/>
      <c r="D458" s="93" t="str">
        <f t="shared" si="6"/>
        <v/>
      </c>
      <c r="E458" s="123"/>
      <c r="F458" s="123"/>
    </row>
    <row r="459" spans="1:6" ht="15.75" x14ac:dyDescent="0.25">
      <c r="A459" s="105"/>
      <c r="B459" s="105"/>
      <c r="C459" s="93"/>
      <c r="D459" s="93" t="str">
        <f t="shared" ref="D459:D522" si="7">IF(A459=0,"","MinMax")</f>
        <v/>
      </c>
      <c r="E459" s="123"/>
      <c r="F459" s="123"/>
    </row>
    <row r="460" spans="1:6" ht="15.75" x14ac:dyDescent="0.25">
      <c r="A460" s="105"/>
      <c r="B460" s="105"/>
      <c r="C460" s="93"/>
      <c r="D460" s="93" t="str">
        <f t="shared" si="7"/>
        <v/>
      </c>
      <c r="E460" s="123"/>
      <c r="F460" s="123"/>
    </row>
    <row r="461" spans="1:6" ht="15.75" x14ac:dyDescent="0.25">
      <c r="A461" s="105"/>
      <c r="B461" s="105"/>
      <c r="C461" s="93"/>
      <c r="D461" s="93" t="str">
        <f t="shared" si="7"/>
        <v/>
      </c>
      <c r="E461" s="123"/>
      <c r="F461" s="123"/>
    </row>
    <row r="462" spans="1:6" ht="15.75" x14ac:dyDescent="0.25">
      <c r="A462" s="105"/>
      <c r="B462" s="105"/>
      <c r="C462" s="93"/>
      <c r="D462" s="93" t="str">
        <f t="shared" si="7"/>
        <v/>
      </c>
      <c r="E462" s="123"/>
      <c r="F462" s="123"/>
    </row>
    <row r="463" spans="1:6" ht="15.75" x14ac:dyDescent="0.25">
      <c r="A463" s="105"/>
      <c r="B463" s="105"/>
      <c r="C463" s="93"/>
      <c r="D463" s="93" t="str">
        <f t="shared" si="7"/>
        <v/>
      </c>
      <c r="E463" s="123"/>
      <c r="F463" s="123"/>
    </row>
    <row r="464" spans="1:6" ht="15.75" x14ac:dyDescent="0.25">
      <c r="A464" s="105"/>
      <c r="B464" s="105"/>
      <c r="C464" s="93"/>
      <c r="D464" s="93" t="str">
        <f t="shared" si="7"/>
        <v/>
      </c>
      <c r="E464" s="123"/>
      <c r="F464" s="123"/>
    </row>
    <row r="465" spans="1:6" ht="15.75" x14ac:dyDescent="0.25">
      <c r="A465" s="105"/>
      <c r="B465" s="105"/>
      <c r="C465" s="93"/>
      <c r="D465" s="93" t="str">
        <f t="shared" si="7"/>
        <v/>
      </c>
      <c r="E465" s="123"/>
      <c r="F465" s="123"/>
    </row>
    <row r="466" spans="1:6" ht="15.75" x14ac:dyDescent="0.25">
      <c r="A466" s="105"/>
      <c r="B466" s="105"/>
      <c r="C466" s="93"/>
      <c r="D466" s="93" t="str">
        <f t="shared" si="7"/>
        <v/>
      </c>
      <c r="E466" s="123"/>
      <c r="F466" s="123"/>
    </row>
    <row r="467" spans="1:6" ht="15.75" x14ac:dyDescent="0.25">
      <c r="A467" s="105"/>
      <c r="B467" s="105"/>
      <c r="C467" s="93"/>
      <c r="D467" s="93" t="str">
        <f t="shared" si="7"/>
        <v/>
      </c>
      <c r="E467" s="123"/>
      <c r="F467" s="123"/>
    </row>
    <row r="468" spans="1:6" ht="15.75" x14ac:dyDescent="0.25">
      <c r="A468" s="105"/>
      <c r="B468" s="105"/>
      <c r="C468" s="93"/>
      <c r="D468" s="93" t="str">
        <f t="shared" si="7"/>
        <v/>
      </c>
      <c r="E468" s="123"/>
      <c r="F468" s="123"/>
    </row>
    <row r="469" spans="1:6" ht="15.75" x14ac:dyDescent="0.25">
      <c r="A469" s="105"/>
      <c r="B469" s="105"/>
      <c r="C469" s="93"/>
      <c r="D469" s="93" t="str">
        <f t="shared" si="7"/>
        <v/>
      </c>
      <c r="E469" s="123"/>
      <c r="F469" s="123"/>
    </row>
    <row r="470" spans="1:6" ht="15.75" x14ac:dyDescent="0.25">
      <c r="A470" s="105"/>
      <c r="B470" s="105"/>
      <c r="C470" s="93"/>
      <c r="D470" s="93" t="str">
        <f t="shared" si="7"/>
        <v/>
      </c>
      <c r="E470" s="123"/>
      <c r="F470" s="123"/>
    </row>
    <row r="471" spans="1:6" ht="15.75" x14ac:dyDescent="0.25">
      <c r="A471" s="105"/>
      <c r="B471" s="105"/>
      <c r="C471" s="93"/>
      <c r="D471" s="93" t="str">
        <f t="shared" si="7"/>
        <v/>
      </c>
      <c r="E471" s="123"/>
      <c r="F471" s="123"/>
    </row>
    <row r="472" spans="1:6" ht="15.75" x14ac:dyDescent="0.25">
      <c r="A472" s="105"/>
      <c r="B472" s="105"/>
      <c r="C472" s="93"/>
      <c r="D472" s="93" t="str">
        <f t="shared" si="7"/>
        <v/>
      </c>
      <c r="E472" s="123"/>
      <c r="F472" s="123"/>
    </row>
    <row r="473" spans="1:6" ht="15.75" x14ac:dyDescent="0.25">
      <c r="A473" s="105"/>
      <c r="B473" s="105"/>
      <c r="C473" s="93"/>
      <c r="D473" s="93" t="str">
        <f t="shared" si="7"/>
        <v/>
      </c>
      <c r="E473" s="123"/>
      <c r="F473" s="123"/>
    </row>
    <row r="474" spans="1:6" ht="15.75" x14ac:dyDescent="0.25">
      <c r="A474" s="105"/>
      <c r="B474" s="105"/>
      <c r="C474" s="93"/>
      <c r="D474" s="93" t="str">
        <f t="shared" si="7"/>
        <v/>
      </c>
      <c r="E474" s="123"/>
      <c r="F474" s="123"/>
    </row>
    <row r="475" spans="1:6" ht="15.75" x14ac:dyDescent="0.25">
      <c r="A475" s="105"/>
      <c r="B475" s="105"/>
      <c r="C475" s="93"/>
      <c r="D475" s="93" t="str">
        <f t="shared" si="7"/>
        <v/>
      </c>
      <c r="E475" s="123"/>
      <c r="F475" s="123"/>
    </row>
    <row r="476" spans="1:6" ht="15.75" x14ac:dyDescent="0.25">
      <c r="A476" s="105"/>
      <c r="B476" s="105"/>
      <c r="C476" s="93"/>
      <c r="D476" s="93" t="str">
        <f t="shared" si="7"/>
        <v/>
      </c>
      <c r="E476" s="123"/>
      <c r="F476" s="123"/>
    </row>
    <row r="477" spans="1:6" ht="15.75" x14ac:dyDescent="0.25">
      <c r="A477" s="105"/>
      <c r="B477" s="105"/>
      <c r="C477" s="93"/>
      <c r="D477" s="93" t="str">
        <f t="shared" si="7"/>
        <v/>
      </c>
      <c r="E477" s="123"/>
      <c r="F477" s="123"/>
    </row>
    <row r="478" spans="1:6" ht="15.75" x14ac:dyDescent="0.25">
      <c r="A478" s="105"/>
      <c r="B478" s="105"/>
      <c r="C478" s="93"/>
      <c r="D478" s="93" t="str">
        <f t="shared" si="7"/>
        <v/>
      </c>
      <c r="E478" s="123"/>
      <c r="F478" s="123"/>
    </row>
    <row r="479" spans="1:6" ht="15.75" x14ac:dyDescent="0.25">
      <c r="A479" s="105"/>
      <c r="B479" s="105"/>
      <c r="C479" s="93"/>
      <c r="D479" s="93" t="str">
        <f t="shared" si="7"/>
        <v/>
      </c>
      <c r="E479" s="123"/>
      <c r="F479" s="123"/>
    </row>
    <row r="480" spans="1:6" ht="15.75" x14ac:dyDescent="0.25">
      <c r="A480" s="105"/>
      <c r="B480" s="105"/>
      <c r="C480" s="93"/>
      <c r="D480" s="93" t="str">
        <f t="shared" si="7"/>
        <v/>
      </c>
      <c r="E480" s="123"/>
      <c r="F480" s="123"/>
    </row>
    <row r="481" spans="1:6" ht="15.75" x14ac:dyDescent="0.25">
      <c r="A481" s="105"/>
      <c r="B481" s="105"/>
      <c r="C481" s="93"/>
      <c r="D481" s="93" t="str">
        <f t="shared" si="7"/>
        <v/>
      </c>
      <c r="E481" s="123"/>
      <c r="F481" s="123"/>
    </row>
    <row r="482" spans="1:6" ht="15.75" x14ac:dyDescent="0.25">
      <c r="A482" s="105"/>
      <c r="B482" s="105"/>
      <c r="C482" s="93"/>
      <c r="D482" s="93" t="str">
        <f t="shared" si="7"/>
        <v/>
      </c>
      <c r="E482" s="123"/>
      <c r="F482" s="123"/>
    </row>
    <row r="483" spans="1:6" ht="15.75" x14ac:dyDescent="0.25">
      <c r="A483" s="105"/>
      <c r="B483" s="105"/>
      <c r="C483" s="93"/>
      <c r="D483" s="93" t="str">
        <f t="shared" si="7"/>
        <v/>
      </c>
      <c r="E483" s="123"/>
      <c r="F483" s="123"/>
    </row>
    <row r="484" spans="1:6" ht="15.75" x14ac:dyDescent="0.25">
      <c r="A484" s="105"/>
      <c r="B484" s="105"/>
      <c r="C484" s="93"/>
      <c r="D484" s="93" t="str">
        <f t="shared" si="7"/>
        <v/>
      </c>
      <c r="E484" s="123"/>
      <c r="F484" s="123"/>
    </row>
    <row r="485" spans="1:6" ht="15.75" x14ac:dyDescent="0.25">
      <c r="A485" s="105"/>
      <c r="B485" s="105"/>
      <c r="C485" s="93"/>
      <c r="D485" s="93" t="str">
        <f t="shared" si="7"/>
        <v/>
      </c>
      <c r="E485" s="123"/>
      <c r="F485" s="123"/>
    </row>
    <row r="486" spans="1:6" ht="15.75" x14ac:dyDescent="0.25">
      <c r="A486" s="105"/>
      <c r="B486" s="105"/>
      <c r="C486" s="93"/>
      <c r="D486" s="93" t="str">
        <f t="shared" si="7"/>
        <v/>
      </c>
      <c r="E486" s="123"/>
      <c r="F486" s="123"/>
    </row>
    <row r="487" spans="1:6" ht="15.75" x14ac:dyDescent="0.25">
      <c r="A487" s="105"/>
      <c r="B487" s="105"/>
      <c r="C487" s="93"/>
      <c r="D487" s="93" t="str">
        <f t="shared" si="7"/>
        <v/>
      </c>
      <c r="E487" s="123"/>
      <c r="F487" s="123"/>
    </row>
    <row r="488" spans="1:6" ht="15.75" x14ac:dyDescent="0.25">
      <c r="A488" s="105"/>
      <c r="B488" s="105"/>
      <c r="C488" s="93"/>
      <c r="D488" s="93" t="str">
        <f t="shared" si="7"/>
        <v/>
      </c>
      <c r="E488" s="123"/>
      <c r="F488" s="123"/>
    </row>
    <row r="489" spans="1:6" ht="15.75" x14ac:dyDescent="0.25">
      <c r="A489" s="105"/>
      <c r="B489" s="105"/>
      <c r="C489" s="93"/>
      <c r="D489" s="93" t="str">
        <f t="shared" si="7"/>
        <v/>
      </c>
      <c r="E489" s="123"/>
      <c r="F489" s="123"/>
    </row>
    <row r="490" spans="1:6" ht="15.75" x14ac:dyDescent="0.25">
      <c r="A490" s="105"/>
      <c r="B490" s="105"/>
      <c r="C490" s="93"/>
      <c r="D490" s="93" t="str">
        <f t="shared" si="7"/>
        <v/>
      </c>
      <c r="E490" s="123"/>
      <c r="F490" s="123"/>
    </row>
    <row r="491" spans="1:6" ht="15.75" x14ac:dyDescent="0.25">
      <c r="A491" s="105"/>
      <c r="B491" s="105"/>
      <c r="C491" s="93"/>
      <c r="D491" s="93" t="str">
        <f t="shared" si="7"/>
        <v/>
      </c>
      <c r="E491" s="123"/>
      <c r="F491" s="123"/>
    </row>
    <row r="492" spans="1:6" ht="15.75" x14ac:dyDescent="0.25">
      <c r="A492" s="105"/>
      <c r="B492" s="105"/>
      <c r="C492" s="93"/>
      <c r="D492" s="93" t="str">
        <f t="shared" si="7"/>
        <v/>
      </c>
      <c r="E492" s="123"/>
      <c r="F492" s="123"/>
    </row>
    <row r="493" spans="1:6" ht="15.75" x14ac:dyDescent="0.25">
      <c r="A493" s="105"/>
      <c r="B493" s="105"/>
      <c r="C493" s="93"/>
      <c r="D493" s="93" t="str">
        <f t="shared" si="7"/>
        <v/>
      </c>
      <c r="E493" s="123"/>
      <c r="F493" s="123"/>
    </row>
    <row r="494" spans="1:6" ht="15.75" x14ac:dyDescent="0.25">
      <c r="A494" s="105"/>
      <c r="B494" s="105"/>
      <c r="C494" s="93"/>
      <c r="D494" s="93" t="str">
        <f t="shared" si="7"/>
        <v/>
      </c>
      <c r="E494" s="123"/>
      <c r="F494" s="123"/>
    </row>
    <row r="495" spans="1:6" ht="15.75" x14ac:dyDescent="0.25">
      <c r="A495" s="105"/>
      <c r="B495" s="105"/>
      <c r="C495" s="93"/>
      <c r="D495" s="93" t="str">
        <f t="shared" si="7"/>
        <v/>
      </c>
      <c r="E495" s="123"/>
      <c r="F495" s="123"/>
    </row>
    <row r="496" spans="1:6" ht="15.75" x14ac:dyDescent="0.25">
      <c r="A496" s="105"/>
      <c r="B496" s="105"/>
      <c r="C496" s="93"/>
      <c r="D496" s="93" t="str">
        <f t="shared" si="7"/>
        <v/>
      </c>
      <c r="E496" s="123"/>
      <c r="F496" s="123"/>
    </row>
    <row r="497" spans="1:6" ht="15.75" x14ac:dyDescent="0.25">
      <c r="A497" s="105"/>
      <c r="B497" s="105"/>
      <c r="C497" s="93"/>
      <c r="D497" s="93" t="str">
        <f t="shared" si="7"/>
        <v/>
      </c>
      <c r="E497" s="123"/>
      <c r="F497" s="123"/>
    </row>
    <row r="498" spans="1:6" ht="15.75" x14ac:dyDescent="0.25">
      <c r="A498" s="105"/>
      <c r="B498" s="105"/>
      <c r="C498" s="93"/>
      <c r="D498" s="93" t="str">
        <f t="shared" si="7"/>
        <v/>
      </c>
      <c r="E498" s="123"/>
      <c r="F498" s="123"/>
    </row>
    <row r="499" spans="1:6" ht="15.75" x14ac:dyDescent="0.25">
      <c r="A499" s="105"/>
      <c r="B499" s="105"/>
      <c r="C499" s="93"/>
      <c r="D499" s="93" t="str">
        <f t="shared" si="7"/>
        <v/>
      </c>
      <c r="E499" s="123"/>
      <c r="F499" s="123"/>
    </row>
    <row r="500" spans="1:6" ht="15.75" x14ac:dyDescent="0.25">
      <c r="A500" s="105"/>
      <c r="B500" s="105"/>
      <c r="C500" s="93"/>
      <c r="D500" s="93" t="str">
        <f t="shared" si="7"/>
        <v/>
      </c>
      <c r="E500" s="123"/>
      <c r="F500" s="123"/>
    </row>
    <row r="501" spans="1:6" ht="15.75" x14ac:dyDescent="0.25">
      <c r="A501" s="105"/>
      <c r="B501" s="105"/>
      <c r="C501" s="93"/>
      <c r="D501" s="93" t="str">
        <f t="shared" si="7"/>
        <v/>
      </c>
      <c r="E501" s="123"/>
      <c r="F501" s="123"/>
    </row>
    <row r="502" spans="1:6" ht="15.75" x14ac:dyDescent="0.25">
      <c r="A502" s="105"/>
      <c r="B502" s="105"/>
      <c r="C502" s="93"/>
      <c r="D502" s="93" t="str">
        <f t="shared" si="7"/>
        <v/>
      </c>
      <c r="E502" s="123"/>
      <c r="F502" s="123"/>
    </row>
    <row r="503" spans="1:6" ht="15.75" x14ac:dyDescent="0.25">
      <c r="A503" s="105"/>
      <c r="B503" s="105"/>
      <c r="C503" s="93"/>
      <c r="D503" s="93" t="str">
        <f t="shared" si="7"/>
        <v/>
      </c>
      <c r="E503" s="123"/>
      <c r="F503" s="123"/>
    </row>
    <row r="504" spans="1:6" ht="15.75" x14ac:dyDescent="0.25">
      <c r="A504" s="105"/>
      <c r="B504" s="105"/>
      <c r="C504" s="93"/>
      <c r="D504" s="93" t="str">
        <f t="shared" si="7"/>
        <v/>
      </c>
      <c r="E504" s="123"/>
      <c r="F504" s="123"/>
    </row>
    <row r="505" spans="1:6" ht="15.75" x14ac:dyDescent="0.25">
      <c r="A505" s="105"/>
      <c r="B505" s="105"/>
      <c r="C505" s="93"/>
      <c r="D505" s="93" t="str">
        <f t="shared" si="7"/>
        <v/>
      </c>
      <c r="E505" s="123"/>
      <c r="F505" s="123"/>
    </row>
    <row r="506" spans="1:6" ht="15.75" x14ac:dyDescent="0.25">
      <c r="A506" s="105"/>
      <c r="B506" s="105"/>
      <c r="C506" s="93"/>
      <c r="D506" s="93" t="str">
        <f t="shared" si="7"/>
        <v/>
      </c>
      <c r="E506" s="123"/>
      <c r="F506" s="123"/>
    </row>
    <row r="507" spans="1:6" ht="15.75" x14ac:dyDescent="0.25">
      <c r="A507" s="105"/>
      <c r="B507" s="105"/>
      <c r="C507" s="93"/>
      <c r="D507" s="93" t="str">
        <f t="shared" si="7"/>
        <v/>
      </c>
      <c r="E507" s="123"/>
      <c r="F507" s="123"/>
    </row>
    <row r="508" spans="1:6" ht="15.75" x14ac:dyDescent="0.25">
      <c r="A508" s="105"/>
      <c r="B508" s="105"/>
      <c r="C508" s="93"/>
      <c r="D508" s="93" t="str">
        <f t="shared" si="7"/>
        <v/>
      </c>
      <c r="E508" s="123"/>
      <c r="F508" s="123"/>
    </row>
    <row r="509" spans="1:6" ht="15.75" x14ac:dyDescent="0.25">
      <c r="A509" s="105"/>
      <c r="B509" s="105"/>
      <c r="C509" s="93"/>
      <c r="D509" s="93" t="str">
        <f t="shared" si="7"/>
        <v/>
      </c>
      <c r="E509" s="123"/>
      <c r="F509" s="123"/>
    </row>
    <row r="510" spans="1:6" ht="15.75" x14ac:dyDescent="0.25">
      <c r="A510" s="105"/>
      <c r="B510" s="105"/>
      <c r="C510" s="93"/>
      <c r="D510" s="93" t="str">
        <f t="shared" si="7"/>
        <v/>
      </c>
      <c r="E510" s="123"/>
      <c r="F510" s="123"/>
    </row>
    <row r="511" spans="1:6" ht="15.75" x14ac:dyDescent="0.25">
      <c r="A511" s="105"/>
      <c r="B511" s="105"/>
      <c r="C511" s="93"/>
      <c r="D511" s="93" t="str">
        <f t="shared" si="7"/>
        <v/>
      </c>
      <c r="E511" s="123"/>
      <c r="F511" s="123"/>
    </row>
    <row r="512" spans="1:6" ht="15.75" x14ac:dyDescent="0.25">
      <c r="A512" s="105"/>
      <c r="B512" s="105"/>
      <c r="C512" s="93"/>
      <c r="D512" s="93" t="str">
        <f t="shared" si="7"/>
        <v/>
      </c>
      <c r="E512" s="123"/>
      <c r="F512" s="123"/>
    </row>
    <row r="513" spans="1:6" ht="15.75" x14ac:dyDescent="0.25">
      <c r="A513" s="105"/>
      <c r="B513" s="105"/>
      <c r="C513" s="93"/>
      <c r="D513" s="93" t="str">
        <f t="shared" si="7"/>
        <v/>
      </c>
      <c r="E513" s="123"/>
      <c r="F513" s="123"/>
    </row>
    <row r="514" spans="1:6" ht="15.75" x14ac:dyDescent="0.25">
      <c r="A514" s="105"/>
      <c r="B514" s="105"/>
      <c r="C514" s="93"/>
      <c r="D514" s="93" t="str">
        <f t="shared" si="7"/>
        <v/>
      </c>
      <c r="E514" s="123"/>
      <c r="F514" s="123"/>
    </row>
    <row r="515" spans="1:6" ht="15.75" x14ac:dyDescent="0.25">
      <c r="A515" s="105"/>
      <c r="B515" s="105"/>
      <c r="C515" s="93"/>
      <c r="D515" s="93" t="str">
        <f t="shared" si="7"/>
        <v/>
      </c>
      <c r="E515" s="123"/>
      <c r="F515" s="123"/>
    </row>
    <row r="516" spans="1:6" ht="15.75" x14ac:dyDescent="0.25">
      <c r="A516" s="105"/>
      <c r="B516" s="105"/>
      <c r="C516" s="93"/>
      <c r="D516" s="93" t="str">
        <f t="shared" si="7"/>
        <v/>
      </c>
      <c r="E516" s="123"/>
      <c r="F516" s="123"/>
    </row>
    <row r="517" spans="1:6" ht="15.75" x14ac:dyDescent="0.25">
      <c r="A517" s="105"/>
      <c r="B517" s="105"/>
      <c r="C517" s="93"/>
      <c r="D517" s="93" t="str">
        <f t="shared" si="7"/>
        <v/>
      </c>
      <c r="E517" s="123"/>
      <c r="F517" s="123"/>
    </row>
    <row r="518" spans="1:6" ht="15.75" x14ac:dyDescent="0.25">
      <c r="A518" s="105"/>
      <c r="B518" s="105"/>
      <c r="C518" s="93"/>
      <c r="D518" s="93" t="str">
        <f t="shared" si="7"/>
        <v/>
      </c>
      <c r="E518" s="123"/>
      <c r="F518" s="123"/>
    </row>
    <row r="519" spans="1:6" ht="15.75" x14ac:dyDescent="0.25">
      <c r="A519" s="105"/>
      <c r="B519" s="105"/>
      <c r="C519" s="93"/>
      <c r="D519" s="93" t="str">
        <f t="shared" si="7"/>
        <v/>
      </c>
      <c r="E519" s="123"/>
      <c r="F519" s="123"/>
    </row>
    <row r="520" spans="1:6" ht="15.75" x14ac:dyDescent="0.25">
      <c r="A520" s="105"/>
      <c r="B520" s="105"/>
      <c r="C520" s="93"/>
      <c r="D520" s="93" t="str">
        <f t="shared" si="7"/>
        <v/>
      </c>
      <c r="E520" s="123"/>
      <c r="F520" s="123"/>
    </row>
    <row r="521" spans="1:6" ht="15.75" x14ac:dyDescent="0.25">
      <c r="A521" s="105"/>
      <c r="B521" s="105"/>
      <c r="C521" s="93"/>
      <c r="D521" s="93" t="str">
        <f t="shared" si="7"/>
        <v/>
      </c>
      <c r="E521" s="123"/>
      <c r="F521" s="123"/>
    </row>
    <row r="522" spans="1:6" ht="15.75" x14ac:dyDescent="0.25">
      <c r="A522" s="105"/>
      <c r="B522" s="105"/>
      <c r="C522" s="93"/>
      <c r="D522" s="93" t="str">
        <f t="shared" si="7"/>
        <v/>
      </c>
      <c r="E522" s="123"/>
      <c r="F522" s="123"/>
    </row>
    <row r="523" spans="1:6" ht="15.75" x14ac:dyDescent="0.25">
      <c r="A523" s="105"/>
      <c r="B523" s="105"/>
      <c r="C523" s="93"/>
      <c r="D523" s="93" t="str">
        <f t="shared" ref="D523:D586" si="8">IF(A523=0,"","MinMax")</f>
        <v/>
      </c>
      <c r="E523" s="123"/>
      <c r="F523" s="123"/>
    </row>
    <row r="524" spans="1:6" ht="15.75" x14ac:dyDescent="0.25">
      <c r="A524" s="105"/>
      <c r="B524" s="105"/>
      <c r="C524" s="93"/>
      <c r="D524" s="93" t="str">
        <f t="shared" si="8"/>
        <v/>
      </c>
      <c r="E524" s="123"/>
      <c r="F524" s="123"/>
    </row>
    <row r="525" spans="1:6" ht="15.75" x14ac:dyDescent="0.25">
      <c r="A525" s="105"/>
      <c r="B525" s="105"/>
      <c r="C525" s="93"/>
      <c r="D525" s="93" t="str">
        <f t="shared" si="8"/>
        <v/>
      </c>
      <c r="E525" s="123"/>
      <c r="F525" s="123"/>
    </row>
    <row r="526" spans="1:6" ht="15.75" x14ac:dyDescent="0.25">
      <c r="A526" s="105"/>
      <c r="B526" s="105"/>
      <c r="C526" s="93"/>
      <c r="D526" s="93" t="str">
        <f t="shared" si="8"/>
        <v/>
      </c>
      <c r="E526" s="123"/>
      <c r="F526" s="123"/>
    </row>
    <row r="527" spans="1:6" ht="15.75" x14ac:dyDescent="0.25">
      <c r="A527" s="105"/>
      <c r="B527" s="105"/>
      <c r="C527" s="93"/>
      <c r="D527" s="93" t="str">
        <f t="shared" si="8"/>
        <v/>
      </c>
      <c r="E527" s="123"/>
      <c r="F527" s="123"/>
    </row>
    <row r="528" spans="1:6" ht="15.75" x14ac:dyDescent="0.25">
      <c r="A528" s="105"/>
      <c r="B528" s="105"/>
      <c r="C528" s="93"/>
      <c r="D528" s="93" t="str">
        <f t="shared" si="8"/>
        <v/>
      </c>
      <c r="E528" s="123"/>
      <c r="F528" s="123"/>
    </row>
    <row r="529" spans="1:6" ht="15.75" x14ac:dyDescent="0.25">
      <c r="A529" s="105"/>
      <c r="B529" s="105"/>
      <c r="C529" s="93"/>
      <c r="D529" s="93" t="str">
        <f t="shared" si="8"/>
        <v/>
      </c>
      <c r="E529" s="123"/>
      <c r="F529" s="123"/>
    </row>
    <row r="530" spans="1:6" ht="15.75" x14ac:dyDescent="0.25">
      <c r="A530" s="105"/>
      <c r="B530" s="105"/>
      <c r="C530" s="93"/>
      <c r="D530" s="93" t="str">
        <f t="shared" si="8"/>
        <v/>
      </c>
      <c r="E530" s="123"/>
      <c r="F530" s="123"/>
    </row>
    <row r="531" spans="1:6" ht="15.75" x14ac:dyDescent="0.25">
      <c r="A531" s="105"/>
      <c r="B531" s="105"/>
      <c r="C531" s="93"/>
      <c r="D531" s="93" t="str">
        <f t="shared" si="8"/>
        <v/>
      </c>
      <c r="E531" s="123"/>
      <c r="F531" s="123"/>
    </row>
    <row r="532" spans="1:6" ht="15.75" x14ac:dyDescent="0.25">
      <c r="A532" s="105"/>
      <c r="B532" s="105"/>
      <c r="C532" s="93"/>
      <c r="D532" s="93" t="str">
        <f t="shared" si="8"/>
        <v/>
      </c>
      <c r="E532" s="123"/>
      <c r="F532" s="123"/>
    </row>
    <row r="533" spans="1:6" ht="15.75" x14ac:dyDescent="0.25">
      <c r="A533" s="105"/>
      <c r="B533" s="105"/>
      <c r="C533" s="93"/>
      <c r="D533" s="93" t="str">
        <f t="shared" si="8"/>
        <v/>
      </c>
      <c r="E533" s="123"/>
      <c r="F533" s="123"/>
    </row>
    <row r="534" spans="1:6" ht="15.75" x14ac:dyDescent="0.25">
      <c r="A534" s="105"/>
      <c r="B534" s="105"/>
      <c r="C534" s="93"/>
      <c r="D534" s="93" t="str">
        <f t="shared" si="8"/>
        <v/>
      </c>
      <c r="E534" s="123"/>
      <c r="F534" s="123"/>
    </row>
    <row r="535" spans="1:6" ht="15.75" x14ac:dyDescent="0.25">
      <c r="A535" s="105"/>
      <c r="B535" s="105"/>
      <c r="C535" s="93"/>
      <c r="D535" s="93" t="str">
        <f t="shared" si="8"/>
        <v/>
      </c>
      <c r="E535" s="123"/>
      <c r="F535" s="123"/>
    </row>
    <row r="536" spans="1:6" ht="15.75" x14ac:dyDescent="0.25">
      <c r="A536" s="105"/>
      <c r="B536" s="105"/>
      <c r="C536" s="93"/>
      <c r="D536" s="93" t="str">
        <f t="shared" si="8"/>
        <v/>
      </c>
      <c r="E536" s="123"/>
      <c r="F536" s="123"/>
    </row>
    <row r="537" spans="1:6" ht="15.75" x14ac:dyDescent="0.25">
      <c r="A537" s="105"/>
      <c r="B537" s="105"/>
      <c r="C537" s="93"/>
      <c r="D537" s="93" t="str">
        <f t="shared" si="8"/>
        <v/>
      </c>
      <c r="E537" s="123"/>
      <c r="F537" s="123"/>
    </row>
    <row r="538" spans="1:6" ht="15.75" x14ac:dyDescent="0.25">
      <c r="A538" s="105"/>
      <c r="B538" s="105"/>
      <c r="C538" s="93"/>
      <c r="D538" s="93" t="str">
        <f t="shared" si="8"/>
        <v/>
      </c>
      <c r="E538" s="123"/>
      <c r="F538" s="123"/>
    </row>
    <row r="539" spans="1:6" ht="15.75" x14ac:dyDescent="0.25">
      <c r="A539" s="105"/>
      <c r="B539" s="105"/>
      <c r="C539" s="93"/>
      <c r="D539" s="93" t="str">
        <f t="shared" si="8"/>
        <v/>
      </c>
      <c r="E539" s="123"/>
      <c r="F539" s="123"/>
    </row>
    <row r="540" spans="1:6" ht="15.75" x14ac:dyDescent="0.25">
      <c r="A540" s="105"/>
      <c r="B540" s="105"/>
      <c r="C540" s="93"/>
      <c r="D540" s="93" t="str">
        <f t="shared" si="8"/>
        <v/>
      </c>
      <c r="E540" s="123"/>
      <c r="F540" s="123"/>
    </row>
    <row r="541" spans="1:6" ht="15.75" x14ac:dyDescent="0.25">
      <c r="A541" s="105"/>
      <c r="B541" s="105"/>
      <c r="C541" s="93"/>
      <c r="D541" s="93" t="str">
        <f t="shared" si="8"/>
        <v/>
      </c>
      <c r="E541" s="123"/>
      <c r="F541" s="123"/>
    </row>
    <row r="542" spans="1:6" ht="15.75" x14ac:dyDescent="0.25">
      <c r="A542" s="105"/>
      <c r="B542" s="105"/>
      <c r="C542" s="93"/>
      <c r="D542" s="93" t="str">
        <f t="shared" si="8"/>
        <v/>
      </c>
      <c r="E542" s="123"/>
      <c r="F542" s="123"/>
    </row>
    <row r="543" spans="1:6" ht="15.75" x14ac:dyDescent="0.25">
      <c r="A543" s="105"/>
      <c r="B543" s="105"/>
      <c r="C543" s="93"/>
      <c r="D543" s="93" t="str">
        <f t="shared" si="8"/>
        <v/>
      </c>
      <c r="E543" s="123"/>
      <c r="F543" s="123"/>
    </row>
    <row r="544" spans="1:6" ht="15.75" x14ac:dyDescent="0.25">
      <c r="A544" s="105"/>
      <c r="B544" s="105"/>
      <c r="C544" s="93"/>
      <c r="D544" s="93" t="str">
        <f t="shared" si="8"/>
        <v/>
      </c>
      <c r="E544" s="123"/>
      <c r="F544" s="123"/>
    </row>
    <row r="545" spans="1:6" ht="15.75" x14ac:dyDescent="0.25">
      <c r="A545" s="105"/>
      <c r="B545" s="105"/>
      <c r="C545" s="93"/>
      <c r="D545" s="93" t="str">
        <f t="shared" si="8"/>
        <v/>
      </c>
      <c r="E545" s="123"/>
      <c r="F545" s="123"/>
    </row>
    <row r="546" spans="1:6" ht="15.75" x14ac:dyDescent="0.25">
      <c r="A546" s="105"/>
      <c r="B546" s="105"/>
      <c r="C546" s="93"/>
      <c r="D546" s="93" t="str">
        <f t="shared" si="8"/>
        <v/>
      </c>
      <c r="E546" s="123"/>
      <c r="F546" s="123"/>
    </row>
    <row r="547" spans="1:6" ht="15.75" x14ac:dyDescent="0.25">
      <c r="A547" s="105"/>
      <c r="B547" s="105"/>
      <c r="C547" s="93"/>
      <c r="D547" s="93" t="str">
        <f t="shared" si="8"/>
        <v/>
      </c>
      <c r="E547" s="123"/>
      <c r="F547" s="123"/>
    </row>
    <row r="548" spans="1:6" ht="15.75" x14ac:dyDescent="0.25">
      <c r="A548" s="105"/>
      <c r="B548" s="105"/>
      <c r="C548" s="93"/>
      <c r="D548" s="93" t="str">
        <f t="shared" si="8"/>
        <v/>
      </c>
      <c r="E548" s="123"/>
      <c r="F548" s="123"/>
    </row>
    <row r="549" spans="1:6" ht="15.75" x14ac:dyDescent="0.25">
      <c r="A549" s="105"/>
      <c r="B549" s="105"/>
      <c r="C549" s="93"/>
      <c r="D549" s="93" t="str">
        <f t="shared" si="8"/>
        <v/>
      </c>
      <c r="E549" s="123"/>
      <c r="F549" s="123"/>
    </row>
    <row r="550" spans="1:6" ht="15.75" x14ac:dyDescent="0.25">
      <c r="A550" s="105"/>
      <c r="B550" s="105"/>
      <c r="C550" s="93"/>
      <c r="D550" s="93" t="str">
        <f t="shared" si="8"/>
        <v/>
      </c>
      <c r="E550" s="123"/>
      <c r="F550" s="123"/>
    </row>
    <row r="551" spans="1:6" ht="15.75" x14ac:dyDescent="0.25">
      <c r="A551" s="105"/>
      <c r="B551" s="105"/>
      <c r="C551" s="93"/>
      <c r="D551" s="93" t="str">
        <f t="shared" si="8"/>
        <v/>
      </c>
      <c r="E551" s="123"/>
      <c r="F551" s="123"/>
    </row>
    <row r="552" spans="1:6" ht="15.75" x14ac:dyDescent="0.25">
      <c r="A552" s="105"/>
      <c r="B552" s="105"/>
      <c r="C552" s="93"/>
      <c r="D552" s="93" t="str">
        <f t="shared" si="8"/>
        <v/>
      </c>
      <c r="E552" s="123"/>
      <c r="F552" s="123"/>
    </row>
    <row r="553" spans="1:6" ht="15.75" x14ac:dyDescent="0.25">
      <c r="A553" s="105"/>
      <c r="B553" s="105"/>
      <c r="C553" s="93"/>
      <c r="D553" s="93" t="str">
        <f t="shared" si="8"/>
        <v/>
      </c>
      <c r="E553" s="123"/>
      <c r="F553" s="123"/>
    </row>
    <row r="554" spans="1:6" ht="15.75" x14ac:dyDescent="0.25">
      <c r="A554" s="105"/>
      <c r="B554" s="105"/>
      <c r="C554" s="93"/>
      <c r="D554" s="93" t="str">
        <f t="shared" si="8"/>
        <v/>
      </c>
      <c r="E554" s="123"/>
      <c r="F554" s="123"/>
    </row>
    <row r="555" spans="1:6" ht="15.75" x14ac:dyDescent="0.25">
      <c r="A555" s="105"/>
      <c r="B555" s="105"/>
      <c r="C555" s="93"/>
      <c r="D555" s="93" t="str">
        <f t="shared" si="8"/>
        <v/>
      </c>
      <c r="E555" s="123"/>
      <c r="F555" s="123"/>
    </row>
    <row r="556" spans="1:6" ht="15.75" x14ac:dyDescent="0.25">
      <c r="A556" s="105"/>
      <c r="B556" s="105"/>
      <c r="C556" s="93"/>
      <c r="D556" s="93" t="str">
        <f t="shared" si="8"/>
        <v/>
      </c>
      <c r="E556" s="123"/>
      <c r="F556" s="123"/>
    </row>
    <row r="557" spans="1:6" ht="15.75" x14ac:dyDescent="0.25">
      <c r="A557" s="105"/>
      <c r="B557" s="105"/>
      <c r="C557" s="93"/>
      <c r="D557" s="93" t="str">
        <f t="shared" si="8"/>
        <v/>
      </c>
      <c r="E557" s="123"/>
      <c r="F557" s="123"/>
    </row>
    <row r="558" spans="1:6" ht="15.75" x14ac:dyDescent="0.25">
      <c r="A558" s="105"/>
      <c r="B558" s="105"/>
      <c r="C558" s="93"/>
      <c r="D558" s="93" t="str">
        <f t="shared" si="8"/>
        <v/>
      </c>
      <c r="E558" s="123"/>
      <c r="F558" s="123"/>
    </row>
    <row r="559" spans="1:6" ht="15.75" x14ac:dyDescent="0.25">
      <c r="A559" s="105"/>
      <c r="B559" s="105"/>
      <c r="C559" s="93"/>
      <c r="D559" s="93" t="str">
        <f t="shared" si="8"/>
        <v/>
      </c>
      <c r="E559" s="123"/>
      <c r="F559" s="123"/>
    </row>
    <row r="560" spans="1:6" ht="15.75" x14ac:dyDescent="0.25">
      <c r="A560" s="105"/>
      <c r="B560" s="105"/>
      <c r="C560" s="93"/>
      <c r="D560" s="93" t="str">
        <f t="shared" si="8"/>
        <v/>
      </c>
      <c r="E560" s="123"/>
      <c r="F560" s="123"/>
    </row>
    <row r="561" spans="1:6" ht="15.75" x14ac:dyDescent="0.25">
      <c r="A561" s="105"/>
      <c r="B561" s="105"/>
      <c r="C561" s="93"/>
      <c r="D561" s="93" t="str">
        <f t="shared" si="8"/>
        <v/>
      </c>
      <c r="E561" s="123"/>
      <c r="F561" s="123"/>
    </row>
    <row r="562" spans="1:6" ht="15.75" x14ac:dyDescent="0.25">
      <c r="A562" s="105"/>
      <c r="B562" s="105"/>
      <c r="C562" s="93"/>
      <c r="D562" s="93" t="str">
        <f t="shared" si="8"/>
        <v/>
      </c>
      <c r="E562" s="123"/>
      <c r="F562" s="123"/>
    </row>
    <row r="563" spans="1:6" ht="15.75" x14ac:dyDescent="0.25">
      <c r="A563" s="105"/>
      <c r="B563" s="105"/>
      <c r="C563" s="93"/>
      <c r="D563" s="93" t="str">
        <f t="shared" si="8"/>
        <v/>
      </c>
      <c r="E563" s="123"/>
      <c r="F563" s="123"/>
    </row>
    <row r="564" spans="1:6" ht="15.75" x14ac:dyDescent="0.25">
      <c r="A564" s="105"/>
      <c r="B564" s="105"/>
      <c r="C564" s="93"/>
      <c r="D564" s="93" t="str">
        <f t="shared" si="8"/>
        <v/>
      </c>
      <c r="E564" s="123"/>
      <c r="F564" s="123"/>
    </row>
    <row r="565" spans="1:6" ht="15.75" x14ac:dyDescent="0.25">
      <c r="A565" s="105"/>
      <c r="B565" s="105"/>
      <c r="C565" s="93"/>
      <c r="D565" s="93" t="str">
        <f t="shared" si="8"/>
        <v/>
      </c>
      <c r="E565" s="123"/>
      <c r="F565" s="123"/>
    </row>
    <row r="566" spans="1:6" ht="15.75" x14ac:dyDescent="0.25">
      <c r="A566" s="105"/>
      <c r="B566" s="105"/>
      <c r="C566" s="93"/>
      <c r="D566" s="93" t="str">
        <f t="shared" si="8"/>
        <v/>
      </c>
      <c r="E566" s="123"/>
      <c r="F566" s="123"/>
    </row>
    <row r="567" spans="1:6" ht="15.75" x14ac:dyDescent="0.25">
      <c r="A567" s="105"/>
      <c r="B567" s="105"/>
      <c r="C567" s="93"/>
      <c r="D567" s="93" t="str">
        <f t="shared" si="8"/>
        <v/>
      </c>
      <c r="E567" s="123"/>
      <c r="F567" s="123"/>
    </row>
    <row r="568" spans="1:6" ht="15.75" x14ac:dyDescent="0.25">
      <c r="A568" s="105"/>
      <c r="B568" s="105"/>
      <c r="C568" s="93"/>
      <c r="D568" s="93" t="str">
        <f t="shared" si="8"/>
        <v/>
      </c>
      <c r="E568" s="123"/>
      <c r="F568" s="123"/>
    </row>
    <row r="569" spans="1:6" ht="15.75" x14ac:dyDescent="0.25">
      <c r="A569" s="105"/>
      <c r="B569" s="105"/>
      <c r="C569" s="93"/>
      <c r="D569" s="93" t="str">
        <f t="shared" si="8"/>
        <v/>
      </c>
      <c r="E569" s="123"/>
      <c r="F569" s="123"/>
    </row>
    <row r="570" spans="1:6" ht="15.75" x14ac:dyDescent="0.25">
      <c r="A570" s="105"/>
      <c r="B570" s="105"/>
      <c r="C570" s="93"/>
      <c r="D570" s="93" t="str">
        <f t="shared" si="8"/>
        <v/>
      </c>
      <c r="E570" s="123"/>
      <c r="F570" s="123"/>
    </row>
    <row r="571" spans="1:6" ht="15.75" x14ac:dyDescent="0.25">
      <c r="A571" s="105"/>
      <c r="B571" s="105"/>
      <c r="C571" s="93"/>
      <c r="D571" s="93" t="str">
        <f t="shared" si="8"/>
        <v/>
      </c>
      <c r="E571" s="123"/>
      <c r="F571" s="123"/>
    </row>
    <row r="572" spans="1:6" ht="15.75" x14ac:dyDescent="0.25">
      <c r="A572" s="105"/>
      <c r="B572" s="105"/>
      <c r="C572" s="93"/>
      <c r="D572" s="93" t="str">
        <f t="shared" si="8"/>
        <v/>
      </c>
      <c r="E572" s="123"/>
      <c r="F572" s="123"/>
    </row>
    <row r="573" spans="1:6" ht="15.75" x14ac:dyDescent="0.25">
      <c r="A573" s="105"/>
      <c r="B573" s="105"/>
      <c r="C573" s="93"/>
      <c r="D573" s="93" t="str">
        <f t="shared" si="8"/>
        <v/>
      </c>
      <c r="E573" s="123"/>
      <c r="F573" s="123"/>
    </row>
    <row r="574" spans="1:6" ht="15.75" x14ac:dyDescent="0.25">
      <c r="A574" s="105"/>
      <c r="B574" s="105"/>
      <c r="C574" s="93"/>
      <c r="D574" s="93" t="str">
        <f t="shared" si="8"/>
        <v/>
      </c>
      <c r="E574" s="123"/>
      <c r="F574" s="123"/>
    </row>
    <row r="575" spans="1:6" ht="15.75" x14ac:dyDescent="0.25">
      <c r="A575" s="105"/>
      <c r="B575" s="105"/>
      <c r="C575" s="93"/>
      <c r="D575" s="93" t="str">
        <f t="shared" si="8"/>
        <v/>
      </c>
      <c r="E575" s="123"/>
      <c r="F575" s="123"/>
    </row>
    <row r="576" spans="1:6" ht="15.75" x14ac:dyDescent="0.25">
      <c r="A576" s="105"/>
      <c r="B576" s="105"/>
      <c r="C576" s="93"/>
      <c r="D576" s="93" t="str">
        <f t="shared" si="8"/>
        <v/>
      </c>
      <c r="E576" s="123"/>
      <c r="F576" s="123"/>
    </row>
    <row r="577" spans="1:6" ht="15.75" x14ac:dyDescent="0.25">
      <c r="A577" s="105"/>
      <c r="B577" s="105"/>
      <c r="C577" s="93"/>
      <c r="D577" s="93" t="str">
        <f t="shared" si="8"/>
        <v/>
      </c>
      <c r="E577" s="123"/>
      <c r="F577" s="123"/>
    </row>
    <row r="578" spans="1:6" ht="15.75" x14ac:dyDescent="0.25">
      <c r="A578" s="105"/>
      <c r="B578" s="105"/>
      <c r="C578" s="93"/>
      <c r="D578" s="93" t="str">
        <f t="shared" si="8"/>
        <v/>
      </c>
      <c r="E578" s="123"/>
      <c r="F578" s="123"/>
    </row>
    <row r="579" spans="1:6" ht="15.75" x14ac:dyDescent="0.25">
      <c r="A579" s="105"/>
      <c r="B579" s="105"/>
      <c r="C579" s="93"/>
      <c r="D579" s="93" t="str">
        <f t="shared" si="8"/>
        <v/>
      </c>
      <c r="E579" s="123"/>
      <c r="F579" s="123"/>
    </row>
    <row r="580" spans="1:6" ht="15.75" x14ac:dyDescent="0.25">
      <c r="A580" s="105"/>
      <c r="B580" s="105"/>
      <c r="C580" s="93"/>
      <c r="D580" s="93" t="str">
        <f t="shared" si="8"/>
        <v/>
      </c>
      <c r="E580" s="123"/>
      <c r="F580" s="123"/>
    </row>
    <row r="581" spans="1:6" ht="15.75" x14ac:dyDescent="0.25">
      <c r="A581" s="105"/>
      <c r="B581" s="105"/>
      <c r="C581" s="93"/>
      <c r="D581" s="93" t="str">
        <f t="shared" si="8"/>
        <v/>
      </c>
      <c r="E581" s="123"/>
      <c r="F581" s="123"/>
    </row>
    <row r="582" spans="1:6" ht="15.75" x14ac:dyDescent="0.25">
      <c r="A582" s="105"/>
      <c r="B582" s="105"/>
      <c r="C582" s="93"/>
      <c r="D582" s="93" t="str">
        <f t="shared" si="8"/>
        <v/>
      </c>
      <c r="E582" s="123"/>
      <c r="F582" s="123"/>
    </row>
    <row r="583" spans="1:6" ht="15.75" x14ac:dyDescent="0.25">
      <c r="A583" s="105"/>
      <c r="B583" s="105"/>
      <c r="C583" s="93"/>
      <c r="D583" s="93" t="str">
        <f t="shared" si="8"/>
        <v/>
      </c>
      <c r="E583" s="123"/>
      <c r="F583" s="123"/>
    </row>
    <row r="584" spans="1:6" ht="15.75" x14ac:dyDescent="0.25">
      <c r="A584" s="105"/>
      <c r="B584" s="105"/>
      <c r="C584" s="93"/>
      <c r="D584" s="93" t="str">
        <f t="shared" si="8"/>
        <v/>
      </c>
      <c r="E584" s="123"/>
      <c r="F584" s="123"/>
    </row>
    <row r="585" spans="1:6" ht="15.75" x14ac:dyDescent="0.25">
      <c r="A585" s="105"/>
      <c r="B585" s="105"/>
      <c r="C585" s="93"/>
      <c r="D585" s="93" t="str">
        <f t="shared" si="8"/>
        <v/>
      </c>
      <c r="E585" s="123"/>
      <c r="F585" s="123"/>
    </row>
    <row r="586" spans="1:6" ht="15.75" x14ac:dyDescent="0.25">
      <c r="A586" s="105"/>
      <c r="B586" s="105"/>
      <c r="C586" s="93"/>
      <c r="D586" s="93" t="str">
        <f t="shared" si="8"/>
        <v/>
      </c>
      <c r="E586" s="123"/>
      <c r="F586" s="123"/>
    </row>
    <row r="587" spans="1:6" ht="15.75" x14ac:dyDescent="0.25">
      <c r="A587" s="105"/>
      <c r="B587" s="105"/>
      <c r="C587" s="93"/>
      <c r="D587" s="93" t="str">
        <f t="shared" ref="D587:D650" si="9">IF(A587=0,"","MinMax")</f>
        <v/>
      </c>
      <c r="E587" s="123"/>
      <c r="F587" s="123"/>
    </row>
    <row r="588" spans="1:6" ht="15.75" x14ac:dyDescent="0.25">
      <c r="A588" s="105"/>
      <c r="B588" s="105"/>
      <c r="C588" s="93"/>
      <c r="D588" s="93" t="str">
        <f t="shared" si="9"/>
        <v/>
      </c>
      <c r="E588" s="123"/>
      <c r="F588" s="123"/>
    </row>
    <row r="589" spans="1:6" ht="15.75" x14ac:dyDescent="0.25">
      <c r="A589" s="105"/>
      <c r="B589" s="105"/>
      <c r="C589" s="93"/>
      <c r="D589" s="93" t="str">
        <f t="shared" si="9"/>
        <v/>
      </c>
      <c r="E589" s="123"/>
      <c r="F589" s="123"/>
    </row>
    <row r="590" spans="1:6" ht="15.75" x14ac:dyDescent="0.25">
      <c r="A590" s="105"/>
      <c r="B590" s="105"/>
      <c r="C590" s="93"/>
      <c r="D590" s="93" t="str">
        <f t="shared" si="9"/>
        <v/>
      </c>
      <c r="E590" s="123"/>
      <c r="F590" s="123"/>
    </row>
    <row r="591" spans="1:6" ht="15.75" x14ac:dyDescent="0.25">
      <c r="A591" s="105"/>
      <c r="B591" s="105"/>
      <c r="C591" s="93"/>
      <c r="D591" s="93" t="str">
        <f t="shared" si="9"/>
        <v/>
      </c>
      <c r="E591" s="123"/>
      <c r="F591" s="123"/>
    </row>
    <row r="592" spans="1:6" ht="15.75" x14ac:dyDescent="0.25">
      <c r="A592" s="105"/>
      <c r="B592" s="105"/>
      <c r="C592" s="93"/>
      <c r="D592" s="93" t="str">
        <f t="shared" si="9"/>
        <v/>
      </c>
      <c r="E592" s="123"/>
      <c r="F592" s="123"/>
    </row>
    <row r="593" spans="1:6" ht="15.75" x14ac:dyDescent="0.25">
      <c r="A593" s="105"/>
      <c r="B593" s="105"/>
      <c r="C593" s="93"/>
      <c r="D593" s="93" t="str">
        <f t="shared" si="9"/>
        <v/>
      </c>
      <c r="E593" s="123"/>
      <c r="F593" s="123"/>
    </row>
    <row r="594" spans="1:6" ht="15.75" x14ac:dyDescent="0.25">
      <c r="A594" s="105"/>
      <c r="B594" s="105"/>
      <c r="C594" s="93"/>
      <c r="D594" s="93" t="str">
        <f t="shared" si="9"/>
        <v/>
      </c>
      <c r="E594" s="123"/>
      <c r="F594" s="123"/>
    </row>
    <row r="595" spans="1:6" ht="15.75" x14ac:dyDescent="0.25">
      <c r="A595" s="105"/>
      <c r="B595" s="105"/>
      <c r="C595" s="93"/>
      <c r="D595" s="93" t="str">
        <f t="shared" si="9"/>
        <v/>
      </c>
      <c r="E595" s="123"/>
      <c r="F595" s="123"/>
    </row>
    <row r="596" spans="1:6" ht="15.75" x14ac:dyDescent="0.25">
      <c r="A596" s="105"/>
      <c r="B596" s="105"/>
      <c r="C596" s="93"/>
      <c r="D596" s="93" t="str">
        <f t="shared" si="9"/>
        <v/>
      </c>
      <c r="E596" s="123"/>
      <c r="F596" s="123"/>
    </row>
    <row r="597" spans="1:6" ht="15.75" x14ac:dyDescent="0.25">
      <c r="A597" s="105"/>
      <c r="B597" s="105"/>
      <c r="C597" s="93"/>
      <c r="D597" s="93" t="str">
        <f t="shared" si="9"/>
        <v/>
      </c>
      <c r="E597" s="123"/>
      <c r="F597" s="123"/>
    </row>
    <row r="598" spans="1:6" ht="15.75" x14ac:dyDescent="0.25">
      <c r="A598" s="105"/>
      <c r="B598" s="105"/>
      <c r="C598" s="93"/>
      <c r="D598" s="93" t="str">
        <f t="shared" si="9"/>
        <v/>
      </c>
      <c r="E598" s="123"/>
      <c r="F598" s="123"/>
    </row>
    <row r="599" spans="1:6" ht="15.75" x14ac:dyDescent="0.25">
      <c r="A599" s="105"/>
      <c r="B599" s="105"/>
      <c r="C599" s="93"/>
      <c r="D599" s="93" t="str">
        <f t="shared" si="9"/>
        <v/>
      </c>
      <c r="E599" s="123"/>
      <c r="F599" s="123"/>
    </row>
    <row r="600" spans="1:6" ht="15.75" x14ac:dyDescent="0.25">
      <c r="A600" s="105"/>
      <c r="B600" s="105"/>
      <c r="C600" s="93"/>
      <c r="D600" s="93" t="str">
        <f t="shared" si="9"/>
        <v/>
      </c>
      <c r="E600" s="123"/>
      <c r="F600" s="123"/>
    </row>
    <row r="601" spans="1:6" ht="15.75" x14ac:dyDescent="0.25">
      <c r="A601" s="105"/>
      <c r="B601" s="105"/>
      <c r="C601" s="93"/>
      <c r="D601" s="93" t="str">
        <f t="shared" si="9"/>
        <v/>
      </c>
      <c r="E601" s="123"/>
      <c r="F601" s="123"/>
    </row>
    <row r="602" spans="1:6" ht="15.75" x14ac:dyDescent="0.25">
      <c r="A602" s="105"/>
      <c r="B602" s="105"/>
      <c r="C602" s="93"/>
      <c r="D602" s="93" t="str">
        <f t="shared" si="9"/>
        <v/>
      </c>
      <c r="E602" s="123"/>
      <c r="F602" s="123"/>
    </row>
    <row r="603" spans="1:6" ht="15.75" x14ac:dyDescent="0.25">
      <c r="A603" s="105"/>
      <c r="B603" s="105"/>
      <c r="C603" s="93"/>
      <c r="D603" s="93" t="str">
        <f t="shared" si="9"/>
        <v/>
      </c>
      <c r="E603" s="123"/>
      <c r="F603" s="123"/>
    </row>
    <row r="604" spans="1:6" ht="15.75" x14ac:dyDescent="0.25">
      <c r="A604" s="105"/>
      <c r="B604" s="105"/>
      <c r="C604" s="93"/>
      <c r="D604" s="93" t="str">
        <f t="shared" si="9"/>
        <v/>
      </c>
      <c r="E604" s="123"/>
      <c r="F604" s="123"/>
    </row>
    <row r="605" spans="1:6" ht="15.75" x14ac:dyDescent="0.25">
      <c r="A605" s="105"/>
      <c r="B605" s="105"/>
      <c r="C605" s="93"/>
      <c r="D605" s="93" t="str">
        <f t="shared" si="9"/>
        <v/>
      </c>
      <c r="E605" s="123"/>
      <c r="F605" s="123"/>
    </row>
    <row r="606" spans="1:6" ht="15.75" x14ac:dyDescent="0.25">
      <c r="A606" s="105"/>
      <c r="B606" s="105"/>
      <c r="C606" s="93"/>
      <c r="D606" s="93" t="str">
        <f t="shared" si="9"/>
        <v/>
      </c>
      <c r="E606" s="123"/>
      <c r="F606" s="123"/>
    </row>
    <row r="607" spans="1:6" ht="15.75" x14ac:dyDescent="0.25">
      <c r="A607" s="105"/>
      <c r="B607" s="105"/>
      <c r="C607" s="93"/>
      <c r="D607" s="93" t="str">
        <f t="shared" si="9"/>
        <v/>
      </c>
      <c r="E607" s="123"/>
      <c r="F607" s="123"/>
    </row>
    <row r="608" spans="1:6" ht="15.75" x14ac:dyDescent="0.25">
      <c r="A608" s="105"/>
      <c r="B608" s="105"/>
      <c r="C608" s="93"/>
      <c r="D608" s="93" t="str">
        <f t="shared" si="9"/>
        <v/>
      </c>
      <c r="E608" s="123"/>
      <c r="F608" s="123"/>
    </row>
    <row r="609" spans="1:6" ht="15.75" x14ac:dyDescent="0.25">
      <c r="A609" s="105"/>
      <c r="B609" s="105"/>
      <c r="C609" s="93"/>
      <c r="D609" s="93" t="str">
        <f t="shared" si="9"/>
        <v/>
      </c>
      <c r="E609" s="123"/>
      <c r="F609" s="123"/>
    </row>
    <row r="610" spans="1:6" ht="15.75" x14ac:dyDescent="0.25">
      <c r="A610" s="105"/>
      <c r="B610" s="105"/>
      <c r="C610" s="93"/>
      <c r="D610" s="93" t="str">
        <f t="shared" si="9"/>
        <v/>
      </c>
      <c r="E610" s="123"/>
      <c r="F610" s="123"/>
    </row>
    <row r="611" spans="1:6" ht="15.75" x14ac:dyDescent="0.25">
      <c r="A611" s="105"/>
      <c r="B611" s="105"/>
      <c r="C611" s="93"/>
      <c r="D611" s="93" t="str">
        <f t="shared" si="9"/>
        <v/>
      </c>
      <c r="E611" s="123"/>
      <c r="F611" s="123"/>
    </row>
    <row r="612" spans="1:6" ht="15.75" x14ac:dyDescent="0.25">
      <c r="A612" s="105"/>
      <c r="B612" s="105"/>
      <c r="C612" s="93"/>
      <c r="D612" s="93" t="str">
        <f t="shared" si="9"/>
        <v/>
      </c>
      <c r="E612" s="123"/>
      <c r="F612" s="123"/>
    </row>
    <row r="613" spans="1:6" ht="15.75" x14ac:dyDescent="0.25">
      <c r="A613" s="105"/>
      <c r="B613" s="105"/>
      <c r="C613" s="93"/>
      <c r="D613" s="93" t="str">
        <f t="shared" si="9"/>
        <v/>
      </c>
      <c r="E613" s="123"/>
      <c r="F613" s="123"/>
    </row>
    <row r="614" spans="1:6" ht="15.75" x14ac:dyDescent="0.25">
      <c r="A614" s="105"/>
      <c r="B614" s="105"/>
      <c r="C614" s="93"/>
      <c r="D614" s="93" t="str">
        <f t="shared" si="9"/>
        <v/>
      </c>
      <c r="E614" s="123"/>
      <c r="F614" s="123"/>
    </row>
    <row r="615" spans="1:6" ht="15.75" x14ac:dyDescent="0.25">
      <c r="A615" s="105"/>
      <c r="B615" s="105"/>
      <c r="C615" s="93"/>
      <c r="D615" s="93" t="str">
        <f t="shared" si="9"/>
        <v/>
      </c>
      <c r="E615" s="123"/>
      <c r="F615" s="123"/>
    </row>
    <row r="616" spans="1:6" ht="15.75" x14ac:dyDescent="0.25">
      <c r="A616" s="105"/>
      <c r="B616" s="105"/>
      <c r="C616" s="93"/>
      <c r="D616" s="93" t="str">
        <f t="shared" si="9"/>
        <v/>
      </c>
      <c r="E616" s="123"/>
      <c r="F616" s="123"/>
    </row>
    <row r="617" spans="1:6" ht="15.75" x14ac:dyDescent="0.25">
      <c r="A617" s="105"/>
      <c r="B617" s="105"/>
      <c r="C617" s="93"/>
      <c r="D617" s="93" t="str">
        <f t="shared" si="9"/>
        <v/>
      </c>
      <c r="E617" s="123"/>
      <c r="F617" s="123"/>
    </row>
    <row r="618" spans="1:6" ht="15.75" x14ac:dyDescent="0.25">
      <c r="A618" s="105"/>
      <c r="B618" s="105"/>
      <c r="C618" s="93"/>
      <c r="D618" s="93" t="str">
        <f t="shared" si="9"/>
        <v/>
      </c>
      <c r="E618" s="123"/>
      <c r="F618" s="123"/>
    </row>
    <row r="619" spans="1:6" ht="15.75" x14ac:dyDescent="0.25">
      <c r="A619" s="105"/>
      <c r="B619" s="105"/>
      <c r="C619" s="93"/>
      <c r="D619" s="93" t="str">
        <f t="shared" si="9"/>
        <v/>
      </c>
      <c r="E619" s="123"/>
      <c r="F619" s="123"/>
    </row>
    <row r="620" spans="1:6" ht="15.75" x14ac:dyDescent="0.25">
      <c r="A620" s="105"/>
      <c r="B620" s="105"/>
      <c r="C620" s="93"/>
      <c r="D620" s="93" t="str">
        <f t="shared" si="9"/>
        <v/>
      </c>
      <c r="E620" s="123"/>
      <c r="F620" s="123"/>
    </row>
    <row r="621" spans="1:6" ht="15.75" x14ac:dyDescent="0.25">
      <c r="A621" s="105"/>
      <c r="B621" s="105"/>
      <c r="C621" s="93"/>
      <c r="D621" s="93" t="str">
        <f t="shared" si="9"/>
        <v/>
      </c>
      <c r="E621" s="123"/>
      <c r="F621" s="123"/>
    </row>
    <row r="622" spans="1:6" ht="15.75" x14ac:dyDescent="0.25">
      <c r="A622" s="105"/>
      <c r="B622" s="105"/>
      <c r="C622" s="93"/>
      <c r="D622" s="93" t="str">
        <f t="shared" si="9"/>
        <v/>
      </c>
      <c r="E622" s="123"/>
      <c r="F622" s="123"/>
    </row>
    <row r="623" spans="1:6" ht="15.75" x14ac:dyDescent="0.25">
      <c r="A623" s="105"/>
      <c r="B623" s="105"/>
      <c r="C623" s="93"/>
      <c r="D623" s="93" t="str">
        <f t="shared" si="9"/>
        <v/>
      </c>
      <c r="E623" s="123"/>
      <c r="F623" s="123"/>
    </row>
    <row r="624" spans="1:6" ht="15.75" x14ac:dyDescent="0.25">
      <c r="A624" s="105"/>
      <c r="B624" s="105"/>
      <c r="C624" s="93"/>
      <c r="D624" s="93" t="str">
        <f t="shared" si="9"/>
        <v/>
      </c>
      <c r="E624" s="123"/>
      <c r="F624" s="123"/>
    </row>
    <row r="625" spans="1:6" ht="15.75" x14ac:dyDescent="0.25">
      <c r="A625" s="105"/>
      <c r="B625" s="105"/>
      <c r="C625" s="93"/>
      <c r="D625" s="93" t="str">
        <f t="shared" si="9"/>
        <v/>
      </c>
      <c r="E625" s="123"/>
      <c r="F625" s="123"/>
    </row>
    <row r="626" spans="1:6" ht="15.75" x14ac:dyDescent="0.25">
      <c r="A626" s="105"/>
      <c r="B626" s="105"/>
      <c r="C626" s="93"/>
      <c r="D626" s="93" t="str">
        <f t="shared" si="9"/>
        <v/>
      </c>
      <c r="E626" s="123"/>
      <c r="F626" s="123"/>
    </row>
    <row r="627" spans="1:6" ht="15.75" x14ac:dyDescent="0.25">
      <c r="A627" s="105"/>
      <c r="B627" s="105"/>
      <c r="C627" s="93"/>
      <c r="D627" s="93" t="str">
        <f t="shared" si="9"/>
        <v/>
      </c>
      <c r="E627" s="123"/>
      <c r="F627" s="123"/>
    </row>
    <row r="628" spans="1:6" ht="15.75" x14ac:dyDescent="0.25">
      <c r="A628" s="105"/>
      <c r="B628" s="105"/>
      <c r="C628" s="93"/>
      <c r="D628" s="93" t="str">
        <f t="shared" si="9"/>
        <v/>
      </c>
      <c r="E628" s="123"/>
      <c r="F628" s="123"/>
    </row>
    <row r="629" spans="1:6" ht="15.75" x14ac:dyDescent="0.25">
      <c r="A629" s="105"/>
      <c r="B629" s="105"/>
      <c r="C629" s="93"/>
      <c r="D629" s="93" t="str">
        <f t="shared" si="9"/>
        <v/>
      </c>
      <c r="E629" s="123"/>
      <c r="F629" s="123"/>
    </row>
    <row r="630" spans="1:6" ht="15.75" x14ac:dyDescent="0.25">
      <c r="A630" s="105"/>
      <c r="B630" s="105"/>
      <c r="C630" s="93"/>
      <c r="D630" s="93" t="str">
        <f t="shared" si="9"/>
        <v/>
      </c>
      <c r="E630" s="123"/>
      <c r="F630" s="123"/>
    </row>
    <row r="631" spans="1:6" ht="15.75" x14ac:dyDescent="0.25">
      <c r="A631" s="105"/>
      <c r="B631" s="105"/>
      <c r="C631" s="93"/>
      <c r="D631" s="93" t="str">
        <f t="shared" si="9"/>
        <v/>
      </c>
      <c r="E631" s="123"/>
      <c r="F631" s="123"/>
    </row>
    <row r="632" spans="1:6" ht="15.75" x14ac:dyDescent="0.25">
      <c r="A632" s="105"/>
      <c r="B632" s="105"/>
      <c r="C632" s="93"/>
      <c r="D632" s="93" t="str">
        <f t="shared" si="9"/>
        <v/>
      </c>
      <c r="E632" s="123"/>
      <c r="F632" s="123"/>
    </row>
    <row r="633" spans="1:6" ht="15.75" x14ac:dyDescent="0.25">
      <c r="A633" s="105"/>
      <c r="B633" s="105"/>
      <c r="C633" s="93"/>
      <c r="D633" s="93" t="str">
        <f t="shared" si="9"/>
        <v/>
      </c>
      <c r="E633" s="123"/>
      <c r="F633" s="123"/>
    </row>
    <row r="634" spans="1:6" ht="15.75" x14ac:dyDescent="0.25">
      <c r="A634" s="105"/>
      <c r="B634" s="105"/>
      <c r="C634" s="93"/>
      <c r="D634" s="93" t="str">
        <f t="shared" si="9"/>
        <v/>
      </c>
      <c r="E634" s="123"/>
      <c r="F634" s="123"/>
    </row>
    <row r="635" spans="1:6" ht="15.75" x14ac:dyDescent="0.25">
      <c r="A635" s="105"/>
      <c r="B635" s="105"/>
      <c r="C635" s="93"/>
      <c r="D635" s="93" t="str">
        <f t="shared" si="9"/>
        <v/>
      </c>
      <c r="E635" s="123"/>
      <c r="F635" s="123"/>
    </row>
    <row r="636" spans="1:6" ht="15.75" x14ac:dyDescent="0.25">
      <c r="A636" s="105"/>
      <c r="B636" s="105"/>
      <c r="C636" s="93"/>
      <c r="D636" s="93" t="str">
        <f t="shared" si="9"/>
        <v/>
      </c>
      <c r="E636" s="123"/>
      <c r="F636" s="123"/>
    </row>
    <row r="637" spans="1:6" ht="15.75" x14ac:dyDescent="0.25">
      <c r="A637" s="105"/>
      <c r="B637" s="105"/>
      <c r="C637" s="93"/>
      <c r="D637" s="93" t="str">
        <f t="shared" si="9"/>
        <v/>
      </c>
      <c r="E637" s="123"/>
      <c r="F637" s="123"/>
    </row>
    <row r="638" spans="1:6" ht="15.75" x14ac:dyDescent="0.25">
      <c r="A638" s="105"/>
      <c r="B638" s="105"/>
      <c r="C638" s="93"/>
      <c r="D638" s="93" t="str">
        <f t="shared" si="9"/>
        <v/>
      </c>
      <c r="E638" s="123"/>
      <c r="F638" s="123"/>
    </row>
    <row r="639" spans="1:6" ht="15.75" x14ac:dyDescent="0.25">
      <c r="A639" s="105"/>
      <c r="B639" s="105"/>
      <c r="C639" s="93"/>
      <c r="D639" s="93" t="str">
        <f t="shared" si="9"/>
        <v/>
      </c>
      <c r="E639" s="123"/>
      <c r="F639" s="123"/>
    </row>
    <row r="640" spans="1:6" ht="15.75" x14ac:dyDescent="0.25">
      <c r="A640" s="105"/>
      <c r="B640" s="105"/>
      <c r="C640" s="93"/>
      <c r="D640" s="93" t="str">
        <f t="shared" si="9"/>
        <v/>
      </c>
      <c r="E640" s="123"/>
      <c r="F640" s="123"/>
    </row>
    <row r="641" spans="1:6" ht="15.75" x14ac:dyDescent="0.25">
      <c r="A641" s="105"/>
      <c r="B641" s="105"/>
      <c r="C641" s="93"/>
      <c r="D641" s="93" t="str">
        <f t="shared" si="9"/>
        <v/>
      </c>
      <c r="E641" s="123"/>
      <c r="F641" s="123"/>
    </row>
    <row r="642" spans="1:6" ht="15.75" x14ac:dyDescent="0.25">
      <c r="A642" s="105"/>
      <c r="B642" s="105"/>
      <c r="C642" s="93"/>
      <c r="D642" s="93" t="str">
        <f t="shared" si="9"/>
        <v/>
      </c>
      <c r="E642" s="123"/>
      <c r="F642" s="123"/>
    </row>
    <row r="643" spans="1:6" ht="15.75" x14ac:dyDescent="0.25">
      <c r="A643" s="105"/>
      <c r="B643" s="105"/>
      <c r="C643" s="93"/>
      <c r="D643" s="93" t="str">
        <f t="shared" si="9"/>
        <v/>
      </c>
      <c r="E643" s="123"/>
      <c r="F643" s="123"/>
    </row>
    <row r="644" spans="1:6" ht="15.75" x14ac:dyDescent="0.25">
      <c r="A644" s="105"/>
      <c r="B644" s="105"/>
      <c r="C644" s="93"/>
      <c r="D644" s="93" t="str">
        <f t="shared" si="9"/>
        <v/>
      </c>
      <c r="E644" s="123"/>
      <c r="F644" s="123"/>
    </row>
    <row r="645" spans="1:6" ht="15.75" x14ac:dyDescent="0.25">
      <c r="A645" s="105"/>
      <c r="B645" s="105"/>
      <c r="C645" s="93"/>
      <c r="D645" s="93" t="str">
        <f t="shared" si="9"/>
        <v/>
      </c>
      <c r="E645" s="123"/>
      <c r="F645" s="123"/>
    </row>
    <row r="646" spans="1:6" ht="15.75" x14ac:dyDescent="0.25">
      <c r="A646" s="105"/>
      <c r="B646" s="105"/>
      <c r="C646" s="93"/>
      <c r="D646" s="93" t="str">
        <f t="shared" si="9"/>
        <v/>
      </c>
      <c r="E646" s="123"/>
      <c r="F646" s="123"/>
    </row>
    <row r="647" spans="1:6" ht="15.75" x14ac:dyDescent="0.25">
      <c r="A647" s="105"/>
      <c r="B647" s="105"/>
      <c r="C647" s="93"/>
      <c r="D647" s="93" t="str">
        <f t="shared" si="9"/>
        <v/>
      </c>
      <c r="E647" s="123"/>
      <c r="F647" s="123"/>
    </row>
    <row r="648" spans="1:6" ht="15.75" x14ac:dyDescent="0.25">
      <c r="A648" s="105"/>
      <c r="B648" s="105"/>
      <c r="C648" s="93"/>
      <c r="D648" s="93" t="str">
        <f t="shared" si="9"/>
        <v/>
      </c>
      <c r="E648" s="123"/>
      <c r="F648" s="123"/>
    </row>
    <row r="649" spans="1:6" ht="15.75" x14ac:dyDescent="0.25">
      <c r="A649" s="105"/>
      <c r="B649" s="105"/>
      <c r="C649" s="93"/>
      <c r="D649" s="93" t="str">
        <f t="shared" si="9"/>
        <v/>
      </c>
      <c r="E649" s="123"/>
      <c r="F649" s="123"/>
    </row>
    <row r="650" spans="1:6" ht="15.75" x14ac:dyDescent="0.25">
      <c r="A650" s="105"/>
      <c r="B650" s="105"/>
      <c r="C650" s="93"/>
      <c r="D650" s="93" t="str">
        <f t="shared" si="9"/>
        <v/>
      </c>
      <c r="E650" s="123"/>
      <c r="F650" s="123"/>
    </row>
    <row r="651" spans="1:6" ht="15.75" x14ac:dyDescent="0.25">
      <c r="A651" s="105"/>
      <c r="B651" s="105"/>
      <c r="C651" s="93"/>
      <c r="D651" s="93" t="str">
        <f t="shared" ref="D651:D714" si="10">IF(A651=0,"","MinMax")</f>
        <v/>
      </c>
      <c r="E651" s="123"/>
      <c r="F651" s="123"/>
    </row>
    <row r="652" spans="1:6" ht="15.75" x14ac:dyDescent="0.25">
      <c r="A652" s="105"/>
      <c r="B652" s="105"/>
      <c r="C652" s="93"/>
      <c r="D652" s="93" t="str">
        <f t="shared" si="10"/>
        <v/>
      </c>
      <c r="E652" s="123"/>
      <c r="F652" s="123"/>
    </row>
    <row r="653" spans="1:6" ht="15.75" x14ac:dyDescent="0.25">
      <c r="A653" s="105"/>
      <c r="B653" s="105"/>
      <c r="C653" s="93"/>
      <c r="D653" s="93" t="str">
        <f t="shared" si="10"/>
        <v/>
      </c>
      <c r="E653" s="123"/>
      <c r="F653" s="123"/>
    </row>
    <row r="654" spans="1:6" ht="15.75" x14ac:dyDescent="0.25">
      <c r="A654" s="105"/>
      <c r="B654" s="105"/>
      <c r="C654" s="93"/>
      <c r="D654" s="93" t="str">
        <f t="shared" si="10"/>
        <v/>
      </c>
      <c r="E654" s="123"/>
      <c r="F654" s="123"/>
    </row>
    <row r="655" spans="1:6" ht="15.75" x14ac:dyDescent="0.25">
      <c r="A655" s="105"/>
      <c r="B655" s="105"/>
      <c r="C655" s="93"/>
      <c r="D655" s="93" t="str">
        <f t="shared" si="10"/>
        <v/>
      </c>
      <c r="E655" s="123"/>
      <c r="F655" s="123"/>
    </row>
    <row r="656" spans="1:6" ht="15.75" x14ac:dyDescent="0.25">
      <c r="A656" s="105"/>
      <c r="B656" s="105"/>
      <c r="C656" s="93"/>
      <c r="D656" s="93" t="str">
        <f t="shared" si="10"/>
        <v/>
      </c>
      <c r="E656" s="123"/>
      <c r="F656" s="123"/>
    </row>
    <row r="657" spans="1:6" ht="15.75" x14ac:dyDescent="0.25">
      <c r="A657" s="105"/>
      <c r="B657" s="105"/>
      <c r="C657" s="93"/>
      <c r="D657" s="93" t="str">
        <f t="shared" si="10"/>
        <v/>
      </c>
      <c r="E657" s="123"/>
      <c r="F657" s="123"/>
    </row>
    <row r="658" spans="1:6" ht="15.75" x14ac:dyDescent="0.25">
      <c r="A658" s="105"/>
      <c r="B658" s="105"/>
      <c r="C658" s="93"/>
      <c r="D658" s="93" t="str">
        <f t="shared" si="10"/>
        <v/>
      </c>
      <c r="E658" s="123"/>
      <c r="F658" s="123"/>
    </row>
    <row r="659" spans="1:6" ht="15.75" x14ac:dyDescent="0.25">
      <c r="A659" s="105"/>
      <c r="B659" s="105"/>
      <c r="C659" s="93"/>
      <c r="D659" s="93" t="str">
        <f t="shared" si="10"/>
        <v/>
      </c>
      <c r="E659" s="123"/>
      <c r="F659" s="123"/>
    </row>
    <row r="660" spans="1:6" ht="15.75" x14ac:dyDescent="0.25">
      <c r="A660" s="105"/>
      <c r="B660" s="105"/>
      <c r="C660" s="93"/>
      <c r="D660" s="93" t="str">
        <f t="shared" si="10"/>
        <v/>
      </c>
      <c r="E660" s="123"/>
      <c r="F660" s="123"/>
    </row>
    <row r="661" spans="1:6" ht="15.75" x14ac:dyDescent="0.25">
      <c r="A661" s="105"/>
      <c r="B661" s="105"/>
      <c r="C661" s="93"/>
      <c r="D661" s="93" t="str">
        <f t="shared" si="10"/>
        <v/>
      </c>
      <c r="E661" s="123"/>
      <c r="F661" s="123"/>
    </row>
    <row r="662" spans="1:6" ht="15.75" x14ac:dyDescent="0.25">
      <c r="A662" s="105"/>
      <c r="B662" s="105"/>
      <c r="C662" s="93"/>
      <c r="D662" s="93" t="str">
        <f t="shared" si="10"/>
        <v/>
      </c>
      <c r="E662" s="123"/>
      <c r="F662" s="123"/>
    </row>
    <row r="663" spans="1:6" ht="15.75" x14ac:dyDescent="0.25">
      <c r="A663" s="105"/>
      <c r="B663" s="105"/>
      <c r="C663" s="93"/>
      <c r="D663" s="93" t="str">
        <f t="shared" si="10"/>
        <v/>
      </c>
      <c r="E663" s="123"/>
      <c r="F663" s="123"/>
    </row>
    <row r="664" spans="1:6" ht="15.75" x14ac:dyDescent="0.25">
      <c r="A664" s="105"/>
      <c r="B664" s="105"/>
      <c r="C664" s="93"/>
      <c r="D664" s="93" t="str">
        <f t="shared" si="10"/>
        <v/>
      </c>
      <c r="E664" s="123"/>
      <c r="F664" s="123"/>
    </row>
    <row r="665" spans="1:6" ht="15.75" x14ac:dyDescent="0.25">
      <c r="A665" s="105"/>
      <c r="B665" s="105"/>
      <c r="C665" s="93"/>
      <c r="D665" s="93" t="str">
        <f t="shared" si="10"/>
        <v/>
      </c>
      <c r="E665" s="123"/>
      <c r="F665" s="123"/>
    </row>
    <row r="666" spans="1:6" ht="15.75" x14ac:dyDescent="0.25">
      <c r="A666" s="105"/>
      <c r="B666" s="105"/>
      <c r="C666" s="93"/>
      <c r="D666" s="93" t="str">
        <f t="shared" si="10"/>
        <v/>
      </c>
      <c r="E666" s="123"/>
      <c r="F666" s="123"/>
    </row>
    <row r="667" spans="1:6" ht="15.75" x14ac:dyDescent="0.25">
      <c r="A667" s="105"/>
      <c r="B667" s="105"/>
      <c r="C667" s="93"/>
      <c r="D667" s="93" t="str">
        <f t="shared" si="10"/>
        <v/>
      </c>
      <c r="E667" s="123"/>
      <c r="F667" s="123"/>
    </row>
    <row r="668" spans="1:6" ht="15.75" x14ac:dyDescent="0.25">
      <c r="A668" s="105"/>
      <c r="B668" s="105"/>
      <c r="C668" s="93"/>
      <c r="D668" s="93" t="str">
        <f t="shared" si="10"/>
        <v/>
      </c>
      <c r="E668" s="123"/>
      <c r="F668" s="123"/>
    </row>
    <row r="669" spans="1:6" ht="15.75" x14ac:dyDescent="0.25">
      <c r="A669" s="105"/>
      <c r="B669" s="105"/>
      <c r="C669" s="93"/>
      <c r="D669" s="93" t="str">
        <f t="shared" si="10"/>
        <v/>
      </c>
      <c r="E669" s="123"/>
      <c r="F669" s="123"/>
    </row>
    <row r="670" spans="1:6" ht="15.75" x14ac:dyDescent="0.25">
      <c r="A670" s="105"/>
      <c r="B670" s="105"/>
      <c r="C670" s="93"/>
      <c r="D670" s="93" t="str">
        <f t="shared" si="10"/>
        <v/>
      </c>
      <c r="E670" s="123"/>
      <c r="F670" s="123"/>
    </row>
    <row r="671" spans="1:6" ht="15.75" x14ac:dyDescent="0.25">
      <c r="A671" s="105"/>
      <c r="B671" s="105"/>
      <c r="C671" s="93"/>
      <c r="D671" s="93" t="str">
        <f t="shared" si="10"/>
        <v/>
      </c>
      <c r="E671" s="123"/>
      <c r="F671" s="123"/>
    </row>
    <row r="672" spans="1:6" ht="15.75" x14ac:dyDescent="0.25">
      <c r="A672" s="105"/>
      <c r="B672" s="105"/>
      <c r="C672" s="93"/>
      <c r="D672" s="93" t="str">
        <f t="shared" si="10"/>
        <v/>
      </c>
      <c r="E672" s="123"/>
      <c r="F672" s="123"/>
    </row>
    <row r="673" spans="1:6" ht="15.75" x14ac:dyDescent="0.25">
      <c r="A673" s="105"/>
      <c r="B673" s="105"/>
      <c r="C673" s="93"/>
      <c r="D673" s="93" t="str">
        <f t="shared" si="10"/>
        <v/>
      </c>
      <c r="E673" s="123"/>
      <c r="F673" s="123"/>
    </row>
    <row r="674" spans="1:6" ht="15.75" x14ac:dyDescent="0.25">
      <c r="A674" s="105"/>
      <c r="B674" s="105"/>
      <c r="C674" s="93"/>
      <c r="D674" s="93" t="str">
        <f t="shared" si="10"/>
        <v/>
      </c>
      <c r="E674" s="123"/>
      <c r="F674" s="123"/>
    </row>
    <row r="675" spans="1:6" ht="15.75" x14ac:dyDescent="0.25">
      <c r="A675" s="105"/>
      <c r="B675" s="105"/>
      <c r="C675" s="93"/>
      <c r="D675" s="93" t="str">
        <f t="shared" si="10"/>
        <v/>
      </c>
      <c r="E675" s="123"/>
      <c r="F675" s="123"/>
    </row>
    <row r="676" spans="1:6" ht="15.75" x14ac:dyDescent="0.25">
      <c r="A676" s="105"/>
      <c r="B676" s="105"/>
      <c r="C676" s="93"/>
      <c r="D676" s="93" t="str">
        <f t="shared" si="10"/>
        <v/>
      </c>
      <c r="E676" s="123"/>
      <c r="F676" s="123"/>
    </row>
    <row r="677" spans="1:6" ht="15.75" x14ac:dyDescent="0.25">
      <c r="A677" s="105"/>
      <c r="B677" s="105"/>
      <c r="C677" s="93"/>
      <c r="D677" s="93" t="str">
        <f t="shared" si="10"/>
        <v/>
      </c>
      <c r="E677" s="123"/>
      <c r="F677" s="123"/>
    </row>
    <row r="678" spans="1:6" ht="15.75" x14ac:dyDescent="0.25">
      <c r="A678" s="105"/>
      <c r="B678" s="105"/>
      <c r="C678" s="93"/>
      <c r="D678" s="93" t="str">
        <f t="shared" si="10"/>
        <v/>
      </c>
      <c r="E678" s="123"/>
      <c r="F678" s="123"/>
    </row>
    <row r="679" spans="1:6" ht="15.75" x14ac:dyDescent="0.25">
      <c r="A679" s="105"/>
      <c r="B679" s="105"/>
      <c r="C679" s="93"/>
      <c r="D679" s="93" t="str">
        <f t="shared" si="10"/>
        <v/>
      </c>
      <c r="E679" s="123"/>
      <c r="F679" s="123"/>
    </row>
    <row r="680" spans="1:6" ht="15.75" x14ac:dyDescent="0.25">
      <c r="A680" s="105"/>
      <c r="B680" s="105"/>
      <c r="C680" s="93"/>
      <c r="D680" s="93" t="str">
        <f t="shared" si="10"/>
        <v/>
      </c>
      <c r="E680" s="123"/>
      <c r="F680" s="123"/>
    </row>
    <row r="681" spans="1:6" ht="15.75" x14ac:dyDescent="0.25">
      <c r="A681" s="105"/>
      <c r="B681" s="105"/>
      <c r="C681" s="93"/>
      <c r="D681" s="93" t="str">
        <f t="shared" si="10"/>
        <v/>
      </c>
      <c r="E681" s="123"/>
      <c r="F681" s="123"/>
    </row>
    <row r="682" spans="1:6" ht="15.75" x14ac:dyDescent="0.25">
      <c r="A682" s="105"/>
      <c r="B682" s="105"/>
      <c r="C682" s="93"/>
      <c r="D682" s="93" t="str">
        <f t="shared" si="10"/>
        <v/>
      </c>
      <c r="E682" s="123"/>
      <c r="F682" s="123"/>
    </row>
    <row r="683" spans="1:6" ht="15.75" x14ac:dyDescent="0.25">
      <c r="A683" s="105"/>
      <c r="B683" s="105"/>
      <c r="C683" s="93"/>
      <c r="D683" s="93" t="str">
        <f t="shared" si="10"/>
        <v/>
      </c>
      <c r="E683" s="123"/>
      <c r="F683" s="123"/>
    </row>
    <row r="684" spans="1:6" ht="15.75" x14ac:dyDescent="0.25">
      <c r="A684" s="105"/>
      <c r="B684" s="105"/>
      <c r="C684" s="93"/>
      <c r="D684" s="93" t="str">
        <f t="shared" si="10"/>
        <v/>
      </c>
      <c r="E684" s="123"/>
      <c r="F684" s="123"/>
    </row>
    <row r="685" spans="1:6" ht="15.75" x14ac:dyDescent="0.25">
      <c r="A685" s="105"/>
      <c r="B685" s="105"/>
      <c r="C685" s="93"/>
      <c r="D685" s="93" t="str">
        <f t="shared" si="10"/>
        <v/>
      </c>
      <c r="E685" s="123"/>
      <c r="F685" s="123"/>
    </row>
    <row r="686" spans="1:6" ht="15.75" x14ac:dyDescent="0.25">
      <c r="A686" s="105"/>
      <c r="B686" s="105"/>
      <c r="C686" s="93"/>
      <c r="D686" s="93" t="str">
        <f t="shared" si="10"/>
        <v/>
      </c>
      <c r="E686" s="123"/>
      <c r="F686" s="123"/>
    </row>
    <row r="687" spans="1:6" ht="15.75" x14ac:dyDescent="0.25">
      <c r="A687" s="105"/>
      <c r="B687" s="105"/>
      <c r="C687" s="93"/>
      <c r="D687" s="93" t="str">
        <f t="shared" si="10"/>
        <v/>
      </c>
      <c r="E687" s="123"/>
      <c r="F687" s="123"/>
    </row>
    <row r="688" spans="1:6" ht="15.75" x14ac:dyDescent="0.25">
      <c r="A688" s="105"/>
      <c r="B688" s="105"/>
      <c r="C688" s="93"/>
      <c r="D688" s="93" t="str">
        <f t="shared" si="10"/>
        <v/>
      </c>
      <c r="E688" s="123"/>
      <c r="F688" s="123"/>
    </row>
    <row r="689" spans="1:6" ht="15.75" x14ac:dyDescent="0.25">
      <c r="A689" s="105"/>
      <c r="B689" s="105"/>
      <c r="C689" s="93"/>
      <c r="D689" s="93" t="str">
        <f t="shared" si="10"/>
        <v/>
      </c>
      <c r="E689" s="123"/>
      <c r="F689" s="123"/>
    </row>
    <row r="690" spans="1:6" ht="15.75" x14ac:dyDescent="0.25">
      <c r="A690" s="105"/>
      <c r="B690" s="105"/>
      <c r="C690" s="93"/>
      <c r="D690" s="93" t="str">
        <f t="shared" si="10"/>
        <v/>
      </c>
      <c r="E690" s="123"/>
      <c r="F690" s="123"/>
    </row>
    <row r="691" spans="1:6" ht="15.75" x14ac:dyDescent="0.25">
      <c r="A691" s="105"/>
      <c r="B691" s="105"/>
      <c r="C691" s="93"/>
      <c r="D691" s="93" t="str">
        <f t="shared" si="10"/>
        <v/>
      </c>
      <c r="E691" s="123"/>
      <c r="F691" s="123"/>
    </row>
    <row r="692" spans="1:6" ht="15.75" x14ac:dyDescent="0.25">
      <c r="A692" s="105"/>
      <c r="B692" s="105"/>
      <c r="C692" s="93"/>
      <c r="D692" s="93" t="str">
        <f t="shared" si="10"/>
        <v/>
      </c>
      <c r="E692" s="123"/>
      <c r="F692" s="123"/>
    </row>
    <row r="693" spans="1:6" ht="15.75" x14ac:dyDescent="0.25">
      <c r="A693" s="105"/>
      <c r="B693" s="105"/>
      <c r="C693" s="93"/>
      <c r="D693" s="93" t="str">
        <f t="shared" si="10"/>
        <v/>
      </c>
      <c r="E693" s="123"/>
      <c r="F693" s="123"/>
    </row>
    <row r="694" spans="1:6" ht="15.75" x14ac:dyDescent="0.25">
      <c r="A694" s="105"/>
      <c r="B694" s="105"/>
      <c r="C694" s="93"/>
      <c r="D694" s="93" t="str">
        <f t="shared" si="10"/>
        <v/>
      </c>
      <c r="E694" s="123"/>
      <c r="F694" s="123"/>
    </row>
    <row r="695" spans="1:6" ht="15.75" x14ac:dyDescent="0.25">
      <c r="A695" s="105"/>
      <c r="B695" s="105"/>
      <c r="C695" s="93"/>
      <c r="D695" s="93" t="str">
        <f t="shared" si="10"/>
        <v/>
      </c>
      <c r="E695" s="123"/>
      <c r="F695" s="123"/>
    </row>
    <row r="696" spans="1:6" ht="15.75" x14ac:dyDescent="0.25">
      <c r="A696" s="105"/>
      <c r="B696" s="105"/>
      <c r="C696" s="93"/>
      <c r="D696" s="93" t="str">
        <f t="shared" si="10"/>
        <v/>
      </c>
      <c r="E696" s="123"/>
      <c r="F696" s="123"/>
    </row>
    <row r="697" spans="1:6" ht="15.75" x14ac:dyDescent="0.25">
      <c r="A697" s="105"/>
      <c r="B697" s="105"/>
      <c r="C697" s="93"/>
      <c r="D697" s="93" t="str">
        <f t="shared" si="10"/>
        <v/>
      </c>
      <c r="E697" s="123"/>
      <c r="F697" s="123"/>
    </row>
    <row r="698" spans="1:6" ht="15.75" x14ac:dyDescent="0.25">
      <c r="A698" s="105"/>
      <c r="B698" s="105"/>
      <c r="C698" s="93"/>
      <c r="D698" s="93" t="str">
        <f t="shared" si="10"/>
        <v/>
      </c>
      <c r="E698" s="123"/>
      <c r="F698" s="123"/>
    </row>
    <row r="699" spans="1:6" ht="15.75" x14ac:dyDescent="0.25">
      <c r="A699" s="105"/>
      <c r="B699" s="105"/>
      <c r="C699" s="93"/>
      <c r="D699" s="93" t="str">
        <f t="shared" si="10"/>
        <v/>
      </c>
      <c r="E699" s="123"/>
      <c r="F699" s="123"/>
    </row>
    <row r="700" spans="1:6" ht="15.75" x14ac:dyDescent="0.25">
      <c r="A700" s="105"/>
      <c r="B700" s="105"/>
      <c r="C700" s="93"/>
      <c r="D700" s="93" t="str">
        <f t="shared" si="10"/>
        <v/>
      </c>
      <c r="E700" s="123"/>
      <c r="F700" s="123"/>
    </row>
    <row r="701" spans="1:6" ht="15.75" x14ac:dyDescent="0.25">
      <c r="A701" s="105"/>
      <c r="B701" s="105"/>
      <c r="C701" s="93"/>
      <c r="D701" s="93" t="str">
        <f t="shared" si="10"/>
        <v/>
      </c>
      <c r="E701" s="123"/>
      <c r="F701" s="123"/>
    </row>
    <row r="702" spans="1:6" ht="15.75" x14ac:dyDescent="0.25">
      <c r="A702" s="105"/>
      <c r="B702" s="105"/>
      <c r="C702" s="93"/>
      <c r="D702" s="93" t="str">
        <f t="shared" si="10"/>
        <v/>
      </c>
      <c r="E702" s="123"/>
      <c r="F702" s="123"/>
    </row>
    <row r="703" spans="1:6" ht="15.75" x14ac:dyDescent="0.25">
      <c r="A703" s="105"/>
      <c r="B703" s="105"/>
      <c r="C703" s="93"/>
      <c r="D703" s="93" t="str">
        <f t="shared" si="10"/>
        <v/>
      </c>
      <c r="E703" s="123"/>
      <c r="F703" s="123"/>
    </row>
    <row r="704" spans="1:6" ht="15.75" x14ac:dyDescent="0.25">
      <c r="A704" s="105"/>
      <c r="B704" s="105"/>
      <c r="C704" s="93"/>
      <c r="D704" s="93" t="str">
        <f t="shared" si="10"/>
        <v/>
      </c>
      <c r="E704" s="123"/>
      <c r="F704" s="123"/>
    </row>
    <row r="705" spans="1:6" ht="15.75" x14ac:dyDescent="0.25">
      <c r="A705" s="105"/>
      <c r="B705" s="105"/>
      <c r="C705" s="93"/>
      <c r="D705" s="93" t="str">
        <f t="shared" si="10"/>
        <v/>
      </c>
      <c r="E705" s="123"/>
      <c r="F705" s="123"/>
    </row>
    <row r="706" spans="1:6" ht="15.75" x14ac:dyDescent="0.25">
      <c r="A706" s="105"/>
      <c r="B706" s="105"/>
      <c r="C706" s="93"/>
      <c r="D706" s="93" t="str">
        <f t="shared" si="10"/>
        <v/>
      </c>
      <c r="E706" s="123"/>
      <c r="F706" s="123"/>
    </row>
    <row r="707" spans="1:6" ht="15.75" x14ac:dyDescent="0.25">
      <c r="A707" s="105"/>
      <c r="B707" s="105"/>
      <c r="C707" s="93"/>
      <c r="D707" s="93" t="str">
        <f t="shared" si="10"/>
        <v/>
      </c>
      <c r="E707" s="123"/>
      <c r="F707" s="123"/>
    </row>
    <row r="708" spans="1:6" ht="15.75" x14ac:dyDescent="0.25">
      <c r="A708" s="105"/>
      <c r="B708" s="105"/>
      <c r="C708" s="93"/>
      <c r="D708" s="93" t="str">
        <f t="shared" si="10"/>
        <v/>
      </c>
      <c r="E708" s="123"/>
      <c r="F708" s="123"/>
    </row>
    <row r="709" spans="1:6" ht="15.75" x14ac:dyDescent="0.25">
      <c r="A709" s="105"/>
      <c r="B709" s="105"/>
      <c r="C709" s="93"/>
      <c r="D709" s="93" t="str">
        <f t="shared" si="10"/>
        <v/>
      </c>
      <c r="E709" s="123"/>
      <c r="F709" s="123"/>
    </row>
    <row r="710" spans="1:6" ht="15.75" x14ac:dyDescent="0.25">
      <c r="A710" s="105"/>
      <c r="B710" s="105"/>
      <c r="C710" s="93"/>
      <c r="D710" s="93" t="str">
        <f t="shared" si="10"/>
        <v/>
      </c>
      <c r="E710" s="123"/>
      <c r="F710" s="123"/>
    </row>
    <row r="711" spans="1:6" ht="15.75" x14ac:dyDescent="0.25">
      <c r="A711" s="105"/>
      <c r="B711" s="105"/>
      <c r="C711" s="93"/>
      <c r="D711" s="93" t="str">
        <f t="shared" si="10"/>
        <v/>
      </c>
      <c r="E711" s="123"/>
      <c r="F711" s="123"/>
    </row>
    <row r="712" spans="1:6" ht="15.75" x14ac:dyDescent="0.25">
      <c r="A712" s="105"/>
      <c r="B712" s="105"/>
      <c r="C712" s="93"/>
      <c r="D712" s="93" t="str">
        <f t="shared" si="10"/>
        <v/>
      </c>
      <c r="E712" s="123"/>
      <c r="F712" s="123"/>
    </row>
    <row r="713" spans="1:6" ht="15.75" x14ac:dyDescent="0.25">
      <c r="A713" s="105"/>
      <c r="B713" s="105"/>
      <c r="C713" s="93"/>
      <c r="D713" s="93" t="str">
        <f t="shared" si="10"/>
        <v/>
      </c>
      <c r="E713" s="123"/>
      <c r="F713" s="123"/>
    </row>
    <row r="714" spans="1:6" ht="15.75" x14ac:dyDescent="0.25">
      <c r="A714" s="105"/>
      <c r="B714" s="105"/>
      <c r="C714" s="93"/>
      <c r="D714" s="93" t="str">
        <f t="shared" si="10"/>
        <v/>
      </c>
      <c r="E714" s="123"/>
      <c r="F714" s="123"/>
    </row>
    <row r="715" spans="1:6" ht="15.75" x14ac:dyDescent="0.25">
      <c r="A715" s="105"/>
      <c r="B715" s="105"/>
      <c r="C715" s="93"/>
      <c r="D715" s="93" t="str">
        <f t="shared" ref="D715:D778" si="11">IF(A715=0,"","MinMax")</f>
        <v/>
      </c>
      <c r="E715" s="123"/>
      <c r="F715" s="123"/>
    </row>
    <row r="716" spans="1:6" ht="15.75" x14ac:dyDescent="0.25">
      <c r="A716" s="105"/>
      <c r="B716" s="105"/>
      <c r="C716" s="93"/>
      <c r="D716" s="93" t="str">
        <f t="shared" si="11"/>
        <v/>
      </c>
      <c r="E716" s="123"/>
      <c r="F716" s="123"/>
    </row>
    <row r="717" spans="1:6" ht="15.75" x14ac:dyDescent="0.25">
      <c r="A717" s="105"/>
      <c r="B717" s="105"/>
      <c r="C717" s="93"/>
      <c r="D717" s="93" t="str">
        <f t="shared" si="11"/>
        <v/>
      </c>
      <c r="E717" s="123"/>
      <c r="F717" s="123"/>
    </row>
    <row r="718" spans="1:6" ht="15.75" x14ac:dyDescent="0.25">
      <c r="A718" s="105"/>
      <c r="B718" s="105"/>
      <c r="C718" s="93"/>
      <c r="D718" s="93" t="str">
        <f t="shared" si="11"/>
        <v/>
      </c>
      <c r="E718" s="123"/>
      <c r="F718" s="123"/>
    </row>
    <row r="719" spans="1:6" ht="15.75" x14ac:dyDescent="0.25">
      <c r="A719" s="105"/>
      <c r="B719" s="105"/>
      <c r="C719" s="93"/>
      <c r="D719" s="93" t="str">
        <f t="shared" si="11"/>
        <v/>
      </c>
      <c r="E719" s="123"/>
      <c r="F719" s="123"/>
    </row>
    <row r="720" spans="1:6" ht="15.75" x14ac:dyDescent="0.25">
      <c r="A720" s="105"/>
      <c r="B720" s="105"/>
      <c r="C720" s="93"/>
      <c r="D720" s="93" t="str">
        <f t="shared" si="11"/>
        <v/>
      </c>
      <c r="E720" s="123"/>
      <c r="F720" s="123"/>
    </row>
    <row r="721" spans="1:6" ht="15.75" x14ac:dyDescent="0.25">
      <c r="A721" s="105"/>
      <c r="B721" s="105"/>
      <c r="C721" s="93"/>
      <c r="D721" s="93" t="str">
        <f t="shared" si="11"/>
        <v/>
      </c>
      <c r="E721" s="123"/>
      <c r="F721" s="123"/>
    </row>
    <row r="722" spans="1:6" ht="15.75" x14ac:dyDescent="0.25">
      <c r="A722" s="105"/>
      <c r="B722" s="105"/>
      <c r="C722" s="93"/>
      <c r="D722" s="93" t="str">
        <f t="shared" si="11"/>
        <v/>
      </c>
      <c r="E722" s="123"/>
      <c r="F722" s="123"/>
    </row>
    <row r="723" spans="1:6" ht="15.75" x14ac:dyDescent="0.25">
      <c r="A723" s="105"/>
      <c r="B723" s="105"/>
      <c r="C723" s="93"/>
      <c r="D723" s="93" t="str">
        <f t="shared" si="11"/>
        <v/>
      </c>
      <c r="E723" s="123"/>
      <c r="F723" s="123"/>
    </row>
    <row r="724" spans="1:6" ht="15.75" x14ac:dyDescent="0.25">
      <c r="A724" s="105"/>
      <c r="B724" s="105"/>
      <c r="C724" s="93"/>
      <c r="D724" s="93" t="str">
        <f t="shared" si="11"/>
        <v/>
      </c>
      <c r="E724" s="123"/>
      <c r="F724" s="123"/>
    </row>
    <row r="725" spans="1:6" ht="15.75" x14ac:dyDescent="0.25">
      <c r="A725" s="105"/>
      <c r="B725" s="105"/>
      <c r="C725" s="93"/>
      <c r="D725" s="93" t="str">
        <f t="shared" si="11"/>
        <v/>
      </c>
      <c r="E725" s="123"/>
      <c r="F725" s="123"/>
    </row>
    <row r="726" spans="1:6" ht="15.75" x14ac:dyDescent="0.25">
      <c r="A726" s="105"/>
      <c r="B726" s="105"/>
      <c r="C726" s="93"/>
      <c r="D726" s="93" t="str">
        <f t="shared" si="11"/>
        <v/>
      </c>
      <c r="E726" s="123"/>
      <c r="F726" s="123"/>
    </row>
    <row r="727" spans="1:6" ht="15.75" x14ac:dyDescent="0.25">
      <c r="A727" s="105"/>
      <c r="B727" s="105"/>
      <c r="C727" s="93"/>
      <c r="D727" s="93" t="str">
        <f t="shared" si="11"/>
        <v/>
      </c>
      <c r="E727" s="123"/>
      <c r="F727" s="123"/>
    </row>
    <row r="728" spans="1:6" ht="15.75" x14ac:dyDescent="0.25">
      <c r="A728" s="105"/>
      <c r="B728" s="105"/>
      <c r="C728" s="93"/>
      <c r="D728" s="93" t="str">
        <f t="shared" si="11"/>
        <v/>
      </c>
      <c r="E728" s="123"/>
      <c r="F728" s="123"/>
    </row>
    <row r="729" spans="1:6" ht="15.75" x14ac:dyDescent="0.25">
      <c r="A729" s="105"/>
      <c r="B729" s="105"/>
      <c r="C729" s="93"/>
      <c r="D729" s="93" t="str">
        <f t="shared" si="11"/>
        <v/>
      </c>
      <c r="E729" s="123"/>
      <c r="F729" s="123"/>
    </row>
    <row r="730" spans="1:6" ht="15.75" x14ac:dyDescent="0.25">
      <c r="A730" s="105"/>
      <c r="B730" s="105"/>
      <c r="C730" s="93"/>
      <c r="D730" s="93" t="str">
        <f t="shared" si="11"/>
        <v/>
      </c>
      <c r="E730" s="123"/>
      <c r="F730" s="123"/>
    </row>
    <row r="731" spans="1:6" ht="15.75" x14ac:dyDescent="0.25">
      <c r="A731" s="105"/>
      <c r="B731" s="105"/>
      <c r="C731" s="93"/>
      <c r="D731" s="93" t="str">
        <f t="shared" si="11"/>
        <v/>
      </c>
      <c r="E731" s="123"/>
      <c r="F731" s="123"/>
    </row>
    <row r="732" spans="1:6" ht="15.75" x14ac:dyDescent="0.25">
      <c r="A732" s="105"/>
      <c r="B732" s="105"/>
      <c r="C732" s="93"/>
      <c r="D732" s="93" t="str">
        <f t="shared" si="11"/>
        <v/>
      </c>
      <c r="E732" s="123"/>
      <c r="F732" s="123"/>
    </row>
    <row r="733" spans="1:6" ht="15.75" x14ac:dyDescent="0.25">
      <c r="A733" s="105"/>
      <c r="B733" s="105"/>
      <c r="C733" s="93"/>
      <c r="D733" s="93" t="str">
        <f t="shared" si="11"/>
        <v/>
      </c>
      <c r="E733" s="123"/>
      <c r="F733" s="123"/>
    </row>
    <row r="734" spans="1:6" ht="15.75" x14ac:dyDescent="0.25">
      <c r="A734" s="105"/>
      <c r="B734" s="105"/>
      <c r="C734" s="93"/>
      <c r="D734" s="93" t="str">
        <f t="shared" si="11"/>
        <v/>
      </c>
      <c r="E734" s="123"/>
      <c r="F734" s="123"/>
    </row>
    <row r="735" spans="1:6" ht="15.75" x14ac:dyDescent="0.25">
      <c r="A735" s="105"/>
      <c r="B735" s="105"/>
      <c r="C735" s="93"/>
      <c r="D735" s="93" t="str">
        <f t="shared" si="11"/>
        <v/>
      </c>
      <c r="E735" s="123"/>
      <c r="F735" s="123"/>
    </row>
    <row r="736" spans="1:6" ht="15.75" x14ac:dyDescent="0.25">
      <c r="A736" s="105"/>
      <c r="B736" s="105"/>
      <c r="C736" s="93"/>
      <c r="D736" s="93" t="str">
        <f t="shared" si="11"/>
        <v/>
      </c>
      <c r="E736" s="123"/>
      <c r="F736" s="123"/>
    </row>
    <row r="737" spans="1:6" ht="15.75" x14ac:dyDescent="0.25">
      <c r="A737" s="105"/>
      <c r="B737" s="105"/>
      <c r="C737" s="93"/>
      <c r="D737" s="93" t="str">
        <f t="shared" si="11"/>
        <v/>
      </c>
      <c r="E737" s="123"/>
      <c r="F737" s="123"/>
    </row>
    <row r="738" spans="1:6" ht="15.75" x14ac:dyDescent="0.25">
      <c r="A738" s="105"/>
      <c r="B738" s="105"/>
      <c r="C738" s="93"/>
      <c r="D738" s="93" t="str">
        <f t="shared" si="11"/>
        <v/>
      </c>
      <c r="E738" s="123"/>
      <c r="F738" s="123"/>
    </row>
    <row r="739" spans="1:6" ht="15.75" x14ac:dyDescent="0.25">
      <c r="A739" s="105"/>
      <c r="B739" s="105"/>
      <c r="C739" s="93"/>
      <c r="D739" s="93" t="str">
        <f t="shared" si="11"/>
        <v/>
      </c>
      <c r="E739" s="123"/>
      <c r="F739" s="123"/>
    </row>
    <row r="740" spans="1:6" ht="15.75" x14ac:dyDescent="0.25">
      <c r="A740" s="105"/>
      <c r="B740" s="105"/>
      <c r="C740" s="93"/>
      <c r="D740" s="93" t="str">
        <f t="shared" si="11"/>
        <v/>
      </c>
      <c r="E740" s="123"/>
      <c r="F740" s="123"/>
    </row>
    <row r="741" spans="1:6" ht="15.75" x14ac:dyDescent="0.25">
      <c r="A741" s="105"/>
      <c r="B741" s="105"/>
      <c r="C741" s="93"/>
      <c r="D741" s="93" t="str">
        <f t="shared" si="11"/>
        <v/>
      </c>
      <c r="E741" s="123"/>
      <c r="F741" s="123"/>
    </row>
    <row r="742" spans="1:6" ht="15.75" x14ac:dyDescent="0.25">
      <c r="A742" s="105"/>
      <c r="B742" s="105"/>
      <c r="C742" s="93"/>
      <c r="D742" s="93" t="str">
        <f t="shared" si="11"/>
        <v/>
      </c>
      <c r="E742" s="123"/>
      <c r="F742" s="123"/>
    </row>
    <row r="743" spans="1:6" ht="15.75" x14ac:dyDescent="0.25">
      <c r="A743" s="105"/>
      <c r="B743" s="105"/>
      <c r="C743" s="93"/>
      <c r="D743" s="93" t="str">
        <f t="shared" si="11"/>
        <v/>
      </c>
      <c r="E743" s="123"/>
      <c r="F743" s="123"/>
    </row>
    <row r="744" spans="1:6" ht="15.75" x14ac:dyDescent="0.25">
      <c r="A744" s="105"/>
      <c r="B744" s="105"/>
      <c r="C744" s="93"/>
      <c r="D744" s="93" t="str">
        <f t="shared" si="11"/>
        <v/>
      </c>
      <c r="E744" s="123"/>
      <c r="F744" s="123"/>
    </row>
    <row r="745" spans="1:6" ht="15.75" x14ac:dyDescent="0.25">
      <c r="A745" s="105"/>
      <c r="B745" s="105"/>
      <c r="C745" s="93"/>
      <c r="D745" s="93" t="str">
        <f t="shared" si="11"/>
        <v/>
      </c>
      <c r="E745" s="123"/>
      <c r="F745" s="123"/>
    </row>
    <row r="746" spans="1:6" ht="15.75" x14ac:dyDescent="0.25">
      <c r="A746" s="105"/>
      <c r="B746" s="105"/>
      <c r="C746" s="93"/>
      <c r="D746" s="93" t="str">
        <f t="shared" si="11"/>
        <v/>
      </c>
      <c r="E746" s="123"/>
      <c r="F746" s="123"/>
    </row>
    <row r="747" spans="1:6" ht="15.75" x14ac:dyDescent="0.25">
      <c r="A747" s="105"/>
      <c r="B747" s="105"/>
      <c r="C747" s="93"/>
      <c r="D747" s="93" t="str">
        <f t="shared" si="11"/>
        <v/>
      </c>
      <c r="E747" s="123"/>
      <c r="F747" s="123"/>
    </row>
    <row r="748" spans="1:6" ht="15.75" x14ac:dyDescent="0.25">
      <c r="A748" s="105"/>
      <c r="B748" s="105"/>
      <c r="C748" s="93"/>
      <c r="D748" s="93" t="str">
        <f t="shared" si="11"/>
        <v/>
      </c>
      <c r="E748" s="123"/>
      <c r="F748" s="123"/>
    </row>
    <row r="749" spans="1:6" ht="15.75" x14ac:dyDescent="0.25">
      <c r="A749" s="105"/>
      <c r="B749" s="105"/>
      <c r="C749" s="93"/>
      <c r="D749" s="93" t="str">
        <f t="shared" si="11"/>
        <v/>
      </c>
      <c r="E749" s="123"/>
      <c r="F749" s="123"/>
    </row>
    <row r="750" spans="1:6" ht="15.75" x14ac:dyDescent="0.25">
      <c r="A750" s="105"/>
      <c r="B750" s="105"/>
      <c r="C750" s="93"/>
      <c r="D750" s="93" t="str">
        <f t="shared" si="11"/>
        <v/>
      </c>
      <c r="E750" s="123"/>
      <c r="F750" s="123"/>
    </row>
    <row r="751" spans="1:6" ht="15.75" x14ac:dyDescent="0.25">
      <c r="A751" s="105"/>
      <c r="B751" s="105"/>
      <c r="C751" s="93"/>
      <c r="D751" s="93" t="str">
        <f t="shared" si="11"/>
        <v/>
      </c>
      <c r="E751" s="123"/>
      <c r="F751" s="123"/>
    </row>
    <row r="752" spans="1:6" ht="15.75" x14ac:dyDescent="0.25">
      <c r="A752" s="105"/>
      <c r="B752" s="105"/>
      <c r="C752" s="93"/>
      <c r="D752" s="93" t="str">
        <f t="shared" si="11"/>
        <v/>
      </c>
      <c r="E752" s="123"/>
      <c r="F752" s="123"/>
    </row>
    <row r="753" spans="1:6" ht="15.75" x14ac:dyDescent="0.25">
      <c r="A753" s="105"/>
      <c r="B753" s="105"/>
      <c r="C753" s="93"/>
      <c r="D753" s="93" t="str">
        <f t="shared" si="11"/>
        <v/>
      </c>
      <c r="E753" s="123"/>
      <c r="F753" s="123"/>
    </row>
    <row r="754" spans="1:6" ht="15.75" x14ac:dyDescent="0.25">
      <c r="A754" s="105"/>
      <c r="B754" s="105"/>
      <c r="C754" s="93"/>
      <c r="D754" s="93" t="str">
        <f t="shared" si="11"/>
        <v/>
      </c>
      <c r="E754" s="123"/>
      <c r="F754" s="123"/>
    </row>
    <row r="755" spans="1:6" ht="15.75" x14ac:dyDescent="0.25">
      <c r="A755" s="105"/>
      <c r="B755" s="105"/>
      <c r="C755" s="93"/>
      <c r="D755" s="93" t="str">
        <f t="shared" si="11"/>
        <v/>
      </c>
      <c r="E755" s="123"/>
      <c r="F755" s="123"/>
    </row>
    <row r="756" spans="1:6" ht="15.75" x14ac:dyDescent="0.25">
      <c r="A756" s="105"/>
      <c r="B756" s="105"/>
      <c r="C756" s="93"/>
      <c r="D756" s="93" t="str">
        <f t="shared" si="11"/>
        <v/>
      </c>
      <c r="E756" s="123"/>
      <c r="F756" s="123"/>
    </row>
    <row r="757" spans="1:6" ht="15.75" x14ac:dyDescent="0.25">
      <c r="A757" s="105"/>
      <c r="B757" s="105"/>
      <c r="C757" s="93"/>
      <c r="D757" s="93" t="str">
        <f t="shared" si="11"/>
        <v/>
      </c>
      <c r="E757" s="123"/>
      <c r="F757" s="123"/>
    </row>
    <row r="758" spans="1:6" ht="15.75" x14ac:dyDescent="0.25">
      <c r="A758" s="105"/>
      <c r="B758" s="105"/>
      <c r="C758" s="93"/>
      <c r="D758" s="93" t="str">
        <f t="shared" si="11"/>
        <v/>
      </c>
      <c r="E758" s="123"/>
      <c r="F758" s="123"/>
    </row>
    <row r="759" spans="1:6" ht="15.75" x14ac:dyDescent="0.25">
      <c r="A759" s="105"/>
      <c r="B759" s="105"/>
      <c r="C759" s="93"/>
      <c r="D759" s="93" t="str">
        <f t="shared" si="11"/>
        <v/>
      </c>
      <c r="E759" s="123"/>
      <c r="F759" s="123"/>
    </row>
    <row r="760" spans="1:6" ht="15.75" x14ac:dyDescent="0.25">
      <c r="A760" s="105"/>
      <c r="B760" s="105"/>
      <c r="C760" s="93"/>
      <c r="D760" s="93" t="str">
        <f t="shared" si="11"/>
        <v/>
      </c>
      <c r="E760" s="123"/>
      <c r="F760" s="123"/>
    </row>
    <row r="761" spans="1:6" ht="15.75" x14ac:dyDescent="0.25">
      <c r="A761" s="105"/>
      <c r="B761" s="105"/>
      <c r="C761" s="93"/>
      <c r="D761" s="93" t="str">
        <f t="shared" si="11"/>
        <v/>
      </c>
      <c r="E761" s="123"/>
      <c r="F761" s="123"/>
    </row>
    <row r="762" spans="1:6" ht="15.75" x14ac:dyDescent="0.25">
      <c r="A762" s="105"/>
      <c r="B762" s="105"/>
      <c r="C762" s="93"/>
      <c r="D762" s="93" t="str">
        <f t="shared" si="11"/>
        <v/>
      </c>
      <c r="E762" s="123"/>
      <c r="F762" s="123"/>
    </row>
    <row r="763" spans="1:6" ht="15.75" x14ac:dyDescent="0.25">
      <c r="A763" s="105"/>
      <c r="B763" s="105"/>
      <c r="C763" s="93"/>
      <c r="D763" s="93" t="str">
        <f t="shared" si="11"/>
        <v/>
      </c>
      <c r="E763" s="123"/>
      <c r="F763" s="123"/>
    </row>
    <row r="764" spans="1:6" ht="15.75" x14ac:dyDescent="0.25">
      <c r="A764" s="105"/>
      <c r="B764" s="105"/>
      <c r="C764" s="93"/>
      <c r="D764" s="93" t="str">
        <f t="shared" si="11"/>
        <v/>
      </c>
      <c r="E764" s="123"/>
      <c r="F764" s="123"/>
    </row>
    <row r="765" spans="1:6" ht="15.75" x14ac:dyDescent="0.25">
      <c r="A765" s="105"/>
      <c r="B765" s="105"/>
      <c r="C765" s="93"/>
      <c r="D765" s="93" t="str">
        <f t="shared" si="11"/>
        <v/>
      </c>
      <c r="E765" s="123"/>
      <c r="F765" s="123"/>
    </row>
    <row r="766" spans="1:6" ht="15.75" x14ac:dyDescent="0.25">
      <c r="A766" s="105"/>
      <c r="B766" s="105"/>
      <c r="C766" s="93"/>
      <c r="D766" s="93" t="str">
        <f t="shared" si="11"/>
        <v/>
      </c>
      <c r="E766" s="123"/>
      <c r="F766" s="123"/>
    </row>
    <row r="767" spans="1:6" ht="15.75" x14ac:dyDescent="0.25">
      <c r="A767" s="105"/>
      <c r="B767" s="105"/>
      <c r="C767" s="93"/>
      <c r="D767" s="93" t="str">
        <f t="shared" si="11"/>
        <v/>
      </c>
      <c r="E767" s="123"/>
      <c r="F767" s="123"/>
    </row>
    <row r="768" spans="1:6" ht="15.75" x14ac:dyDescent="0.25">
      <c r="A768" s="105"/>
      <c r="B768" s="105"/>
      <c r="C768" s="93"/>
      <c r="D768" s="93" t="str">
        <f t="shared" si="11"/>
        <v/>
      </c>
      <c r="E768" s="123"/>
      <c r="F768" s="123"/>
    </row>
    <row r="769" spans="1:6" ht="15.75" x14ac:dyDescent="0.25">
      <c r="A769" s="105"/>
      <c r="B769" s="105"/>
      <c r="C769" s="93"/>
      <c r="D769" s="93" t="str">
        <f t="shared" si="11"/>
        <v/>
      </c>
      <c r="E769" s="123"/>
      <c r="F769" s="123"/>
    </row>
    <row r="770" spans="1:6" ht="15.75" x14ac:dyDescent="0.25">
      <c r="A770" s="105"/>
      <c r="B770" s="105"/>
      <c r="C770" s="93"/>
      <c r="D770" s="93" t="str">
        <f t="shared" si="11"/>
        <v/>
      </c>
      <c r="E770" s="123"/>
      <c r="F770" s="123"/>
    </row>
    <row r="771" spans="1:6" ht="15.75" x14ac:dyDescent="0.25">
      <c r="A771" s="105"/>
      <c r="B771" s="105"/>
      <c r="C771" s="93"/>
      <c r="D771" s="93" t="str">
        <f t="shared" si="11"/>
        <v/>
      </c>
      <c r="E771" s="123"/>
      <c r="F771" s="123"/>
    </row>
    <row r="772" spans="1:6" ht="15.75" x14ac:dyDescent="0.25">
      <c r="A772" s="105"/>
      <c r="B772" s="105"/>
      <c r="C772" s="93"/>
      <c r="D772" s="93" t="str">
        <f t="shared" si="11"/>
        <v/>
      </c>
      <c r="E772" s="123"/>
      <c r="F772" s="123"/>
    </row>
    <row r="773" spans="1:6" ht="15.75" x14ac:dyDescent="0.25">
      <c r="A773" s="105"/>
      <c r="B773" s="105"/>
      <c r="C773" s="93"/>
      <c r="D773" s="93" t="str">
        <f t="shared" si="11"/>
        <v/>
      </c>
      <c r="E773" s="123"/>
      <c r="F773" s="123"/>
    </row>
    <row r="774" spans="1:6" ht="15.75" x14ac:dyDescent="0.25">
      <c r="A774" s="105"/>
      <c r="B774" s="105"/>
      <c r="C774" s="93"/>
      <c r="D774" s="93" t="str">
        <f t="shared" si="11"/>
        <v/>
      </c>
      <c r="E774" s="123"/>
      <c r="F774" s="123"/>
    </row>
    <row r="775" spans="1:6" ht="15.75" x14ac:dyDescent="0.25">
      <c r="A775" s="105"/>
      <c r="B775" s="105"/>
      <c r="C775" s="93"/>
      <c r="D775" s="93" t="str">
        <f t="shared" si="11"/>
        <v/>
      </c>
      <c r="E775" s="123"/>
      <c r="F775" s="123"/>
    </row>
    <row r="776" spans="1:6" ht="15.75" x14ac:dyDescent="0.25">
      <c r="A776" s="105"/>
      <c r="B776" s="105"/>
      <c r="C776" s="93"/>
      <c r="D776" s="93" t="str">
        <f t="shared" si="11"/>
        <v/>
      </c>
      <c r="E776" s="123"/>
      <c r="F776" s="123"/>
    </row>
    <row r="777" spans="1:6" ht="15.75" x14ac:dyDescent="0.25">
      <c r="A777" s="105"/>
      <c r="B777" s="105"/>
      <c r="C777" s="93"/>
      <c r="D777" s="93" t="str">
        <f t="shared" si="11"/>
        <v/>
      </c>
      <c r="E777" s="123"/>
      <c r="F777" s="123"/>
    </row>
    <row r="778" spans="1:6" ht="15.75" x14ac:dyDescent="0.25">
      <c r="A778" s="105"/>
      <c r="B778" s="105"/>
      <c r="C778" s="93"/>
      <c r="D778" s="93" t="str">
        <f t="shared" si="11"/>
        <v/>
      </c>
      <c r="E778" s="123"/>
      <c r="F778" s="123"/>
    </row>
    <row r="779" spans="1:6" ht="15.75" x14ac:dyDescent="0.25">
      <c r="A779" s="105"/>
      <c r="B779" s="105"/>
      <c r="C779" s="93"/>
      <c r="D779" s="93" t="str">
        <f t="shared" ref="D779:D842" si="12">IF(A779=0,"","MinMax")</f>
        <v/>
      </c>
      <c r="E779" s="123"/>
      <c r="F779" s="123"/>
    </row>
    <row r="780" spans="1:6" ht="15.75" x14ac:dyDescent="0.25">
      <c r="A780" s="105"/>
      <c r="B780" s="105"/>
      <c r="C780" s="93"/>
      <c r="D780" s="93" t="str">
        <f t="shared" si="12"/>
        <v/>
      </c>
      <c r="E780" s="123"/>
      <c r="F780" s="123"/>
    </row>
    <row r="781" spans="1:6" ht="15.75" x14ac:dyDescent="0.25">
      <c r="A781" s="105"/>
      <c r="B781" s="105"/>
      <c r="C781" s="93"/>
      <c r="D781" s="93" t="str">
        <f t="shared" si="12"/>
        <v/>
      </c>
      <c r="E781" s="123"/>
      <c r="F781" s="123"/>
    </row>
    <row r="782" spans="1:6" ht="15.75" x14ac:dyDescent="0.25">
      <c r="A782" s="105"/>
      <c r="B782" s="105"/>
      <c r="C782" s="93"/>
      <c r="D782" s="93" t="str">
        <f t="shared" si="12"/>
        <v/>
      </c>
      <c r="E782" s="123"/>
      <c r="F782" s="123"/>
    </row>
    <row r="783" spans="1:6" ht="15.75" x14ac:dyDescent="0.25">
      <c r="A783" s="105"/>
      <c r="B783" s="105"/>
      <c r="C783" s="93"/>
      <c r="D783" s="93" t="str">
        <f t="shared" si="12"/>
        <v/>
      </c>
      <c r="E783" s="123"/>
      <c r="F783" s="123"/>
    </row>
    <row r="784" spans="1:6" ht="15.75" x14ac:dyDescent="0.25">
      <c r="A784" s="105"/>
      <c r="B784" s="105"/>
      <c r="C784" s="93"/>
      <c r="D784" s="93" t="str">
        <f t="shared" si="12"/>
        <v/>
      </c>
      <c r="E784" s="123"/>
      <c r="F784" s="123"/>
    </row>
    <row r="785" spans="1:6" ht="15.75" x14ac:dyDescent="0.25">
      <c r="A785" s="105"/>
      <c r="B785" s="105"/>
      <c r="C785" s="93"/>
      <c r="D785" s="93" t="str">
        <f t="shared" si="12"/>
        <v/>
      </c>
      <c r="E785" s="123"/>
      <c r="F785" s="123"/>
    </row>
    <row r="786" spans="1:6" ht="15.75" x14ac:dyDescent="0.25">
      <c r="A786" s="105"/>
      <c r="B786" s="105"/>
      <c r="C786" s="93"/>
      <c r="D786" s="93" t="str">
        <f t="shared" si="12"/>
        <v/>
      </c>
      <c r="E786" s="123"/>
      <c r="F786" s="123"/>
    </row>
    <row r="787" spans="1:6" ht="15.75" x14ac:dyDescent="0.25">
      <c r="A787" s="105"/>
      <c r="B787" s="105"/>
      <c r="C787" s="93"/>
      <c r="D787" s="93" t="str">
        <f t="shared" si="12"/>
        <v/>
      </c>
      <c r="E787" s="123"/>
      <c r="F787" s="123"/>
    </row>
    <row r="788" spans="1:6" ht="15.75" x14ac:dyDescent="0.25">
      <c r="A788" s="105"/>
      <c r="B788" s="105"/>
      <c r="C788" s="93"/>
      <c r="D788" s="93" t="str">
        <f t="shared" si="12"/>
        <v/>
      </c>
      <c r="E788" s="123"/>
      <c r="F788" s="123"/>
    </row>
    <row r="789" spans="1:6" ht="15.75" x14ac:dyDescent="0.25">
      <c r="A789" s="105"/>
      <c r="B789" s="105"/>
      <c r="C789" s="93"/>
      <c r="D789" s="93" t="str">
        <f t="shared" si="12"/>
        <v/>
      </c>
      <c r="E789" s="123"/>
      <c r="F789" s="123"/>
    </row>
    <row r="790" spans="1:6" ht="15.75" x14ac:dyDescent="0.25">
      <c r="A790" s="105"/>
      <c r="B790" s="105"/>
      <c r="C790" s="93"/>
      <c r="D790" s="93" t="str">
        <f t="shared" si="12"/>
        <v/>
      </c>
      <c r="E790" s="123"/>
      <c r="F790" s="123"/>
    </row>
    <row r="791" spans="1:6" ht="15.75" x14ac:dyDescent="0.25">
      <c r="A791" s="105"/>
      <c r="B791" s="105"/>
      <c r="C791" s="93"/>
      <c r="D791" s="93" t="str">
        <f t="shared" si="12"/>
        <v/>
      </c>
      <c r="E791" s="123"/>
      <c r="F791" s="123"/>
    </row>
    <row r="792" spans="1:6" ht="15.75" x14ac:dyDescent="0.25">
      <c r="A792" s="105"/>
      <c r="B792" s="105"/>
      <c r="C792" s="93"/>
      <c r="D792" s="93" t="str">
        <f t="shared" si="12"/>
        <v/>
      </c>
      <c r="E792" s="123"/>
      <c r="F792" s="123"/>
    </row>
    <row r="793" spans="1:6" ht="15.75" x14ac:dyDescent="0.25">
      <c r="A793" s="105"/>
      <c r="B793" s="105"/>
      <c r="C793" s="93"/>
      <c r="D793" s="93" t="str">
        <f t="shared" si="12"/>
        <v/>
      </c>
      <c r="E793" s="123"/>
      <c r="F793" s="123"/>
    </row>
    <row r="794" spans="1:6" ht="15.75" x14ac:dyDescent="0.25">
      <c r="A794" s="105"/>
      <c r="B794" s="105"/>
      <c r="C794" s="93"/>
      <c r="D794" s="93" t="str">
        <f t="shared" si="12"/>
        <v/>
      </c>
      <c r="E794" s="123"/>
      <c r="F794" s="123"/>
    </row>
    <row r="795" spans="1:6" ht="15.75" x14ac:dyDescent="0.25">
      <c r="A795" s="105"/>
      <c r="B795" s="105"/>
      <c r="C795" s="93"/>
      <c r="D795" s="93" t="str">
        <f t="shared" si="12"/>
        <v/>
      </c>
      <c r="E795" s="123"/>
      <c r="F795" s="123"/>
    </row>
    <row r="796" spans="1:6" ht="15.75" x14ac:dyDescent="0.25">
      <c r="A796" s="105"/>
      <c r="B796" s="105"/>
      <c r="C796" s="93"/>
      <c r="D796" s="93" t="str">
        <f t="shared" si="12"/>
        <v/>
      </c>
      <c r="E796" s="123"/>
      <c r="F796" s="123"/>
    </row>
    <row r="797" spans="1:6" ht="15.75" x14ac:dyDescent="0.25">
      <c r="A797" s="105"/>
      <c r="B797" s="105"/>
      <c r="C797" s="93"/>
      <c r="D797" s="93" t="str">
        <f t="shared" si="12"/>
        <v/>
      </c>
      <c r="E797" s="123"/>
      <c r="F797" s="123"/>
    </row>
    <row r="798" spans="1:6" ht="15.75" x14ac:dyDescent="0.25">
      <c r="A798" s="105"/>
      <c r="B798" s="105"/>
      <c r="C798" s="93"/>
      <c r="D798" s="93" t="str">
        <f t="shared" si="12"/>
        <v/>
      </c>
      <c r="E798" s="123"/>
      <c r="F798" s="123"/>
    </row>
    <row r="799" spans="1:6" ht="15.75" x14ac:dyDescent="0.25">
      <c r="A799" s="105"/>
      <c r="B799" s="105"/>
      <c r="C799" s="93"/>
      <c r="D799" s="93" t="str">
        <f t="shared" si="12"/>
        <v/>
      </c>
      <c r="E799" s="123"/>
      <c r="F799" s="123"/>
    </row>
    <row r="800" spans="1:6" ht="15.75" x14ac:dyDescent="0.25">
      <c r="A800" s="105"/>
      <c r="B800" s="105"/>
      <c r="C800" s="93"/>
      <c r="D800" s="93" t="str">
        <f t="shared" si="12"/>
        <v/>
      </c>
      <c r="E800" s="123"/>
      <c r="F800" s="123"/>
    </row>
    <row r="801" spans="1:6" ht="15.75" x14ac:dyDescent="0.25">
      <c r="A801" s="105"/>
      <c r="B801" s="105"/>
      <c r="C801" s="93"/>
      <c r="D801" s="93" t="str">
        <f t="shared" si="12"/>
        <v/>
      </c>
      <c r="E801" s="123"/>
      <c r="F801" s="123"/>
    </row>
    <row r="802" spans="1:6" ht="15.75" x14ac:dyDescent="0.25">
      <c r="A802" s="105"/>
      <c r="B802" s="105"/>
      <c r="C802" s="93"/>
      <c r="D802" s="93" t="str">
        <f t="shared" si="12"/>
        <v/>
      </c>
      <c r="E802" s="123"/>
      <c r="F802" s="123"/>
    </row>
    <row r="803" spans="1:6" ht="15.75" x14ac:dyDescent="0.25">
      <c r="A803" s="105"/>
      <c r="B803" s="105"/>
      <c r="C803" s="93"/>
      <c r="D803" s="93" t="str">
        <f t="shared" si="12"/>
        <v/>
      </c>
      <c r="E803" s="123"/>
      <c r="F803" s="123"/>
    </row>
    <row r="804" spans="1:6" ht="15.75" x14ac:dyDescent="0.25">
      <c r="A804" s="105"/>
      <c r="B804" s="105"/>
      <c r="C804" s="93"/>
      <c r="D804" s="93" t="str">
        <f t="shared" si="12"/>
        <v/>
      </c>
      <c r="E804" s="123"/>
      <c r="F804" s="123"/>
    </row>
    <row r="805" spans="1:6" ht="15.75" x14ac:dyDescent="0.25">
      <c r="A805" s="105"/>
      <c r="B805" s="105"/>
      <c r="C805" s="93"/>
      <c r="D805" s="93" t="str">
        <f t="shared" si="12"/>
        <v/>
      </c>
      <c r="E805" s="123"/>
      <c r="F805" s="123"/>
    </row>
    <row r="806" spans="1:6" ht="15.75" x14ac:dyDescent="0.25">
      <c r="A806" s="105"/>
      <c r="B806" s="105"/>
      <c r="C806" s="93"/>
      <c r="D806" s="93" t="str">
        <f t="shared" si="12"/>
        <v/>
      </c>
      <c r="E806" s="123"/>
      <c r="F806" s="123"/>
    </row>
    <row r="807" spans="1:6" ht="15.75" x14ac:dyDescent="0.25">
      <c r="A807" s="105"/>
      <c r="B807" s="105"/>
      <c r="C807" s="93"/>
      <c r="D807" s="93" t="str">
        <f t="shared" si="12"/>
        <v/>
      </c>
      <c r="E807" s="123"/>
      <c r="F807" s="123"/>
    </row>
    <row r="808" spans="1:6" ht="15.75" x14ac:dyDescent="0.25">
      <c r="A808" s="105"/>
      <c r="B808" s="105"/>
      <c r="C808" s="93"/>
      <c r="D808" s="93" t="str">
        <f t="shared" si="12"/>
        <v/>
      </c>
      <c r="E808" s="123"/>
      <c r="F808" s="123"/>
    </row>
    <row r="809" spans="1:6" ht="15.75" x14ac:dyDescent="0.25">
      <c r="A809" s="105"/>
      <c r="B809" s="105"/>
      <c r="C809" s="93"/>
      <c r="D809" s="93" t="str">
        <f t="shared" si="12"/>
        <v/>
      </c>
      <c r="E809" s="123"/>
      <c r="F809" s="123"/>
    </row>
    <row r="810" spans="1:6" ht="15.75" x14ac:dyDescent="0.25">
      <c r="A810" s="105"/>
      <c r="B810" s="105"/>
      <c r="C810" s="93"/>
      <c r="D810" s="93" t="str">
        <f t="shared" si="12"/>
        <v/>
      </c>
      <c r="E810" s="123"/>
      <c r="F810" s="123"/>
    </row>
    <row r="811" spans="1:6" ht="15.75" x14ac:dyDescent="0.25">
      <c r="A811" s="105"/>
      <c r="B811" s="105"/>
      <c r="C811" s="93"/>
      <c r="D811" s="93" t="str">
        <f t="shared" si="12"/>
        <v/>
      </c>
      <c r="E811" s="123"/>
      <c r="F811" s="123"/>
    </row>
    <row r="812" spans="1:6" ht="15.75" x14ac:dyDescent="0.25">
      <c r="A812" s="105"/>
      <c r="B812" s="105"/>
      <c r="C812" s="93"/>
      <c r="D812" s="93" t="str">
        <f t="shared" si="12"/>
        <v/>
      </c>
      <c r="E812" s="123"/>
      <c r="F812" s="123"/>
    </row>
    <row r="813" spans="1:6" ht="15.75" x14ac:dyDescent="0.25">
      <c r="A813" s="105"/>
      <c r="B813" s="105"/>
      <c r="C813" s="93"/>
      <c r="D813" s="93" t="str">
        <f t="shared" si="12"/>
        <v/>
      </c>
      <c r="E813" s="123"/>
      <c r="F813" s="123"/>
    </row>
    <row r="814" spans="1:6" ht="15.75" x14ac:dyDescent="0.25">
      <c r="A814" s="105"/>
      <c r="B814" s="105"/>
      <c r="C814" s="93"/>
      <c r="D814" s="93" t="str">
        <f t="shared" si="12"/>
        <v/>
      </c>
      <c r="E814" s="123"/>
      <c r="F814" s="123"/>
    </row>
    <row r="815" spans="1:6" ht="15.75" x14ac:dyDescent="0.25">
      <c r="A815" s="105"/>
      <c r="B815" s="105"/>
      <c r="C815" s="93"/>
      <c r="D815" s="93" t="str">
        <f t="shared" si="12"/>
        <v/>
      </c>
      <c r="E815" s="123"/>
      <c r="F815" s="123"/>
    </row>
    <row r="816" spans="1:6" ht="15.75" x14ac:dyDescent="0.25">
      <c r="A816" s="105"/>
      <c r="B816" s="105"/>
      <c r="C816" s="93"/>
      <c r="D816" s="93" t="str">
        <f t="shared" si="12"/>
        <v/>
      </c>
      <c r="E816" s="123"/>
      <c r="F816" s="123"/>
    </row>
    <row r="817" spans="1:6" ht="15.75" x14ac:dyDescent="0.25">
      <c r="A817" s="105"/>
      <c r="B817" s="105"/>
      <c r="C817" s="93"/>
      <c r="D817" s="93" t="str">
        <f t="shared" si="12"/>
        <v/>
      </c>
      <c r="E817" s="123"/>
      <c r="F817" s="123"/>
    </row>
    <row r="818" spans="1:6" ht="15.75" x14ac:dyDescent="0.25">
      <c r="A818" s="105"/>
      <c r="B818" s="105"/>
      <c r="C818" s="93"/>
      <c r="D818" s="93" t="str">
        <f t="shared" si="12"/>
        <v/>
      </c>
      <c r="E818" s="123"/>
      <c r="F818" s="123"/>
    </row>
    <row r="819" spans="1:6" ht="15.75" x14ac:dyDescent="0.25">
      <c r="A819" s="105"/>
      <c r="B819" s="105"/>
      <c r="C819" s="93"/>
      <c r="D819" s="93" t="str">
        <f t="shared" si="12"/>
        <v/>
      </c>
      <c r="E819" s="123"/>
      <c r="F819" s="123"/>
    </row>
    <row r="820" spans="1:6" ht="15.75" x14ac:dyDescent="0.25">
      <c r="A820" s="105"/>
      <c r="B820" s="105"/>
      <c r="C820" s="93"/>
      <c r="D820" s="93" t="str">
        <f t="shared" si="12"/>
        <v/>
      </c>
      <c r="E820" s="123"/>
      <c r="F820" s="123"/>
    </row>
    <row r="821" spans="1:6" ht="15.75" x14ac:dyDescent="0.25">
      <c r="A821" s="105"/>
      <c r="B821" s="105"/>
      <c r="C821" s="93"/>
      <c r="D821" s="93" t="str">
        <f t="shared" si="12"/>
        <v/>
      </c>
      <c r="E821" s="123"/>
      <c r="F821" s="123"/>
    </row>
    <row r="822" spans="1:6" ht="15.75" x14ac:dyDescent="0.25">
      <c r="A822" s="105"/>
      <c r="B822" s="105"/>
      <c r="C822" s="93"/>
      <c r="D822" s="93" t="str">
        <f t="shared" si="12"/>
        <v/>
      </c>
      <c r="E822" s="123"/>
      <c r="F822" s="123"/>
    </row>
    <row r="823" spans="1:6" ht="15.75" x14ac:dyDescent="0.25">
      <c r="A823" s="105"/>
      <c r="B823" s="105"/>
      <c r="C823" s="93"/>
      <c r="D823" s="93" t="str">
        <f t="shared" si="12"/>
        <v/>
      </c>
      <c r="E823" s="123"/>
      <c r="F823" s="123"/>
    </row>
    <row r="824" spans="1:6" ht="15.75" x14ac:dyDescent="0.25">
      <c r="A824" s="105"/>
      <c r="B824" s="105"/>
      <c r="C824" s="93"/>
      <c r="D824" s="93" t="str">
        <f t="shared" si="12"/>
        <v/>
      </c>
      <c r="E824" s="123"/>
      <c r="F824" s="123"/>
    </row>
    <row r="825" spans="1:6" ht="15.75" x14ac:dyDescent="0.25">
      <c r="A825" s="105"/>
      <c r="B825" s="105"/>
      <c r="C825" s="93"/>
      <c r="D825" s="93" t="str">
        <f t="shared" si="12"/>
        <v/>
      </c>
      <c r="E825" s="123"/>
      <c r="F825" s="123"/>
    </row>
    <row r="826" spans="1:6" ht="15.75" x14ac:dyDescent="0.25">
      <c r="A826" s="105"/>
      <c r="B826" s="105"/>
      <c r="C826" s="93"/>
      <c r="D826" s="93" t="str">
        <f t="shared" si="12"/>
        <v/>
      </c>
      <c r="E826" s="123"/>
      <c r="F826" s="123"/>
    </row>
    <row r="827" spans="1:6" ht="15.75" x14ac:dyDescent="0.25">
      <c r="A827" s="105"/>
      <c r="B827" s="105"/>
      <c r="C827" s="93"/>
      <c r="D827" s="93" t="str">
        <f t="shared" si="12"/>
        <v/>
      </c>
      <c r="E827" s="123"/>
      <c r="F827" s="123"/>
    </row>
    <row r="828" spans="1:6" ht="15.75" x14ac:dyDescent="0.25">
      <c r="A828" s="105"/>
      <c r="B828" s="105"/>
      <c r="C828" s="93"/>
      <c r="D828" s="93" t="str">
        <f t="shared" si="12"/>
        <v/>
      </c>
      <c r="E828" s="123"/>
      <c r="F828" s="123"/>
    </row>
    <row r="829" spans="1:6" ht="15.75" x14ac:dyDescent="0.25">
      <c r="A829" s="105"/>
      <c r="B829" s="105"/>
      <c r="C829" s="93"/>
      <c r="D829" s="93" t="str">
        <f t="shared" si="12"/>
        <v/>
      </c>
      <c r="E829" s="123"/>
      <c r="F829" s="123"/>
    </row>
    <row r="830" spans="1:6" ht="15.75" x14ac:dyDescent="0.25">
      <c r="A830" s="105"/>
      <c r="B830" s="105"/>
      <c r="C830" s="93"/>
      <c r="D830" s="93" t="str">
        <f t="shared" si="12"/>
        <v/>
      </c>
      <c r="E830" s="123"/>
      <c r="F830" s="123"/>
    </row>
    <row r="831" spans="1:6" ht="15.75" x14ac:dyDescent="0.25">
      <c r="A831" s="105"/>
      <c r="B831" s="105"/>
      <c r="C831" s="93"/>
      <c r="D831" s="93" t="str">
        <f t="shared" si="12"/>
        <v/>
      </c>
      <c r="E831" s="123"/>
      <c r="F831" s="123"/>
    </row>
    <row r="832" spans="1:6" ht="15.75" x14ac:dyDescent="0.25">
      <c r="A832" s="105"/>
      <c r="B832" s="105"/>
      <c r="C832" s="93"/>
      <c r="D832" s="93" t="str">
        <f t="shared" si="12"/>
        <v/>
      </c>
      <c r="E832" s="123"/>
      <c r="F832" s="123"/>
    </row>
    <row r="833" spans="1:6" ht="15.75" x14ac:dyDescent="0.25">
      <c r="A833" s="105"/>
      <c r="B833" s="105"/>
      <c r="C833" s="93"/>
      <c r="D833" s="93" t="str">
        <f t="shared" si="12"/>
        <v/>
      </c>
      <c r="E833" s="123"/>
      <c r="F833" s="123"/>
    </row>
    <row r="834" spans="1:6" ht="15.75" x14ac:dyDescent="0.25">
      <c r="A834" s="105"/>
      <c r="B834" s="105"/>
      <c r="C834" s="93"/>
      <c r="D834" s="93" t="str">
        <f t="shared" si="12"/>
        <v/>
      </c>
      <c r="E834" s="123"/>
      <c r="F834" s="123"/>
    </row>
    <row r="835" spans="1:6" ht="15.75" x14ac:dyDescent="0.25">
      <c r="A835" s="105"/>
      <c r="B835" s="105"/>
      <c r="C835" s="93"/>
      <c r="D835" s="93" t="str">
        <f t="shared" si="12"/>
        <v/>
      </c>
      <c r="E835" s="123"/>
      <c r="F835" s="123"/>
    </row>
    <row r="836" spans="1:6" ht="15.75" x14ac:dyDescent="0.25">
      <c r="A836" s="105"/>
      <c r="B836" s="105"/>
      <c r="C836" s="93"/>
      <c r="D836" s="93" t="str">
        <f t="shared" si="12"/>
        <v/>
      </c>
      <c r="E836" s="123"/>
      <c r="F836" s="123"/>
    </row>
    <row r="837" spans="1:6" ht="15.75" x14ac:dyDescent="0.25">
      <c r="A837" s="105"/>
      <c r="B837" s="105"/>
      <c r="C837" s="93"/>
      <c r="D837" s="93" t="str">
        <f t="shared" si="12"/>
        <v/>
      </c>
      <c r="E837" s="123"/>
      <c r="F837" s="123"/>
    </row>
    <row r="838" spans="1:6" ht="15.75" x14ac:dyDescent="0.25">
      <c r="A838" s="105"/>
      <c r="B838" s="105"/>
      <c r="C838" s="93"/>
      <c r="D838" s="93" t="str">
        <f t="shared" si="12"/>
        <v/>
      </c>
      <c r="E838" s="123"/>
      <c r="F838" s="123"/>
    </row>
    <row r="839" spans="1:6" ht="15.75" x14ac:dyDescent="0.25">
      <c r="A839" s="105"/>
      <c r="B839" s="105"/>
      <c r="C839" s="93"/>
      <c r="D839" s="93" t="str">
        <f t="shared" si="12"/>
        <v/>
      </c>
      <c r="E839" s="123"/>
      <c r="F839" s="123"/>
    </row>
    <row r="840" spans="1:6" ht="15.75" x14ac:dyDescent="0.25">
      <c r="A840" s="105"/>
      <c r="B840" s="105"/>
      <c r="C840" s="93"/>
      <c r="D840" s="93" t="str">
        <f t="shared" si="12"/>
        <v/>
      </c>
      <c r="E840" s="123"/>
      <c r="F840" s="123"/>
    </row>
    <row r="841" spans="1:6" ht="15.75" x14ac:dyDescent="0.25">
      <c r="A841" s="105"/>
      <c r="B841" s="105"/>
      <c r="C841" s="93"/>
      <c r="D841" s="93" t="str">
        <f t="shared" si="12"/>
        <v/>
      </c>
      <c r="E841" s="123"/>
      <c r="F841" s="123"/>
    </row>
    <row r="842" spans="1:6" ht="15.75" x14ac:dyDescent="0.25">
      <c r="A842" s="105"/>
      <c r="B842" s="105"/>
      <c r="C842" s="93"/>
      <c r="D842" s="93" t="str">
        <f t="shared" si="12"/>
        <v/>
      </c>
      <c r="E842" s="123"/>
      <c r="F842" s="123"/>
    </row>
    <row r="843" spans="1:6" ht="15.75" x14ac:dyDescent="0.25">
      <c r="A843" s="105"/>
      <c r="B843" s="105"/>
      <c r="C843" s="93"/>
      <c r="D843" s="93" t="str">
        <f t="shared" ref="D843:D906" si="13">IF(A843=0,"","MinMax")</f>
        <v/>
      </c>
      <c r="E843" s="123"/>
      <c r="F843" s="123"/>
    </row>
    <row r="844" spans="1:6" ht="15.75" x14ac:dyDescent="0.25">
      <c r="A844" s="105"/>
      <c r="B844" s="105"/>
      <c r="C844" s="93"/>
      <c r="D844" s="93" t="str">
        <f t="shared" si="13"/>
        <v/>
      </c>
      <c r="E844" s="123"/>
      <c r="F844" s="123"/>
    </row>
    <row r="845" spans="1:6" ht="15.75" x14ac:dyDescent="0.25">
      <c r="A845" s="105"/>
      <c r="B845" s="105"/>
      <c r="C845" s="93"/>
      <c r="D845" s="93" t="str">
        <f t="shared" si="13"/>
        <v/>
      </c>
      <c r="E845" s="123"/>
      <c r="F845" s="123"/>
    </row>
    <row r="846" spans="1:6" ht="15.75" x14ac:dyDescent="0.25">
      <c r="A846" s="105"/>
      <c r="B846" s="105"/>
      <c r="C846" s="93"/>
      <c r="D846" s="93" t="str">
        <f t="shared" si="13"/>
        <v/>
      </c>
      <c r="E846" s="123"/>
      <c r="F846" s="123"/>
    </row>
    <row r="847" spans="1:6" ht="15.75" x14ac:dyDescent="0.25">
      <c r="A847" s="105"/>
      <c r="B847" s="105"/>
      <c r="C847" s="93"/>
      <c r="D847" s="93" t="str">
        <f t="shared" si="13"/>
        <v/>
      </c>
      <c r="E847" s="123"/>
      <c r="F847" s="123"/>
    </row>
    <row r="848" spans="1:6" ht="15.75" x14ac:dyDescent="0.25">
      <c r="A848" s="105"/>
      <c r="B848" s="105"/>
      <c r="C848" s="93"/>
      <c r="D848" s="93" t="str">
        <f t="shared" si="13"/>
        <v/>
      </c>
      <c r="E848" s="123"/>
      <c r="F848" s="123"/>
    </row>
    <row r="849" spans="1:6" ht="15.75" x14ac:dyDescent="0.25">
      <c r="A849" s="105"/>
      <c r="B849" s="105"/>
      <c r="C849" s="93"/>
      <c r="D849" s="93" t="str">
        <f t="shared" si="13"/>
        <v/>
      </c>
      <c r="E849" s="123"/>
      <c r="F849" s="123"/>
    </row>
    <row r="850" spans="1:6" ht="15.75" x14ac:dyDescent="0.25">
      <c r="A850" s="105"/>
      <c r="B850" s="105"/>
      <c r="C850" s="93"/>
      <c r="D850" s="93" t="str">
        <f t="shared" si="13"/>
        <v/>
      </c>
      <c r="E850" s="123"/>
      <c r="F850" s="123"/>
    </row>
    <row r="851" spans="1:6" ht="15.75" x14ac:dyDescent="0.25">
      <c r="A851" s="105"/>
      <c r="B851" s="105"/>
      <c r="C851" s="93"/>
      <c r="D851" s="93" t="str">
        <f t="shared" si="13"/>
        <v/>
      </c>
      <c r="E851" s="123"/>
      <c r="F851" s="123"/>
    </row>
    <row r="852" spans="1:6" ht="15.75" x14ac:dyDescent="0.25">
      <c r="A852" s="105"/>
      <c r="B852" s="105"/>
      <c r="C852" s="93"/>
      <c r="D852" s="93" t="str">
        <f t="shared" si="13"/>
        <v/>
      </c>
      <c r="E852" s="123"/>
      <c r="F852" s="123"/>
    </row>
    <row r="853" spans="1:6" ht="15.75" x14ac:dyDescent="0.25">
      <c r="A853" s="105"/>
      <c r="B853" s="105"/>
      <c r="C853" s="93"/>
      <c r="D853" s="93" t="str">
        <f t="shared" si="13"/>
        <v/>
      </c>
      <c r="E853" s="123"/>
      <c r="F853" s="123"/>
    </row>
    <row r="854" spans="1:6" ht="15.75" x14ac:dyDescent="0.25">
      <c r="A854" s="105"/>
      <c r="B854" s="105"/>
      <c r="C854" s="93"/>
      <c r="D854" s="93" t="str">
        <f t="shared" si="13"/>
        <v/>
      </c>
      <c r="E854" s="123"/>
      <c r="F854" s="123"/>
    </row>
    <row r="855" spans="1:6" ht="15.75" x14ac:dyDescent="0.25">
      <c r="A855" s="105"/>
      <c r="B855" s="105"/>
      <c r="C855" s="93"/>
      <c r="D855" s="93" t="str">
        <f t="shared" si="13"/>
        <v/>
      </c>
      <c r="E855" s="123"/>
      <c r="F855" s="123"/>
    </row>
    <row r="856" spans="1:6" ht="15.75" x14ac:dyDescent="0.25">
      <c r="A856" s="105"/>
      <c r="B856" s="105"/>
      <c r="C856" s="93"/>
      <c r="D856" s="93" t="str">
        <f t="shared" si="13"/>
        <v/>
      </c>
      <c r="E856" s="123"/>
      <c r="F856" s="123"/>
    </row>
    <row r="857" spans="1:6" ht="15.75" x14ac:dyDescent="0.25">
      <c r="A857" s="105"/>
      <c r="B857" s="105"/>
      <c r="C857" s="93"/>
      <c r="D857" s="93" t="str">
        <f t="shared" si="13"/>
        <v/>
      </c>
      <c r="E857" s="123"/>
      <c r="F857" s="123"/>
    </row>
    <row r="858" spans="1:6" ht="15.75" x14ac:dyDescent="0.25">
      <c r="A858" s="105"/>
      <c r="B858" s="105"/>
      <c r="C858" s="93"/>
      <c r="D858" s="93" t="str">
        <f t="shared" si="13"/>
        <v/>
      </c>
      <c r="E858" s="123"/>
      <c r="F858" s="123"/>
    </row>
    <row r="859" spans="1:6" ht="15.75" x14ac:dyDescent="0.25">
      <c r="A859" s="105"/>
      <c r="B859" s="105"/>
      <c r="C859" s="93"/>
      <c r="D859" s="93" t="str">
        <f t="shared" si="13"/>
        <v/>
      </c>
      <c r="E859" s="123"/>
      <c r="F859" s="123"/>
    </row>
    <row r="860" spans="1:6" ht="15.75" x14ac:dyDescent="0.25">
      <c r="A860" s="105"/>
      <c r="B860" s="105"/>
      <c r="C860" s="93"/>
      <c r="D860" s="93" t="str">
        <f t="shared" si="13"/>
        <v/>
      </c>
      <c r="E860" s="123"/>
      <c r="F860" s="123"/>
    </row>
    <row r="861" spans="1:6" ht="15.75" x14ac:dyDescent="0.25">
      <c r="A861" s="105"/>
      <c r="B861" s="105"/>
      <c r="C861" s="93"/>
      <c r="D861" s="93" t="str">
        <f t="shared" si="13"/>
        <v/>
      </c>
      <c r="E861" s="123"/>
      <c r="F861" s="123"/>
    </row>
    <row r="862" spans="1:6" ht="15.75" x14ac:dyDescent="0.25">
      <c r="A862" s="105"/>
      <c r="B862" s="105"/>
      <c r="C862" s="93"/>
      <c r="D862" s="93" t="str">
        <f t="shared" si="13"/>
        <v/>
      </c>
      <c r="E862" s="123"/>
      <c r="F862" s="123"/>
    </row>
    <row r="863" spans="1:6" ht="15.75" x14ac:dyDescent="0.25">
      <c r="A863" s="105"/>
      <c r="B863" s="105"/>
      <c r="C863" s="93"/>
      <c r="D863" s="93" t="str">
        <f t="shared" si="13"/>
        <v/>
      </c>
      <c r="E863" s="123"/>
      <c r="F863" s="123"/>
    </row>
    <row r="864" spans="1:6" ht="15.75" x14ac:dyDescent="0.25">
      <c r="A864" s="105"/>
      <c r="B864" s="105"/>
      <c r="C864" s="93"/>
      <c r="D864" s="93" t="str">
        <f t="shared" si="13"/>
        <v/>
      </c>
      <c r="E864" s="123"/>
      <c r="F864" s="123"/>
    </row>
    <row r="865" spans="1:6" ht="15.75" x14ac:dyDescent="0.25">
      <c r="A865" s="105"/>
      <c r="B865" s="105"/>
      <c r="C865" s="93"/>
      <c r="D865" s="93" t="str">
        <f t="shared" si="13"/>
        <v/>
      </c>
      <c r="E865" s="123"/>
      <c r="F865" s="123"/>
    </row>
    <row r="866" spans="1:6" ht="15.75" x14ac:dyDescent="0.25">
      <c r="A866" s="105"/>
      <c r="B866" s="105"/>
      <c r="C866" s="93"/>
      <c r="D866" s="93" t="str">
        <f t="shared" si="13"/>
        <v/>
      </c>
      <c r="E866" s="123"/>
      <c r="F866" s="123"/>
    </row>
    <row r="867" spans="1:6" ht="15.75" x14ac:dyDescent="0.25">
      <c r="A867" s="105"/>
      <c r="B867" s="105"/>
      <c r="C867" s="93"/>
      <c r="D867" s="93" t="str">
        <f t="shared" si="13"/>
        <v/>
      </c>
      <c r="E867" s="123"/>
      <c r="F867" s="123"/>
    </row>
    <row r="868" spans="1:6" ht="15.75" x14ac:dyDescent="0.25">
      <c r="A868" s="105"/>
      <c r="B868" s="105"/>
      <c r="C868" s="93"/>
      <c r="D868" s="93" t="str">
        <f t="shared" si="13"/>
        <v/>
      </c>
      <c r="E868" s="123"/>
      <c r="F868" s="123"/>
    </row>
    <row r="869" spans="1:6" ht="15.75" x14ac:dyDescent="0.25">
      <c r="A869" s="105"/>
      <c r="B869" s="105"/>
      <c r="C869" s="93"/>
      <c r="D869" s="93" t="str">
        <f t="shared" si="13"/>
        <v/>
      </c>
      <c r="E869" s="123"/>
      <c r="F869" s="123"/>
    </row>
    <row r="870" spans="1:6" ht="15.75" x14ac:dyDescent="0.25">
      <c r="A870" s="105"/>
      <c r="B870" s="105"/>
      <c r="C870" s="93"/>
      <c r="D870" s="93" t="str">
        <f t="shared" si="13"/>
        <v/>
      </c>
      <c r="E870" s="123"/>
      <c r="F870" s="123"/>
    </row>
    <row r="871" spans="1:6" ht="15.75" x14ac:dyDescent="0.25">
      <c r="A871" s="105"/>
      <c r="B871" s="105"/>
      <c r="C871" s="93"/>
      <c r="D871" s="93" t="str">
        <f t="shared" si="13"/>
        <v/>
      </c>
      <c r="E871" s="123"/>
      <c r="F871" s="123"/>
    </row>
    <row r="872" spans="1:6" ht="15.75" x14ac:dyDescent="0.25">
      <c r="A872" s="105"/>
      <c r="B872" s="105"/>
      <c r="C872" s="93"/>
      <c r="D872" s="93" t="str">
        <f t="shared" si="13"/>
        <v/>
      </c>
      <c r="E872" s="123"/>
      <c r="F872" s="123"/>
    </row>
    <row r="873" spans="1:6" ht="15.75" x14ac:dyDescent="0.25">
      <c r="A873" s="105"/>
      <c r="B873" s="105"/>
      <c r="C873" s="93"/>
      <c r="D873" s="93" t="str">
        <f t="shared" si="13"/>
        <v/>
      </c>
      <c r="E873" s="123"/>
      <c r="F873" s="123"/>
    </row>
    <row r="874" spans="1:6" ht="15.75" x14ac:dyDescent="0.25">
      <c r="A874" s="105"/>
      <c r="B874" s="105"/>
      <c r="C874" s="93"/>
      <c r="D874" s="93" t="str">
        <f t="shared" si="13"/>
        <v/>
      </c>
      <c r="E874" s="123"/>
      <c r="F874" s="123"/>
    </row>
    <row r="875" spans="1:6" ht="15.75" x14ac:dyDescent="0.25">
      <c r="A875" s="105"/>
      <c r="B875" s="105"/>
      <c r="C875" s="93"/>
      <c r="D875" s="93" t="str">
        <f t="shared" si="13"/>
        <v/>
      </c>
      <c r="E875" s="123"/>
      <c r="F875" s="123"/>
    </row>
    <row r="876" spans="1:6" ht="15.75" x14ac:dyDescent="0.25">
      <c r="A876" s="105"/>
      <c r="B876" s="105"/>
      <c r="C876" s="93"/>
      <c r="D876" s="93" t="str">
        <f t="shared" si="13"/>
        <v/>
      </c>
      <c r="E876" s="123"/>
      <c r="F876" s="123"/>
    </row>
    <row r="877" spans="1:6" ht="15.75" x14ac:dyDescent="0.25">
      <c r="A877" s="105"/>
      <c r="B877" s="105"/>
      <c r="C877" s="93"/>
      <c r="D877" s="93" t="str">
        <f t="shared" si="13"/>
        <v/>
      </c>
      <c r="E877" s="123"/>
      <c r="F877" s="123"/>
    </row>
    <row r="878" spans="1:6" ht="15.75" x14ac:dyDescent="0.25">
      <c r="A878" s="105"/>
      <c r="B878" s="105"/>
      <c r="C878" s="93"/>
      <c r="D878" s="93" t="str">
        <f t="shared" si="13"/>
        <v/>
      </c>
      <c r="E878" s="123"/>
      <c r="F878" s="123"/>
    </row>
    <row r="879" spans="1:6" ht="15.75" x14ac:dyDescent="0.25">
      <c r="A879" s="105"/>
      <c r="B879" s="105"/>
      <c r="C879" s="93"/>
      <c r="D879" s="93" t="str">
        <f t="shared" si="13"/>
        <v/>
      </c>
      <c r="E879" s="123"/>
      <c r="F879" s="123"/>
    </row>
    <row r="880" spans="1:6" ht="15.75" x14ac:dyDescent="0.25">
      <c r="A880" s="105"/>
      <c r="B880" s="105"/>
      <c r="C880" s="93"/>
      <c r="D880" s="93" t="str">
        <f t="shared" si="13"/>
        <v/>
      </c>
      <c r="E880" s="123"/>
      <c r="F880" s="123"/>
    </row>
    <row r="881" spans="1:6" ht="15.75" x14ac:dyDescent="0.25">
      <c r="A881" s="105"/>
      <c r="B881" s="105"/>
      <c r="C881" s="93"/>
      <c r="D881" s="93" t="str">
        <f t="shared" si="13"/>
        <v/>
      </c>
      <c r="E881" s="123"/>
      <c r="F881" s="123"/>
    </row>
    <row r="882" spans="1:6" ht="15.75" x14ac:dyDescent="0.25">
      <c r="A882" s="105"/>
      <c r="B882" s="105"/>
      <c r="C882" s="93"/>
      <c r="D882" s="93" t="str">
        <f t="shared" si="13"/>
        <v/>
      </c>
      <c r="E882" s="123"/>
      <c r="F882" s="123"/>
    </row>
    <row r="883" spans="1:6" ht="15.75" x14ac:dyDescent="0.25">
      <c r="A883" s="105"/>
      <c r="B883" s="105"/>
      <c r="C883" s="93"/>
      <c r="D883" s="93" t="str">
        <f t="shared" si="13"/>
        <v/>
      </c>
      <c r="E883" s="123"/>
      <c r="F883" s="123"/>
    </row>
    <row r="884" spans="1:6" ht="15.75" x14ac:dyDescent="0.25">
      <c r="A884" s="105"/>
      <c r="B884" s="105"/>
      <c r="C884" s="93"/>
      <c r="D884" s="93" t="str">
        <f t="shared" si="13"/>
        <v/>
      </c>
      <c r="E884" s="123"/>
      <c r="F884" s="123"/>
    </row>
    <row r="885" spans="1:6" ht="15.75" x14ac:dyDescent="0.25">
      <c r="A885" s="105"/>
      <c r="B885" s="105"/>
      <c r="C885" s="93"/>
      <c r="D885" s="93" t="str">
        <f t="shared" si="13"/>
        <v/>
      </c>
      <c r="E885" s="123"/>
      <c r="F885" s="123"/>
    </row>
    <row r="886" spans="1:6" ht="15.75" x14ac:dyDescent="0.25">
      <c r="A886" s="105"/>
      <c r="B886" s="105"/>
      <c r="C886" s="93"/>
      <c r="D886" s="93" t="str">
        <f t="shared" si="13"/>
        <v/>
      </c>
      <c r="E886" s="123"/>
      <c r="F886" s="123"/>
    </row>
    <row r="887" spans="1:6" ht="15.75" x14ac:dyDescent="0.25">
      <c r="A887" s="105"/>
      <c r="B887" s="105"/>
      <c r="C887" s="93"/>
      <c r="D887" s="93" t="str">
        <f t="shared" si="13"/>
        <v/>
      </c>
      <c r="E887" s="123"/>
      <c r="F887" s="123"/>
    </row>
    <row r="888" spans="1:6" ht="15.75" x14ac:dyDescent="0.25">
      <c r="A888" s="105"/>
      <c r="B888" s="105"/>
      <c r="C888" s="93"/>
      <c r="D888" s="93" t="str">
        <f t="shared" si="13"/>
        <v/>
      </c>
      <c r="E888" s="123"/>
      <c r="F888" s="123"/>
    </row>
    <row r="889" spans="1:6" ht="15.75" x14ac:dyDescent="0.25">
      <c r="A889" s="105"/>
      <c r="B889" s="105"/>
      <c r="C889" s="93"/>
      <c r="D889" s="93" t="str">
        <f t="shared" si="13"/>
        <v/>
      </c>
      <c r="E889" s="123"/>
      <c r="F889" s="123"/>
    </row>
    <row r="890" spans="1:6" ht="15.75" x14ac:dyDescent="0.25">
      <c r="A890" s="105"/>
      <c r="B890" s="105"/>
      <c r="C890" s="93"/>
      <c r="D890" s="93" t="str">
        <f t="shared" si="13"/>
        <v/>
      </c>
      <c r="E890" s="123"/>
      <c r="F890" s="123"/>
    </row>
    <row r="891" spans="1:6" ht="15.75" x14ac:dyDescent="0.25">
      <c r="A891" s="105"/>
      <c r="B891" s="105"/>
      <c r="C891" s="93"/>
      <c r="D891" s="93" t="str">
        <f t="shared" si="13"/>
        <v/>
      </c>
      <c r="E891" s="123"/>
      <c r="F891" s="123"/>
    </row>
    <row r="892" spans="1:6" ht="15.75" x14ac:dyDescent="0.25">
      <c r="A892" s="105"/>
      <c r="B892" s="105"/>
      <c r="C892" s="93"/>
      <c r="D892" s="93" t="str">
        <f t="shared" si="13"/>
        <v/>
      </c>
      <c r="E892" s="123"/>
      <c r="F892" s="123"/>
    </row>
    <row r="893" spans="1:6" ht="15.75" x14ac:dyDescent="0.25">
      <c r="A893" s="105"/>
      <c r="B893" s="105"/>
      <c r="C893" s="93"/>
      <c r="D893" s="93" t="str">
        <f t="shared" si="13"/>
        <v/>
      </c>
      <c r="E893" s="123"/>
      <c r="F893" s="123"/>
    </row>
    <row r="894" spans="1:6" ht="15.75" x14ac:dyDescent="0.25">
      <c r="A894" s="105"/>
      <c r="B894" s="105"/>
      <c r="C894" s="93"/>
      <c r="D894" s="93" t="str">
        <f t="shared" si="13"/>
        <v/>
      </c>
      <c r="E894" s="123"/>
      <c r="F894" s="123"/>
    </row>
    <row r="895" spans="1:6" ht="15.75" x14ac:dyDescent="0.25">
      <c r="A895" s="105"/>
      <c r="B895" s="105"/>
      <c r="C895" s="93"/>
      <c r="D895" s="93" t="str">
        <f t="shared" si="13"/>
        <v/>
      </c>
      <c r="E895" s="123"/>
      <c r="F895" s="123"/>
    </row>
    <row r="896" spans="1:6" ht="15.75" x14ac:dyDescent="0.25">
      <c r="A896" s="105"/>
      <c r="B896" s="105"/>
      <c r="C896" s="93"/>
      <c r="D896" s="93" t="str">
        <f t="shared" si="13"/>
        <v/>
      </c>
      <c r="E896" s="123"/>
      <c r="F896" s="123"/>
    </row>
    <row r="897" spans="1:6" ht="15.75" x14ac:dyDescent="0.25">
      <c r="A897" s="105"/>
      <c r="B897" s="105"/>
      <c r="C897" s="93"/>
      <c r="D897" s="93" t="str">
        <f t="shared" si="13"/>
        <v/>
      </c>
      <c r="E897" s="123"/>
      <c r="F897" s="123"/>
    </row>
    <row r="898" spans="1:6" ht="15.75" x14ac:dyDescent="0.25">
      <c r="A898" s="105"/>
      <c r="B898" s="105"/>
      <c r="C898" s="93"/>
      <c r="D898" s="93" t="str">
        <f t="shared" si="13"/>
        <v/>
      </c>
      <c r="E898" s="123"/>
      <c r="F898" s="123"/>
    </row>
    <row r="899" spans="1:6" ht="15.75" x14ac:dyDescent="0.25">
      <c r="A899" s="105"/>
      <c r="B899" s="105"/>
      <c r="C899" s="93"/>
      <c r="D899" s="93" t="str">
        <f t="shared" si="13"/>
        <v/>
      </c>
      <c r="E899" s="123"/>
      <c r="F899" s="123"/>
    </row>
    <row r="900" spans="1:6" ht="15.75" x14ac:dyDescent="0.25">
      <c r="A900" s="105"/>
      <c r="B900" s="105"/>
      <c r="C900" s="93"/>
      <c r="D900" s="93" t="str">
        <f t="shared" si="13"/>
        <v/>
      </c>
      <c r="E900" s="123"/>
      <c r="F900" s="123"/>
    </row>
    <row r="901" spans="1:6" ht="15.75" x14ac:dyDescent="0.25">
      <c r="A901" s="105"/>
      <c r="B901" s="105"/>
      <c r="C901" s="93"/>
      <c r="D901" s="93" t="str">
        <f t="shared" si="13"/>
        <v/>
      </c>
      <c r="E901" s="123"/>
      <c r="F901" s="123"/>
    </row>
    <row r="902" spans="1:6" ht="15.75" x14ac:dyDescent="0.25">
      <c r="A902" s="105"/>
      <c r="B902" s="105"/>
      <c r="C902" s="93"/>
      <c r="D902" s="93" t="str">
        <f t="shared" si="13"/>
        <v/>
      </c>
      <c r="E902" s="123"/>
      <c r="F902" s="123"/>
    </row>
    <row r="903" spans="1:6" ht="15.75" x14ac:dyDescent="0.25">
      <c r="A903" s="105"/>
      <c r="B903" s="105"/>
      <c r="C903" s="93"/>
      <c r="D903" s="93" t="str">
        <f t="shared" si="13"/>
        <v/>
      </c>
      <c r="E903" s="123"/>
      <c r="F903" s="123"/>
    </row>
    <row r="904" spans="1:6" ht="15.75" x14ac:dyDescent="0.25">
      <c r="A904" s="105"/>
      <c r="B904" s="105"/>
      <c r="C904" s="93"/>
      <c r="D904" s="93" t="str">
        <f t="shared" si="13"/>
        <v/>
      </c>
      <c r="E904" s="123"/>
      <c r="F904" s="123"/>
    </row>
    <row r="905" spans="1:6" ht="15.75" x14ac:dyDescent="0.25">
      <c r="A905" s="105"/>
      <c r="B905" s="105"/>
      <c r="C905" s="93"/>
      <c r="D905" s="93" t="str">
        <f t="shared" si="13"/>
        <v/>
      </c>
      <c r="E905" s="123"/>
      <c r="F905" s="123"/>
    </row>
    <row r="906" spans="1:6" ht="15.75" x14ac:dyDescent="0.25">
      <c r="A906" s="105"/>
      <c r="B906" s="105"/>
      <c r="C906" s="93"/>
      <c r="D906" s="93" t="str">
        <f t="shared" si="13"/>
        <v/>
      </c>
      <c r="E906" s="123"/>
      <c r="F906" s="123"/>
    </row>
    <row r="907" spans="1:6" ht="15.75" x14ac:dyDescent="0.25">
      <c r="A907" s="105"/>
      <c r="B907" s="105"/>
      <c r="C907" s="93"/>
      <c r="D907" s="93" t="str">
        <f t="shared" ref="D907:D970" si="14">IF(A907=0,"","MinMax")</f>
        <v/>
      </c>
      <c r="E907" s="123"/>
      <c r="F907" s="123"/>
    </row>
    <row r="908" spans="1:6" ht="15.75" x14ac:dyDescent="0.25">
      <c r="A908" s="105"/>
      <c r="B908" s="105"/>
      <c r="C908" s="93"/>
      <c r="D908" s="93" t="str">
        <f t="shared" si="14"/>
        <v/>
      </c>
      <c r="E908" s="123"/>
      <c r="F908" s="123"/>
    </row>
    <row r="909" spans="1:6" ht="15.75" x14ac:dyDescent="0.25">
      <c r="A909" s="105"/>
      <c r="B909" s="105"/>
      <c r="C909" s="93"/>
      <c r="D909" s="93" t="str">
        <f t="shared" si="14"/>
        <v/>
      </c>
      <c r="E909" s="123"/>
      <c r="F909" s="123"/>
    </row>
    <row r="910" spans="1:6" ht="15.75" x14ac:dyDescent="0.25">
      <c r="A910" s="105"/>
      <c r="B910" s="105"/>
      <c r="C910" s="93"/>
      <c r="D910" s="93" t="str">
        <f t="shared" si="14"/>
        <v/>
      </c>
      <c r="E910" s="123"/>
      <c r="F910" s="123"/>
    </row>
    <row r="911" spans="1:6" ht="15.75" x14ac:dyDescent="0.25">
      <c r="A911" s="105"/>
      <c r="B911" s="105"/>
      <c r="C911" s="93"/>
      <c r="D911" s="93" t="str">
        <f t="shared" si="14"/>
        <v/>
      </c>
      <c r="E911" s="123"/>
      <c r="F911" s="123"/>
    </row>
    <row r="912" spans="1:6" ht="15.75" x14ac:dyDescent="0.25">
      <c r="A912" s="105"/>
      <c r="B912" s="105"/>
      <c r="C912" s="93"/>
      <c r="D912" s="93" t="str">
        <f t="shared" si="14"/>
        <v/>
      </c>
      <c r="E912" s="123"/>
      <c r="F912" s="123"/>
    </row>
    <row r="913" spans="1:6" ht="15.75" x14ac:dyDescent="0.25">
      <c r="A913" s="105"/>
      <c r="B913" s="105"/>
      <c r="C913" s="93"/>
      <c r="D913" s="93" t="str">
        <f t="shared" si="14"/>
        <v/>
      </c>
      <c r="E913" s="123"/>
      <c r="F913" s="123"/>
    </row>
    <row r="914" spans="1:6" ht="15.75" x14ac:dyDescent="0.25">
      <c r="A914" s="105"/>
      <c r="B914" s="105"/>
      <c r="C914" s="93"/>
      <c r="D914" s="93" t="str">
        <f t="shared" si="14"/>
        <v/>
      </c>
      <c r="E914" s="123"/>
      <c r="F914" s="123"/>
    </row>
    <row r="915" spans="1:6" ht="15.75" x14ac:dyDescent="0.25">
      <c r="A915" s="105"/>
      <c r="B915" s="105"/>
      <c r="C915" s="93"/>
      <c r="D915" s="93" t="str">
        <f t="shared" si="14"/>
        <v/>
      </c>
      <c r="E915" s="123"/>
      <c r="F915" s="123"/>
    </row>
    <row r="916" spans="1:6" ht="15.75" x14ac:dyDescent="0.25">
      <c r="A916" s="105"/>
      <c r="B916" s="105"/>
      <c r="C916" s="93"/>
      <c r="D916" s="93" t="str">
        <f t="shared" si="14"/>
        <v/>
      </c>
      <c r="E916" s="123"/>
      <c r="F916" s="123"/>
    </row>
    <row r="917" spans="1:6" ht="15.75" x14ac:dyDescent="0.25">
      <c r="A917" s="105"/>
      <c r="B917" s="105"/>
      <c r="C917" s="93"/>
      <c r="D917" s="93" t="str">
        <f t="shared" si="14"/>
        <v/>
      </c>
      <c r="E917" s="123"/>
      <c r="F917" s="123"/>
    </row>
    <row r="918" spans="1:6" ht="15.75" x14ac:dyDescent="0.25">
      <c r="A918" s="105"/>
      <c r="B918" s="105"/>
      <c r="C918" s="93"/>
      <c r="D918" s="93" t="str">
        <f t="shared" si="14"/>
        <v/>
      </c>
      <c r="E918" s="123"/>
      <c r="F918" s="123"/>
    </row>
    <row r="919" spans="1:6" ht="15.75" x14ac:dyDescent="0.25">
      <c r="A919" s="105"/>
      <c r="B919" s="105"/>
      <c r="C919" s="93"/>
      <c r="D919" s="93" t="str">
        <f t="shared" si="14"/>
        <v/>
      </c>
      <c r="E919" s="123"/>
      <c r="F919" s="123"/>
    </row>
    <row r="920" spans="1:6" ht="15.75" x14ac:dyDescent="0.25">
      <c r="A920" s="105"/>
      <c r="B920" s="105"/>
      <c r="C920" s="93"/>
      <c r="D920" s="93" t="str">
        <f t="shared" si="14"/>
        <v/>
      </c>
      <c r="E920" s="123"/>
      <c r="F920" s="123"/>
    </row>
    <row r="921" spans="1:6" ht="15.75" x14ac:dyDescent="0.25">
      <c r="A921" s="105"/>
      <c r="B921" s="105"/>
      <c r="C921" s="93"/>
      <c r="D921" s="93" t="str">
        <f t="shared" si="14"/>
        <v/>
      </c>
      <c r="E921" s="123"/>
      <c r="F921" s="123"/>
    </row>
    <row r="922" spans="1:6" ht="15.75" x14ac:dyDescent="0.25">
      <c r="A922" s="105"/>
      <c r="B922" s="105"/>
      <c r="C922" s="93"/>
      <c r="D922" s="93" t="str">
        <f t="shared" si="14"/>
        <v/>
      </c>
      <c r="E922" s="123"/>
      <c r="F922" s="123"/>
    </row>
    <row r="923" spans="1:6" ht="15.75" x14ac:dyDescent="0.25">
      <c r="A923" s="105"/>
      <c r="B923" s="105"/>
      <c r="C923" s="93"/>
      <c r="D923" s="93" t="str">
        <f t="shared" si="14"/>
        <v/>
      </c>
      <c r="E923" s="123"/>
      <c r="F923" s="123"/>
    </row>
    <row r="924" spans="1:6" ht="15.75" x14ac:dyDescent="0.25">
      <c r="A924" s="105"/>
      <c r="B924" s="105"/>
      <c r="C924" s="93"/>
      <c r="D924" s="93" t="str">
        <f t="shared" si="14"/>
        <v/>
      </c>
      <c r="E924" s="123"/>
      <c r="F924" s="123"/>
    </row>
    <row r="925" spans="1:6" ht="15.75" x14ac:dyDescent="0.25">
      <c r="A925" s="105"/>
      <c r="B925" s="105"/>
      <c r="C925" s="93"/>
      <c r="D925" s="93" t="str">
        <f t="shared" si="14"/>
        <v/>
      </c>
      <c r="E925" s="123"/>
      <c r="F925" s="123"/>
    </row>
    <row r="926" spans="1:6" ht="15.75" x14ac:dyDescent="0.25">
      <c r="A926" s="105"/>
      <c r="B926" s="105"/>
      <c r="C926" s="93"/>
      <c r="D926" s="93" t="str">
        <f t="shared" si="14"/>
        <v/>
      </c>
      <c r="E926" s="123"/>
      <c r="F926" s="123"/>
    </row>
    <row r="927" spans="1:6" ht="15.75" x14ac:dyDescent="0.25">
      <c r="A927" s="105"/>
      <c r="B927" s="105"/>
      <c r="C927" s="93"/>
      <c r="D927" s="93" t="str">
        <f t="shared" si="14"/>
        <v/>
      </c>
      <c r="E927" s="123"/>
      <c r="F927" s="123"/>
    </row>
    <row r="928" spans="1:6" ht="15.75" x14ac:dyDescent="0.25">
      <c r="A928" s="105"/>
      <c r="B928" s="105"/>
      <c r="C928" s="93"/>
      <c r="D928" s="93" t="str">
        <f t="shared" si="14"/>
        <v/>
      </c>
      <c r="E928" s="123"/>
      <c r="F928" s="123"/>
    </row>
    <row r="929" spans="1:6" ht="15.75" x14ac:dyDescent="0.25">
      <c r="A929" s="105"/>
      <c r="B929" s="105"/>
      <c r="C929" s="93"/>
      <c r="D929" s="93" t="str">
        <f t="shared" si="14"/>
        <v/>
      </c>
      <c r="E929" s="123"/>
      <c r="F929" s="123"/>
    </row>
    <row r="930" spans="1:6" ht="15.75" x14ac:dyDescent="0.25">
      <c r="A930" s="105"/>
      <c r="B930" s="105"/>
      <c r="C930" s="93"/>
      <c r="D930" s="93" t="str">
        <f t="shared" si="14"/>
        <v/>
      </c>
      <c r="E930" s="123"/>
      <c r="F930" s="123"/>
    </row>
    <row r="931" spans="1:6" ht="15.75" x14ac:dyDescent="0.25">
      <c r="A931" s="105"/>
      <c r="B931" s="105"/>
      <c r="C931" s="93"/>
      <c r="D931" s="93" t="str">
        <f t="shared" si="14"/>
        <v/>
      </c>
      <c r="E931" s="123"/>
      <c r="F931" s="123"/>
    </row>
    <row r="932" spans="1:6" ht="15.75" x14ac:dyDescent="0.25">
      <c r="A932" s="105"/>
      <c r="B932" s="105"/>
      <c r="C932" s="93"/>
      <c r="D932" s="93" t="str">
        <f t="shared" si="14"/>
        <v/>
      </c>
      <c r="E932" s="123"/>
      <c r="F932" s="123"/>
    </row>
    <row r="933" spans="1:6" ht="15.75" x14ac:dyDescent="0.25">
      <c r="A933" s="105"/>
      <c r="B933" s="105"/>
      <c r="C933" s="93"/>
      <c r="D933" s="93" t="str">
        <f t="shared" si="14"/>
        <v/>
      </c>
      <c r="E933" s="123"/>
      <c r="F933" s="123"/>
    </row>
    <row r="934" spans="1:6" ht="15.75" x14ac:dyDescent="0.25">
      <c r="A934" s="105"/>
      <c r="B934" s="105"/>
      <c r="C934" s="93"/>
      <c r="D934" s="93" t="str">
        <f t="shared" si="14"/>
        <v/>
      </c>
      <c r="E934" s="123"/>
      <c r="F934" s="123"/>
    </row>
    <row r="935" spans="1:6" ht="15.75" x14ac:dyDescent="0.25">
      <c r="A935" s="105"/>
      <c r="B935" s="105"/>
      <c r="C935" s="93"/>
      <c r="D935" s="93" t="str">
        <f t="shared" si="14"/>
        <v/>
      </c>
      <c r="E935" s="123"/>
      <c r="F935" s="123"/>
    </row>
    <row r="936" spans="1:6" ht="15.75" x14ac:dyDescent="0.25">
      <c r="A936" s="105"/>
      <c r="B936" s="105"/>
      <c r="C936" s="93"/>
      <c r="D936" s="93" t="str">
        <f t="shared" si="14"/>
        <v/>
      </c>
      <c r="E936" s="123"/>
      <c r="F936" s="123"/>
    </row>
    <row r="937" spans="1:6" ht="15.75" x14ac:dyDescent="0.25">
      <c r="A937" s="105"/>
      <c r="B937" s="105"/>
      <c r="C937" s="93"/>
      <c r="D937" s="93" t="str">
        <f t="shared" si="14"/>
        <v/>
      </c>
      <c r="E937" s="123"/>
      <c r="F937" s="123"/>
    </row>
    <row r="938" spans="1:6" ht="15.75" x14ac:dyDescent="0.25">
      <c r="A938" s="105"/>
      <c r="B938" s="105"/>
      <c r="C938" s="93"/>
      <c r="D938" s="93" t="str">
        <f t="shared" si="14"/>
        <v/>
      </c>
      <c r="E938" s="123"/>
      <c r="F938" s="123"/>
    </row>
    <row r="939" spans="1:6" ht="15.75" x14ac:dyDescent="0.25">
      <c r="A939" s="105"/>
      <c r="B939" s="105"/>
      <c r="C939" s="93"/>
      <c r="D939" s="93" t="str">
        <f t="shared" si="14"/>
        <v/>
      </c>
      <c r="E939" s="123"/>
      <c r="F939" s="123"/>
    </row>
    <row r="940" spans="1:6" ht="15.75" x14ac:dyDescent="0.25">
      <c r="A940" s="105"/>
      <c r="B940" s="105"/>
      <c r="C940" s="93"/>
      <c r="D940" s="93" t="str">
        <f t="shared" si="14"/>
        <v/>
      </c>
      <c r="E940" s="123"/>
      <c r="F940" s="123"/>
    </row>
    <row r="941" spans="1:6" ht="15.75" x14ac:dyDescent="0.25">
      <c r="A941" s="105"/>
      <c r="B941" s="105"/>
      <c r="C941" s="93"/>
      <c r="D941" s="93" t="str">
        <f t="shared" si="14"/>
        <v/>
      </c>
      <c r="E941" s="123"/>
      <c r="F941" s="123"/>
    </row>
    <row r="942" spans="1:6" ht="15.75" x14ac:dyDescent="0.25">
      <c r="A942" s="105"/>
      <c r="B942" s="105"/>
      <c r="C942" s="93"/>
      <c r="D942" s="93" t="str">
        <f t="shared" si="14"/>
        <v/>
      </c>
      <c r="E942" s="123"/>
      <c r="F942" s="123"/>
    </row>
    <row r="943" spans="1:6" ht="15.75" x14ac:dyDescent="0.25">
      <c r="A943" s="105"/>
      <c r="B943" s="105"/>
      <c r="C943" s="93"/>
      <c r="D943" s="93" t="str">
        <f t="shared" si="14"/>
        <v/>
      </c>
      <c r="E943" s="123"/>
      <c r="F943" s="123"/>
    </row>
    <row r="944" spans="1:6" ht="15.75" x14ac:dyDescent="0.25">
      <c r="A944" s="105"/>
      <c r="B944" s="105"/>
      <c r="C944" s="93"/>
      <c r="D944" s="93" t="str">
        <f t="shared" si="14"/>
        <v/>
      </c>
      <c r="E944" s="123"/>
      <c r="F944" s="123"/>
    </row>
    <row r="945" spans="1:6" ht="15.75" x14ac:dyDescent="0.25">
      <c r="A945" s="105"/>
      <c r="B945" s="105"/>
      <c r="C945" s="93"/>
      <c r="D945" s="93" t="str">
        <f t="shared" si="14"/>
        <v/>
      </c>
      <c r="E945" s="123"/>
      <c r="F945" s="123"/>
    </row>
    <row r="946" spans="1:6" ht="15.75" x14ac:dyDescent="0.25">
      <c r="A946" s="105"/>
      <c r="B946" s="105"/>
      <c r="C946" s="93"/>
      <c r="D946" s="93" t="str">
        <f t="shared" si="14"/>
        <v/>
      </c>
      <c r="E946" s="123"/>
      <c r="F946" s="123"/>
    </row>
    <row r="947" spans="1:6" ht="15.75" x14ac:dyDescent="0.25">
      <c r="A947" s="105"/>
      <c r="B947" s="105"/>
      <c r="C947" s="93"/>
      <c r="D947" s="93" t="str">
        <f t="shared" si="14"/>
        <v/>
      </c>
      <c r="E947" s="123"/>
      <c r="F947" s="123"/>
    </row>
    <row r="948" spans="1:6" ht="15.75" x14ac:dyDescent="0.25">
      <c r="A948" s="105"/>
      <c r="B948" s="105"/>
      <c r="C948" s="93"/>
      <c r="D948" s="93" t="str">
        <f t="shared" si="14"/>
        <v/>
      </c>
      <c r="E948" s="123"/>
      <c r="F948" s="123"/>
    </row>
    <row r="949" spans="1:6" ht="15.75" x14ac:dyDescent="0.25">
      <c r="A949" s="105"/>
      <c r="B949" s="105"/>
      <c r="C949" s="93"/>
      <c r="D949" s="93" t="str">
        <f t="shared" si="14"/>
        <v/>
      </c>
      <c r="E949" s="123"/>
      <c r="F949" s="123"/>
    </row>
    <row r="950" spans="1:6" ht="15.75" x14ac:dyDescent="0.25">
      <c r="A950" s="105"/>
      <c r="B950" s="105"/>
      <c r="C950" s="93"/>
      <c r="D950" s="93" t="str">
        <f t="shared" si="14"/>
        <v/>
      </c>
      <c r="E950" s="123"/>
      <c r="F950" s="123"/>
    </row>
    <row r="951" spans="1:6" ht="15.75" x14ac:dyDescent="0.25">
      <c r="A951" s="105"/>
      <c r="B951" s="105"/>
      <c r="C951" s="93"/>
      <c r="D951" s="93" t="str">
        <f t="shared" si="14"/>
        <v/>
      </c>
      <c r="E951" s="123"/>
      <c r="F951" s="123"/>
    </row>
    <row r="952" spans="1:6" ht="15.75" x14ac:dyDescent="0.25">
      <c r="A952" s="105"/>
      <c r="B952" s="105"/>
      <c r="C952" s="93"/>
      <c r="D952" s="93" t="str">
        <f t="shared" si="14"/>
        <v/>
      </c>
      <c r="E952" s="123"/>
      <c r="F952" s="123"/>
    </row>
    <row r="953" spans="1:6" ht="15.75" x14ac:dyDescent="0.25">
      <c r="A953" s="105"/>
      <c r="B953" s="105"/>
      <c r="C953" s="93"/>
      <c r="D953" s="93" t="str">
        <f t="shared" si="14"/>
        <v/>
      </c>
      <c r="E953" s="123"/>
      <c r="F953" s="123"/>
    </row>
    <row r="954" spans="1:6" ht="15.75" x14ac:dyDescent="0.25">
      <c r="A954" s="105"/>
      <c r="B954" s="105"/>
      <c r="C954" s="93"/>
      <c r="D954" s="93" t="str">
        <f t="shared" si="14"/>
        <v/>
      </c>
      <c r="E954" s="123"/>
      <c r="F954" s="123"/>
    </row>
    <row r="955" spans="1:6" ht="15.75" x14ac:dyDescent="0.25">
      <c r="A955" s="105"/>
      <c r="B955" s="105"/>
      <c r="C955" s="93"/>
      <c r="D955" s="93" t="str">
        <f t="shared" si="14"/>
        <v/>
      </c>
      <c r="E955" s="123"/>
      <c r="F955" s="123"/>
    </row>
    <row r="956" spans="1:6" ht="15.75" x14ac:dyDescent="0.25">
      <c r="A956" s="105"/>
      <c r="B956" s="105"/>
      <c r="C956" s="93"/>
      <c r="D956" s="93" t="str">
        <f t="shared" si="14"/>
        <v/>
      </c>
      <c r="E956" s="123"/>
      <c r="F956" s="123"/>
    </row>
    <row r="957" spans="1:6" ht="15.75" x14ac:dyDescent="0.25">
      <c r="A957" s="105"/>
      <c r="B957" s="105"/>
      <c r="C957" s="93"/>
      <c r="D957" s="93" t="str">
        <f t="shared" si="14"/>
        <v/>
      </c>
      <c r="E957" s="123"/>
      <c r="F957" s="123"/>
    </row>
    <row r="958" spans="1:6" ht="15.75" x14ac:dyDescent="0.25">
      <c r="A958" s="105"/>
      <c r="B958" s="105"/>
      <c r="C958" s="93"/>
      <c r="D958" s="93" t="str">
        <f t="shared" si="14"/>
        <v/>
      </c>
      <c r="E958" s="123"/>
      <c r="F958" s="123"/>
    </row>
    <row r="959" spans="1:6" ht="15.75" x14ac:dyDescent="0.25">
      <c r="A959" s="105"/>
      <c r="B959" s="105"/>
      <c r="C959" s="93"/>
      <c r="D959" s="93" t="str">
        <f t="shared" si="14"/>
        <v/>
      </c>
      <c r="E959" s="123"/>
      <c r="F959" s="123"/>
    </row>
    <row r="960" spans="1:6" ht="15.75" x14ac:dyDescent="0.25">
      <c r="A960" s="105"/>
      <c r="B960" s="105"/>
      <c r="C960" s="93"/>
      <c r="D960" s="93" t="str">
        <f t="shared" si="14"/>
        <v/>
      </c>
      <c r="E960" s="123"/>
      <c r="F960" s="123"/>
    </row>
    <row r="961" spans="1:6" ht="15.75" x14ac:dyDescent="0.25">
      <c r="A961" s="105"/>
      <c r="B961" s="105"/>
      <c r="C961" s="93"/>
      <c r="D961" s="93" t="str">
        <f t="shared" si="14"/>
        <v/>
      </c>
      <c r="E961" s="123"/>
      <c r="F961" s="123"/>
    </row>
    <row r="962" spans="1:6" ht="15.75" x14ac:dyDescent="0.25">
      <c r="A962" s="105"/>
      <c r="B962" s="105"/>
      <c r="C962" s="93"/>
      <c r="D962" s="93" t="str">
        <f t="shared" si="14"/>
        <v/>
      </c>
      <c r="E962" s="123"/>
      <c r="F962" s="123"/>
    </row>
    <row r="963" spans="1:6" ht="15.75" x14ac:dyDescent="0.25">
      <c r="A963" s="105"/>
      <c r="B963" s="105"/>
      <c r="C963" s="93"/>
      <c r="D963" s="93" t="str">
        <f t="shared" si="14"/>
        <v/>
      </c>
      <c r="E963" s="123"/>
      <c r="F963" s="123"/>
    </row>
    <row r="964" spans="1:6" ht="15.75" x14ac:dyDescent="0.25">
      <c r="A964" s="105"/>
      <c r="B964" s="105"/>
      <c r="C964" s="93"/>
      <c r="D964" s="93" t="str">
        <f t="shared" si="14"/>
        <v/>
      </c>
      <c r="E964" s="123"/>
      <c r="F964" s="123"/>
    </row>
    <row r="965" spans="1:6" ht="15.75" x14ac:dyDescent="0.25">
      <c r="A965" s="105"/>
      <c r="B965" s="105"/>
      <c r="C965" s="93"/>
      <c r="D965" s="93" t="str">
        <f t="shared" si="14"/>
        <v/>
      </c>
      <c r="E965" s="123"/>
      <c r="F965" s="123"/>
    </row>
    <row r="966" spans="1:6" ht="15.75" x14ac:dyDescent="0.25">
      <c r="A966" s="105"/>
      <c r="B966" s="105"/>
      <c r="C966" s="93"/>
      <c r="D966" s="93" t="str">
        <f t="shared" si="14"/>
        <v/>
      </c>
      <c r="E966" s="123"/>
      <c r="F966" s="123"/>
    </row>
    <row r="967" spans="1:6" ht="15.75" x14ac:dyDescent="0.25">
      <c r="A967" s="105"/>
      <c r="B967" s="105"/>
      <c r="C967" s="93"/>
      <c r="D967" s="93" t="str">
        <f t="shared" si="14"/>
        <v/>
      </c>
      <c r="E967" s="123"/>
      <c r="F967" s="123"/>
    </row>
    <row r="968" spans="1:6" ht="15.75" x14ac:dyDescent="0.25">
      <c r="A968" s="105"/>
      <c r="B968" s="105"/>
      <c r="C968" s="93"/>
      <c r="D968" s="93" t="str">
        <f t="shared" si="14"/>
        <v/>
      </c>
      <c r="E968" s="123"/>
      <c r="F968" s="123"/>
    </row>
    <row r="969" spans="1:6" ht="15.75" x14ac:dyDescent="0.25">
      <c r="A969" s="105"/>
      <c r="B969" s="105"/>
      <c r="C969" s="93"/>
      <c r="D969" s="93" t="str">
        <f t="shared" si="14"/>
        <v/>
      </c>
      <c r="E969" s="123"/>
      <c r="F969" s="123"/>
    </row>
    <row r="970" spans="1:6" ht="15.75" x14ac:dyDescent="0.25">
      <c r="A970" s="105"/>
      <c r="B970" s="105"/>
      <c r="C970" s="93"/>
      <c r="D970" s="93" t="str">
        <f t="shared" si="14"/>
        <v/>
      </c>
      <c r="E970" s="123"/>
      <c r="F970" s="123"/>
    </row>
    <row r="971" spans="1:6" ht="15.75" x14ac:dyDescent="0.25">
      <c r="A971" s="105"/>
      <c r="B971" s="105"/>
      <c r="C971" s="93"/>
      <c r="D971" s="93" t="str">
        <f t="shared" ref="D971:D1009" si="15">IF(A971=0,"","MinMax")</f>
        <v/>
      </c>
      <c r="E971" s="123"/>
      <c r="F971" s="123"/>
    </row>
    <row r="972" spans="1:6" ht="15.75" x14ac:dyDescent="0.25">
      <c r="A972" s="105"/>
      <c r="B972" s="105"/>
      <c r="C972" s="93"/>
      <c r="D972" s="93" t="str">
        <f t="shared" si="15"/>
        <v/>
      </c>
      <c r="E972" s="123"/>
      <c r="F972" s="123"/>
    </row>
    <row r="973" spans="1:6" ht="15.75" x14ac:dyDescent="0.25">
      <c r="A973" s="105"/>
      <c r="B973" s="105"/>
      <c r="C973" s="93"/>
      <c r="D973" s="93" t="str">
        <f t="shared" si="15"/>
        <v/>
      </c>
      <c r="E973" s="123"/>
      <c r="F973" s="123"/>
    </row>
    <row r="974" spans="1:6" ht="15.75" x14ac:dyDescent="0.25">
      <c r="A974" s="105"/>
      <c r="B974" s="105"/>
      <c r="C974" s="93"/>
      <c r="D974" s="93" t="str">
        <f t="shared" si="15"/>
        <v/>
      </c>
      <c r="E974" s="123"/>
      <c r="F974" s="123"/>
    </row>
    <row r="975" spans="1:6" ht="15.75" x14ac:dyDescent="0.25">
      <c r="A975" s="105"/>
      <c r="B975" s="105"/>
      <c r="C975" s="93"/>
      <c r="D975" s="93" t="str">
        <f t="shared" si="15"/>
        <v/>
      </c>
      <c r="E975" s="123"/>
      <c r="F975" s="123"/>
    </row>
    <row r="976" spans="1:6" ht="15.75" x14ac:dyDescent="0.25">
      <c r="A976" s="105"/>
      <c r="B976" s="105"/>
      <c r="C976" s="93"/>
      <c r="D976" s="93" t="str">
        <f t="shared" si="15"/>
        <v/>
      </c>
      <c r="E976" s="123"/>
      <c r="F976" s="123"/>
    </row>
    <row r="977" spans="1:6" ht="15.75" x14ac:dyDescent="0.25">
      <c r="A977" s="105"/>
      <c r="B977" s="105"/>
      <c r="C977" s="93"/>
      <c r="D977" s="93" t="str">
        <f t="shared" si="15"/>
        <v/>
      </c>
      <c r="E977" s="123"/>
      <c r="F977" s="123"/>
    </row>
    <row r="978" spans="1:6" ht="15.75" x14ac:dyDescent="0.25">
      <c r="A978" s="105"/>
      <c r="B978" s="105"/>
      <c r="C978" s="93"/>
      <c r="D978" s="93" t="str">
        <f t="shared" si="15"/>
        <v/>
      </c>
      <c r="E978" s="123"/>
      <c r="F978" s="123"/>
    </row>
    <row r="979" spans="1:6" ht="15.75" x14ac:dyDescent="0.25">
      <c r="A979" s="105"/>
      <c r="B979" s="105"/>
      <c r="C979" s="93"/>
      <c r="D979" s="93" t="str">
        <f t="shared" si="15"/>
        <v/>
      </c>
      <c r="E979" s="123"/>
      <c r="F979" s="123"/>
    </row>
    <row r="980" spans="1:6" ht="15.75" x14ac:dyDescent="0.25">
      <c r="A980" s="105"/>
      <c r="B980" s="105"/>
      <c r="C980" s="93"/>
      <c r="D980" s="93" t="str">
        <f t="shared" si="15"/>
        <v/>
      </c>
      <c r="E980" s="123"/>
      <c r="F980" s="123"/>
    </row>
    <row r="981" spans="1:6" ht="15.75" x14ac:dyDescent="0.25">
      <c r="A981" s="105"/>
      <c r="B981" s="105"/>
      <c r="C981" s="93"/>
      <c r="D981" s="93" t="str">
        <f t="shared" si="15"/>
        <v/>
      </c>
      <c r="E981" s="123"/>
      <c r="F981" s="123"/>
    </row>
    <row r="982" spans="1:6" ht="15.75" x14ac:dyDescent="0.25">
      <c r="A982" s="105"/>
      <c r="B982" s="105"/>
      <c r="C982" s="93"/>
      <c r="D982" s="93" t="str">
        <f t="shared" si="15"/>
        <v/>
      </c>
      <c r="E982" s="123"/>
      <c r="F982" s="123"/>
    </row>
    <row r="983" spans="1:6" ht="15.75" x14ac:dyDescent="0.25">
      <c r="A983" s="105"/>
      <c r="B983" s="105"/>
      <c r="C983" s="93"/>
      <c r="D983" s="93" t="str">
        <f t="shared" si="15"/>
        <v/>
      </c>
      <c r="E983" s="123"/>
      <c r="F983" s="123"/>
    </row>
    <row r="984" spans="1:6" ht="15.75" x14ac:dyDescent="0.25">
      <c r="A984" s="105"/>
      <c r="B984" s="105"/>
      <c r="C984" s="93"/>
      <c r="D984" s="93" t="str">
        <f t="shared" si="15"/>
        <v/>
      </c>
      <c r="E984" s="123"/>
      <c r="F984" s="123"/>
    </row>
    <row r="985" spans="1:6" ht="15.75" x14ac:dyDescent="0.25">
      <c r="A985" s="105"/>
      <c r="B985" s="105"/>
      <c r="C985" s="93"/>
      <c r="D985" s="93" t="str">
        <f t="shared" si="15"/>
        <v/>
      </c>
      <c r="E985" s="123"/>
      <c r="F985" s="123"/>
    </row>
    <row r="986" spans="1:6" ht="15.75" x14ac:dyDescent="0.25">
      <c r="A986" s="105"/>
      <c r="B986" s="105"/>
      <c r="C986" s="93"/>
      <c r="D986" s="93" t="str">
        <f t="shared" si="15"/>
        <v/>
      </c>
      <c r="E986" s="123"/>
      <c r="F986" s="123"/>
    </row>
    <row r="987" spans="1:6" ht="15.75" x14ac:dyDescent="0.25">
      <c r="A987" s="105"/>
      <c r="B987" s="105"/>
      <c r="C987" s="93"/>
      <c r="D987" s="93" t="str">
        <f t="shared" si="15"/>
        <v/>
      </c>
      <c r="E987" s="123"/>
      <c r="F987" s="123"/>
    </row>
    <row r="988" spans="1:6" ht="15.75" x14ac:dyDescent="0.25">
      <c r="A988" s="105"/>
      <c r="B988" s="105"/>
      <c r="C988" s="93"/>
      <c r="D988" s="93" t="str">
        <f t="shared" si="15"/>
        <v/>
      </c>
      <c r="E988" s="123"/>
      <c r="F988" s="123"/>
    </row>
    <row r="989" spans="1:6" ht="15.75" x14ac:dyDescent="0.25">
      <c r="A989" s="105"/>
      <c r="B989" s="105"/>
      <c r="C989" s="93"/>
      <c r="D989" s="93" t="str">
        <f t="shared" si="15"/>
        <v/>
      </c>
      <c r="E989" s="123"/>
      <c r="F989" s="123"/>
    </row>
    <row r="990" spans="1:6" ht="15.75" x14ac:dyDescent="0.25">
      <c r="A990" s="105"/>
      <c r="B990" s="105"/>
      <c r="C990" s="93"/>
      <c r="D990" s="93" t="str">
        <f t="shared" si="15"/>
        <v/>
      </c>
      <c r="E990" s="123"/>
      <c r="F990" s="123"/>
    </row>
    <row r="991" spans="1:6" ht="15.75" x14ac:dyDescent="0.25">
      <c r="A991" s="105"/>
      <c r="B991" s="105"/>
      <c r="C991" s="93"/>
      <c r="D991" s="93" t="str">
        <f t="shared" si="15"/>
        <v/>
      </c>
      <c r="E991" s="123"/>
      <c r="F991" s="123"/>
    </row>
    <row r="992" spans="1:6" ht="15.75" x14ac:dyDescent="0.25">
      <c r="A992" s="105"/>
      <c r="B992" s="105"/>
      <c r="C992" s="93"/>
      <c r="D992" s="93" t="str">
        <f t="shared" si="15"/>
        <v/>
      </c>
      <c r="E992" s="123"/>
      <c r="F992" s="123"/>
    </row>
    <row r="993" spans="1:6" ht="15.75" x14ac:dyDescent="0.25">
      <c r="A993" s="105"/>
      <c r="B993" s="105"/>
      <c r="C993" s="93"/>
      <c r="D993" s="93" t="str">
        <f t="shared" si="15"/>
        <v/>
      </c>
      <c r="E993" s="123"/>
      <c r="F993" s="123"/>
    </row>
    <row r="994" spans="1:6" ht="15.75" x14ac:dyDescent="0.25">
      <c r="A994" s="105"/>
      <c r="B994" s="105"/>
      <c r="C994" s="93"/>
      <c r="D994" s="93" t="str">
        <f t="shared" si="15"/>
        <v/>
      </c>
      <c r="E994" s="123"/>
      <c r="F994" s="123"/>
    </row>
    <row r="995" spans="1:6" ht="15.75" x14ac:dyDescent="0.25">
      <c r="A995" s="105"/>
      <c r="B995" s="105"/>
      <c r="C995" s="93"/>
      <c r="D995" s="93" t="str">
        <f t="shared" si="15"/>
        <v/>
      </c>
      <c r="E995" s="123"/>
      <c r="F995" s="123"/>
    </row>
    <row r="996" spans="1:6" ht="15.75" x14ac:dyDescent="0.25">
      <c r="A996" s="105"/>
      <c r="B996" s="105"/>
      <c r="C996" s="93"/>
      <c r="D996" s="93" t="str">
        <f t="shared" si="15"/>
        <v/>
      </c>
      <c r="E996" s="123"/>
      <c r="F996" s="123"/>
    </row>
    <row r="997" spans="1:6" ht="15.75" x14ac:dyDescent="0.25">
      <c r="A997" s="105"/>
      <c r="B997" s="105"/>
      <c r="C997" s="93"/>
      <c r="D997" s="93" t="str">
        <f t="shared" si="15"/>
        <v/>
      </c>
      <c r="E997" s="123"/>
      <c r="F997" s="123"/>
    </row>
    <row r="998" spans="1:6" ht="15.75" x14ac:dyDescent="0.25">
      <c r="A998" s="105"/>
      <c r="B998" s="105"/>
      <c r="C998" s="93"/>
      <c r="D998" s="93" t="str">
        <f t="shared" si="15"/>
        <v/>
      </c>
      <c r="E998" s="123"/>
      <c r="F998" s="123"/>
    </row>
    <row r="999" spans="1:6" ht="15.75" x14ac:dyDescent="0.25">
      <c r="A999" s="105"/>
      <c r="B999" s="105"/>
      <c r="C999" s="93"/>
      <c r="D999" s="93" t="str">
        <f t="shared" si="15"/>
        <v/>
      </c>
      <c r="E999" s="123"/>
      <c r="F999" s="123"/>
    </row>
    <row r="1000" spans="1:6" ht="15.75" x14ac:dyDescent="0.25">
      <c r="A1000" s="105"/>
      <c r="B1000" s="105"/>
      <c r="C1000" s="93"/>
      <c r="D1000" s="93" t="str">
        <f t="shared" si="15"/>
        <v/>
      </c>
      <c r="E1000" s="123"/>
      <c r="F1000" s="123"/>
    </row>
    <row r="1001" spans="1:6" ht="15.75" x14ac:dyDescent="0.25">
      <c r="A1001" s="105"/>
      <c r="B1001" s="105"/>
      <c r="C1001" s="93"/>
      <c r="D1001" s="93" t="str">
        <f t="shared" si="15"/>
        <v/>
      </c>
      <c r="E1001" s="123"/>
      <c r="F1001" s="123"/>
    </row>
    <row r="1002" spans="1:6" ht="15.75" x14ac:dyDescent="0.25">
      <c r="A1002" s="105"/>
      <c r="B1002" s="105"/>
      <c r="C1002" s="93"/>
      <c r="D1002" s="93" t="str">
        <f t="shared" si="15"/>
        <v/>
      </c>
      <c r="E1002" s="123"/>
      <c r="F1002" s="123"/>
    </row>
    <row r="1003" spans="1:6" ht="15.75" x14ac:dyDescent="0.25">
      <c r="A1003" s="105"/>
      <c r="B1003" s="105"/>
      <c r="C1003" s="93"/>
      <c r="D1003" s="93" t="str">
        <f t="shared" si="15"/>
        <v/>
      </c>
      <c r="E1003" s="123"/>
      <c r="F1003" s="123"/>
    </row>
    <row r="1004" spans="1:6" ht="15.75" x14ac:dyDescent="0.25">
      <c r="A1004" s="105"/>
      <c r="B1004" s="105"/>
      <c r="C1004" s="93"/>
      <c r="D1004" s="93" t="str">
        <f t="shared" si="15"/>
        <v/>
      </c>
      <c r="E1004" s="123"/>
      <c r="F1004" s="123"/>
    </row>
    <row r="1005" spans="1:6" ht="15.75" x14ac:dyDescent="0.25">
      <c r="A1005" s="105"/>
      <c r="B1005" s="105"/>
      <c r="C1005" s="93"/>
      <c r="D1005" s="93" t="str">
        <f t="shared" si="15"/>
        <v/>
      </c>
      <c r="E1005" s="123"/>
      <c r="F1005" s="123"/>
    </row>
    <row r="1006" spans="1:6" ht="15.75" x14ac:dyDescent="0.25">
      <c r="A1006" s="105"/>
      <c r="B1006" s="105"/>
      <c r="C1006" s="93"/>
      <c r="D1006" s="93" t="str">
        <f t="shared" si="15"/>
        <v/>
      </c>
      <c r="E1006" s="123"/>
      <c r="F1006" s="123"/>
    </row>
    <row r="1007" spans="1:6" ht="15.75" x14ac:dyDescent="0.25">
      <c r="A1007" s="105"/>
      <c r="B1007" s="105"/>
      <c r="C1007" s="93"/>
      <c r="D1007" s="93" t="str">
        <f t="shared" si="15"/>
        <v/>
      </c>
      <c r="E1007" s="123"/>
      <c r="F1007" s="123"/>
    </row>
    <row r="1008" spans="1:6" ht="15.75" x14ac:dyDescent="0.25">
      <c r="A1008" s="105"/>
      <c r="B1008" s="105"/>
      <c r="C1008" s="93"/>
      <c r="D1008" s="93" t="str">
        <f t="shared" si="15"/>
        <v/>
      </c>
      <c r="E1008" s="123"/>
      <c r="F1008" s="123"/>
    </row>
    <row r="1009" spans="1:6" ht="15.75" x14ac:dyDescent="0.25">
      <c r="A1009" s="105"/>
      <c r="B1009" s="105"/>
      <c r="C1009" s="93"/>
      <c r="D1009" s="93" t="str">
        <f t="shared" si="15"/>
        <v/>
      </c>
      <c r="E1009" s="123"/>
      <c r="F1009" s="123"/>
    </row>
  </sheetData>
  <dataValidations count="3">
    <dataValidation type="list" showInputMessage="1" showErrorMessage="1" errorTitle="Invalid Input" error="Choose from the list" sqref="B10:B1048576" xr:uid="{24CC4461-B9FB-4913-BFD9-F1635C202051}">
      <formula1>NL_Mat_Name</formula1>
    </dataValidation>
    <dataValidation type="textLength" allowBlank="1" showInputMessage="1" showErrorMessage="1" errorTitle="Invalid Input" error="Please enter maximum 32 characters only." sqref="A10:A1048576" xr:uid="{FEFDD29B-D1C3-4525-A4AF-65A33677ED32}">
      <formula1>1</formula1>
      <formula2>32</formula2>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C20" sqref="C20"/>
    </sheetView>
  </sheetViews>
  <sheetFormatPr defaultColWidth="10.85546875" defaultRowHeight="15.75" x14ac:dyDescent="0.25"/>
  <cols>
    <col min="1" max="1" width="20.7109375" style="105" customWidth="1"/>
    <col min="2" max="2" width="20.7109375" style="93" customWidth="1"/>
    <col min="3" max="3" width="20.7109375" style="105" customWidth="1"/>
    <col min="4" max="4" width="15.7109375" style="115" customWidth="1"/>
    <col min="5" max="22" width="10.7109375" style="115" customWidth="1"/>
    <col min="23" max="26" width="15.7109375" style="115" customWidth="1"/>
    <col min="27" max="28" width="10.7109375" style="115" customWidth="1"/>
    <col min="29" max="30" width="15.7109375" style="115" customWidth="1"/>
    <col min="31" max="32" width="10.7109375" style="115" customWidth="1"/>
    <col min="33" max="16384" width="10.85546875" style="92"/>
  </cols>
  <sheetData>
    <row r="1" spans="1:32" x14ac:dyDescent="0.25">
      <c r="A1" s="71" t="s">
        <v>199</v>
      </c>
      <c r="B1" s="89"/>
      <c r="C1" s="89"/>
      <c r="D1" s="111"/>
      <c r="E1" s="111"/>
      <c r="F1" s="111"/>
      <c r="G1" s="111"/>
      <c r="H1" s="111"/>
      <c r="I1" s="111"/>
      <c r="J1" s="111"/>
      <c r="K1" s="111"/>
      <c r="L1" s="111"/>
      <c r="M1" s="111"/>
      <c r="N1" s="111"/>
      <c r="O1" s="111"/>
      <c r="P1" s="112"/>
      <c r="Q1" s="111"/>
      <c r="R1" s="111"/>
      <c r="S1" s="111"/>
      <c r="T1" s="111"/>
      <c r="U1" s="111"/>
      <c r="V1" s="111"/>
      <c r="W1" s="111"/>
      <c r="X1" s="111"/>
      <c r="Y1" s="111"/>
      <c r="Z1" s="111"/>
      <c r="AA1" s="111"/>
      <c r="AB1" s="111"/>
      <c r="AC1" s="111"/>
      <c r="AD1" s="111"/>
      <c r="AE1" s="111"/>
      <c r="AF1" s="112"/>
    </row>
    <row r="2" spans="1:32" x14ac:dyDescent="0.25">
      <c r="A2" s="96" t="s">
        <v>229</v>
      </c>
      <c r="C2" s="93"/>
      <c r="D2" s="113"/>
      <c r="E2" s="113"/>
      <c r="F2" s="113"/>
      <c r="G2" s="113"/>
      <c r="H2" s="113"/>
      <c r="I2" s="113"/>
      <c r="J2" s="113"/>
      <c r="K2" s="113"/>
      <c r="L2" s="113"/>
      <c r="M2" s="113"/>
      <c r="N2" s="113"/>
      <c r="O2" s="113"/>
      <c r="P2" s="114"/>
      <c r="Q2" s="151" t="s">
        <v>268</v>
      </c>
      <c r="R2" s="113"/>
      <c r="S2" s="113"/>
      <c r="T2" s="113"/>
      <c r="U2" s="113"/>
      <c r="V2" s="113"/>
      <c r="W2" s="113"/>
      <c r="X2" s="113"/>
      <c r="Y2" s="113"/>
      <c r="Z2" s="113"/>
      <c r="AA2" s="113"/>
      <c r="AB2" s="113"/>
      <c r="AC2" s="113"/>
      <c r="AD2" s="113"/>
      <c r="AE2" s="113"/>
      <c r="AF2" s="114"/>
    </row>
    <row r="3" spans="1:32" x14ac:dyDescent="0.25">
      <c r="A3" s="96" t="s">
        <v>260</v>
      </c>
      <c r="C3" s="93"/>
      <c r="D3" s="113"/>
      <c r="E3" s="113"/>
      <c r="F3" s="113"/>
      <c r="G3" s="113"/>
      <c r="H3" s="113"/>
      <c r="I3" s="113"/>
      <c r="J3" s="113"/>
      <c r="K3" s="113"/>
      <c r="L3" s="113"/>
      <c r="M3" s="113"/>
      <c r="N3" s="113"/>
      <c r="O3" s="113"/>
      <c r="P3" s="114"/>
      <c r="Q3" s="151" t="s">
        <v>269</v>
      </c>
      <c r="R3" s="113"/>
      <c r="S3" s="113"/>
      <c r="T3" s="113"/>
      <c r="U3" s="113"/>
      <c r="V3" s="113"/>
      <c r="W3" s="113"/>
      <c r="X3" s="113"/>
      <c r="Y3" s="113"/>
      <c r="Z3" s="113"/>
      <c r="AA3" s="113"/>
      <c r="AB3" s="113"/>
      <c r="AC3" s="113"/>
      <c r="AD3" s="113"/>
      <c r="AE3" s="113"/>
      <c r="AF3" s="114"/>
    </row>
    <row r="4" spans="1:32" x14ac:dyDescent="0.25">
      <c r="A4" s="96" t="s">
        <v>263</v>
      </c>
      <c r="C4" s="93"/>
      <c r="D4" s="113"/>
      <c r="E4" s="113"/>
      <c r="F4" s="113"/>
      <c r="G4" s="113"/>
      <c r="H4" s="113"/>
      <c r="I4" s="113"/>
      <c r="J4" s="113"/>
      <c r="K4" s="113"/>
      <c r="L4" s="113"/>
      <c r="M4" s="113"/>
      <c r="N4" s="113"/>
      <c r="O4" s="113"/>
      <c r="P4" s="114"/>
      <c r="Q4" s="151" t="s">
        <v>270</v>
      </c>
      <c r="R4" s="113"/>
      <c r="S4" s="113"/>
      <c r="T4" s="113"/>
      <c r="U4" s="113"/>
      <c r="V4" s="113"/>
      <c r="W4" s="113"/>
      <c r="X4" s="113"/>
      <c r="Y4" s="113"/>
      <c r="Z4" s="113"/>
      <c r="AA4" s="113"/>
      <c r="AB4" s="113"/>
      <c r="AC4" s="113"/>
      <c r="AD4" s="113"/>
      <c r="AE4" s="113"/>
      <c r="AF4" s="114"/>
    </row>
    <row r="5" spans="1:32" x14ac:dyDescent="0.25">
      <c r="A5" s="96" t="str">
        <f>"- K0: Elastic stiffness (Input as Float) ("&amp;'User Specified Unitsystem'!$B$10&amp;"-"&amp;'User Specified Unitsystem'!$B$11&amp;"/"&amp;'User Specified Unitsystem'!$B$15&amp;")"</f>
        <v>- K0: Elastic stiffness (Input as Float) (kN-m/rad)</v>
      </c>
      <c r="C5" s="93"/>
      <c r="D5" s="113"/>
      <c r="E5" s="113"/>
      <c r="F5" s="113"/>
      <c r="G5" s="113"/>
      <c r="H5" s="113"/>
      <c r="I5" s="113"/>
      <c r="J5" s="113"/>
      <c r="K5" s="113"/>
      <c r="L5" s="113"/>
      <c r="M5" s="113"/>
      <c r="N5" s="113"/>
      <c r="O5" s="113"/>
      <c r="P5" s="114"/>
      <c r="Q5" s="151" t="s">
        <v>271</v>
      </c>
      <c r="R5" s="113"/>
      <c r="S5" s="113"/>
      <c r="T5" s="113"/>
      <c r="U5" s="113"/>
      <c r="V5" s="113"/>
      <c r="W5" s="113"/>
      <c r="X5" s="113"/>
      <c r="Y5" s="113"/>
      <c r="Z5" s="113"/>
      <c r="AA5" s="113"/>
      <c r="AB5" s="113"/>
      <c r="AC5" s="113"/>
      <c r="AD5" s="113"/>
      <c r="AE5" s="113"/>
      <c r="AF5" s="114"/>
    </row>
    <row r="6" spans="1:32" ht="31.5" customHeight="1" x14ac:dyDescent="0.25">
      <c r="A6" s="188" t="s">
        <v>264</v>
      </c>
      <c r="B6" s="189"/>
      <c r="C6" s="189"/>
      <c r="D6" s="189"/>
      <c r="E6" s="189"/>
      <c r="F6" s="189"/>
      <c r="G6" s="189"/>
      <c r="H6" s="189"/>
      <c r="I6" s="189"/>
      <c r="J6" s="189"/>
      <c r="K6" s="189"/>
      <c r="L6" s="189"/>
      <c r="M6" s="189"/>
      <c r="N6" s="189"/>
      <c r="O6" s="189"/>
      <c r="P6" s="190"/>
      <c r="Q6" s="151" t="s">
        <v>272</v>
      </c>
      <c r="R6" s="113"/>
      <c r="S6" s="113"/>
      <c r="T6" s="113"/>
      <c r="U6" s="113"/>
      <c r="V6" s="113"/>
      <c r="W6" s="113"/>
      <c r="X6" s="113"/>
      <c r="Y6" s="113"/>
      <c r="Z6" s="113"/>
      <c r="AA6" s="113"/>
      <c r="AB6" s="113"/>
      <c r="AC6" s="113"/>
      <c r="AD6" s="113"/>
      <c r="AE6" s="113"/>
      <c r="AF6" s="114"/>
    </row>
    <row r="7" spans="1:32" ht="31.5" customHeight="1" x14ac:dyDescent="0.25">
      <c r="A7" s="188" t="s">
        <v>265</v>
      </c>
      <c r="B7" s="189"/>
      <c r="C7" s="189"/>
      <c r="D7" s="189"/>
      <c r="E7" s="189"/>
      <c r="F7" s="189"/>
      <c r="G7" s="189"/>
      <c r="H7" s="189"/>
      <c r="I7" s="189"/>
      <c r="J7" s="189"/>
      <c r="K7" s="189"/>
      <c r="L7" s="189"/>
      <c r="M7" s="189"/>
      <c r="N7" s="189"/>
      <c r="O7" s="189"/>
      <c r="P7" s="190"/>
      <c r="Q7" s="151" t="s">
        <v>273</v>
      </c>
      <c r="R7" s="113"/>
      <c r="S7" s="113"/>
      <c r="T7" s="113"/>
      <c r="U7" s="113"/>
      <c r="V7" s="113"/>
      <c r="W7" s="113"/>
      <c r="X7" s="113"/>
      <c r="Y7" s="113"/>
      <c r="Z7" s="113"/>
      <c r="AA7" s="113"/>
      <c r="AB7" s="113"/>
      <c r="AC7" s="113"/>
      <c r="AD7" s="113"/>
      <c r="AE7" s="113"/>
      <c r="AF7" s="114"/>
    </row>
    <row r="8" spans="1:32" x14ac:dyDescent="0.25">
      <c r="A8" s="96" t="str">
        <f>"- My_Pos: Effective yield strength for positive loading direction (Input as Float) ("&amp;'User Specified Unitsystem'!$B$10&amp;"-"&amp;'User Specified Unitsystem'!$B$11&amp;")"</f>
        <v>- My_Pos: Effective yield strength for positive loading direction (Input as Float) (kN-m)</v>
      </c>
      <c r="C8" s="93"/>
      <c r="D8" s="113"/>
      <c r="E8" s="113"/>
      <c r="F8" s="113"/>
      <c r="G8" s="113"/>
      <c r="H8" s="113"/>
      <c r="I8" s="113"/>
      <c r="J8" s="113"/>
      <c r="K8" s="113"/>
      <c r="L8" s="113"/>
      <c r="M8" s="113"/>
      <c r="N8" s="113"/>
      <c r="O8" s="113"/>
      <c r="P8" s="114"/>
      <c r="Q8" s="151" t="s">
        <v>279</v>
      </c>
      <c r="R8" s="113"/>
      <c r="S8" s="113"/>
      <c r="T8" s="113"/>
      <c r="U8" s="113"/>
      <c r="V8" s="113"/>
      <c r="W8" s="113"/>
      <c r="X8" s="113"/>
      <c r="Y8" s="113"/>
      <c r="Z8" s="113"/>
      <c r="AA8" s="113"/>
      <c r="AB8" s="113"/>
      <c r="AC8" s="113"/>
      <c r="AD8" s="113"/>
      <c r="AE8" s="113"/>
      <c r="AF8" s="114"/>
    </row>
    <row r="9" spans="1:32" x14ac:dyDescent="0.25">
      <c r="A9" s="96" t="str">
        <f>"- My_Neg: Effective yield strength for negative loading direction (Input as Float) ("&amp;'User Specified Unitsystem'!$B$10&amp;"-"&amp;'User Specified Unitsystem'!$B$11&amp;")"</f>
        <v>- My_Neg: Effective yield strength for negative loading direction (Input as Float) (kN-m)</v>
      </c>
      <c r="C9" s="93"/>
      <c r="D9" s="113"/>
      <c r="E9" s="113"/>
      <c r="F9" s="113"/>
      <c r="G9" s="113"/>
      <c r="H9" s="113"/>
      <c r="I9" s="113"/>
      <c r="J9" s="113"/>
      <c r="K9" s="113"/>
      <c r="L9" s="113"/>
      <c r="M9" s="113"/>
      <c r="N9" s="113"/>
      <c r="O9" s="113"/>
      <c r="P9" s="114"/>
      <c r="Q9" s="151" t="s">
        <v>278</v>
      </c>
      <c r="R9" s="113"/>
      <c r="S9" s="113"/>
      <c r="T9" s="113"/>
      <c r="U9" s="113"/>
      <c r="V9" s="113"/>
      <c r="W9" s="113"/>
      <c r="X9" s="113"/>
      <c r="Y9" s="113"/>
      <c r="Z9" s="113"/>
      <c r="AA9" s="113"/>
      <c r="AB9" s="113"/>
      <c r="AC9" s="113"/>
      <c r="AD9" s="113"/>
      <c r="AE9" s="113"/>
      <c r="AF9" s="114"/>
    </row>
    <row r="10" spans="1:32" x14ac:dyDescent="0.25">
      <c r="A10" s="96" t="str">
        <f>"- Mu_Pos: Effective ultimate strength for positive loading direction (Input as Float) ("&amp;'User Specified Unitsystem'!$B$10&amp;"-"&amp;'User Specified Unitsystem'!$B$11&amp;")"</f>
        <v>- Mu_Pos: Effective ultimate strength for positive loading direction (Input as Float) (kN-m)</v>
      </c>
      <c r="C10" s="93"/>
      <c r="D10" s="113"/>
      <c r="E10" s="113"/>
      <c r="F10" s="113"/>
      <c r="G10" s="113"/>
      <c r="H10" s="113"/>
      <c r="I10" s="113"/>
      <c r="J10" s="113"/>
      <c r="K10" s="113"/>
      <c r="L10" s="113"/>
      <c r="M10" s="113"/>
      <c r="N10" s="113"/>
      <c r="O10" s="113"/>
      <c r="P10" s="114"/>
      <c r="Q10" s="151" t="s">
        <v>280</v>
      </c>
      <c r="R10" s="113"/>
      <c r="S10" s="113"/>
      <c r="T10" s="113"/>
      <c r="U10" s="113"/>
      <c r="V10" s="113"/>
      <c r="W10" s="113"/>
      <c r="X10" s="113"/>
      <c r="Y10" s="113"/>
      <c r="Z10" s="113"/>
      <c r="AA10" s="113"/>
      <c r="AB10" s="113"/>
      <c r="AC10" s="113"/>
      <c r="AD10" s="113"/>
      <c r="AE10" s="113"/>
      <c r="AF10" s="114"/>
    </row>
    <row r="11" spans="1:32" x14ac:dyDescent="0.25">
      <c r="A11" s="96" t="str">
        <f>"- Mu_Neg: Effective ultimate strength for negative loading direction (Input as Float) ("&amp;'User Specified Unitsystem'!$B$10&amp;"-"&amp;'User Specified Unitsystem'!$B$11&amp;")"</f>
        <v>- Mu_Neg: Effective ultimate strength for negative loading direction (Input as Float) (kN-m)</v>
      </c>
      <c r="C11" s="93"/>
      <c r="D11" s="113"/>
      <c r="E11" s="113"/>
      <c r="F11" s="113"/>
      <c r="G11" s="113"/>
      <c r="H11" s="113"/>
      <c r="I11" s="113"/>
      <c r="J11" s="113"/>
      <c r="K11" s="113"/>
      <c r="L11" s="113"/>
      <c r="M11" s="113"/>
      <c r="N11" s="113"/>
      <c r="O11" s="113"/>
      <c r="P11" s="114"/>
      <c r="Q11" s="151" t="s">
        <v>281</v>
      </c>
      <c r="R11" s="113"/>
      <c r="S11" s="113"/>
      <c r="T11" s="113"/>
      <c r="U11" s="113"/>
      <c r="V11" s="113"/>
      <c r="W11" s="113"/>
      <c r="X11" s="113"/>
      <c r="Y11" s="113"/>
      <c r="Z11" s="113"/>
      <c r="AA11" s="113"/>
      <c r="AB11" s="113"/>
      <c r="AC11" s="113"/>
      <c r="AD11" s="113"/>
      <c r="AE11" s="113"/>
      <c r="AF11" s="114"/>
    </row>
    <row r="12" spans="1:32" ht="31.5" customHeight="1" x14ac:dyDescent="0.25">
      <c r="A12" s="188" t="s">
        <v>274</v>
      </c>
      <c r="B12" s="189"/>
      <c r="C12" s="189"/>
      <c r="D12" s="189"/>
      <c r="E12" s="189"/>
      <c r="F12" s="189"/>
      <c r="G12" s="189"/>
      <c r="H12" s="189"/>
      <c r="I12" s="189"/>
      <c r="J12" s="189"/>
      <c r="K12" s="189"/>
      <c r="L12" s="189"/>
      <c r="M12" s="189"/>
      <c r="N12" s="189"/>
      <c r="O12" s="189"/>
      <c r="P12" s="190"/>
      <c r="Q12" s="151" t="s">
        <v>282</v>
      </c>
      <c r="R12" s="113"/>
      <c r="S12" s="113"/>
      <c r="T12" s="113"/>
      <c r="U12" s="113"/>
      <c r="V12" s="113"/>
      <c r="W12" s="113"/>
      <c r="X12" s="113"/>
      <c r="Y12" s="113"/>
      <c r="Z12" s="113"/>
      <c r="AA12" s="113"/>
      <c r="AB12" s="113"/>
      <c r="AC12" s="113"/>
      <c r="AD12" s="113"/>
      <c r="AE12" s="113"/>
      <c r="AF12" s="114"/>
    </row>
    <row r="13" spans="1:32" ht="31.5" customHeight="1" x14ac:dyDescent="0.25">
      <c r="A13" s="188" t="s">
        <v>275</v>
      </c>
      <c r="B13" s="189"/>
      <c r="C13" s="189"/>
      <c r="D13" s="189"/>
      <c r="E13" s="189"/>
      <c r="F13" s="189"/>
      <c r="G13" s="189"/>
      <c r="H13" s="189"/>
      <c r="I13" s="189"/>
      <c r="J13" s="189"/>
      <c r="K13" s="189"/>
      <c r="L13" s="189"/>
      <c r="M13" s="189"/>
      <c r="N13" s="189"/>
      <c r="O13" s="189"/>
      <c r="P13" s="190"/>
      <c r="Q13" s="151" t="s">
        <v>283</v>
      </c>
      <c r="R13" s="113"/>
      <c r="S13" s="113"/>
      <c r="T13" s="113"/>
      <c r="U13" s="113"/>
      <c r="V13" s="113"/>
      <c r="W13" s="113"/>
      <c r="X13" s="113"/>
      <c r="Y13" s="113"/>
      <c r="Z13" s="113"/>
      <c r="AA13" s="113"/>
      <c r="AB13" s="113"/>
      <c r="AC13" s="113"/>
      <c r="AD13" s="113"/>
      <c r="AE13" s="113"/>
      <c r="AF13" s="114"/>
    </row>
    <row r="14" spans="1:32" ht="15.75" customHeight="1" x14ac:dyDescent="0.25">
      <c r="A14" s="54" t="s">
        <v>276</v>
      </c>
      <c r="B14" s="57"/>
      <c r="C14" s="57"/>
      <c r="D14" s="57"/>
      <c r="E14" s="57"/>
      <c r="F14" s="57"/>
      <c r="G14" s="57"/>
      <c r="H14" s="57"/>
      <c r="I14" s="57"/>
      <c r="J14" s="57"/>
      <c r="K14" s="57"/>
      <c r="L14" s="57"/>
      <c r="M14" s="57"/>
      <c r="N14" s="57"/>
      <c r="O14" s="57"/>
      <c r="P14" s="157"/>
      <c r="Q14" s="151" t="s">
        <v>284</v>
      </c>
      <c r="R14" s="113"/>
      <c r="S14" s="113"/>
      <c r="T14" s="113"/>
      <c r="U14" s="113"/>
      <c r="V14" s="113"/>
      <c r="W14" s="113"/>
      <c r="X14" s="113"/>
      <c r="Y14" s="113"/>
      <c r="Z14" s="113"/>
      <c r="AA14" s="113"/>
      <c r="AB14" s="113"/>
      <c r="AC14" s="113"/>
      <c r="AD14" s="113"/>
      <c r="AE14" s="113"/>
      <c r="AF14" s="114"/>
    </row>
    <row r="15" spans="1:32" ht="15.75" customHeight="1" x14ac:dyDescent="0.25">
      <c r="A15" s="153" t="s">
        <v>277</v>
      </c>
      <c r="B15" s="152"/>
      <c r="C15" s="152"/>
      <c r="D15" s="152"/>
      <c r="E15" s="152"/>
      <c r="F15" s="94"/>
      <c r="G15" s="113"/>
      <c r="H15" s="113"/>
      <c r="I15" s="113"/>
      <c r="J15" s="113"/>
      <c r="K15" s="113"/>
      <c r="L15" s="113"/>
      <c r="M15" s="113"/>
      <c r="N15" s="113"/>
      <c r="O15" s="113"/>
      <c r="P15" s="114"/>
      <c r="Q15" s="151" t="s">
        <v>285</v>
      </c>
      <c r="R15" s="113"/>
      <c r="S15" s="113"/>
      <c r="T15" s="113"/>
      <c r="U15" s="113"/>
      <c r="V15" s="113"/>
      <c r="W15" s="113"/>
      <c r="X15" s="113"/>
      <c r="Y15" s="113"/>
      <c r="Z15" s="113"/>
      <c r="AA15" s="113"/>
      <c r="AB15" s="113"/>
      <c r="AC15" s="113"/>
      <c r="AD15" s="113"/>
      <c r="AE15" s="113"/>
      <c r="AF15" s="114"/>
    </row>
    <row r="16" spans="1:32" ht="15.75" customHeight="1" x14ac:dyDescent="0.25">
      <c r="A16" s="153" t="s">
        <v>266</v>
      </c>
      <c r="B16" s="152"/>
      <c r="C16" s="152"/>
      <c r="D16" s="152"/>
      <c r="E16" s="152"/>
      <c r="F16" s="94"/>
      <c r="G16" s="113"/>
      <c r="H16" s="113"/>
      <c r="I16" s="113"/>
      <c r="J16" s="113"/>
      <c r="K16" s="113"/>
      <c r="L16" s="113"/>
      <c r="M16" s="113"/>
      <c r="N16" s="113"/>
      <c r="O16" s="113"/>
      <c r="P16" s="114"/>
      <c r="Q16" s="151" t="s">
        <v>286</v>
      </c>
      <c r="R16" s="113"/>
      <c r="S16" s="113"/>
      <c r="T16" s="113"/>
      <c r="U16" s="113"/>
      <c r="V16" s="113"/>
      <c r="W16" s="113"/>
      <c r="X16" s="113"/>
      <c r="Y16" s="113"/>
      <c r="Z16" s="113"/>
      <c r="AA16" s="113"/>
      <c r="AB16" s="113"/>
      <c r="AC16" s="113"/>
      <c r="AD16" s="113"/>
      <c r="AE16" s="113"/>
      <c r="AF16" s="114"/>
    </row>
    <row r="17" spans="1:32" ht="15.75" customHeight="1" x14ac:dyDescent="0.25">
      <c r="A17" s="154" t="s">
        <v>267</v>
      </c>
      <c r="B17" s="155"/>
      <c r="C17" s="155"/>
      <c r="D17" s="155"/>
      <c r="E17" s="155"/>
      <c r="F17" s="109"/>
      <c r="G17" s="100"/>
      <c r="H17" s="100"/>
      <c r="I17" s="100"/>
      <c r="J17" s="100"/>
      <c r="K17" s="100"/>
      <c r="L17" s="100"/>
      <c r="M17" s="100"/>
      <c r="N17" s="100"/>
      <c r="O17" s="100"/>
      <c r="P17" s="101"/>
      <c r="Q17" s="156" t="s">
        <v>287</v>
      </c>
      <c r="R17" s="100"/>
      <c r="S17" s="100"/>
      <c r="T17" s="100"/>
      <c r="U17" s="100"/>
      <c r="V17" s="100"/>
      <c r="W17" s="100"/>
      <c r="X17" s="100"/>
      <c r="Y17" s="100"/>
      <c r="Z17" s="100"/>
      <c r="AA17" s="100"/>
      <c r="AB17" s="100"/>
      <c r="AC17" s="100"/>
      <c r="AD17" s="100"/>
      <c r="AE17" s="100"/>
      <c r="AF17" s="101"/>
    </row>
    <row r="18" spans="1:32" x14ac:dyDescent="0.25">
      <c r="A18" s="103"/>
      <c r="B18" s="61"/>
      <c r="C18" s="61"/>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row>
    <row r="19" spans="1:32" s="60" customFormat="1" ht="16.5" customHeight="1" x14ac:dyDescent="0.25">
      <c r="A19" s="85" t="s">
        <v>10</v>
      </c>
      <c r="B19" s="85" t="s">
        <v>8</v>
      </c>
      <c r="C19" s="85" t="s">
        <v>19</v>
      </c>
      <c r="D19" s="85" t="s">
        <v>36</v>
      </c>
      <c r="E19" s="85" t="s">
        <v>37</v>
      </c>
      <c r="F19" s="85" t="s">
        <v>38</v>
      </c>
      <c r="G19" s="85" t="s">
        <v>39</v>
      </c>
      <c r="H19" s="85" t="s">
        <v>40</v>
      </c>
      <c r="I19" s="85" t="s">
        <v>41</v>
      </c>
      <c r="J19" s="85" t="s">
        <v>42</v>
      </c>
      <c r="K19" s="85" t="s">
        <v>43</v>
      </c>
      <c r="L19" s="85" t="s">
        <v>44</v>
      </c>
      <c r="M19" s="85" t="s">
        <v>45</v>
      </c>
      <c r="N19" s="85" t="s">
        <v>64</v>
      </c>
      <c r="O19" s="85" t="s">
        <v>46</v>
      </c>
      <c r="P19" s="85" t="s">
        <v>47</v>
      </c>
      <c r="Q19" s="85" t="s">
        <v>48</v>
      </c>
      <c r="R19" s="85" t="s">
        <v>49</v>
      </c>
      <c r="S19" s="85" t="s">
        <v>50</v>
      </c>
      <c r="T19" s="85" t="s">
        <v>51</v>
      </c>
      <c r="U19" s="85" t="s">
        <v>52</v>
      </c>
      <c r="V19" s="85" t="s">
        <v>53</v>
      </c>
      <c r="W19" s="85" t="s">
        <v>54</v>
      </c>
      <c r="X19" s="85" t="s">
        <v>55</v>
      </c>
      <c r="Y19" s="85" t="s">
        <v>56</v>
      </c>
      <c r="Z19" s="85" t="s">
        <v>57</v>
      </c>
      <c r="AA19" s="85" t="s">
        <v>58</v>
      </c>
      <c r="AB19" s="85" t="s">
        <v>59</v>
      </c>
      <c r="AC19" s="85" t="s">
        <v>60</v>
      </c>
      <c r="AD19" s="85" t="s">
        <v>61</v>
      </c>
      <c r="AE19" s="85" t="s">
        <v>62</v>
      </c>
      <c r="AF19" s="85" t="s">
        <v>63</v>
      </c>
    </row>
    <row r="20" spans="1:32" x14ac:dyDescent="0.25">
      <c r="A20" s="105" t="s">
        <v>65</v>
      </c>
      <c r="B20" s="93" t="str">
        <f t="shared" ref="B20:B83" si="0">IF(A20=0,"","Hinge")</f>
        <v>Hinge</v>
      </c>
      <c r="C20" s="105" t="s">
        <v>329</v>
      </c>
      <c r="D20" s="115">
        <v>114958.97490209967</v>
      </c>
      <c r="E20" s="115">
        <v>0</v>
      </c>
      <c r="F20" s="115">
        <v>0</v>
      </c>
      <c r="G20" s="115">
        <v>243.16919999999999</v>
      </c>
      <c r="H20" s="115">
        <v>388.62200000000001</v>
      </c>
      <c r="I20" s="115">
        <f>G20*1.1</f>
        <v>267.48612000000003</v>
      </c>
      <c r="J20" s="115">
        <f>H20*1.1</f>
        <v>427.48420000000004</v>
      </c>
      <c r="K20" s="115">
        <v>0</v>
      </c>
      <c r="L20" s="115">
        <v>0</v>
      </c>
      <c r="M20" s="115">
        <v>0</v>
      </c>
      <c r="N20" s="115">
        <v>0</v>
      </c>
      <c r="O20" s="115">
        <v>0</v>
      </c>
      <c r="P20" s="115">
        <v>0</v>
      </c>
      <c r="Q20" s="115">
        <v>0</v>
      </c>
      <c r="R20" s="115">
        <v>0</v>
      </c>
      <c r="S20" s="115">
        <v>1</v>
      </c>
      <c r="T20" s="115">
        <v>1</v>
      </c>
      <c r="U20" s="115">
        <v>1</v>
      </c>
      <c r="V20" s="115">
        <v>1</v>
      </c>
      <c r="W20" s="115">
        <v>2.2268112818223454E-2</v>
      </c>
      <c r="X20" s="115">
        <v>2.2268112818223454E-2</v>
      </c>
      <c r="Y20" s="115">
        <v>2.2268112818223454E-2</v>
      </c>
      <c r="Z20" s="115">
        <v>2.2268112818223454E-2</v>
      </c>
      <c r="AA20" s="115">
        <v>0.2</v>
      </c>
      <c r="AB20" s="115">
        <v>0.2</v>
      </c>
      <c r="AC20" s="115">
        <v>4.1385682576436635E-2</v>
      </c>
      <c r="AD20" s="115">
        <v>4.1385682576436635E-2</v>
      </c>
      <c r="AE20" s="115">
        <v>1</v>
      </c>
      <c r="AF20" s="115">
        <v>1</v>
      </c>
    </row>
    <row r="21" spans="1:32" x14ac:dyDescent="0.25">
      <c r="B21" s="93" t="str">
        <f t="shared" si="0"/>
        <v/>
      </c>
    </row>
    <row r="22" spans="1:32" x14ac:dyDescent="0.25">
      <c r="B22" s="93" t="str">
        <f t="shared" si="0"/>
        <v/>
      </c>
    </row>
    <row r="23" spans="1:32" x14ac:dyDescent="0.25">
      <c r="B23" s="93" t="str">
        <f t="shared" si="0"/>
        <v/>
      </c>
    </row>
    <row r="24" spans="1:32" x14ac:dyDescent="0.25">
      <c r="B24" s="93" t="str">
        <f t="shared" si="0"/>
        <v/>
      </c>
    </row>
    <row r="25" spans="1:32" x14ac:dyDescent="0.25">
      <c r="B25" s="93" t="str">
        <f t="shared" si="0"/>
        <v/>
      </c>
    </row>
    <row r="26" spans="1:32" x14ac:dyDescent="0.25">
      <c r="B26" s="93" t="str">
        <f t="shared" si="0"/>
        <v/>
      </c>
    </row>
    <row r="27" spans="1:32" x14ac:dyDescent="0.25">
      <c r="B27" s="93" t="str">
        <f t="shared" si="0"/>
        <v/>
      </c>
    </row>
    <row r="28" spans="1:32" x14ac:dyDescent="0.25">
      <c r="B28" s="93" t="str">
        <f t="shared" si="0"/>
        <v/>
      </c>
    </row>
    <row r="29" spans="1:32" x14ac:dyDescent="0.25">
      <c r="B29" s="93" t="str">
        <f t="shared" si="0"/>
        <v/>
      </c>
    </row>
    <row r="30" spans="1:32" x14ac:dyDescent="0.25">
      <c r="B30" s="93" t="str">
        <f t="shared" si="0"/>
        <v/>
      </c>
    </row>
    <row r="31" spans="1:32" x14ac:dyDescent="0.25">
      <c r="B31" s="93" t="str">
        <f t="shared" si="0"/>
        <v/>
      </c>
    </row>
    <row r="32" spans="1:32" x14ac:dyDescent="0.25">
      <c r="B32" s="93" t="str">
        <f t="shared" si="0"/>
        <v/>
      </c>
    </row>
    <row r="33" spans="2:2" x14ac:dyDescent="0.25">
      <c r="B33" s="93" t="str">
        <f t="shared" si="0"/>
        <v/>
      </c>
    </row>
    <row r="34" spans="2:2" x14ac:dyDescent="0.25">
      <c r="B34" s="93" t="str">
        <f t="shared" si="0"/>
        <v/>
      </c>
    </row>
    <row r="35" spans="2:2" x14ac:dyDescent="0.25">
      <c r="B35" s="93" t="str">
        <f t="shared" si="0"/>
        <v/>
      </c>
    </row>
    <row r="36" spans="2:2" x14ac:dyDescent="0.25">
      <c r="B36" s="93" t="str">
        <f t="shared" si="0"/>
        <v/>
      </c>
    </row>
    <row r="37" spans="2:2" x14ac:dyDescent="0.25">
      <c r="B37" s="93" t="str">
        <f t="shared" si="0"/>
        <v/>
      </c>
    </row>
    <row r="38" spans="2:2" x14ac:dyDescent="0.25">
      <c r="B38" s="93" t="str">
        <f t="shared" si="0"/>
        <v/>
      </c>
    </row>
    <row r="39" spans="2:2" x14ac:dyDescent="0.25">
      <c r="B39" s="93" t="str">
        <f t="shared" si="0"/>
        <v/>
      </c>
    </row>
    <row r="40" spans="2:2" x14ac:dyDescent="0.25">
      <c r="B40" s="93" t="str">
        <f t="shared" si="0"/>
        <v/>
      </c>
    </row>
    <row r="41" spans="2:2" x14ac:dyDescent="0.25">
      <c r="B41" s="93" t="str">
        <f t="shared" si="0"/>
        <v/>
      </c>
    </row>
    <row r="42" spans="2:2" x14ac:dyDescent="0.25">
      <c r="B42" s="93" t="str">
        <f t="shared" si="0"/>
        <v/>
      </c>
    </row>
    <row r="43" spans="2:2" x14ac:dyDescent="0.25">
      <c r="B43" s="93" t="str">
        <f t="shared" si="0"/>
        <v/>
      </c>
    </row>
    <row r="44" spans="2:2" x14ac:dyDescent="0.25">
      <c r="B44" s="93" t="str">
        <f t="shared" si="0"/>
        <v/>
      </c>
    </row>
    <row r="45" spans="2:2" x14ac:dyDescent="0.25">
      <c r="B45" s="93" t="str">
        <f t="shared" si="0"/>
        <v/>
      </c>
    </row>
    <row r="46" spans="2:2" x14ac:dyDescent="0.25">
      <c r="B46" s="93" t="str">
        <f t="shared" si="0"/>
        <v/>
      </c>
    </row>
    <row r="47" spans="2:2" x14ac:dyDescent="0.25">
      <c r="B47" s="93" t="str">
        <f t="shared" si="0"/>
        <v/>
      </c>
    </row>
    <row r="48" spans="2:2" x14ac:dyDescent="0.25">
      <c r="B48" s="93" t="str">
        <f t="shared" si="0"/>
        <v/>
      </c>
    </row>
    <row r="49" spans="2:2" x14ac:dyDescent="0.25">
      <c r="B49" s="93" t="str">
        <f t="shared" si="0"/>
        <v/>
      </c>
    </row>
    <row r="50" spans="2:2" x14ac:dyDescent="0.25">
      <c r="B50" s="93" t="str">
        <f t="shared" si="0"/>
        <v/>
      </c>
    </row>
    <row r="51" spans="2:2" x14ac:dyDescent="0.25">
      <c r="B51" s="93" t="str">
        <f t="shared" si="0"/>
        <v/>
      </c>
    </row>
    <row r="52" spans="2:2" x14ac:dyDescent="0.25">
      <c r="B52" s="93" t="str">
        <f t="shared" si="0"/>
        <v/>
      </c>
    </row>
    <row r="53" spans="2:2" x14ac:dyDescent="0.25">
      <c r="B53" s="93" t="str">
        <f t="shared" si="0"/>
        <v/>
      </c>
    </row>
    <row r="54" spans="2:2" x14ac:dyDescent="0.25">
      <c r="B54" s="93" t="str">
        <f t="shared" si="0"/>
        <v/>
      </c>
    </row>
    <row r="55" spans="2:2" x14ac:dyDescent="0.25">
      <c r="B55" s="93" t="str">
        <f t="shared" si="0"/>
        <v/>
      </c>
    </row>
    <row r="56" spans="2:2" x14ac:dyDescent="0.25">
      <c r="B56" s="93" t="str">
        <f t="shared" si="0"/>
        <v/>
      </c>
    </row>
    <row r="57" spans="2:2" x14ac:dyDescent="0.25">
      <c r="B57" s="93" t="str">
        <f t="shared" si="0"/>
        <v/>
      </c>
    </row>
    <row r="58" spans="2:2" x14ac:dyDescent="0.25">
      <c r="B58" s="93" t="str">
        <f t="shared" si="0"/>
        <v/>
      </c>
    </row>
    <row r="59" spans="2:2" x14ac:dyDescent="0.25">
      <c r="B59" s="93" t="str">
        <f t="shared" si="0"/>
        <v/>
      </c>
    </row>
    <row r="60" spans="2:2" x14ac:dyDescent="0.25">
      <c r="B60" s="93" t="str">
        <f t="shared" si="0"/>
        <v/>
      </c>
    </row>
    <row r="61" spans="2:2" x14ac:dyDescent="0.25">
      <c r="B61" s="93" t="str">
        <f t="shared" si="0"/>
        <v/>
      </c>
    </row>
    <row r="62" spans="2:2" x14ac:dyDescent="0.25">
      <c r="B62" s="93" t="str">
        <f t="shared" si="0"/>
        <v/>
      </c>
    </row>
    <row r="63" spans="2:2" x14ac:dyDescent="0.25">
      <c r="B63" s="93" t="str">
        <f t="shared" si="0"/>
        <v/>
      </c>
    </row>
    <row r="64" spans="2:2" x14ac:dyDescent="0.25">
      <c r="B64" s="93" t="str">
        <f t="shared" si="0"/>
        <v/>
      </c>
    </row>
    <row r="65" spans="2:2" x14ac:dyDescent="0.25">
      <c r="B65" s="93" t="str">
        <f t="shared" si="0"/>
        <v/>
      </c>
    </row>
    <row r="66" spans="2:2" x14ac:dyDescent="0.25">
      <c r="B66" s="93" t="str">
        <f t="shared" si="0"/>
        <v/>
      </c>
    </row>
    <row r="67" spans="2:2" x14ac:dyDescent="0.25">
      <c r="B67" s="93" t="str">
        <f t="shared" si="0"/>
        <v/>
      </c>
    </row>
    <row r="68" spans="2:2" x14ac:dyDescent="0.25">
      <c r="B68" s="93" t="str">
        <f t="shared" si="0"/>
        <v/>
      </c>
    </row>
    <row r="69" spans="2:2" x14ac:dyDescent="0.25">
      <c r="B69" s="93" t="str">
        <f t="shared" si="0"/>
        <v/>
      </c>
    </row>
    <row r="70" spans="2:2" x14ac:dyDescent="0.25">
      <c r="B70" s="93" t="str">
        <f t="shared" si="0"/>
        <v/>
      </c>
    </row>
    <row r="71" spans="2:2" x14ac:dyDescent="0.25">
      <c r="B71" s="93" t="str">
        <f t="shared" si="0"/>
        <v/>
      </c>
    </row>
    <row r="72" spans="2:2" x14ac:dyDescent="0.25">
      <c r="B72" s="93" t="str">
        <f t="shared" si="0"/>
        <v/>
      </c>
    </row>
    <row r="73" spans="2:2" x14ac:dyDescent="0.25">
      <c r="B73" s="93" t="str">
        <f t="shared" si="0"/>
        <v/>
      </c>
    </row>
    <row r="74" spans="2:2" x14ac:dyDescent="0.25">
      <c r="B74" s="93" t="str">
        <f t="shared" si="0"/>
        <v/>
      </c>
    </row>
    <row r="75" spans="2:2" x14ac:dyDescent="0.25">
      <c r="B75" s="93" t="str">
        <f t="shared" si="0"/>
        <v/>
      </c>
    </row>
    <row r="76" spans="2:2" x14ac:dyDescent="0.25">
      <c r="B76" s="93" t="str">
        <f t="shared" si="0"/>
        <v/>
      </c>
    </row>
    <row r="77" spans="2:2" x14ac:dyDescent="0.25">
      <c r="B77" s="93" t="str">
        <f t="shared" si="0"/>
        <v/>
      </c>
    </row>
    <row r="78" spans="2:2" x14ac:dyDescent="0.25">
      <c r="B78" s="93" t="str">
        <f t="shared" si="0"/>
        <v/>
      </c>
    </row>
    <row r="79" spans="2:2" x14ac:dyDescent="0.25">
      <c r="B79" s="93" t="str">
        <f t="shared" si="0"/>
        <v/>
      </c>
    </row>
    <row r="80" spans="2:2" x14ac:dyDescent="0.25">
      <c r="B80" s="93" t="str">
        <f t="shared" si="0"/>
        <v/>
      </c>
    </row>
    <row r="81" spans="2:2" x14ac:dyDescent="0.25">
      <c r="B81" s="93" t="str">
        <f t="shared" si="0"/>
        <v/>
      </c>
    </row>
    <row r="82" spans="2:2" x14ac:dyDescent="0.25">
      <c r="B82" s="93" t="str">
        <f t="shared" si="0"/>
        <v/>
      </c>
    </row>
    <row r="83" spans="2:2" x14ac:dyDescent="0.25">
      <c r="B83" s="93" t="str">
        <f t="shared" si="0"/>
        <v/>
      </c>
    </row>
    <row r="84" spans="2:2" x14ac:dyDescent="0.25">
      <c r="B84" s="93" t="str">
        <f t="shared" ref="B84:B147" si="1">IF(A84=0,"","Hinge")</f>
        <v/>
      </c>
    </row>
    <row r="85" spans="2:2" x14ac:dyDescent="0.25">
      <c r="B85" s="93" t="str">
        <f t="shared" si="1"/>
        <v/>
      </c>
    </row>
    <row r="86" spans="2:2" x14ac:dyDescent="0.25">
      <c r="B86" s="93" t="str">
        <f t="shared" si="1"/>
        <v/>
      </c>
    </row>
    <row r="87" spans="2:2" x14ac:dyDescent="0.25">
      <c r="B87" s="93" t="str">
        <f t="shared" si="1"/>
        <v/>
      </c>
    </row>
    <row r="88" spans="2:2" x14ac:dyDescent="0.25">
      <c r="B88" s="93" t="str">
        <f t="shared" si="1"/>
        <v/>
      </c>
    </row>
    <row r="89" spans="2:2" x14ac:dyDescent="0.25">
      <c r="B89" s="93" t="str">
        <f t="shared" si="1"/>
        <v/>
      </c>
    </row>
    <row r="90" spans="2:2" x14ac:dyDescent="0.25">
      <c r="B90" s="93" t="str">
        <f t="shared" si="1"/>
        <v/>
      </c>
    </row>
    <row r="91" spans="2:2" x14ac:dyDescent="0.25">
      <c r="B91" s="93" t="str">
        <f t="shared" si="1"/>
        <v/>
      </c>
    </row>
    <row r="92" spans="2:2" x14ac:dyDescent="0.25">
      <c r="B92" s="93" t="str">
        <f t="shared" si="1"/>
        <v/>
      </c>
    </row>
    <row r="93" spans="2:2" x14ac:dyDescent="0.25">
      <c r="B93" s="93" t="str">
        <f t="shared" si="1"/>
        <v/>
      </c>
    </row>
    <row r="94" spans="2:2" x14ac:dyDescent="0.25">
      <c r="B94" s="93" t="str">
        <f t="shared" si="1"/>
        <v/>
      </c>
    </row>
    <row r="95" spans="2:2" x14ac:dyDescent="0.25">
      <c r="B95" s="93" t="str">
        <f t="shared" si="1"/>
        <v/>
      </c>
    </row>
    <row r="96" spans="2:2" x14ac:dyDescent="0.25">
      <c r="B96" s="93" t="str">
        <f t="shared" si="1"/>
        <v/>
      </c>
    </row>
    <row r="97" spans="2:2" x14ac:dyDescent="0.25">
      <c r="B97" s="93" t="str">
        <f t="shared" si="1"/>
        <v/>
      </c>
    </row>
    <row r="98" spans="2:2" x14ac:dyDescent="0.25">
      <c r="B98" s="93" t="str">
        <f t="shared" si="1"/>
        <v/>
      </c>
    </row>
    <row r="99" spans="2:2" x14ac:dyDescent="0.25">
      <c r="B99" s="93" t="str">
        <f t="shared" si="1"/>
        <v/>
      </c>
    </row>
    <row r="100" spans="2:2" x14ac:dyDescent="0.25">
      <c r="B100" s="93" t="str">
        <f t="shared" si="1"/>
        <v/>
      </c>
    </row>
    <row r="101" spans="2:2" x14ac:dyDescent="0.25">
      <c r="B101" s="93" t="str">
        <f t="shared" si="1"/>
        <v/>
      </c>
    </row>
    <row r="102" spans="2:2" x14ac:dyDescent="0.25">
      <c r="B102" s="93" t="str">
        <f t="shared" si="1"/>
        <v/>
      </c>
    </row>
    <row r="103" spans="2:2" x14ac:dyDescent="0.25">
      <c r="B103" s="93" t="str">
        <f t="shared" si="1"/>
        <v/>
      </c>
    </row>
    <row r="104" spans="2:2" x14ac:dyDescent="0.25">
      <c r="B104" s="93" t="str">
        <f t="shared" si="1"/>
        <v/>
      </c>
    </row>
    <row r="105" spans="2:2" x14ac:dyDescent="0.25">
      <c r="B105" s="93" t="str">
        <f t="shared" si="1"/>
        <v/>
      </c>
    </row>
    <row r="106" spans="2:2" x14ac:dyDescent="0.25">
      <c r="B106" s="93" t="str">
        <f t="shared" si="1"/>
        <v/>
      </c>
    </row>
    <row r="107" spans="2:2" x14ac:dyDescent="0.25">
      <c r="B107" s="93" t="str">
        <f t="shared" si="1"/>
        <v/>
      </c>
    </row>
    <row r="108" spans="2:2" x14ac:dyDescent="0.25">
      <c r="B108" s="93" t="str">
        <f t="shared" si="1"/>
        <v/>
      </c>
    </row>
    <row r="109" spans="2:2" x14ac:dyDescent="0.25">
      <c r="B109" s="93" t="str">
        <f t="shared" si="1"/>
        <v/>
      </c>
    </row>
    <row r="110" spans="2:2" x14ac:dyDescent="0.25">
      <c r="B110" s="93" t="str">
        <f t="shared" si="1"/>
        <v/>
      </c>
    </row>
    <row r="111" spans="2:2" x14ac:dyDescent="0.25">
      <c r="B111" s="93" t="str">
        <f t="shared" si="1"/>
        <v/>
      </c>
    </row>
    <row r="112" spans="2:2" x14ac:dyDescent="0.25">
      <c r="B112" s="93" t="str">
        <f t="shared" si="1"/>
        <v/>
      </c>
    </row>
    <row r="113" spans="2:2" x14ac:dyDescent="0.25">
      <c r="B113" s="93" t="str">
        <f t="shared" si="1"/>
        <v/>
      </c>
    </row>
    <row r="114" spans="2:2" x14ac:dyDescent="0.25">
      <c r="B114" s="93" t="str">
        <f t="shared" si="1"/>
        <v/>
      </c>
    </row>
    <row r="115" spans="2:2" x14ac:dyDescent="0.25">
      <c r="B115" s="93" t="str">
        <f t="shared" si="1"/>
        <v/>
      </c>
    </row>
    <row r="116" spans="2:2" x14ac:dyDescent="0.25">
      <c r="B116" s="93" t="str">
        <f t="shared" si="1"/>
        <v/>
      </c>
    </row>
    <row r="117" spans="2:2" x14ac:dyDescent="0.25">
      <c r="B117" s="93" t="str">
        <f t="shared" si="1"/>
        <v/>
      </c>
    </row>
    <row r="118" spans="2:2" x14ac:dyDescent="0.25">
      <c r="B118" s="93" t="str">
        <f t="shared" si="1"/>
        <v/>
      </c>
    </row>
    <row r="119" spans="2:2" x14ac:dyDescent="0.25">
      <c r="B119" s="93" t="str">
        <f t="shared" si="1"/>
        <v/>
      </c>
    </row>
    <row r="120" spans="2:2" x14ac:dyDescent="0.25">
      <c r="B120" s="93" t="str">
        <f t="shared" si="1"/>
        <v/>
      </c>
    </row>
    <row r="121" spans="2:2" x14ac:dyDescent="0.25">
      <c r="B121" s="93" t="str">
        <f t="shared" si="1"/>
        <v/>
      </c>
    </row>
    <row r="122" spans="2:2" x14ac:dyDescent="0.25">
      <c r="B122" s="93" t="str">
        <f t="shared" si="1"/>
        <v/>
      </c>
    </row>
    <row r="123" spans="2:2" x14ac:dyDescent="0.25">
      <c r="B123" s="93" t="str">
        <f t="shared" si="1"/>
        <v/>
      </c>
    </row>
    <row r="124" spans="2:2" x14ac:dyDescent="0.25">
      <c r="B124" s="93" t="str">
        <f t="shared" si="1"/>
        <v/>
      </c>
    </row>
    <row r="125" spans="2:2" x14ac:dyDescent="0.25">
      <c r="B125" s="93" t="str">
        <f t="shared" si="1"/>
        <v/>
      </c>
    </row>
    <row r="126" spans="2:2" x14ac:dyDescent="0.25">
      <c r="B126" s="93" t="str">
        <f t="shared" si="1"/>
        <v/>
      </c>
    </row>
    <row r="127" spans="2:2" x14ac:dyDescent="0.25">
      <c r="B127" s="93" t="str">
        <f t="shared" si="1"/>
        <v/>
      </c>
    </row>
    <row r="128" spans="2:2" x14ac:dyDescent="0.25">
      <c r="B128" s="93" t="str">
        <f t="shared" si="1"/>
        <v/>
      </c>
    </row>
    <row r="129" spans="2:2" x14ac:dyDescent="0.25">
      <c r="B129" s="93" t="str">
        <f t="shared" si="1"/>
        <v/>
      </c>
    </row>
    <row r="130" spans="2:2" x14ac:dyDescent="0.25">
      <c r="B130" s="93" t="str">
        <f t="shared" si="1"/>
        <v/>
      </c>
    </row>
    <row r="131" spans="2:2" x14ac:dyDescent="0.25">
      <c r="B131" s="93" t="str">
        <f t="shared" si="1"/>
        <v/>
      </c>
    </row>
    <row r="132" spans="2:2" x14ac:dyDescent="0.25">
      <c r="B132" s="93" t="str">
        <f t="shared" si="1"/>
        <v/>
      </c>
    </row>
    <row r="133" spans="2:2" x14ac:dyDescent="0.25">
      <c r="B133" s="93" t="str">
        <f t="shared" si="1"/>
        <v/>
      </c>
    </row>
    <row r="134" spans="2:2" x14ac:dyDescent="0.25">
      <c r="B134" s="93" t="str">
        <f t="shared" si="1"/>
        <v/>
      </c>
    </row>
    <row r="135" spans="2:2" x14ac:dyDescent="0.25">
      <c r="B135" s="93" t="str">
        <f t="shared" si="1"/>
        <v/>
      </c>
    </row>
    <row r="136" spans="2:2" x14ac:dyDescent="0.25">
      <c r="B136" s="93" t="str">
        <f t="shared" si="1"/>
        <v/>
      </c>
    </row>
    <row r="137" spans="2:2" x14ac:dyDescent="0.25">
      <c r="B137" s="93" t="str">
        <f t="shared" si="1"/>
        <v/>
      </c>
    </row>
    <row r="138" spans="2:2" x14ac:dyDescent="0.25">
      <c r="B138" s="93" t="str">
        <f t="shared" si="1"/>
        <v/>
      </c>
    </row>
    <row r="139" spans="2:2" x14ac:dyDescent="0.25">
      <c r="B139" s="93" t="str">
        <f t="shared" si="1"/>
        <v/>
      </c>
    </row>
    <row r="140" spans="2:2" x14ac:dyDescent="0.25">
      <c r="B140" s="93" t="str">
        <f t="shared" si="1"/>
        <v/>
      </c>
    </row>
    <row r="141" spans="2:2" x14ac:dyDescent="0.25">
      <c r="B141" s="93" t="str">
        <f t="shared" si="1"/>
        <v/>
      </c>
    </row>
    <row r="142" spans="2:2" x14ac:dyDescent="0.25">
      <c r="B142" s="93" t="str">
        <f t="shared" si="1"/>
        <v/>
      </c>
    </row>
    <row r="143" spans="2:2" x14ac:dyDescent="0.25">
      <c r="B143" s="93" t="str">
        <f t="shared" si="1"/>
        <v/>
      </c>
    </row>
    <row r="144" spans="2:2" x14ac:dyDescent="0.25">
      <c r="B144" s="93" t="str">
        <f t="shared" si="1"/>
        <v/>
      </c>
    </row>
    <row r="145" spans="2:2" x14ac:dyDescent="0.25">
      <c r="B145" s="93" t="str">
        <f t="shared" si="1"/>
        <v/>
      </c>
    </row>
    <row r="146" spans="2:2" x14ac:dyDescent="0.25">
      <c r="B146" s="93" t="str">
        <f t="shared" si="1"/>
        <v/>
      </c>
    </row>
    <row r="147" spans="2:2" x14ac:dyDescent="0.25">
      <c r="B147" s="93" t="str">
        <f t="shared" si="1"/>
        <v/>
      </c>
    </row>
    <row r="148" spans="2:2" x14ac:dyDescent="0.25">
      <c r="B148" s="93" t="str">
        <f t="shared" ref="B148:B211" si="2">IF(A148=0,"","Hinge")</f>
        <v/>
      </c>
    </row>
    <row r="149" spans="2:2" x14ac:dyDescent="0.25">
      <c r="B149" s="93" t="str">
        <f t="shared" si="2"/>
        <v/>
      </c>
    </row>
    <row r="150" spans="2:2" x14ac:dyDescent="0.25">
      <c r="B150" s="93" t="str">
        <f t="shared" si="2"/>
        <v/>
      </c>
    </row>
    <row r="151" spans="2:2" x14ac:dyDescent="0.25">
      <c r="B151" s="93" t="str">
        <f t="shared" si="2"/>
        <v/>
      </c>
    </row>
    <row r="152" spans="2:2" x14ac:dyDescent="0.25">
      <c r="B152" s="93" t="str">
        <f t="shared" si="2"/>
        <v/>
      </c>
    </row>
    <row r="153" spans="2:2" x14ac:dyDescent="0.25">
      <c r="B153" s="93" t="str">
        <f t="shared" si="2"/>
        <v/>
      </c>
    </row>
    <row r="154" spans="2:2" x14ac:dyDescent="0.25">
      <c r="B154" s="93" t="str">
        <f t="shared" si="2"/>
        <v/>
      </c>
    </row>
    <row r="155" spans="2:2" x14ac:dyDescent="0.25">
      <c r="B155" s="93" t="str">
        <f t="shared" si="2"/>
        <v/>
      </c>
    </row>
    <row r="156" spans="2:2" x14ac:dyDescent="0.25">
      <c r="B156" s="93" t="str">
        <f t="shared" si="2"/>
        <v/>
      </c>
    </row>
    <row r="157" spans="2:2" x14ac:dyDescent="0.25">
      <c r="B157" s="93" t="str">
        <f t="shared" si="2"/>
        <v/>
      </c>
    </row>
    <row r="158" spans="2:2" x14ac:dyDescent="0.25">
      <c r="B158" s="93" t="str">
        <f t="shared" si="2"/>
        <v/>
      </c>
    </row>
    <row r="159" spans="2:2" x14ac:dyDescent="0.25">
      <c r="B159" s="93" t="str">
        <f t="shared" si="2"/>
        <v/>
      </c>
    </row>
    <row r="160" spans="2:2" x14ac:dyDescent="0.25">
      <c r="B160" s="93" t="str">
        <f t="shared" si="2"/>
        <v/>
      </c>
    </row>
    <row r="161" spans="2:2" x14ac:dyDescent="0.25">
      <c r="B161" s="93" t="str">
        <f t="shared" si="2"/>
        <v/>
      </c>
    </row>
    <row r="162" spans="2:2" x14ac:dyDescent="0.25">
      <c r="B162" s="93" t="str">
        <f t="shared" si="2"/>
        <v/>
      </c>
    </row>
    <row r="163" spans="2:2" x14ac:dyDescent="0.25">
      <c r="B163" s="93" t="str">
        <f t="shared" si="2"/>
        <v/>
      </c>
    </row>
    <row r="164" spans="2:2" x14ac:dyDescent="0.25">
      <c r="B164" s="93" t="str">
        <f t="shared" si="2"/>
        <v/>
      </c>
    </row>
    <row r="165" spans="2:2" x14ac:dyDescent="0.25">
      <c r="B165" s="93" t="str">
        <f t="shared" si="2"/>
        <v/>
      </c>
    </row>
    <row r="166" spans="2:2" x14ac:dyDescent="0.25">
      <c r="B166" s="93" t="str">
        <f t="shared" si="2"/>
        <v/>
      </c>
    </row>
    <row r="167" spans="2:2" x14ac:dyDescent="0.25">
      <c r="B167" s="93" t="str">
        <f t="shared" si="2"/>
        <v/>
      </c>
    </row>
    <row r="168" spans="2:2" x14ac:dyDescent="0.25">
      <c r="B168" s="93" t="str">
        <f t="shared" si="2"/>
        <v/>
      </c>
    </row>
    <row r="169" spans="2:2" x14ac:dyDescent="0.25">
      <c r="B169" s="93" t="str">
        <f t="shared" si="2"/>
        <v/>
      </c>
    </row>
    <row r="170" spans="2:2" x14ac:dyDescent="0.25">
      <c r="B170" s="93" t="str">
        <f t="shared" si="2"/>
        <v/>
      </c>
    </row>
    <row r="171" spans="2:2" x14ac:dyDescent="0.25">
      <c r="B171" s="93" t="str">
        <f t="shared" si="2"/>
        <v/>
      </c>
    </row>
    <row r="172" spans="2:2" x14ac:dyDescent="0.25">
      <c r="B172" s="93" t="str">
        <f t="shared" si="2"/>
        <v/>
      </c>
    </row>
    <row r="173" spans="2:2" x14ac:dyDescent="0.25">
      <c r="B173" s="93" t="str">
        <f t="shared" si="2"/>
        <v/>
      </c>
    </row>
    <row r="174" spans="2:2" x14ac:dyDescent="0.25">
      <c r="B174" s="93" t="str">
        <f t="shared" si="2"/>
        <v/>
      </c>
    </row>
    <row r="175" spans="2:2" x14ac:dyDescent="0.25">
      <c r="B175" s="93" t="str">
        <f t="shared" si="2"/>
        <v/>
      </c>
    </row>
    <row r="176" spans="2:2" x14ac:dyDescent="0.25">
      <c r="B176" s="93" t="str">
        <f t="shared" si="2"/>
        <v/>
      </c>
    </row>
    <row r="177" spans="2:2" x14ac:dyDescent="0.25">
      <c r="B177" s="93" t="str">
        <f t="shared" si="2"/>
        <v/>
      </c>
    </row>
    <row r="178" spans="2:2" x14ac:dyDescent="0.25">
      <c r="B178" s="93" t="str">
        <f t="shared" si="2"/>
        <v/>
      </c>
    </row>
    <row r="179" spans="2:2" x14ac:dyDescent="0.25">
      <c r="B179" s="93" t="str">
        <f t="shared" si="2"/>
        <v/>
      </c>
    </row>
    <row r="180" spans="2:2" x14ac:dyDescent="0.25">
      <c r="B180" s="93" t="str">
        <f t="shared" si="2"/>
        <v/>
      </c>
    </row>
    <row r="181" spans="2:2" x14ac:dyDescent="0.25">
      <c r="B181" s="93" t="str">
        <f t="shared" si="2"/>
        <v/>
      </c>
    </row>
    <row r="182" spans="2:2" x14ac:dyDescent="0.25">
      <c r="B182" s="93" t="str">
        <f t="shared" si="2"/>
        <v/>
      </c>
    </row>
    <row r="183" spans="2:2" x14ac:dyDescent="0.25">
      <c r="B183" s="93" t="str">
        <f t="shared" si="2"/>
        <v/>
      </c>
    </row>
    <row r="184" spans="2:2" x14ac:dyDescent="0.25">
      <c r="B184" s="93" t="str">
        <f t="shared" si="2"/>
        <v/>
      </c>
    </row>
    <row r="185" spans="2:2" x14ac:dyDescent="0.25">
      <c r="B185" s="93" t="str">
        <f t="shared" si="2"/>
        <v/>
      </c>
    </row>
    <row r="186" spans="2:2" x14ac:dyDescent="0.25">
      <c r="B186" s="93" t="str">
        <f t="shared" si="2"/>
        <v/>
      </c>
    </row>
    <row r="187" spans="2:2" x14ac:dyDescent="0.25">
      <c r="B187" s="93" t="str">
        <f t="shared" si="2"/>
        <v/>
      </c>
    </row>
    <row r="188" spans="2:2" x14ac:dyDescent="0.25">
      <c r="B188" s="93" t="str">
        <f t="shared" si="2"/>
        <v/>
      </c>
    </row>
    <row r="189" spans="2:2" x14ac:dyDescent="0.25">
      <c r="B189" s="93" t="str">
        <f t="shared" si="2"/>
        <v/>
      </c>
    </row>
    <row r="190" spans="2:2" x14ac:dyDescent="0.25">
      <c r="B190" s="93" t="str">
        <f t="shared" si="2"/>
        <v/>
      </c>
    </row>
    <row r="191" spans="2:2" x14ac:dyDescent="0.25">
      <c r="B191" s="93" t="str">
        <f t="shared" si="2"/>
        <v/>
      </c>
    </row>
    <row r="192" spans="2:2" x14ac:dyDescent="0.25">
      <c r="B192" s="93" t="str">
        <f t="shared" si="2"/>
        <v/>
      </c>
    </row>
    <row r="193" spans="2:2" x14ac:dyDescent="0.25">
      <c r="B193" s="93" t="str">
        <f t="shared" si="2"/>
        <v/>
      </c>
    </row>
    <row r="194" spans="2:2" x14ac:dyDescent="0.25">
      <c r="B194" s="93" t="str">
        <f t="shared" si="2"/>
        <v/>
      </c>
    </row>
    <row r="195" spans="2:2" x14ac:dyDescent="0.25">
      <c r="B195" s="93" t="str">
        <f t="shared" si="2"/>
        <v/>
      </c>
    </row>
    <row r="196" spans="2:2" x14ac:dyDescent="0.25">
      <c r="B196" s="93" t="str">
        <f t="shared" si="2"/>
        <v/>
      </c>
    </row>
    <row r="197" spans="2:2" x14ac:dyDescent="0.25">
      <c r="B197" s="93" t="str">
        <f t="shared" si="2"/>
        <v/>
      </c>
    </row>
    <row r="198" spans="2:2" x14ac:dyDescent="0.25">
      <c r="B198" s="93" t="str">
        <f t="shared" si="2"/>
        <v/>
      </c>
    </row>
    <row r="199" spans="2:2" x14ac:dyDescent="0.25">
      <c r="B199" s="93" t="str">
        <f t="shared" si="2"/>
        <v/>
      </c>
    </row>
    <row r="200" spans="2:2" x14ac:dyDescent="0.25">
      <c r="B200" s="93" t="str">
        <f t="shared" si="2"/>
        <v/>
      </c>
    </row>
    <row r="201" spans="2:2" x14ac:dyDescent="0.25">
      <c r="B201" s="93" t="str">
        <f t="shared" si="2"/>
        <v/>
      </c>
    </row>
    <row r="202" spans="2:2" x14ac:dyDescent="0.25">
      <c r="B202" s="93" t="str">
        <f t="shared" si="2"/>
        <v/>
      </c>
    </row>
    <row r="203" spans="2:2" x14ac:dyDescent="0.25">
      <c r="B203" s="93" t="str">
        <f t="shared" si="2"/>
        <v/>
      </c>
    </row>
    <row r="204" spans="2:2" x14ac:dyDescent="0.25">
      <c r="B204" s="93" t="str">
        <f t="shared" si="2"/>
        <v/>
      </c>
    </row>
    <row r="205" spans="2:2" x14ac:dyDescent="0.25">
      <c r="B205" s="93" t="str">
        <f t="shared" si="2"/>
        <v/>
      </c>
    </row>
    <row r="206" spans="2:2" x14ac:dyDescent="0.25">
      <c r="B206" s="93" t="str">
        <f t="shared" si="2"/>
        <v/>
      </c>
    </row>
    <row r="207" spans="2:2" x14ac:dyDescent="0.25">
      <c r="B207" s="93" t="str">
        <f t="shared" si="2"/>
        <v/>
      </c>
    </row>
    <row r="208" spans="2:2" x14ac:dyDescent="0.25">
      <c r="B208" s="93" t="str">
        <f t="shared" si="2"/>
        <v/>
      </c>
    </row>
    <row r="209" spans="2:2" x14ac:dyDescent="0.25">
      <c r="B209" s="93" t="str">
        <f t="shared" si="2"/>
        <v/>
      </c>
    </row>
    <row r="210" spans="2:2" x14ac:dyDescent="0.25">
      <c r="B210" s="93" t="str">
        <f t="shared" si="2"/>
        <v/>
      </c>
    </row>
    <row r="211" spans="2:2" x14ac:dyDescent="0.25">
      <c r="B211" s="93" t="str">
        <f t="shared" si="2"/>
        <v/>
      </c>
    </row>
    <row r="212" spans="2:2" x14ac:dyDescent="0.25">
      <c r="B212" s="93" t="str">
        <f t="shared" ref="B212:B275" si="3">IF(A212=0,"","Hinge")</f>
        <v/>
      </c>
    </row>
    <row r="213" spans="2:2" x14ac:dyDescent="0.25">
      <c r="B213" s="93" t="str">
        <f t="shared" si="3"/>
        <v/>
      </c>
    </row>
    <row r="214" spans="2:2" x14ac:dyDescent="0.25">
      <c r="B214" s="93" t="str">
        <f t="shared" si="3"/>
        <v/>
      </c>
    </row>
    <row r="215" spans="2:2" x14ac:dyDescent="0.25">
      <c r="B215" s="93" t="str">
        <f t="shared" si="3"/>
        <v/>
      </c>
    </row>
    <row r="216" spans="2:2" x14ac:dyDescent="0.25">
      <c r="B216" s="93" t="str">
        <f t="shared" si="3"/>
        <v/>
      </c>
    </row>
    <row r="217" spans="2:2" x14ac:dyDescent="0.25">
      <c r="B217" s="93" t="str">
        <f t="shared" si="3"/>
        <v/>
      </c>
    </row>
    <row r="218" spans="2:2" x14ac:dyDescent="0.25">
      <c r="B218" s="93" t="str">
        <f t="shared" si="3"/>
        <v/>
      </c>
    </row>
    <row r="219" spans="2:2" x14ac:dyDescent="0.25">
      <c r="B219" s="93" t="str">
        <f t="shared" si="3"/>
        <v/>
      </c>
    </row>
    <row r="220" spans="2:2" x14ac:dyDescent="0.25">
      <c r="B220" s="93" t="str">
        <f t="shared" si="3"/>
        <v/>
      </c>
    </row>
    <row r="221" spans="2:2" x14ac:dyDescent="0.25">
      <c r="B221" s="93" t="str">
        <f t="shared" si="3"/>
        <v/>
      </c>
    </row>
    <row r="222" spans="2:2" x14ac:dyDescent="0.25">
      <c r="B222" s="93" t="str">
        <f t="shared" si="3"/>
        <v/>
      </c>
    </row>
    <row r="223" spans="2:2" x14ac:dyDescent="0.25">
      <c r="B223" s="93" t="str">
        <f t="shared" si="3"/>
        <v/>
      </c>
    </row>
    <row r="224" spans="2:2" x14ac:dyDescent="0.25">
      <c r="B224" s="93" t="str">
        <f t="shared" si="3"/>
        <v/>
      </c>
    </row>
    <row r="225" spans="2:2" x14ac:dyDescent="0.25">
      <c r="B225" s="93" t="str">
        <f t="shared" si="3"/>
        <v/>
      </c>
    </row>
    <row r="226" spans="2:2" x14ac:dyDescent="0.25">
      <c r="B226" s="93" t="str">
        <f t="shared" si="3"/>
        <v/>
      </c>
    </row>
    <row r="227" spans="2:2" x14ac:dyDescent="0.25">
      <c r="B227" s="93" t="str">
        <f t="shared" si="3"/>
        <v/>
      </c>
    </row>
    <row r="228" spans="2:2" x14ac:dyDescent="0.25">
      <c r="B228" s="93" t="str">
        <f t="shared" si="3"/>
        <v/>
      </c>
    </row>
    <row r="229" spans="2:2" x14ac:dyDescent="0.25">
      <c r="B229" s="93" t="str">
        <f t="shared" si="3"/>
        <v/>
      </c>
    </row>
    <row r="230" spans="2:2" x14ac:dyDescent="0.25">
      <c r="B230" s="93" t="str">
        <f t="shared" si="3"/>
        <v/>
      </c>
    </row>
    <row r="231" spans="2:2" x14ac:dyDescent="0.25">
      <c r="B231" s="93" t="str">
        <f t="shared" si="3"/>
        <v/>
      </c>
    </row>
    <row r="232" spans="2:2" x14ac:dyDescent="0.25">
      <c r="B232" s="93" t="str">
        <f t="shared" si="3"/>
        <v/>
      </c>
    </row>
    <row r="233" spans="2:2" x14ac:dyDescent="0.25">
      <c r="B233" s="93" t="str">
        <f t="shared" si="3"/>
        <v/>
      </c>
    </row>
    <row r="234" spans="2:2" x14ac:dyDescent="0.25">
      <c r="B234" s="93" t="str">
        <f t="shared" si="3"/>
        <v/>
      </c>
    </row>
    <row r="235" spans="2:2" x14ac:dyDescent="0.25">
      <c r="B235" s="93" t="str">
        <f t="shared" si="3"/>
        <v/>
      </c>
    </row>
    <row r="236" spans="2:2" x14ac:dyDescent="0.25">
      <c r="B236" s="93" t="str">
        <f t="shared" si="3"/>
        <v/>
      </c>
    </row>
    <row r="237" spans="2:2" x14ac:dyDescent="0.25">
      <c r="B237" s="93" t="str">
        <f t="shared" si="3"/>
        <v/>
      </c>
    </row>
    <row r="238" spans="2:2" x14ac:dyDescent="0.25">
      <c r="B238" s="93" t="str">
        <f t="shared" si="3"/>
        <v/>
      </c>
    </row>
    <row r="239" spans="2:2" x14ac:dyDescent="0.25">
      <c r="B239" s="93" t="str">
        <f t="shared" si="3"/>
        <v/>
      </c>
    </row>
    <row r="240" spans="2:2" x14ac:dyDescent="0.25">
      <c r="B240" s="93" t="str">
        <f t="shared" si="3"/>
        <v/>
      </c>
    </row>
    <row r="241" spans="2:2" x14ac:dyDescent="0.25">
      <c r="B241" s="93" t="str">
        <f t="shared" si="3"/>
        <v/>
      </c>
    </row>
    <row r="242" spans="2:2" x14ac:dyDescent="0.25">
      <c r="B242" s="93" t="str">
        <f t="shared" si="3"/>
        <v/>
      </c>
    </row>
    <row r="243" spans="2:2" x14ac:dyDescent="0.25">
      <c r="B243" s="93" t="str">
        <f t="shared" si="3"/>
        <v/>
      </c>
    </row>
    <row r="244" spans="2:2" x14ac:dyDescent="0.25">
      <c r="B244" s="93" t="str">
        <f t="shared" si="3"/>
        <v/>
      </c>
    </row>
    <row r="245" spans="2:2" x14ac:dyDescent="0.25">
      <c r="B245" s="93" t="str">
        <f t="shared" si="3"/>
        <v/>
      </c>
    </row>
    <row r="246" spans="2:2" x14ac:dyDescent="0.25">
      <c r="B246" s="93" t="str">
        <f t="shared" si="3"/>
        <v/>
      </c>
    </row>
    <row r="247" spans="2:2" x14ac:dyDescent="0.25">
      <c r="B247" s="93" t="str">
        <f t="shared" si="3"/>
        <v/>
      </c>
    </row>
    <row r="248" spans="2:2" x14ac:dyDescent="0.25">
      <c r="B248" s="93" t="str">
        <f t="shared" si="3"/>
        <v/>
      </c>
    </row>
    <row r="249" spans="2:2" x14ac:dyDescent="0.25">
      <c r="B249" s="93" t="str">
        <f t="shared" si="3"/>
        <v/>
      </c>
    </row>
    <row r="250" spans="2:2" x14ac:dyDescent="0.25">
      <c r="B250" s="93" t="str">
        <f t="shared" si="3"/>
        <v/>
      </c>
    </row>
    <row r="251" spans="2:2" x14ac:dyDescent="0.25">
      <c r="B251" s="93" t="str">
        <f t="shared" si="3"/>
        <v/>
      </c>
    </row>
    <row r="252" spans="2:2" x14ac:dyDescent="0.25">
      <c r="B252" s="93" t="str">
        <f t="shared" si="3"/>
        <v/>
      </c>
    </row>
    <row r="253" spans="2:2" x14ac:dyDescent="0.25">
      <c r="B253" s="93" t="str">
        <f t="shared" si="3"/>
        <v/>
      </c>
    </row>
    <row r="254" spans="2:2" x14ac:dyDescent="0.25">
      <c r="B254" s="93" t="str">
        <f t="shared" si="3"/>
        <v/>
      </c>
    </row>
    <row r="255" spans="2:2" x14ac:dyDescent="0.25">
      <c r="B255" s="93" t="str">
        <f t="shared" si="3"/>
        <v/>
      </c>
    </row>
    <row r="256" spans="2:2" x14ac:dyDescent="0.25">
      <c r="B256" s="93" t="str">
        <f t="shared" si="3"/>
        <v/>
      </c>
    </row>
    <row r="257" spans="2:2" x14ac:dyDescent="0.25">
      <c r="B257" s="93" t="str">
        <f t="shared" si="3"/>
        <v/>
      </c>
    </row>
    <row r="258" spans="2:2" x14ac:dyDescent="0.25">
      <c r="B258" s="93" t="str">
        <f t="shared" si="3"/>
        <v/>
      </c>
    </row>
    <row r="259" spans="2:2" x14ac:dyDescent="0.25">
      <c r="B259" s="93" t="str">
        <f t="shared" si="3"/>
        <v/>
      </c>
    </row>
    <row r="260" spans="2:2" x14ac:dyDescent="0.25">
      <c r="B260" s="93" t="str">
        <f t="shared" si="3"/>
        <v/>
      </c>
    </row>
    <row r="261" spans="2:2" x14ac:dyDescent="0.25">
      <c r="B261" s="93" t="str">
        <f t="shared" si="3"/>
        <v/>
      </c>
    </row>
    <row r="262" spans="2:2" x14ac:dyDescent="0.25">
      <c r="B262" s="93" t="str">
        <f t="shared" si="3"/>
        <v/>
      </c>
    </row>
    <row r="263" spans="2:2" x14ac:dyDescent="0.25">
      <c r="B263" s="93" t="str">
        <f t="shared" si="3"/>
        <v/>
      </c>
    </row>
    <row r="264" spans="2:2" x14ac:dyDescent="0.25">
      <c r="B264" s="93" t="str">
        <f t="shared" si="3"/>
        <v/>
      </c>
    </row>
    <row r="265" spans="2:2" x14ac:dyDescent="0.25">
      <c r="B265" s="93" t="str">
        <f t="shared" si="3"/>
        <v/>
      </c>
    </row>
    <row r="266" spans="2:2" x14ac:dyDescent="0.25">
      <c r="B266" s="93" t="str">
        <f t="shared" si="3"/>
        <v/>
      </c>
    </row>
    <row r="267" spans="2:2" x14ac:dyDescent="0.25">
      <c r="B267" s="93" t="str">
        <f t="shared" si="3"/>
        <v/>
      </c>
    </row>
    <row r="268" spans="2:2" x14ac:dyDescent="0.25">
      <c r="B268" s="93" t="str">
        <f t="shared" si="3"/>
        <v/>
      </c>
    </row>
    <row r="269" spans="2:2" x14ac:dyDescent="0.25">
      <c r="B269" s="93" t="str">
        <f t="shared" si="3"/>
        <v/>
      </c>
    </row>
    <row r="270" spans="2:2" x14ac:dyDescent="0.25">
      <c r="B270" s="93" t="str">
        <f t="shared" si="3"/>
        <v/>
      </c>
    </row>
    <row r="271" spans="2:2" x14ac:dyDescent="0.25">
      <c r="B271" s="93" t="str">
        <f t="shared" si="3"/>
        <v/>
      </c>
    </row>
    <row r="272" spans="2:2" x14ac:dyDescent="0.25">
      <c r="B272" s="93" t="str">
        <f t="shared" si="3"/>
        <v/>
      </c>
    </row>
    <row r="273" spans="2:2" x14ac:dyDescent="0.25">
      <c r="B273" s="93" t="str">
        <f t="shared" si="3"/>
        <v/>
      </c>
    </row>
    <row r="274" spans="2:2" x14ac:dyDescent="0.25">
      <c r="B274" s="93" t="str">
        <f t="shared" si="3"/>
        <v/>
      </c>
    </row>
    <row r="275" spans="2:2" x14ac:dyDescent="0.25">
      <c r="B275" s="93" t="str">
        <f t="shared" si="3"/>
        <v/>
      </c>
    </row>
    <row r="276" spans="2:2" x14ac:dyDescent="0.25">
      <c r="B276" s="93" t="str">
        <f t="shared" ref="B276:B339" si="4">IF(A276=0,"","Hinge")</f>
        <v/>
      </c>
    </row>
    <row r="277" spans="2:2" x14ac:dyDescent="0.25">
      <c r="B277" s="93" t="str">
        <f t="shared" si="4"/>
        <v/>
      </c>
    </row>
    <row r="278" spans="2:2" x14ac:dyDescent="0.25">
      <c r="B278" s="93" t="str">
        <f t="shared" si="4"/>
        <v/>
      </c>
    </row>
    <row r="279" spans="2:2" x14ac:dyDescent="0.25">
      <c r="B279" s="93" t="str">
        <f t="shared" si="4"/>
        <v/>
      </c>
    </row>
    <row r="280" spans="2:2" x14ac:dyDescent="0.25">
      <c r="B280" s="93" t="str">
        <f t="shared" si="4"/>
        <v/>
      </c>
    </row>
    <row r="281" spans="2:2" x14ac:dyDescent="0.25">
      <c r="B281" s="93" t="str">
        <f t="shared" si="4"/>
        <v/>
      </c>
    </row>
    <row r="282" spans="2:2" x14ac:dyDescent="0.25">
      <c r="B282" s="93" t="str">
        <f t="shared" si="4"/>
        <v/>
      </c>
    </row>
    <row r="283" spans="2:2" x14ac:dyDescent="0.25">
      <c r="B283" s="93" t="str">
        <f t="shared" si="4"/>
        <v/>
      </c>
    </row>
    <row r="284" spans="2:2" x14ac:dyDescent="0.25">
      <c r="B284" s="93" t="str">
        <f t="shared" si="4"/>
        <v/>
      </c>
    </row>
    <row r="285" spans="2:2" x14ac:dyDescent="0.25">
      <c r="B285" s="93" t="str">
        <f t="shared" si="4"/>
        <v/>
      </c>
    </row>
    <row r="286" spans="2:2" x14ac:dyDescent="0.25">
      <c r="B286" s="93" t="str">
        <f t="shared" si="4"/>
        <v/>
      </c>
    </row>
    <row r="287" spans="2:2" x14ac:dyDescent="0.25">
      <c r="B287" s="93" t="str">
        <f t="shared" si="4"/>
        <v/>
      </c>
    </row>
    <row r="288" spans="2:2" x14ac:dyDescent="0.25">
      <c r="B288" s="93" t="str">
        <f t="shared" si="4"/>
        <v/>
      </c>
    </row>
    <row r="289" spans="2:2" x14ac:dyDescent="0.25">
      <c r="B289" s="93" t="str">
        <f t="shared" si="4"/>
        <v/>
      </c>
    </row>
    <row r="290" spans="2:2" x14ac:dyDescent="0.25">
      <c r="B290" s="93" t="str">
        <f t="shared" si="4"/>
        <v/>
      </c>
    </row>
    <row r="291" spans="2:2" x14ac:dyDescent="0.25">
      <c r="B291" s="93" t="str">
        <f t="shared" si="4"/>
        <v/>
      </c>
    </row>
    <row r="292" spans="2:2" x14ac:dyDescent="0.25">
      <c r="B292" s="93" t="str">
        <f t="shared" si="4"/>
        <v/>
      </c>
    </row>
    <row r="293" spans="2:2" x14ac:dyDescent="0.25">
      <c r="B293" s="93" t="str">
        <f t="shared" si="4"/>
        <v/>
      </c>
    </row>
    <row r="294" spans="2:2" x14ac:dyDescent="0.25">
      <c r="B294" s="93" t="str">
        <f t="shared" si="4"/>
        <v/>
      </c>
    </row>
    <row r="295" spans="2:2" x14ac:dyDescent="0.25">
      <c r="B295" s="93" t="str">
        <f t="shared" si="4"/>
        <v/>
      </c>
    </row>
    <row r="296" spans="2:2" x14ac:dyDescent="0.25">
      <c r="B296" s="93" t="str">
        <f t="shared" si="4"/>
        <v/>
      </c>
    </row>
    <row r="297" spans="2:2" x14ac:dyDescent="0.25">
      <c r="B297" s="93" t="str">
        <f t="shared" si="4"/>
        <v/>
      </c>
    </row>
    <row r="298" spans="2:2" x14ac:dyDescent="0.25">
      <c r="B298" s="93" t="str">
        <f t="shared" si="4"/>
        <v/>
      </c>
    </row>
    <row r="299" spans="2:2" x14ac:dyDescent="0.25">
      <c r="B299" s="93" t="str">
        <f t="shared" si="4"/>
        <v/>
      </c>
    </row>
    <row r="300" spans="2:2" x14ac:dyDescent="0.25">
      <c r="B300" s="93" t="str">
        <f t="shared" si="4"/>
        <v/>
      </c>
    </row>
    <row r="301" spans="2:2" x14ac:dyDescent="0.25">
      <c r="B301" s="93" t="str">
        <f t="shared" si="4"/>
        <v/>
      </c>
    </row>
    <row r="302" spans="2:2" x14ac:dyDescent="0.25">
      <c r="B302" s="93" t="str">
        <f t="shared" si="4"/>
        <v/>
      </c>
    </row>
    <row r="303" spans="2:2" x14ac:dyDescent="0.25">
      <c r="B303" s="93" t="str">
        <f t="shared" si="4"/>
        <v/>
      </c>
    </row>
    <row r="304" spans="2:2" x14ac:dyDescent="0.25">
      <c r="B304" s="93" t="str">
        <f t="shared" si="4"/>
        <v/>
      </c>
    </row>
    <row r="305" spans="2:2" x14ac:dyDescent="0.25">
      <c r="B305" s="93" t="str">
        <f t="shared" si="4"/>
        <v/>
      </c>
    </row>
    <row r="306" spans="2:2" x14ac:dyDescent="0.25">
      <c r="B306" s="93" t="str">
        <f t="shared" si="4"/>
        <v/>
      </c>
    </row>
    <row r="307" spans="2:2" x14ac:dyDescent="0.25">
      <c r="B307" s="93" t="str">
        <f t="shared" si="4"/>
        <v/>
      </c>
    </row>
    <row r="308" spans="2:2" x14ac:dyDescent="0.25">
      <c r="B308" s="93" t="str">
        <f t="shared" si="4"/>
        <v/>
      </c>
    </row>
    <row r="309" spans="2:2" x14ac:dyDescent="0.25">
      <c r="B309" s="93" t="str">
        <f t="shared" si="4"/>
        <v/>
      </c>
    </row>
    <row r="310" spans="2:2" x14ac:dyDescent="0.25">
      <c r="B310" s="93" t="str">
        <f t="shared" si="4"/>
        <v/>
      </c>
    </row>
    <row r="311" spans="2:2" x14ac:dyDescent="0.25">
      <c r="B311" s="93" t="str">
        <f t="shared" si="4"/>
        <v/>
      </c>
    </row>
    <row r="312" spans="2:2" x14ac:dyDescent="0.25">
      <c r="B312" s="93" t="str">
        <f t="shared" si="4"/>
        <v/>
      </c>
    </row>
    <row r="313" spans="2:2" x14ac:dyDescent="0.25">
      <c r="B313" s="93" t="str">
        <f t="shared" si="4"/>
        <v/>
      </c>
    </row>
    <row r="314" spans="2:2" x14ac:dyDescent="0.25">
      <c r="B314" s="93" t="str">
        <f t="shared" si="4"/>
        <v/>
      </c>
    </row>
    <row r="315" spans="2:2" x14ac:dyDescent="0.25">
      <c r="B315" s="93" t="str">
        <f t="shared" si="4"/>
        <v/>
      </c>
    </row>
    <row r="316" spans="2:2" x14ac:dyDescent="0.25">
      <c r="B316" s="93" t="str">
        <f t="shared" si="4"/>
        <v/>
      </c>
    </row>
    <row r="317" spans="2:2" x14ac:dyDescent="0.25">
      <c r="B317" s="93" t="str">
        <f t="shared" si="4"/>
        <v/>
      </c>
    </row>
    <row r="318" spans="2:2" x14ac:dyDescent="0.25">
      <c r="B318" s="93" t="str">
        <f t="shared" si="4"/>
        <v/>
      </c>
    </row>
    <row r="319" spans="2:2" x14ac:dyDescent="0.25">
      <c r="B319" s="93" t="str">
        <f t="shared" si="4"/>
        <v/>
      </c>
    </row>
    <row r="320" spans="2:2" x14ac:dyDescent="0.25">
      <c r="B320" s="93" t="str">
        <f t="shared" si="4"/>
        <v/>
      </c>
    </row>
    <row r="321" spans="2:2" x14ac:dyDescent="0.25">
      <c r="B321" s="93" t="str">
        <f t="shared" si="4"/>
        <v/>
      </c>
    </row>
    <row r="322" spans="2:2" x14ac:dyDescent="0.25">
      <c r="B322" s="93" t="str">
        <f t="shared" si="4"/>
        <v/>
      </c>
    </row>
    <row r="323" spans="2:2" x14ac:dyDescent="0.25">
      <c r="B323" s="93" t="str">
        <f t="shared" si="4"/>
        <v/>
      </c>
    </row>
    <row r="324" spans="2:2" x14ac:dyDescent="0.25">
      <c r="B324" s="93" t="str">
        <f t="shared" si="4"/>
        <v/>
      </c>
    </row>
    <row r="325" spans="2:2" x14ac:dyDescent="0.25">
      <c r="B325" s="93" t="str">
        <f t="shared" si="4"/>
        <v/>
      </c>
    </row>
    <row r="326" spans="2:2" x14ac:dyDescent="0.25">
      <c r="B326" s="93" t="str">
        <f t="shared" si="4"/>
        <v/>
      </c>
    </row>
    <row r="327" spans="2:2" x14ac:dyDescent="0.25">
      <c r="B327" s="93" t="str">
        <f t="shared" si="4"/>
        <v/>
      </c>
    </row>
    <row r="328" spans="2:2" x14ac:dyDescent="0.25">
      <c r="B328" s="93" t="str">
        <f t="shared" si="4"/>
        <v/>
      </c>
    </row>
    <row r="329" spans="2:2" x14ac:dyDescent="0.25">
      <c r="B329" s="93" t="str">
        <f t="shared" si="4"/>
        <v/>
      </c>
    </row>
    <row r="330" spans="2:2" x14ac:dyDescent="0.25">
      <c r="B330" s="93" t="str">
        <f t="shared" si="4"/>
        <v/>
      </c>
    </row>
    <row r="331" spans="2:2" x14ac:dyDescent="0.25">
      <c r="B331" s="93" t="str">
        <f t="shared" si="4"/>
        <v/>
      </c>
    </row>
    <row r="332" spans="2:2" x14ac:dyDescent="0.25">
      <c r="B332" s="93" t="str">
        <f t="shared" si="4"/>
        <v/>
      </c>
    </row>
    <row r="333" spans="2:2" x14ac:dyDescent="0.25">
      <c r="B333" s="93" t="str">
        <f t="shared" si="4"/>
        <v/>
      </c>
    </row>
    <row r="334" spans="2:2" x14ac:dyDescent="0.25">
      <c r="B334" s="93" t="str">
        <f t="shared" si="4"/>
        <v/>
      </c>
    </row>
    <row r="335" spans="2:2" x14ac:dyDescent="0.25">
      <c r="B335" s="93" t="str">
        <f t="shared" si="4"/>
        <v/>
      </c>
    </row>
    <row r="336" spans="2:2" x14ac:dyDescent="0.25">
      <c r="B336" s="93" t="str">
        <f t="shared" si="4"/>
        <v/>
      </c>
    </row>
    <row r="337" spans="2:2" x14ac:dyDescent="0.25">
      <c r="B337" s="93" t="str">
        <f t="shared" si="4"/>
        <v/>
      </c>
    </row>
    <row r="338" spans="2:2" x14ac:dyDescent="0.25">
      <c r="B338" s="93" t="str">
        <f t="shared" si="4"/>
        <v/>
      </c>
    </row>
    <row r="339" spans="2:2" x14ac:dyDescent="0.25">
      <c r="B339" s="93" t="str">
        <f t="shared" si="4"/>
        <v/>
      </c>
    </row>
    <row r="340" spans="2:2" x14ac:dyDescent="0.25">
      <c r="B340" s="93" t="str">
        <f t="shared" ref="B340:B403" si="5">IF(A340=0,"","Hinge")</f>
        <v/>
      </c>
    </row>
    <row r="341" spans="2:2" x14ac:dyDescent="0.25">
      <c r="B341" s="93" t="str">
        <f t="shared" si="5"/>
        <v/>
      </c>
    </row>
    <row r="342" spans="2:2" x14ac:dyDescent="0.25">
      <c r="B342" s="93" t="str">
        <f t="shared" si="5"/>
        <v/>
      </c>
    </row>
    <row r="343" spans="2:2" x14ac:dyDescent="0.25">
      <c r="B343" s="93" t="str">
        <f t="shared" si="5"/>
        <v/>
      </c>
    </row>
    <row r="344" spans="2:2" x14ac:dyDescent="0.25">
      <c r="B344" s="93" t="str">
        <f t="shared" si="5"/>
        <v/>
      </c>
    </row>
    <row r="345" spans="2:2" x14ac:dyDescent="0.25">
      <c r="B345" s="93" t="str">
        <f t="shared" si="5"/>
        <v/>
      </c>
    </row>
    <row r="346" spans="2:2" x14ac:dyDescent="0.25">
      <c r="B346" s="93" t="str">
        <f t="shared" si="5"/>
        <v/>
      </c>
    </row>
    <row r="347" spans="2:2" x14ac:dyDescent="0.25">
      <c r="B347" s="93" t="str">
        <f t="shared" si="5"/>
        <v/>
      </c>
    </row>
    <row r="348" spans="2:2" x14ac:dyDescent="0.25">
      <c r="B348" s="93" t="str">
        <f t="shared" si="5"/>
        <v/>
      </c>
    </row>
    <row r="349" spans="2:2" x14ac:dyDescent="0.25">
      <c r="B349" s="93" t="str">
        <f t="shared" si="5"/>
        <v/>
      </c>
    </row>
    <row r="350" spans="2:2" x14ac:dyDescent="0.25">
      <c r="B350" s="93" t="str">
        <f t="shared" si="5"/>
        <v/>
      </c>
    </row>
    <row r="351" spans="2:2" x14ac:dyDescent="0.25">
      <c r="B351" s="93" t="str">
        <f t="shared" si="5"/>
        <v/>
      </c>
    </row>
    <row r="352" spans="2:2" x14ac:dyDescent="0.25">
      <c r="B352" s="93" t="str">
        <f t="shared" si="5"/>
        <v/>
      </c>
    </row>
    <row r="353" spans="2:2" x14ac:dyDescent="0.25">
      <c r="B353" s="93" t="str">
        <f t="shared" si="5"/>
        <v/>
      </c>
    </row>
    <row r="354" spans="2:2" x14ac:dyDescent="0.25">
      <c r="B354" s="93" t="str">
        <f t="shared" si="5"/>
        <v/>
      </c>
    </row>
    <row r="355" spans="2:2" x14ac:dyDescent="0.25">
      <c r="B355" s="93" t="str">
        <f t="shared" si="5"/>
        <v/>
      </c>
    </row>
    <row r="356" spans="2:2" x14ac:dyDescent="0.25">
      <c r="B356" s="93" t="str">
        <f t="shared" si="5"/>
        <v/>
      </c>
    </row>
    <row r="357" spans="2:2" x14ac:dyDescent="0.25">
      <c r="B357" s="93" t="str">
        <f t="shared" si="5"/>
        <v/>
      </c>
    </row>
    <row r="358" spans="2:2" x14ac:dyDescent="0.25">
      <c r="B358" s="93" t="str">
        <f t="shared" si="5"/>
        <v/>
      </c>
    </row>
    <row r="359" spans="2:2" x14ac:dyDescent="0.25">
      <c r="B359" s="93" t="str">
        <f t="shared" si="5"/>
        <v/>
      </c>
    </row>
    <row r="360" spans="2:2" x14ac:dyDescent="0.25">
      <c r="B360" s="93" t="str">
        <f t="shared" si="5"/>
        <v/>
      </c>
    </row>
    <row r="361" spans="2:2" x14ac:dyDescent="0.25">
      <c r="B361" s="93" t="str">
        <f t="shared" si="5"/>
        <v/>
      </c>
    </row>
    <row r="362" spans="2:2" x14ac:dyDescent="0.25">
      <c r="B362" s="93" t="str">
        <f t="shared" si="5"/>
        <v/>
      </c>
    </row>
    <row r="363" spans="2:2" x14ac:dyDescent="0.25">
      <c r="B363" s="93" t="str">
        <f t="shared" si="5"/>
        <v/>
      </c>
    </row>
    <row r="364" spans="2:2" x14ac:dyDescent="0.25">
      <c r="B364" s="93" t="str">
        <f t="shared" si="5"/>
        <v/>
      </c>
    </row>
    <row r="365" spans="2:2" x14ac:dyDescent="0.25">
      <c r="B365" s="93" t="str">
        <f t="shared" si="5"/>
        <v/>
      </c>
    </row>
    <row r="366" spans="2:2" x14ac:dyDescent="0.25">
      <c r="B366" s="93" t="str">
        <f t="shared" si="5"/>
        <v/>
      </c>
    </row>
    <row r="367" spans="2:2" x14ac:dyDescent="0.25">
      <c r="B367" s="93" t="str">
        <f t="shared" si="5"/>
        <v/>
      </c>
    </row>
    <row r="368" spans="2:2" x14ac:dyDescent="0.25">
      <c r="B368" s="93" t="str">
        <f t="shared" si="5"/>
        <v/>
      </c>
    </row>
    <row r="369" spans="2:2" x14ac:dyDescent="0.25">
      <c r="B369" s="93" t="str">
        <f t="shared" si="5"/>
        <v/>
      </c>
    </row>
    <row r="370" spans="2:2" x14ac:dyDescent="0.25">
      <c r="B370" s="93" t="str">
        <f t="shared" si="5"/>
        <v/>
      </c>
    </row>
    <row r="371" spans="2:2" x14ac:dyDescent="0.25">
      <c r="B371" s="93" t="str">
        <f t="shared" si="5"/>
        <v/>
      </c>
    </row>
    <row r="372" spans="2:2" x14ac:dyDescent="0.25">
      <c r="B372" s="93" t="str">
        <f t="shared" si="5"/>
        <v/>
      </c>
    </row>
    <row r="373" spans="2:2" x14ac:dyDescent="0.25">
      <c r="B373" s="93" t="str">
        <f t="shared" si="5"/>
        <v/>
      </c>
    </row>
    <row r="374" spans="2:2" x14ac:dyDescent="0.25">
      <c r="B374" s="93" t="str">
        <f t="shared" si="5"/>
        <v/>
      </c>
    </row>
    <row r="375" spans="2:2" x14ac:dyDescent="0.25">
      <c r="B375" s="93" t="str">
        <f t="shared" si="5"/>
        <v/>
      </c>
    </row>
    <row r="376" spans="2:2" x14ac:dyDescent="0.25">
      <c r="B376" s="93" t="str">
        <f t="shared" si="5"/>
        <v/>
      </c>
    </row>
    <row r="377" spans="2:2" x14ac:dyDescent="0.25">
      <c r="B377" s="93" t="str">
        <f t="shared" si="5"/>
        <v/>
      </c>
    </row>
    <row r="378" spans="2:2" x14ac:dyDescent="0.25">
      <c r="B378" s="93" t="str">
        <f t="shared" si="5"/>
        <v/>
      </c>
    </row>
    <row r="379" spans="2:2" x14ac:dyDescent="0.25">
      <c r="B379" s="93" t="str">
        <f t="shared" si="5"/>
        <v/>
      </c>
    </row>
    <row r="380" spans="2:2" x14ac:dyDescent="0.25">
      <c r="B380" s="93" t="str">
        <f t="shared" si="5"/>
        <v/>
      </c>
    </row>
    <row r="381" spans="2:2" x14ac:dyDescent="0.25">
      <c r="B381" s="93" t="str">
        <f t="shared" si="5"/>
        <v/>
      </c>
    </row>
    <row r="382" spans="2:2" x14ac:dyDescent="0.25">
      <c r="B382" s="93" t="str">
        <f t="shared" si="5"/>
        <v/>
      </c>
    </row>
    <row r="383" spans="2:2" x14ac:dyDescent="0.25">
      <c r="B383" s="93" t="str">
        <f t="shared" si="5"/>
        <v/>
      </c>
    </row>
    <row r="384" spans="2:2" x14ac:dyDescent="0.25">
      <c r="B384" s="93" t="str">
        <f t="shared" si="5"/>
        <v/>
      </c>
    </row>
    <row r="385" spans="2:2" x14ac:dyDescent="0.25">
      <c r="B385" s="93" t="str">
        <f t="shared" si="5"/>
        <v/>
      </c>
    </row>
    <row r="386" spans="2:2" x14ac:dyDescent="0.25">
      <c r="B386" s="93" t="str">
        <f t="shared" si="5"/>
        <v/>
      </c>
    </row>
    <row r="387" spans="2:2" x14ac:dyDescent="0.25">
      <c r="B387" s="93" t="str">
        <f t="shared" si="5"/>
        <v/>
      </c>
    </row>
    <row r="388" spans="2:2" x14ac:dyDescent="0.25">
      <c r="B388" s="93" t="str">
        <f t="shared" si="5"/>
        <v/>
      </c>
    </row>
    <row r="389" spans="2:2" x14ac:dyDescent="0.25">
      <c r="B389" s="93" t="str">
        <f t="shared" si="5"/>
        <v/>
      </c>
    </row>
    <row r="390" spans="2:2" x14ac:dyDescent="0.25">
      <c r="B390" s="93" t="str">
        <f t="shared" si="5"/>
        <v/>
      </c>
    </row>
    <row r="391" spans="2:2" x14ac:dyDescent="0.25">
      <c r="B391" s="93" t="str">
        <f t="shared" si="5"/>
        <v/>
      </c>
    </row>
    <row r="392" spans="2:2" x14ac:dyDescent="0.25">
      <c r="B392" s="93" t="str">
        <f t="shared" si="5"/>
        <v/>
      </c>
    </row>
    <row r="393" spans="2:2" x14ac:dyDescent="0.25">
      <c r="B393" s="93" t="str">
        <f t="shared" si="5"/>
        <v/>
      </c>
    </row>
    <row r="394" spans="2:2" x14ac:dyDescent="0.25">
      <c r="B394" s="93" t="str">
        <f t="shared" si="5"/>
        <v/>
      </c>
    </row>
    <row r="395" spans="2:2" x14ac:dyDescent="0.25">
      <c r="B395" s="93" t="str">
        <f t="shared" si="5"/>
        <v/>
      </c>
    </row>
    <row r="396" spans="2:2" x14ac:dyDescent="0.25">
      <c r="B396" s="93" t="str">
        <f t="shared" si="5"/>
        <v/>
      </c>
    </row>
    <row r="397" spans="2:2" x14ac:dyDescent="0.25">
      <c r="B397" s="93" t="str">
        <f t="shared" si="5"/>
        <v/>
      </c>
    </row>
    <row r="398" spans="2:2" x14ac:dyDescent="0.25">
      <c r="B398" s="93" t="str">
        <f t="shared" si="5"/>
        <v/>
      </c>
    </row>
    <row r="399" spans="2:2" x14ac:dyDescent="0.25">
      <c r="B399" s="93" t="str">
        <f t="shared" si="5"/>
        <v/>
      </c>
    </row>
    <row r="400" spans="2:2" x14ac:dyDescent="0.25">
      <c r="B400" s="93" t="str">
        <f t="shared" si="5"/>
        <v/>
      </c>
    </row>
    <row r="401" spans="2:2" x14ac:dyDescent="0.25">
      <c r="B401" s="93" t="str">
        <f t="shared" si="5"/>
        <v/>
      </c>
    </row>
    <row r="402" spans="2:2" x14ac:dyDescent="0.25">
      <c r="B402" s="93" t="str">
        <f t="shared" si="5"/>
        <v/>
      </c>
    </row>
    <row r="403" spans="2:2" x14ac:dyDescent="0.25">
      <c r="B403" s="93" t="str">
        <f t="shared" si="5"/>
        <v/>
      </c>
    </row>
    <row r="404" spans="2:2" x14ac:dyDescent="0.25">
      <c r="B404" s="93" t="str">
        <f t="shared" ref="B404:B467" si="6">IF(A404=0,"","Hinge")</f>
        <v/>
      </c>
    </row>
    <row r="405" spans="2:2" x14ac:dyDescent="0.25">
      <c r="B405" s="93" t="str">
        <f t="shared" si="6"/>
        <v/>
      </c>
    </row>
    <row r="406" spans="2:2" x14ac:dyDescent="0.25">
      <c r="B406" s="93" t="str">
        <f t="shared" si="6"/>
        <v/>
      </c>
    </row>
    <row r="407" spans="2:2" x14ac:dyDescent="0.25">
      <c r="B407" s="93" t="str">
        <f t="shared" si="6"/>
        <v/>
      </c>
    </row>
    <row r="408" spans="2:2" x14ac:dyDescent="0.25">
      <c r="B408" s="93" t="str">
        <f t="shared" si="6"/>
        <v/>
      </c>
    </row>
    <row r="409" spans="2:2" x14ac:dyDescent="0.25">
      <c r="B409" s="93" t="str">
        <f t="shared" si="6"/>
        <v/>
      </c>
    </row>
    <row r="410" spans="2:2" x14ac:dyDescent="0.25">
      <c r="B410" s="93" t="str">
        <f t="shared" si="6"/>
        <v/>
      </c>
    </row>
    <row r="411" spans="2:2" x14ac:dyDescent="0.25">
      <c r="B411" s="93" t="str">
        <f t="shared" si="6"/>
        <v/>
      </c>
    </row>
    <row r="412" spans="2:2" x14ac:dyDescent="0.25">
      <c r="B412" s="93" t="str">
        <f t="shared" si="6"/>
        <v/>
      </c>
    </row>
    <row r="413" spans="2:2" x14ac:dyDescent="0.25">
      <c r="B413" s="93" t="str">
        <f t="shared" si="6"/>
        <v/>
      </c>
    </row>
    <row r="414" spans="2:2" x14ac:dyDescent="0.25">
      <c r="B414" s="93" t="str">
        <f t="shared" si="6"/>
        <v/>
      </c>
    </row>
    <row r="415" spans="2:2" x14ac:dyDescent="0.25">
      <c r="B415" s="93" t="str">
        <f t="shared" si="6"/>
        <v/>
      </c>
    </row>
    <row r="416" spans="2:2" x14ac:dyDescent="0.25">
      <c r="B416" s="93" t="str">
        <f t="shared" si="6"/>
        <v/>
      </c>
    </row>
    <row r="417" spans="2:2" x14ac:dyDescent="0.25">
      <c r="B417" s="93" t="str">
        <f t="shared" si="6"/>
        <v/>
      </c>
    </row>
    <row r="418" spans="2:2" x14ac:dyDescent="0.25">
      <c r="B418" s="93" t="str">
        <f t="shared" si="6"/>
        <v/>
      </c>
    </row>
    <row r="419" spans="2:2" x14ac:dyDescent="0.25">
      <c r="B419" s="93" t="str">
        <f t="shared" si="6"/>
        <v/>
      </c>
    </row>
    <row r="420" spans="2:2" x14ac:dyDescent="0.25">
      <c r="B420" s="93" t="str">
        <f t="shared" si="6"/>
        <v/>
      </c>
    </row>
    <row r="421" spans="2:2" x14ac:dyDescent="0.25">
      <c r="B421" s="93" t="str">
        <f t="shared" si="6"/>
        <v/>
      </c>
    </row>
    <row r="422" spans="2:2" x14ac:dyDescent="0.25">
      <c r="B422" s="93" t="str">
        <f t="shared" si="6"/>
        <v/>
      </c>
    </row>
    <row r="423" spans="2:2" x14ac:dyDescent="0.25">
      <c r="B423" s="93" t="str">
        <f t="shared" si="6"/>
        <v/>
      </c>
    </row>
    <row r="424" spans="2:2" x14ac:dyDescent="0.25">
      <c r="B424" s="93" t="str">
        <f t="shared" si="6"/>
        <v/>
      </c>
    </row>
    <row r="425" spans="2:2" x14ac:dyDescent="0.25">
      <c r="B425" s="93" t="str">
        <f t="shared" si="6"/>
        <v/>
      </c>
    </row>
    <row r="426" spans="2:2" x14ac:dyDescent="0.25">
      <c r="B426" s="93" t="str">
        <f t="shared" si="6"/>
        <v/>
      </c>
    </row>
    <row r="427" spans="2:2" x14ac:dyDescent="0.25">
      <c r="B427" s="93" t="str">
        <f t="shared" si="6"/>
        <v/>
      </c>
    </row>
    <row r="428" spans="2:2" x14ac:dyDescent="0.25">
      <c r="B428" s="93" t="str">
        <f t="shared" si="6"/>
        <v/>
      </c>
    </row>
    <row r="429" spans="2:2" x14ac:dyDescent="0.25">
      <c r="B429" s="93" t="str">
        <f t="shared" si="6"/>
        <v/>
      </c>
    </row>
    <row r="430" spans="2:2" x14ac:dyDescent="0.25">
      <c r="B430" s="93" t="str">
        <f t="shared" si="6"/>
        <v/>
      </c>
    </row>
    <row r="431" spans="2:2" x14ac:dyDescent="0.25">
      <c r="B431" s="93" t="str">
        <f t="shared" si="6"/>
        <v/>
      </c>
    </row>
    <row r="432" spans="2:2" x14ac:dyDescent="0.25">
      <c r="B432" s="93" t="str">
        <f t="shared" si="6"/>
        <v/>
      </c>
    </row>
    <row r="433" spans="2:2" x14ac:dyDescent="0.25">
      <c r="B433" s="93" t="str">
        <f t="shared" si="6"/>
        <v/>
      </c>
    </row>
    <row r="434" spans="2:2" x14ac:dyDescent="0.25">
      <c r="B434" s="93" t="str">
        <f t="shared" si="6"/>
        <v/>
      </c>
    </row>
    <row r="435" spans="2:2" x14ac:dyDescent="0.25">
      <c r="B435" s="93" t="str">
        <f t="shared" si="6"/>
        <v/>
      </c>
    </row>
    <row r="436" spans="2:2" x14ac:dyDescent="0.25">
      <c r="B436" s="93" t="str">
        <f t="shared" si="6"/>
        <v/>
      </c>
    </row>
    <row r="437" spans="2:2" x14ac:dyDescent="0.25">
      <c r="B437" s="93" t="str">
        <f t="shared" si="6"/>
        <v/>
      </c>
    </row>
    <row r="438" spans="2:2" x14ac:dyDescent="0.25">
      <c r="B438" s="93" t="str">
        <f t="shared" si="6"/>
        <v/>
      </c>
    </row>
    <row r="439" spans="2:2" x14ac:dyDescent="0.25">
      <c r="B439" s="93" t="str">
        <f t="shared" si="6"/>
        <v/>
      </c>
    </row>
    <row r="440" spans="2:2" x14ac:dyDescent="0.25">
      <c r="B440" s="93" t="str">
        <f t="shared" si="6"/>
        <v/>
      </c>
    </row>
    <row r="441" spans="2:2" x14ac:dyDescent="0.25">
      <c r="B441" s="93" t="str">
        <f t="shared" si="6"/>
        <v/>
      </c>
    </row>
    <row r="442" spans="2:2" x14ac:dyDescent="0.25">
      <c r="B442" s="93" t="str">
        <f t="shared" si="6"/>
        <v/>
      </c>
    </row>
    <row r="443" spans="2:2" x14ac:dyDescent="0.25">
      <c r="B443" s="93" t="str">
        <f t="shared" si="6"/>
        <v/>
      </c>
    </row>
    <row r="444" spans="2:2" x14ac:dyDescent="0.25">
      <c r="B444" s="93" t="str">
        <f t="shared" si="6"/>
        <v/>
      </c>
    </row>
    <row r="445" spans="2:2" x14ac:dyDescent="0.25">
      <c r="B445" s="93" t="str">
        <f t="shared" si="6"/>
        <v/>
      </c>
    </row>
    <row r="446" spans="2:2" x14ac:dyDescent="0.25">
      <c r="B446" s="93" t="str">
        <f t="shared" si="6"/>
        <v/>
      </c>
    </row>
    <row r="447" spans="2:2" x14ac:dyDescent="0.25">
      <c r="B447" s="93" t="str">
        <f t="shared" si="6"/>
        <v/>
      </c>
    </row>
    <row r="448" spans="2:2" x14ac:dyDescent="0.25">
      <c r="B448" s="93" t="str">
        <f t="shared" si="6"/>
        <v/>
      </c>
    </row>
    <row r="449" spans="2:2" x14ac:dyDescent="0.25">
      <c r="B449" s="93" t="str">
        <f t="shared" si="6"/>
        <v/>
      </c>
    </row>
    <row r="450" spans="2:2" x14ac:dyDescent="0.25">
      <c r="B450" s="93" t="str">
        <f t="shared" si="6"/>
        <v/>
      </c>
    </row>
    <row r="451" spans="2:2" x14ac:dyDescent="0.25">
      <c r="B451" s="93" t="str">
        <f t="shared" si="6"/>
        <v/>
      </c>
    </row>
    <row r="452" spans="2:2" x14ac:dyDescent="0.25">
      <c r="B452" s="93" t="str">
        <f t="shared" si="6"/>
        <v/>
      </c>
    </row>
    <row r="453" spans="2:2" x14ac:dyDescent="0.25">
      <c r="B453" s="93" t="str">
        <f t="shared" si="6"/>
        <v/>
      </c>
    </row>
    <row r="454" spans="2:2" x14ac:dyDescent="0.25">
      <c r="B454" s="93" t="str">
        <f t="shared" si="6"/>
        <v/>
      </c>
    </row>
    <row r="455" spans="2:2" x14ac:dyDescent="0.25">
      <c r="B455" s="93" t="str">
        <f t="shared" si="6"/>
        <v/>
      </c>
    </row>
    <row r="456" spans="2:2" x14ac:dyDescent="0.25">
      <c r="B456" s="93" t="str">
        <f t="shared" si="6"/>
        <v/>
      </c>
    </row>
    <row r="457" spans="2:2" x14ac:dyDescent="0.25">
      <c r="B457" s="93" t="str">
        <f t="shared" si="6"/>
        <v/>
      </c>
    </row>
    <row r="458" spans="2:2" x14ac:dyDescent="0.25">
      <c r="B458" s="93" t="str">
        <f t="shared" si="6"/>
        <v/>
      </c>
    </row>
    <row r="459" spans="2:2" x14ac:dyDescent="0.25">
      <c r="B459" s="93" t="str">
        <f t="shared" si="6"/>
        <v/>
      </c>
    </row>
    <row r="460" spans="2:2" x14ac:dyDescent="0.25">
      <c r="B460" s="93" t="str">
        <f t="shared" si="6"/>
        <v/>
      </c>
    </row>
    <row r="461" spans="2:2" x14ac:dyDescent="0.25">
      <c r="B461" s="93" t="str">
        <f t="shared" si="6"/>
        <v/>
      </c>
    </row>
    <row r="462" spans="2:2" x14ac:dyDescent="0.25">
      <c r="B462" s="93" t="str">
        <f t="shared" si="6"/>
        <v/>
      </c>
    </row>
    <row r="463" spans="2:2" x14ac:dyDescent="0.25">
      <c r="B463" s="93" t="str">
        <f t="shared" si="6"/>
        <v/>
      </c>
    </row>
    <row r="464" spans="2:2" x14ac:dyDescent="0.25">
      <c r="B464" s="93" t="str">
        <f t="shared" si="6"/>
        <v/>
      </c>
    </row>
    <row r="465" spans="2:2" x14ac:dyDescent="0.25">
      <c r="B465" s="93" t="str">
        <f t="shared" si="6"/>
        <v/>
      </c>
    </row>
    <row r="466" spans="2:2" x14ac:dyDescent="0.25">
      <c r="B466" s="93" t="str">
        <f t="shared" si="6"/>
        <v/>
      </c>
    </row>
    <row r="467" spans="2:2" x14ac:dyDescent="0.25">
      <c r="B467" s="93" t="str">
        <f t="shared" si="6"/>
        <v/>
      </c>
    </row>
    <row r="468" spans="2:2" x14ac:dyDescent="0.25">
      <c r="B468" s="93" t="str">
        <f t="shared" ref="B468:B531" si="7">IF(A468=0,"","Hinge")</f>
        <v/>
      </c>
    </row>
    <row r="469" spans="2:2" x14ac:dyDescent="0.25">
      <c r="B469" s="93" t="str">
        <f t="shared" si="7"/>
        <v/>
      </c>
    </row>
    <row r="470" spans="2:2" x14ac:dyDescent="0.25">
      <c r="B470" s="93" t="str">
        <f t="shared" si="7"/>
        <v/>
      </c>
    </row>
    <row r="471" spans="2:2" x14ac:dyDescent="0.25">
      <c r="B471" s="93" t="str">
        <f t="shared" si="7"/>
        <v/>
      </c>
    </row>
    <row r="472" spans="2:2" x14ac:dyDescent="0.25">
      <c r="B472" s="93" t="str">
        <f t="shared" si="7"/>
        <v/>
      </c>
    </row>
    <row r="473" spans="2:2" x14ac:dyDescent="0.25">
      <c r="B473" s="93" t="str">
        <f t="shared" si="7"/>
        <v/>
      </c>
    </row>
    <row r="474" spans="2:2" x14ac:dyDescent="0.25">
      <c r="B474" s="93" t="str">
        <f t="shared" si="7"/>
        <v/>
      </c>
    </row>
    <row r="475" spans="2:2" x14ac:dyDescent="0.25">
      <c r="B475" s="93" t="str">
        <f t="shared" si="7"/>
        <v/>
      </c>
    </row>
    <row r="476" spans="2:2" x14ac:dyDescent="0.25">
      <c r="B476" s="93" t="str">
        <f t="shared" si="7"/>
        <v/>
      </c>
    </row>
    <row r="477" spans="2:2" x14ac:dyDescent="0.25">
      <c r="B477" s="93" t="str">
        <f t="shared" si="7"/>
        <v/>
      </c>
    </row>
    <row r="478" spans="2:2" x14ac:dyDescent="0.25">
      <c r="B478" s="93" t="str">
        <f t="shared" si="7"/>
        <v/>
      </c>
    </row>
    <row r="479" spans="2:2" x14ac:dyDescent="0.25">
      <c r="B479" s="93" t="str">
        <f t="shared" si="7"/>
        <v/>
      </c>
    </row>
    <row r="480" spans="2:2" x14ac:dyDescent="0.25">
      <c r="B480" s="93" t="str">
        <f t="shared" si="7"/>
        <v/>
      </c>
    </row>
    <row r="481" spans="2:2" x14ac:dyDescent="0.25">
      <c r="B481" s="93" t="str">
        <f t="shared" si="7"/>
        <v/>
      </c>
    </row>
    <row r="482" spans="2:2" x14ac:dyDescent="0.25">
      <c r="B482" s="93" t="str">
        <f t="shared" si="7"/>
        <v/>
      </c>
    </row>
    <row r="483" spans="2:2" x14ac:dyDescent="0.25">
      <c r="B483" s="93" t="str">
        <f t="shared" si="7"/>
        <v/>
      </c>
    </row>
    <row r="484" spans="2:2" x14ac:dyDescent="0.25">
      <c r="B484" s="93" t="str">
        <f t="shared" si="7"/>
        <v/>
      </c>
    </row>
    <row r="485" spans="2:2" x14ac:dyDescent="0.25">
      <c r="B485" s="93" t="str">
        <f t="shared" si="7"/>
        <v/>
      </c>
    </row>
    <row r="486" spans="2:2" x14ac:dyDescent="0.25">
      <c r="B486" s="93" t="str">
        <f t="shared" si="7"/>
        <v/>
      </c>
    </row>
    <row r="487" spans="2:2" x14ac:dyDescent="0.25">
      <c r="B487" s="93" t="str">
        <f t="shared" si="7"/>
        <v/>
      </c>
    </row>
    <row r="488" spans="2:2" x14ac:dyDescent="0.25">
      <c r="B488" s="93" t="str">
        <f t="shared" si="7"/>
        <v/>
      </c>
    </row>
    <row r="489" spans="2:2" x14ac:dyDescent="0.25">
      <c r="B489" s="93" t="str">
        <f t="shared" si="7"/>
        <v/>
      </c>
    </row>
    <row r="490" spans="2:2" x14ac:dyDescent="0.25">
      <c r="B490" s="93" t="str">
        <f t="shared" si="7"/>
        <v/>
      </c>
    </row>
    <row r="491" spans="2:2" x14ac:dyDescent="0.25">
      <c r="B491" s="93" t="str">
        <f t="shared" si="7"/>
        <v/>
      </c>
    </row>
    <row r="492" spans="2:2" x14ac:dyDescent="0.25">
      <c r="B492" s="93" t="str">
        <f t="shared" si="7"/>
        <v/>
      </c>
    </row>
    <row r="493" spans="2:2" x14ac:dyDescent="0.25">
      <c r="B493" s="93" t="str">
        <f t="shared" si="7"/>
        <v/>
      </c>
    </row>
    <row r="494" spans="2:2" x14ac:dyDescent="0.25">
      <c r="B494" s="93" t="str">
        <f t="shared" si="7"/>
        <v/>
      </c>
    </row>
    <row r="495" spans="2:2" x14ac:dyDescent="0.25">
      <c r="B495" s="93" t="str">
        <f t="shared" si="7"/>
        <v/>
      </c>
    </row>
    <row r="496" spans="2:2" x14ac:dyDescent="0.25">
      <c r="B496" s="93" t="str">
        <f t="shared" si="7"/>
        <v/>
      </c>
    </row>
    <row r="497" spans="2:2" x14ac:dyDescent="0.25">
      <c r="B497" s="93" t="str">
        <f t="shared" si="7"/>
        <v/>
      </c>
    </row>
    <row r="498" spans="2:2" x14ac:dyDescent="0.25">
      <c r="B498" s="93" t="str">
        <f t="shared" si="7"/>
        <v/>
      </c>
    </row>
    <row r="499" spans="2:2" x14ac:dyDescent="0.25">
      <c r="B499" s="93" t="str">
        <f t="shared" si="7"/>
        <v/>
      </c>
    </row>
    <row r="500" spans="2:2" x14ac:dyDescent="0.25">
      <c r="B500" s="93" t="str">
        <f t="shared" si="7"/>
        <v/>
      </c>
    </row>
    <row r="501" spans="2:2" x14ac:dyDescent="0.25">
      <c r="B501" s="93" t="str">
        <f t="shared" si="7"/>
        <v/>
      </c>
    </row>
    <row r="502" spans="2:2" x14ac:dyDescent="0.25">
      <c r="B502" s="93" t="str">
        <f t="shared" si="7"/>
        <v/>
      </c>
    </row>
    <row r="503" spans="2:2" x14ac:dyDescent="0.25">
      <c r="B503" s="93" t="str">
        <f t="shared" si="7"/>
        <v/>
      </c>
    </row>
    <row r="504" spans="2:2" x14ac:dyDescent="0.25">
      <c r="B504" s="93" t="str">
        <f t="shared" si="7"/>
        <v/>
      </c>
    </row>
    <row r="505" spans="2:2" x14ac:dyDescent="0.25">
      <c r="B505" s="93" t="str">
        <f t="shared" si="7"/>
        <v/>
      </c>
    </row>
    <row r="506" spans="2:2" x14ac:dyDescent="0.25">
      <c r="B506" s="93" t="str">
        <f t="shared" si="7"/>
        <v/>
      </c>
    </row>
    <row r="507" spans="2:2" x14ac:dyDescent="0.25">
      <c r="B507" s="93" t="str">
        <f t="shared" si="7"/>
        <v/>
      </c>
    </row>
    <row r="508" spans="2:2" x14ac:dyDescent="0.25">
      <c r="B508" s="93" t="str">
        <f t="shared" si="7"/>
        <v/>
      </c>
    </row>
    <row r="509" spans="2:2" x14ac:dyDescent="0.25">
      <c r="B509" s="93" t="str">
        <f t="shared" si="7"/>
        <v/>
      </c>
    </row>
    <row r="510" spans="2:2" x14ac:dyDescent="0.25">
      <c r="B510" s="93" t="str">
        <f t="shared" si="7"/>
        <v/>
      </c>
    </row>
    <row r="511" spans="2:2" x14ac:dyDescent="0.25">
      <c r="B511" s="93" t="str">
        <f t="shared" si="7"/>
        <v/>
      </c>
    </row>
    <row r="512" spans="2:2" x14ac:dyDescent="0.25">
      <c r="B512" s="93" t="str">
        <f t="shared" si="7"/>
        <v/>
      </c>
    </row>
    <row r="513" spans="2:2" x14ac:dyDescent="0.25">
      <c r="B513" s="93" t="str">
        <f t="shared" si="7"/>
        <v/>
      </c>
    </row>
    <row r="514" spans="2:2" x14ac:dyDescent="0.25">
      <c r="B514" s="93" t="str">
        <f t="shared" si="7"/>
        <v/>
      </c>
    </row>
    <row r="515" spans="2:2" x14ac:dyDescent="0.25">
      <c r="B515" s="93" t="str">
        <f t="shared" si="7"/>
        <v/>
      </c>
    </row>
    <row r="516" spans="2:2" x14ac:dyDescent="0.25">
      <c r="B516" s="93" t="str">
        <f t="shared" si="7"/>
        <v/>
      </c>
    </row>
    <row r="517" spans="2:2" x14ac:dyDescent="0.25">
      <c r="B517" s="93" t="str">
        <f t="shared" si="7"/>
        <v/>
      </c>
    </row>
    <row r="518" spans="2:2" x14ac:dyDescent="0.25">
      <c r="B518" s="93" t="str">
        <f t="shared" si="7"/>
        <v/>
      </c>
    </row>
    <row r="519" spans="2:2" x14ac:dyDescent="0.25">
      <c r="B519" s="93" t="str">
        <f t="shared" si="7"/>
        <v/>
      </c>
    </row>
    <row r="520" spans="2:2" x14ac:dyDescent="0.25">
      <c r="B520" s="93" t="str">
        <f t="shared" si="7"/>
        <v/>
      </c>
    </row>
    <row r="521" spans="2:2" x14ac:dyDescent="0.25">
      <c r="B521" s="93" t="str">
        <f t="shared" si="7"/>
        <v/>
      </c>
    </row>
    <row r="522" spans="2:2" x14ac:dyDescent="0.25">
      <c r="B522" s="93" t="str">
        <f t="shared" si="7"/>
        <v/>
      </c>
    </row>
    <row r="523" spans="2:2" x14ac:dyDescent="0.25">
      <c r="B523" s="93" t="str">
        <f t="shared" si="7"/>
        <v/>
      </c>
    </row>
    <row r="524" spans="2:2" x14ac:dyDescent="0.25">
      <c r="B524" s="93" t="str">
        <f t="shared" si="7"/>
        <v/>
      </c>
    </row>
    <row r="525" spans="2:2" x14ac:dyDescent="0.25">
      <c r="B525" s="93" t="str">
        <f t="shared" si="7"/>
        <v/>
      </c>
    </row>
    <row r="526" spans="2:2" x14ac:dyDescent="0.25">
      <c r="B526" s="93" t="str">
        <f t="shared" si="7"/>
        <v/>
      </c>
    </row>
    <row r="527" spans="2:2" x14ac:dyDescent="0.25">
      <c r="B527" s="93" t="str">
        <f t="shared" si="7"/>
        <v/>
      </c>
    </row>
    <row r="528" spans="2:2" x14ac:dyDescent="0.25">
      <c r="B528" s="93" t="str">
        <f t="shared" si="7"/>
        <v/>
      </c>
    </row>
    <row r="529" spans="2:2" x14ac:dyDescent="0.25">
      <c r="B529" s="93" t="str">
        <f t="shared" si="7"/>
        <v/>
      </c>
    </row>
    <row r="530" spans="2:2" x14ac:dyDescent="0.25">
      <c r="B530" s="93" t="str">
        <f t="shared" si="7"/>
        <v/>
      </c>
    </row>
    <row r="531" spans="2:2" x14ac:dyDescent="0.25">
      <c r="B531" s="93" t="str">
        <f t="shared" si="7"/>
        <v/>
      </c>
    </row>
    <row r="532" spans="2:2" x14ac:dyDescent="0.25">
      <c r="B532" s="93" t="str">
        <f t="shared" ref="B532:B595" si="8">IF(A532=0,"","Hinge")</f>
        <v/>
      </c>
    </row>
    <row r="533" spans="2:2" x14ac:dyDescent="0.25">
      <c r="B533" s="93" t="str">
        <f t="shared" si="8"/>
        <v/>
      </c>
    </row>
    <row r="534" spans="2:2" x14ac:dyDescent="0.25">
      <c r="B534" s="93" t="str">
        <f t="shared" si="8"/>
        <v/>
      </c>
    </row>
    <row r="535" spans="2:2" x14ac:dyDescent="0.25">
      <c r="B535" s="93" t="str">
        <f t="shared" si="8"/>
        <v/>
      </c>
    </row>
    <row r="536" spans="2:2" x14ac:dyDescent="0.25">
      <c r="B536" s="93" t="str">
        <f t="shared" si="8"/>
        <v/>
      </c>
    </row>
    <row r="537" spans="2:2" x14ac:dyDescent="0.25">
      <c r="B537" s="93" t="str">
        <f t="shared" si="8"/>
        <v/>
      </c>
    </row>
    <row r="538" spans="2:2" x14ac:dyDescent="0.25">
      <c r="B538" s="93" t="str">
        <f t="shared" si="8"/>
        <v/>
      </c>
    </row>
    <row r="539" spans="2:2" x14ac:dyDescent="0.25">
      <c r="B539" s="93" t="str">
        <f t="shared" si="8"/>
        <v/>
      </c>
    </row>
    <row r="540" spans="2:2" x14ac:dyDescent="0.25">
      <c r="B540" s="93" t="str">
        <f t="shared" si="8"/>
        <v/>
      </c>
    </row>
    <row r="541" spans="2:2" x14ac:dyDescent="0.25">
      <c r="B541" s="93" t="str">
        <f t="shared" si="8"/>
        <v/>
      </c>
    </row>
    <row r="542" spans="2:2" x14ac:dyDescent="0.25">
      <c r="B542" s="93" t="str">
        <f t="shared" si="8"/>
        <v/>
      </c>
    </row>
    <row r="543" spans="2:2" x14ac:dyDescent="0.25">
      <c r="B543" s="93" t="str">
        <f t="shared" si="8"/>
        <v/>
      </c>
    </row>
    <row r="544" spans="2:2" x14ac:dyDescent="0.25">
      <c r="B544" s="93" t="str">
        <f t="shared" si="8"/>
        <v/>
      </c>
    </row>
    <row r="545" spans="2:2" x14ac:dyDescent="0.25">
      <c r="B545" s="93" t="str">
        <f t="shared" si="8"/>
        <v/>
      </c>
    </row>
    <row r="546" spans="2:2" x14ac:dyDescent="0.25">
      <c r="B546" s="93" t="str">
        <f t="shared" si="8"/>
        <v/>
      </c>
    </row>
    <row r="547" spans="2:2" x14ac:dyDescent="0.25">
      <c r="B547" s="93" t="str">
        <f t="shared" si="8"/>
        <v/>
      </c>
    </row>
    <row r="548" spans="2:2" x14ac:dyDescent="0.25">
      <c r="B548" s="93" t="str">
        <f t="shared" si="8"/>
        <v/>
      </c>
    </row>
    <row r="549" spans="2:2" x14ac:dyDescent="0.25">
      <c r="B549" s="93" t="str">
        <f t="shared" si="8"/>
        <v/>
      </c>
    </row>
    <row r="550" spans="2:2" x14ac:dyDescent="0.25">
      <c r="B550" s="93" t="str">
        <f t="shared" si="8"/>
        <v/>
      </c>
    </row>
    <row r="551" spans="2:2" x14ac:dyDescent="0.25">
      <c r="B551" s="93" t="str">
        <f t="shared" si="8"/>
        <v/>
      </c>
    </row>
    <row r="552" spans="2:2" x14ac:dyDescent="0.25">
      <c r="B552" s="93" t="str">
        <f t="shared" si="8"/>
        <v/>
      </c>
    </row>
    <row r="553" spans="2:2" x14ac:dyDescent="0.25">
      <c r="B553" s="93" t="str">
        <f t="shared" si="8"/>
        <v/>
      </c>
    </row>
    <row r="554" spans="2:2" x14ac:dyDescent="0.25">
      <c r="B554" s="93" t="str">
        <f t="shared" si="8"/>
        <v/>
      </c>
    </row>
    <row r="555" spans="2:2" x14ac:dyDescent="0.25">
      <c r="B555" s="93" t="str">
        <f t="shared" si="8"/>
        <v/>
      </c>
    </row>
    <row r="556" spans="2:2" x14ac:dyDescent="0.25">
      <c r="B556" s="93" t="str">
        <f t="shared" si="8"/>
        <v/>
      </c>
    </row>
    <row r="557" spans="2:2" x14ac:dyDescent="0.25">
      <c r="B557" s="93" t="str">
        <f t="shared" si="8"/>
        <v/>
      </c>
    </row>
    <row r="558" spans="2:2" x14ac:dyDescent="0.25">
      <c r="B558" s="93" t="str">
        <f t="shared" si="8"/>
        <v/>
      </c>
    </row>
    <row r="559" spans="2:2" x14ac:dyDescent="0.25">
      <c r="B559" s="93" t="str">
        <f t="shared" si="8"/>
        <v/>
      </c>
    </row>
    <row r="560" spans="2:2" x14ac:dyDescent="0.25">
      <c r="B560" s="93" t="str">
        <f t="shared" si="8"/>
        <v/>
      </c>
    </row>
    <row r="561" spans="2:2" x14ac:dyDescent="0.25">
      <c r="B561" s="93" t="str">
        <f t="shared" si="8"/>
        <v/>
      </c>
    </row>
    <row r="562" spans="2:2" x14ac:dyDescent="0.25">
      <c r="B562" s="93" t="str">
        <f t="shared" si="8"/>
        <v/>
      </c>
    </row>
    <row r="563" spans="2:2" x14ac:dyDescent="0.25">
      <c r="B563" s="93" t="str">
        <f t="shared" si="8"/>
        <v/>
      </c>
    </row>
    <row r="564" spans="2:2" x14ac:dyDescent="0.25">
      <c r="B564" s="93" t="str">
        <f t="shared" si="8"/>
        <v/>
      </c>
    </row>
    <row r="565" spans="2:2" x14ac:dyDescent="0.25">
      <c r="B565" s="93" t="str">
        <f t="shared" si="8"/>
        <v/>
      </c>
    </row>
    <row r="566" spans="2:2" x14ac:dyDescent="0.25">
      <c r="B566" s="93" t="str">
        <f t="shared" si="8"/>
        <v/>
      </c>
    </row>
    <row r="567" spans="2:2" x14ac:dyDescent="0.25">
      <c r="B567" s="93" t="str">
        <f t="shared" si="8"/>
        <v/>
      </c>
    </row>
    <row r="568" spans="2:2" x14ac:dyDescent="0.25">
      <c r="B568" s="93" t="str">
        <f t="shared" si="8"/>
        <v/>
      </c>
    </row>
    <row r="569" spans="2:2" x14ac:dyDescent="0.25">
      <c r="B569" s="93" t="str">
        <f t="shared" si="8"/>
        <v/>
      </c>
    </row>
    <row r="570" spans="2:2" x14ac:dyDescent="0.25">
      <c r="B570" s="93" t="str">
        <f t="shared" si="8"/>
        <v/>
      </c>
    </row>
    <row r="571" spans="2:2" x14ac:dyDescent="0.25">
      <c r="B571" s="93" t="str">
        <f t="shared" si="8"/>
        <v/>
      </c>
    </row>
    <row r="572" spans="2:2" x14ac:dyDescent="0.25">
      <c r="B572" s="93" t="str">
        <f t="shared" si="8"/>
        <v/>
      </c>
    </row>
    <row r="573" spans="2:2" x14ac:dyDescent="0.25">
      <c r="B573" s="93" t="str">
        <f t="shared" si="8"/>
        <v/>
      </c>
    </row>
    <row r="574" spans="2:2" x14ac:dyDescent="0.25">
      <c r="B574" s="93" t="str">
        <f t="shared" si="8"/>
        <v/>
      </c>
    </row>
    <row r="575" spans="2:2" x14ac:dyDescent="0.25">
      <c r="B575" s="93" t="str">
        <f t="shared" si="8"/>
        <v/>
      </c>
    </row>
    <row r="576" spans="2:2" x14ac:dyDescent="0.25">
      <c r="B576" s="93" t="str">
        <f t="shared" si="8"/>
        <v/>
      </c>
    </row>
    <row r="577" spans="2:2" x14ac:dyDescent="0.25">
      <c r="B577" s="93" t="str">
        <f t="shared" si="8"/>
        <v/>
      </c>
    </row>
    <row r="578" spans="2:2" x14ac:dyDescent="0.25">
      <c r="B578" s="93" t="str">
        <f t="shared" si="8"/>
        <v/>
      </c>
    </row>
    <row r="579" spans="2:2" x14ac:dyDescent="0.25">
      <c r="B579" s="93" t="str">
        <f t="shared" si="8"/>
        <v/>
      </c>
    </row>
    <row r="580" spans="2:2" x14ac:dyDescent="0.25">
      <c r="B580" s="93" t="str">
        <f t="shared" si="8"/>
        <v/>
      </c>
    </row>
    <row r="581" spans="2:2" x14ac:dyDescent="0.25">
      <c r="B581" s="93" t="str">
        <f t="shared" si="8"/>
        <v/>
      </c>
    </row>
    <row r="582" spans="2:2" x14ac:dyDescent="0.25">
      <c r="B582" s="93" t="str">
        <f t="shared" si="8"/>
        <v/>
      </c>
    </row>
    <row r="583" spans="2:2" x14ac:dyDescent="0.25">
      <c r="B583" s="93" t="str">
        <f t="shared" si="8"/>
        <v/>
      </c>
    </row>
    <row r="584" spans="2:2" x14ac:dyDescent="0.25">
      <c r="B584" s="93" t="str">
        <f t="shared" si="8"/>
        <v/>
      </c>
    </row>
    <row r="585" spans="2:2" x14ac:dyDescent="0.25">
      <c r="B585" s="93" t="str">
        <f t="shared" si="8"/>
        <v/>
      </c>
    </row>
    <row r="586" spans="2:2" x14ac:dyDescent="0.25">
      <c r="B586" s="93" t="str">
        <f t="shared" si="8"/>
        <v/>
      </c>
    </row>
    <row r="587" spans="2:2" x14ac:dyDescent="0.25">
      <c r="B587" s="93" t="str">
        <f t="shared" si="8"/>
        <v/>
      </c>
    </row>
    <row r="588" spans="2:2" x14ac:dyDescent="0.25">
      <c r="B588" s="93" t="str">
        <f t="shared" si="8"/>
        <v/>
      </c>
    </row>
    <row r="589" spans="2:2" x14ac:dyDescent="0.25">
      <c r="B589" s="93" t="str">
        <f t="shared" si="8"/>
        <v/>
      </c>
    </row>
    <row r="590" spans="2:2" x14ac:dyDescent="0.25">
      <c r="B590" s="93" t="str">
        <f t="shared" si="8"/>
        <v/>
      </c>
    </row>
    <row r="591" spans="2:2" x14ac:dyDescent="0.25">
      <c r="B591" s="93" t="str">
        <f t="shared" si="8"/>
        <v/>
      </c>
    </row>
    <row r="592" spans="2:2" x14ac:dyDescent="0.25">
      <c r="B592" s="93" t="str">
        <f t="shared" si="8"/>
        <v/>
      </c>
    </row>
    <row r="593" spans="2:2" x14ac:dyDescent="0.25">
      <c r="B593" s="93" t="str">
        <f t="shared" si="8"/>
        <v/>
      </c>
    </row>
    <row r="594" spans="2:2" x14ac:dyDescent="0.25">
      <c r="B594" s="93" t="str">
        <f t="shared" si="8"/>
        <v/>
      </c>
    </row>
    <row r="595" spans="2:2" x14ac:dyDescent="0.25">
      <c r="B595" s="93" t="str">
        <f t="shared" si="8"/>
        <v/>
      </c>
    </row>
    <row r="596" spans="2:2" x14ac:dyDescent="0.25">
      <c r="B596" s="93" t="str">
        <f t="shared" ref="B596:B659" si="9">IF(A596=0,"","Hinge")</f>
        <v/>
      </c>
    </row>
    <row r="597" spans="2:2" x14ac:dyDescent="0.25">
      <c r="B597" s="93" t="str">
        <f t="shared" si="9"/>
        <v/>
      </c>
    </row>
    <row r="598" spans="2:2" x14ac:dyDescent="0.25">
      <c r="B598" s="93" t="str">
        <f t="shared" si="9"/>
        <v/>
      </c>
    </row>
    <row r="599" spans="2:2" x14ac:dyDescent="0.25">
      <c r="B599" s="93" t="str">
        <f t="shared" si="9"/>
        <v/>
      </c>
    </row>
    <row r="600" spans="2:2" x14ac:dyDescent="0.25">
      <c r="B600" s="93" t="str">
        <f t="shared" si="9"/>
        <v/>
      </c>
    </row>
    <row r="601" spans="2:2" x14ac:dyDescent="0.25">
      <c r="B601" s="93" t="str">
        <f t="shared" si="9"/>
        <v/>
      </c>
    </row>
    <row r="602" spans="2:2" x14ac:dyDescent="0.25">
      <c r="B602" s="93" t="str">
        <f t="shared" si="9"/>
        <v/>
      </c>
    </row>
    <row r="603" spans="2:2" x14ac:dyDescent="0.25">
      <c r="B603" s="93" t="str">
        <f t="shared" si="9"/>
        <v/>
      </c>
    </row>
    <row r="604" spans="2:2" x14ac:dyDescent="0.25">
      <c r="B604" s="93" t="str">
        <f t="shared" si="9"/>
        <v/>
      </c>
    </row>
    <row r="605" spans="2:2" x14ac:dyDescent="0.25">
      <c r="B605" s="93" t="str">
        <f t="shared" si="9"/>
        <v/>
      </c>
    </row>
    <row r="606" spans="2:2" x14ac:dyDescent="0.25">
      <c r="B606" s="93" t="str">
        <f t="shared" si="9"/>
        <v/>
      </c>
    </row>
    <row r="607" spans="2:2" x14ac:dyDescent="0.25">
      <c r="B607" s="93" t="str">
        <f t="shared" si="9"/>
        <v/>
      </c>
    </row>
    <row r="608" spans="2:2" x14ac:dyDescent="0.25">
      <c r="B608" s="93" t="str">
        <f t="shared" si="9"/>
        <v/>
      </c>
    </row>
    <row r="609" spans="2:2" x14ac:dyDescent="0.25">
      <c r="B609" s="93" t="str">
        <f t="shared" si="9"/>
        <v/>
      </c>
    </row>
    <row r="610" spans="2:2" x14ac:dyDescent="0.25">
      <c r="B610" s="93" t="str">
        <f t="shared" si="9"/>
        <v/>
      </c>
    </row>
    <row r="611" spans="2:2" x14ac:dyDescent="0.25">
      <c r="B611" s="93" t="str">
        <f t="shared" si="9"/>
        <v/>
      </c>
    </row>
    <row r="612" spans="2:2" x14ac:dyDescent="0.25">
      <c r="B612" s="93" t="str">
        <f t="shared" si="9"/>
        <v/>
      </c>
    </row>
    <row r="613" spans="2:2" x14ac:dyDescent="0.25">
      <c r="B613" s="93" t="str">
        <f t="shared" si="9"/>
        <v/>
      </c>
    </row>
    <row r="614" spans="2:2" x14ac:dyDescent="0.25">
      <c r="B614" s="93" t="str">
        <f t="shared" si="9"/>
        <v/>
      </c>
    </row>
    <row r="615" spans="2:2" x14ac:dyDescent="0.25">
      <c r="B615" s="93" t="str">
        <f t="shared" si="9"/>
        <v/>
      </c>
    </row>
    <row r="616" spans="2:2" x14ac:dyDescent="0.25">
      <c r="B616" s="93" t="str">
        <f t="shared" si="9"/>
        <v/>
      </c>
    </row>
    <row r="617" spans="2:2" x14ac:dyDescent="0.25">
      <c r="B617" s="93" t="str">
        <f t="shared" si="9"/>
        <v/>
      </c>
    </row>
    <row r="618" spans="2:2" x14ac:dyDescent="0.25">
      <c r="B618" s="93" t="str">
        <f t="shared" si="9"/>
        <v/>
      </c>
    </row>
    <row r="619" spans="2:2" x14ac:dyDescent="0.25">
      <c r="B619" s="93" t="str">
        <f t="shared" si="9"/>
        <v/>
      </c>
    </row>
    <row r="620" spans="2:2" x14ac:dyDescent="0.25">
      <c r="B620" s="93" t="str">
        <f t="shared" si="9"/>
        <v/>
      </c>
    </row>
    <row r="621" spans="2:2" x14ac:dyDescent="0.25">
      <c r="B621" s="93" t="str">
        <f t="shared" si="9"/>
        <v/>
      </c>
    </row>
    <row r="622" spans="2:2" x14ac:dyDescent="0.25">
      <c r="B622" s="93" t="str">
        <f t="shared" si="9"/>
        <v/>
      </c>
    </row>
    <row r="623" spans="2:2" x14ac:dyDescent="0.25">
      <c r="B623" s="93" t="str">
        <f t="shared" si="9"/>
        <v/>
      </c>
    </row>
    <row r="624" spans="2:2" x14ac:dyDescent="0.25">
      <c r="B624" s="93" t="str">
        <f t="shared" si="9"/>
        <v/>
      </c>
    </row>
    <row r="625" spans="2:2" x14ac:dyDescent="0.25">
      <c r="B625" s="93" t="str">
        <f t="shared" si="9"/>
        <v/>
      </c>
    </row>
    <row r="626" spans="2:2" x14ac:dyDescent="0.25">
      <c r="B626" s="93" t="str">
        <f t="shared" si="9"/>
        <v/>
      </c>
    </row>
    <row r="627" spans="2:2" x14ac:dyDescent="0.25">
      <c r="B627" s="93" t="str">
        <f t="shared" si="9"/>
        <v/>
      </c>
    </row>
    <row r="628" spans="2:2" x14ac:dyDescent="0.25">
      <c r="B628" s="93" t="str">
        <f t="shared" si="9"/>
        <v/>
      </c>
    </row>
    <row r="629" spans="2:2" x14ac:dyDescent="0.25">
      <c r="B629" s="93" t="str">
        <f t="shared" si="9"/>
        <v/>
      </c>
    </row>
    <row r="630" spans="2:2" x14ac:dyDescent="0.25">
      <c r="B630" s="93" t="str">
        <f t="shared" si="9"/>
        <v/>
      </c>
    </row>
    <row r="631" spans="2:2" x14ac:dyDescent="0.25">
      <c r="B631" s="93" t="str">
        <f t="shared" si="9"/>
        <v/>
      </c>
    </row>
    <row r="632" spans="2:2" x14ac:dyDescent="0.25">
      <c r="B632" s="93" t="str">
        <f t="shared" si="9"/>
        <v/>
      </c>
    </row>
    <row r="633" spans="2:2" x14ac:dyDescent="0.25">
      <c r="B633" s="93" t="str">
        <f t="shared" si="9"/>
        <v/>
      </c>
    </row>
    <row r="634" spans="2:2" x14ac:dyDescent="0.25">
      <c r="B634" s="93" t="str">
        <f t="shared" si="9"/>
        <v/>
      </c>
    </row>
    <row r="635" spans="2:2" x14ac:dyDescent="0.25">
      <c r="B635" s="93" t="str">
        <f t="shared" si="9"/>
        <v/>
      </c>
    </row>
    <row r="636" spans="2:2" x14ac:dyDescent="0.25">
      <c r="B636" s="93" t="str">
        <f t="shared" si="9"/>
        <v/>
      </c>
    </row>
    <row r="637" spans="2:2" x14ac:dyDescent="0.25">
      <c r="B637" s="93" t="str">
        <f t="shared" si="9"/>
        <v/>
      </c>
    </row>
    <row r="638" spans="2:2" x14ac:dyDescent="0.25">
      <c r="B638" s="93" t="str">
        <f t="shared" si="9"/>
        <v/>
      </c>
    </row>
    <row r="639" spans="2:2" x14ac:dyDescent="0.25">
      <c r="B639" s="93" t="str">
        <f t="shared" si="9"/>
        <v/>
      </c>
    </row>
    <row r="640" spans="2:2" x14ac:dyDescent="0.25">
      <c r="B640" s="93" t="str">
        <f t="shared" si="9"/>
        <v/>
      </c>
    </row>
    <row r="641" spans="2:2" x14ac:dyDescent="0.25">
      <c r="B641" s="93" t="str">
        <f t="shared" si="9"/>
        <v/>
      </c>
    </row>
    <row r="642" spans="2:2" x14ac:dyDescent="0.25">
      <c r="B642" s="93" t="str">
        <f t="shared" si="9"/>
        <v/>
      </c>
    </row>
    <row r="643" spans="2:2" x14ac:dyDescent="0.25">
      <c r="B643" s="93" t="str">
        <f t="shared" si="9"/>
        <v/>
      </c>
    </row>
    <row r="644" spans="2:2" x14ac:dyDescent="0.25">
      <c r="B644" s="93" t="str">
        <f t="shared" si="9"/>
        <v/>
      </c>
    </row>
    <row r="645" spans="2:2" x14ac:dyDescent="0.25">
      <c r="B645" s="93" t="str">
        <f t="shared" si="9"/>
        <v/>
      </c>
    </row>
    <row r="646" spans="2:2" x14ac:dyDescent="0.25">
      <c r="B646" s="93" t="str">
        <f t="shared" si="9"/>
        <v/>
      </c>
    </row>
    <row r="647" spans="2:2" x14ac:dyDescent="0.25">
      <c r="B647" s="93" t="str">
        <f t="shared" si="9"/>
        <v/>
      </c>
    </row>
    <row r="648" spans="2:2" x14ac:dyDescent="0.25">
      <c r="B648" s="93" t="str">
        <f t="shared" si="9"/>
        <v/>
      </c>
    </row>
    <row r="649" spans="2:2" x14ac:dyDescent="0.25">
      <c r="B649" s="93" t="str">
        <f t="shared" si="9"/>
        <v/>
      </c>
    </row>
    <row r="650" spans="2:2" x14ac:dyDescent="0.25">
      <c r="B650" s="93" t="str">
        <f t="shared" si="9"/>
        <v/>
      </c>
    </row>
    <row r="651" spans="2:2" x14ac:dyDescent="0.25">
      <c r="B651" s="93" t="str">
        <f t="shared" si="9"/>
        <v/>
      </c>
    </row>
    <row r="652" spans="2:2" x14ac:dyDescent="0.25">
      <c r="B652" s="93" t="str">
        <f t="shared" si="9"/>
        <v/>
      </c>
    </row>
    <row r="653" spans="2:2" x14ac:dyDescent="0.25">
      <c r="B653" s="93" t="str">
        <f t="shared" si="9"/>
        <v/>
      </c>
    </row>
    <row r="654" spans="2:2" x14ac:dyDescent="0.25">
      <c r="B654" s="93" t="str">
        <f t="shared" si="9"/>
        <v/>
      </c>
    </row>
    <row r="655" spans="2:2" x14ac:dyDescent="0.25">
      <c r="B655" s="93" t="str">
        <f t="shared" si="9"/>
        <v/>
      </c>
    </row>
    <row r="656" spans="2:2" x14ac:dyDescent="0.25">
      <c r="B656" s="93" t="str">
        <f t="shared" si="9"/>
        <v/>
      </c>
    </row>
    <row r="657" spans="2:2" x14ac:dyDescent="0.25">
      <c r="B657" s="93" t="str">
        <f t="shared" si="9"/>
        <v/>
      </c>
    </row>
    <row r="658" spans="2:2" x14ac:dyDescent="0.25">
      <c r="B658" s="93" t="str">
        <f t="shared" si="9"/>
        <v/>
      </c>
    </row>
    <row r="659" spans="2:2" x14ac:dyDescent="0.25">
      <c r="B659" s="93" t="str">
        <f t="shared" si="9"/>
        <v/>
      </c>
    </row>
    <row r="660" spans="2:2" x14ac:dyDescent="0.25">
      <c r="B660" s="93" t="str">
        <f t="shared" ref="B660:B723" si="10">IF(A660=0,"","Hinge")</f>
        <v/>
      </c>
    </row>
    <row r="661" spans="2:2" x14ac:dyDescent="0.25">
      <c r="B661" s="93" t="str">
        <f t="shared" si="10"/>
        <v/>
      </c>
    </row>
    <row r="662" spans="2:2" x14ac:dyDescent="0.25">
      <c r="B662" s="93" t="str">
        <f t="shared" si="10"/>
        <v/>
      </c>
    </row>
    <row r="663" spans="2:2" x14ac:dyDescent="0.25">
      <c r="B663" s="93" t="str">
        <f t="shared" si="10"/>
        <v/>
      </c>
    </row>
    <row r="664" spans="2:2" x14ac:dyDescent="0.25">
      <c r="B664" s="93" t="str">
        <f t="shared" si="10"/>
        <v/>
      </c>
    </row>
    <row r="665" spans="2:2" x14ac:dyDescent="0.25">
      <c r="B665" s="93" t="str">
        <f t="shared" si="10"/>
        <v/>
      </c>
    </row>
    <row r="666" spans="2:2" x14ac:dyDescent="0.25">
      <c r="B666" s="93" t="str">
        <f t="shared" si="10"/>
        <v/>
      </c>
    </row>
    <row r="667" spans="2:2" x14ac:dyDescent="0.25">
      <c r="B667" s="93" t="str">
        <f t="shared" si="10"/>
        <v/>
      </c>
    </row>
    <row r="668" spans="2:2" x14ac:dyDescent="0.25">
      <c r="B668" s="93" t="str">
        <f t="shared" si="10"/>
        <v/>
      </c>
    </row>
    <row r="669" spans="2:2" x14ac:dyDescent="0.25">
      <c r="B669" s="93" t="str">
        <f t="shared" si="10"/>
        <v/>
      </c>
    </row>
    <row r="670" spans="2:2" x14ac:dyDescent="0.25">
      <c r="B670" s="93" t="str">
        <f t="shared" si="10"/>
        <v/>
      </c>
    </row>
    <row r="671" spans="2:2" x14ac:dyDescent="0.25">
      <c r="B671" s="93" t="str">
        <f t="shared" si="10"/>
        <v/>
      </c>
    </row>
    <row r="672" spans="2:2" x14ac:dyDescent="0.25">
      <c r="B672" s="93" t="str">
        <f t="shared" si="10"/>
        <v/>
      </c>
    </row>
    <row r="673" spans="2:2" x14ac:dyDescent="0.25">
      <c r="B673" s="93" t="str">
        <f t="shared" si="10"/>
        <v/>
      </c>
    </row>
    <row r="674" spans="2:2" x14ac:dyDescent="0.25">
      <c r="B674" s="93" t="str">
        <f t="shared" si="10"/>
        <v/>
      </c>
    </row>
    <row r="675" spans="2:2" x14ac:dyDescent="0.25">
      <c r="B675" s="93" t="str">
        <f t="shared" si="10"/>
        <v/>
      </c>
    </row>
    <row r="676" spans="2:2" x14ac:dyDescent="0.25">
      <c r="B676" s="93" t="str">
        <f t="shared" si="10"/>
        <v/>
      </c>
    </row>
    <row r="677" spans="2:2" x14ac:dyDescent="0.25">
      <c r="B677" s="93" t="str">
        <f t="shared" si="10"/>
        <v/>
      </c>
    </row>
    <row r="678" spans="2:2" x14ac:dyDescent="0.25">
      <c r="B678" s="93" t="str">
        <f t="shared" si="10"/>
        <v/>
      </c>
    </row>
    <row r="679" spans="2:2" x14ac:dyDescent="0.25">
      <c r="B679" s="93" t="str">
        <f t="shared" si="10"/>
        <v/>
      </c>
    </row>
    <row r="680" spans="2:2" x14ac:dyDescent="0.25">
      <c r="B680" s="93" t="str">
        <f t="shared" si="10"/>
        <v/>
      </c>
    </row>
    <row r="681" spans="2:2" x14ac:dyDescent="0.25">
      <c r="B681" s="93" t="str">
        <f t="shared" si="10"/>
        <v/>
      </c>
    </row>
    <row r="682" spans="2:2" x14ac:dyDescent="0.25">
      <c r="B682" s="93" t="str">
        <f t="shared" si="10"/>
        <v/>
      </c>
    </row>
    <row r="683" spans="2:2" x14ac:dyDescent="0.25">
      <c r="B683" s="93" t="str">
        <f t="shared" si="10"/>
        <v/>
      </c>
    </row>
    <row r="684" spans="2:2" x14ac:dyDescent="0.25">
      <c r="B684" s="93" t="str">
        <f t="shared" si="10"/>
        <v/>
      </c>
    </row>
    <row r="685" spans="2:2" x14ac:dyDescent="0.25">
      <c r="B685" s="93" t="str">
        <f t="shared" si="10"/>
        <v/>
      </c>
    </row>
    <row r="686" spans="2:2" x14ac:dyDescent="0.25">
      <c r="B686" s="93" t="str">
        <f t="shared" si="10"/>
        <v/>
      </c>
    </row>
    <row r="687" spans="2:2" x14ac:dyDescent="0.25">
      <c r="B687" s="93" t="str">
        <f t="shared" si="10"/>
        <v/>
      </c>
    </row>
    <row r="688" spans="2:2" x14ac:dyDescent="0.25">
      <c r="B688" s="93" t="str">
        <f t="shared" si="10"/>
        <v/>
      </c>
    </row>
    <row r="689" spans="2:2" x14ac:dyDescent="0.25">
      <c r="B689" s="93" t="str">
        <f t="shared" si="10"/>
        <v/>
      </c>
    </row>
    <row r="690" spans="2:2" x14ac:dyDescent="0.25">
      <c r="B690" s="93" t="str">
        <f t="shared" si="10"/>
        <v/>
      </c>
    </row>
    <row r="691" spans="2:2" x14ac:dyDescent="0.25">
      <c r="B691" s="93" t="str">
        <f t="shared" si="10"/>
        <v/>
      </c>
    </row>
    <row r="692" spans="2:2" x14ac:dyDescent="0.25">
      <c r="B692" s="93" t="str">
        <f t="shared" si="10"/>
        <v/>
      </c>
    </row>
    <row r="693" spans="2:2" x14ac:dyDescent="0.25">
      <c r="B693" s="93" t="str">
        <f t="shared" si="10"/>
        <v/>
      </c>
    </row>
    <row r="694" spans="2:2" x14ac:dyDescent="0.25">
      <c r="B694" s="93" t="str">
        <f t="shared" si="10"/>
        <v/>
      </c>
    </row>
    <row r="695" spans="2:2" x14ac:dyDescent="0.25">
      <c r="B695" s="93" t="str">
        <f t="shared" si="10"/>
        <v/>
      </c>
    </row>
    <row r="696" spans="2:2" x14ac:dyDescent="0.25">
      <c r="B696" s="93" t="str">
        <f t="shared" si="10"/>
        <v/>
      </c>
    </row>
    <row r="697" spans="2:2" x14ac:dyDescent="0.25">
      <c r="B697" s="93" t="str">
        <f t="shared" si="10"/>
        <v/>
      </c>
    </row>
    <row r="698" spans="2:2" x14ac:dyDescent="0.25">
      <c r="B698" s="93" t="str">
        <f t="shared" si="10"/>
        <v/>
      </c>
    </row>
    <row r="699" spans="2:2" x14ac:dyDescent="0.25">
      <c r="B699" s="93" t="str">
        <f t="shared" si="10"/>
        <v/>
      </c>
    </row>
    <row r="700" spans="2:2" x14ac:dyDescent="0.25">
      <c r="B700" s="93" t="str">
        <f t="shared" si="10"/>
        <v/>
      </c>
    </row>
    <row r="701" spans="2:2" x14ac:dyDescent="0.25">
      <c r="B701" s="93" t="str">
        <f t="shared" si="10"/>
        <v/>
      </c>
    </row>
    <row r="702" spans="2:2" x14ac:dyDescent="0.25">
      <c r="B702" s="93" t="str">
        <f t="shared" si="10"/>
        <v/>
      </c>
    </row>
    <row r="703" spans="2:2" x14ac:dyDescent="0.25">
      <c r="B703" s="93" t="str">
        <f t="shared" si="10"/>
        <v/>
      </c>
    </row>
    <row r="704" spans="2:2" x14ac:dyDescent="0.25">
      <c r="B704" s="93" t="str">
        <f t="shared" si="10"/>
        <v/>
      </c>
    </row>
    <row r="705" spans="2:2" x14ac:dyDescent="0.25">
      <c r="B705" s="93" t="str">
        <f t="shared" si="10"/>
        <v/>
      </c>
    </row>
    <row r="706" spans="2:2" x14ac:dyDescent="0.25">
      <c r="B706" s="93" t="str">
        <f t="shared" si="10"/>
        <v/>
      </c>
    </row>
    <row r="707" spans="2:2" x14ac:dyDescent="0.25">
      <c r="B707" s="93" t="str">
        <f t="shared" si="10"/>
        <v/>
      </c>
    </row>
    <row r="708" spans="2:2" x14ac:dyDescent="0.25">
      <c r="B708" s="93" t="str">
        <f t="shared" si="10"/>
        <v/>
      </c>
    </row>
    <row r="709" spans="2:2" x14ac:dyDescent="0.25">
      <c r="B709" s="93" t="str">
        <f t="shared" si="10"/>
        <v/>
      </c>
    </row>
    <row r="710" spans="2:2" x14ac:dyDescent="0.25">
      <c r="B710" s="93" t="str">
        <f t="shared" si="10"/>
        <v/>
      </c>
    </row>
    <row r="711" spans="2:2" x14ac:dyDescent="0.25">
      <c r="B711" s="93" t="str">
        <f t="shared" si="10"/>
        <v/>
      </c>
    </row>
    <row r="712" spans="2:2" x14ac:dyDescent="0.25">
      <c r="B712" s="93" t="str">
        <f t="shared" si="10"/>
        <v/>
      </c>
    </row>
    <row r="713" spans="2:2" x14ac:dyDescent="0.25">
      <c r="B713" s="93" t="str">
        <f t="shared" si="10"/>
        <v/>
      </c>
    </row>
    <row r="714" spans="2:2" x14ac:dyDescent="0.25">
      <c r="B714" s="93" t="str">
        <f t="shared" si="10"/>
        <v/>
      </c>
    </row>
    <row r="715" spans="2:2" x14ac:dyDescent="0.25">
      <c r="B715" s="93" t="str">
        <f t="shared" si="10"/>
        <v/>
      </c>
    </row>
    <row r="716" spans="2:2" x14ac:dyDescent="0.25">
      <c r="B716" s="93" t="str">
        <f t="shared" si="10"/>
        <v/>
      </c>
    </row>
    <row r="717" spans="2:2" x14ac:dyDescent="0.25">
      <c r="B717" s="93" t="str">
        <f t="shared" si="10"/>
        <v/>
      </c>
    </row>
    <row r="718" spans="2:2" x14ac:dyDescent="0.25">
      <c r="B718" s="93" t="str">
        <f t="shared" si="10"/>
        <v/>
      </c>
    </row>
    <row r="719" spans="2:2" x14ac:dyDescent="0.25">
      <c r="B719" s="93" t="str">
        <f t="shared" si="10"/>
        <v/>
      </c>
    </row>
    <row r="720" spans="2:2" x14ac:dyDescent="0.25">
      <c r="B720" s="93" t="str">
        <f t="shared" si="10"/>
        <v/>
      </c>
    </row>
    <row r="721" spans="2:2" x14ac:dyDescent="0.25">
      <c r="B721" s="93" t="str">
        <f t="shared" si="10"/>
        <v/>
      </c>
    </row>
    <row r="722" spans="2:2" x14ac:dyDescent="0.25">
      <c r="B722" s="93" t="str">
        <f t="shared" si="10"/>
        <v/>
      </c>
    </row>
    <row r="723" spans="2:2" x14ac:dyDescent="0.25">
      <c r="B723" s="93" t="str">
        <f t="shared" si="10"/>
        <v/>
      </c>
    </row>
    <row r="724" spans="2:2" x14ac:dyDescent="0.25">
      <c r="B724" s="93" t="str">
        <f t="shared" ref="B724:B787" si="11">IF(A724=0,"","Hinge")</f>
        <v/>
      </c>
    </row>
    <row r="725" spans="2:2" x14ac:dyDescent="0.25">
      <c r="B725" s="93" t="str">
        <f t="shared" si="11"/>
        <v/>
      </c>
    </row>
    <row r="726" spans="2:2" x14ac:dyDescent="0.25">
      <c r="B726" s="93" t="str">
        <f t="shared" si="11"/>
        <v/>
      </c>
    </row>
    <row r="727" spans="2:2" x14ac:dyDescent="0.25">
      <c r="B727" s="93" t="str">
        <f t="shared" si="11"/>
        <v/>
      </c>
    </row>
    <row r="728" spans="2:2" x14ac:dyDescent="0.25">
      <c r="B728" s="93" t="str">
        <f t="shared" si="11"/>
        <v/>
      </c>
    </row>
    <row r="729" spans="2:2" x14ac:dyDescent="0.25">
      <c r="B729" s="93" t="str">
        <f t="shared" si="11"/>
        <v/>
      </c>
    </row>
    <row r="730" spans="2:2" x14ac:dyDescent="0.25">
      <c r="B730" s="93" t="str">
        <f t="shared" si="11"/>
        <v/>
      </c>
    </row>
    <row r="731" spans="2:2" x14ac:dyDescent="0.25">
      <c r="B731" s="93" t="str">
        <f t="shared" si="11"/>
        <v/>
      </c>
    </row>
    <row r="732" spans="2:2" x14ac:dyDescent="0.25">
      <c r="B732" s="93" t="str">
        <f t="shared" si="11"/>
        <v/>
      </c>
    </row>
    <row r="733" spans="2:2" x14ac:dyDescent="0.25">
      <c r="B733" s="93" t="str">
        <f t="shared" si="11"/>
        <v/>
      </c>
    </row>
    <row r="734" spans="2:2" x14ac:dyDescent="0.25">
      <c r="B734" s="93" t="str">
        <f t="shared" si="11"/>
        <v/>
      </c>
    </row>
    <row r="735" spans="2:2" x14ac:dyDescent="0.25">
      <c r="B735" s="93" t="str">
        <f t="shared" si="11"/>
        <v/>
      </c>
    </row>
    <row r="736" spans="2:2" x14ac:dyDescent="0.25">
      <c r="B736" s="93" t="str">
        <f t="shared" si="11"/>
        <v/>
      </c>
    </row>
    <row r="737" spans="2:2" x14ac:dyDescent="0.25">
      <c r="B737" s="93" t="str">
        <f t="shared" si="11"/>
        <v/>
      </c>
    </row>
    <row r="738" spans="2:2" x14ac:dyDescent="0.25">
      <c r="B738" s="93" t="str">
        <f t="shared" si="11"/>
        <v/>
      </c>
    </row>
    <row r="739" spans="2:2" x14ac:dyDescent="0.25">
      <c r="B739" s="93" t="str">
        <f t="shared" si="11"/>
        <v/>
      </c>
    </row>
    <row r="740" spans="2:2" x14ac:dyDescent="0.25">
      <c r="B740" s="93" t="str">
        <f t="shared" si="11"/>
        <v/>
      </c>
    </row>
    <row r="741" spans="2:2" x14ac:dyDescent="0.25">
      <c r="B741" s="93" t="str">
        <f t="shared" si="11"/>
        <v/>
      </c>
    </row>
    <row r="742" spans="2:2" x14ac:dyDescent="0.25">
      <c r="B742" s="93" t="str">
        <f t="shared" si="11"/>
        <v/>
      </c>
    </row>
    <row r="743" spans="2:2" x14ac:dyDescent="0.25">
      <c r="B743" s="93" t="str">
        <f t="shared" si="11"/>
        <v/>
      </c>
    </row>
    <row r="744" spans="2:2" x14ac:dyDescent="0.25">
      <c r="B744" s="93" t="str">
        <f t="shared" si="11"/>
        <v/>
      </c>
    </row>
    <row r="745" spans="2:2" x14ac:dyDescent="0.25">
      <c r="B745" s="93" t="str">
        <f t="shared" si="11"/>
        <v/>
      </c>
    </row>
    <row r="746" spans="2:2" x14ac:dyDescent="0.25">
      <c r="B746" s="93" t="str">
        <f t="shared" si="11"/>
        <v/>
      </c>
    </row>
    <row r="747" spans="2:2" x14ac:dyDescent="0.25">
      <c r="B747" s="93" t="str">
        <f t="shared" si="11"/>
        <v/>
      </c>
    </row>
    <row r="748" spans="2:2" x14ac:dyDescent="0.25">
      <c r="B748" s="93" t="str">
        <f t="shared" si="11"/>
        <v/>
      </c>
    </row>
    <row r="749" spans="2:2" x14ac:dyDescent="0.25">
      <c r="B749" s="93" t="str">
        <f t="shared" si="11"/>
        <v/>
      </c>
    </row>
    <row r="750" spans="2:2" x14ac:dyDescent="0.25">
      <c r="B750" s="93" t="str">
        <f t="shared" si="11"/>
        <v/>
      </c>
    </row>
    <row r="751" spans="2:2" x14ac:dyDescent="0.25">
      <c r="B751" s="93" t="str">
        <f t="shared" si="11"/>
        <v/>
      </c>
    </row>
    <row r="752" spans="2:2" x14ac:dyDescent="0.25">
      <c r="B752" s="93" t="str">
        <f t="shared" si="11"/>
        <v/>
      </c>
    </row>
    <row r="753" spans="2:2" x14ac:dyDescent="0.25">
      <c r="B753" s="93" t="str">
        <f t="shared" si="11"/>
        <v/>
      </c>
    </row>
    <row r="754" spans="2:2" x14ac:dyDescent="0.25">
      <c r="B754" s="93" t="str">
        <f t="shared" si="11"/>
        <v/>
      </c>
    </row>
    <row r="755" spans="2:2" x14ac:dyDescent="0.25">
      <c r="B755" s="93" t="str">
        <f t="shared" si="11"/>
        <v/>
      </c>
    </row>
    <row r="756" spans="2:2" x14ac:dyDescent="0.25">
      <c r="B756" s="93" t="str">
        <f t="shared" si="11"/>
        <v/>
      </c>
    </row>
    <row r="757" spans="2:2" x14ac:dyDescent="0.25">
      <c r="B757" s="93" t="str">
        <f t="shared" si="11"/>
        <v/>
      </c>
    </row>
    <row r="758" spans="2:2" x14ac:dyDescent="0.25">
      <c r="B758" s="93" t="str">
        <f t="shared" si="11"/>
        <v/>
      </c>
    </row>
    <row r="759" spans="2:2" x14ac:dyDescent="0.25">
      <c r="B759" s="93" t="str">
        <f t="shared" si="11"/>
        <v/>
      </c>
    </row>
    <row r="760" spans="2:2" x14ac:dyDescent="0.25">
      <c r="B760" s="93" t="str">
        <f t="shared" si="11"/>
        <v/>
      </c>
    </row>
    <row r="761" spans="2:2" x14ac:dyDescent="0.25">
      <c r="B761" s="93" t="str">
        <f t="shared" si="11"/>
        <v/>
      </c>
    </row>
    <row r="762" spans="2:2" x14ac:dyDescent="0.25">
      <c r="B762" s="93" t="str">
        <f t="shared" si="11"/>
        <v/>
      </c>
    </row>
    <row r="763" spans="2:2" x14ac:dyDescent="0.25">
      <c r="B763" s="93" t="str">
        <f t="shared" si="11"/>
        <v/>
      </c>
    </row>
    <row r="764" spans="2:2" x14ac:dyDescent="0.25">
      <c r="B764" s="93" t="str">
        <f t="shared" si="11"/>
        <v/>
      </c>
    </row>
    <row r="765" spans="2:2" x14ac:dyDescent="0.25">
      <c r="B765" s="93" t="str">
        <f t="shared" si="11"/>
        <v/>
      </c>
    </row>
    <row r="766" spans="2:2" x14ac:dyDescent="0.25">
      <c r="B766" s="93" t="str">
        <f t="shared" si="11"/>
        <v/>
      </c>
    </row>
    <row r="767" spans="2:2" x14ac:dyDescent="0.25">
      <c r="B767" s="93" t="str">
        <f t="shared" si="11"/>
        <v/>
      </c>
    </row>
    <row r="768" spans="2:2" x14ac:dyDescent="0.25">
      <c r="B768" s="93" t="str">
        <f t="shared" si="11"/>
        <v/>
      </c>
    </row>
    <row r="769" spans="2:2" x14ac:dyDescent="0.25">
      <c r="B769" s="93" t="str">
        <f t="shared" si="11"/>
        <v/>
      </c>
    </row>
    <row r="770" spans="2:2" x14ac:dyDescent="0.25">
      <c r="B770" s="93" t="str">
        <f t="shared" si="11"/>
        <v/>
      </c>
    </row>
    <row r="771" spans="2:2" x14ac:dyDescent="0.25">
      <c r="B771" s="93" t="str">
        <f t="shared" si="11"/>
        <v/>
      </c>
    </row>
    <row r="772" spans="2:2" x14ac:dyDescent="0.25">
      <c r="B772" s="93" t="str">
        <f t="shared" si="11"/>
        <v/>
      </c>
    </row>
    <row r="773" spans="2:2" x14ac:dyDescent="0.25">
      <c r="B773" s="93" t="str">
        <f t="shared" si="11"/>
        <v/>
      </c>
    </row>
    <row r="774" spans="2:2" x14ac:dyDescent="0.25">
      <c r="B774" s="93" t="str">
        <f t="shared" si="11"/>
        <v/>
      </c>
    </row>
    <row r="775" spans="2:2" x14ac:dyDescent="0.25">
      <c r="B775" s="93" t="str">
        <f t="shared" si="11"/>
        <v/>
      </c>
    </row>
    <row r="776" spans="2:2" x14ac:dyDescent="0.25">
      <c r="B776" s="93" t="str">
        <f t="shared" si="11"/>
        <v/>
      </c>
    </row>
    <row r="777" spans="2:2" x14ac:dyDescent="0.25">
      <c r="B777" s="93" t="str">
        <f t="shared" si="11"/>
        <v/>
      </c>
    </row>
    <row r="778" spans="2:2" x14ac:dyDescent="0.25">
      <c r="B778" s="93" t="str">
        <f t="shared" si="11"/>
        <v/>
      </c>
    </row>
    <row r="779" spans="2:2" x14ac:dyDescent="0.25">
      <c r="B779" s="93" t="str">
        <f t="shared" si="11"/>
        <v/>
      </c>
    </row>
    <row r="780" spans="2:2" x14ac:dyDescent="0.25">
      <c r="B780" s="93" t="str">
        <f t="shared" si="11"/>
        <v/>
      </c>
    </row>
    <row r="781" spans="2:2" x14ac:dyDescent="0.25">
      <c r="B781" s="93" t="str">
        <f t="shared" si="11"/>
        <v/>
      </c>
    </row>
    <row r="782" spans="2:2" x14ac:dyDescent="0.25">
      <c r="B782" s="93" t="str">
        <f t="shared" si="11"/>
        <v/>
      </c>
    </row>
    <row r="783" spans="2:2" x14ac:dyDescent="0.25">
      <c r="B783" s="93" t="str">
        <f t="shared" si="11"/>
        <v/>
      </c>
    </row>
    <row r="784" spans="2:2" x14ac:dyDescent="0.25">
      <c r="B784" s="93" t="str">
        <f t="shared" si="11"/>
        <v/>
      </c>
    </row>
    <row r="785" spans="2:2" x14ac:dyDescent="0.25">
      <c r="B785" s="93" t="str">
        <f t="shared" si="11"/>
        <v/>
      </c>
    </row>
    <row r="786" spans="2:2" x14ac:dyDescent="0.25">
      <c r="B786" s="93" t="str">
        <f t="shared" si="11"/>
        <v/>
      </c>
    </row>
    <row r="787" spans="2:2" x14ac:dyDescent="0.25">
      <c r="B787" s="93" t="str">
        <f t="shared" si="11"/>
        <v/>
      </c>
    </row>
    <row r="788" spans="2:2" x14ac:dyDescent="0.25">
      <c r="B788" s="93" t="str">
        <f t="shared" ref="B788:B851" si="12">IF(A788=0,"","Hinge")</f>
        <v/>
      </c>
    </row>
    <row r="789" spans="2:2" x14ac:dyDescent="0.25">
      <c r="B789" s="93" t="str">
        <f t="shared" si="12"/>
        <v/>
      </c>
    </row>
    <row r="790" spans="2:2" x14ac:dyDescent="0.25">
      <c r="B790" s="93" t="str">
        <f t="shared" si="12"/>
        <v/>
      </c>
    </row>
    <row r="791" spans="2:2" x14ac:dyDescent="0.25">
      <c r="B791" s="93" t="str">
        <f t="shared" si="12"/>
        <v/>
      </c>
    </row>
    <row r="792" spans="2:2" x14ac:dyDescent="0.25">
      <c r="B792" s="93" t="str">
        <f t="shared" si="12"/>
        <v/>
      </c>
    </row>
    <row r="793" spans="2:2" x14ac:dyDescent="0.25">
      <c r="B793" s="93" t="str">
        <f t="shared" si="12"/>
        <v/>
      </c>
    </row>
    <row r="794" spans="2:2" x14ac:dyDescent="0.25">
      <c r="B794" s="93" t="str">
        <f t="shared" si="12"/>
        <v/>
      </c>
    </row>
    <row r="795" spans="2:2" x14ac:dyDescent="0.25">
      <c r="B795" s="93" t="str">
        <f t="shared" si="12"/>
        <v/>
      </c>
    </row>
    <row r="796" spans="2:2" x14ac:dyDescent="0.25">
      <c r="B796" s="93" t="str">
        <f t="shared" si="12"/>
        <v/>
      </c>
    </row>
    <row r="797" spans="2:2" x14ac:dyDescent="0.25">
      <c r="B797" s="93" t="str">
        <f t="shared" si="12"/>
        <v/>
      </c>
    </row>
    <row r="798" spans="2:2" x14ac:dyDescent="0.25">
      <c r="B798" s="93" t="str">
        <f t="shared" si="12"/>
        <v/>
      </c>
    </row>
    <row r="799" spans="2:2" x14ac:dyDescent="0.25">
      <c r="B799" s="93" t="str">
        <f t="shared" si="12"/>
        <v/>
      </c>
    </row>
    <row r="800" spans="2:2" x14ac:dyDescent="0.25">
      <c r="B800" s="93" t="str">
        <f t="shared" si="12"/>
        <v/>
      </c>
    </row>
    <row r="801" spans="2:2" x14ac:dyDescent="0.25">
      <c r="B801" s="93" t="str">
        <f t="shared" si="12"/>
        <v/>
      </c>
    </row>
    <row r="802" spans="2:2" x14ac:dyDescent="0.25">
      <c r="B802" s="93" t="str">
        <f t="shared" si="12"/>
        <v/>
      </c>
    </row>
    <row r="803" spans="2:2" x14ac:dyDescent="0.25">
      <c r="B803" s="93" t="str">
        <f t="shared" si="12"/>
        <v/>
      </c>
    </row>
    <row r="804" spans="2:2" x14ac:dyDescent="0.25">
      <c r="B804" s="93" t="str">
        <f t="shared" si="12"/>
        <v/>
      </c>
    </row>
    <row r="805" spans="2:2" x14ac:dyDescent="0.25">
      <c r="B805" s="93" t="str">
        <f t="shared" si="12"/>
        <v/>
      </c>
    </row>
    <row r="806" spans="2:2" x14ac:dyDescent="0.25">
      <c r="B806" s="93" t="str">
        <f t="shared" si="12"/>
        <v/>
      </c>
    </row>
    <row r="807" spans="2:2" x14ac:dyDescent="0.25">
      <c r="B807" s="93" t="str">
        <f t="shared" si="12"/>
        <v/>
      </c>
    </row>
    <row r="808" spans="2:2" x14ac:dyDescent="0.25">
      <c r="B808" s="93" t="str">
        <f t="shared" si="12"/>
        <v/>
      </c>
    </row>
    <row r="809" spans="2:2" x14ac:dyDescent="0.25">
      <c r="B809" s="93" t="str">
        <f t="shared" si="12"/>
        <v/>
      </c>
    </row>
    <row r="810" spans="2:2" x14ac:dyDescent="0.25">
      <c r="B810" s="93" t="str">
        <f t="shared" si="12"/>
        <v/>
      </c>
    </row>
    <row r="811" spans="2:2" x14ac:dyDescent="0.25">
      <c r="B811" s="93" t="str">
        <f t="shared" si="12"/>
        <v/>
      </c>
    </row>
    <row r="812" spans="2:2" x14ac:dyDescent="0.25">
      <c r="B812" s="93" t="str">
        <f t="shared" si="12"/>
        <v/>
      </c>
    </row>
    <row r="813" spans="2:2" x14ac:dyDescent="0.25">
      <c r="B813" s="93" t="str">
        <f t="shared" si="12"/>
        <v/>
      </c>
    </row>
    <row r="814" spans="2:2" x14ac:dyDescent="0.25">
      <c r="B814" s="93" t="str">
        <f t="shared" si="12"/>
        <v/>
      </c>
    </row>
    <row r="815" spans="2:2" x14ac:dyDescent="0.25">
      <c r="B815" s="93" t="str">
        <f t="shared" si="12"/>
        <v/>
      </c>
    </row>
    <row r="816" spans="2:2" x14ac:dyDescent="0.25">
      <c r="B816" s="93" t="str">
        <f t="shared" si="12"/>
        <v/>
      </c>
    </row>
    <row r="817" spans="2:2" x14ac:dyDescent="0.25">
      <c r="B817" s="93" t="str">
        <f t="shared" si="12"/>
        <v/>
      </c>
    </row>
    <row r="818" spans="2:2" x14ac:dyDescent="0.25">
      <c r="B818" s="93" t="str">
        <f t="shared" si="12"/>
        <v/>
      </c>
    </row>
    <row r="819" spans="2:2" x14ac:dyDescent="0.25">
      <c r="B819" s="93" t="str">
        <f t="shared" si="12"/>
        <v/>
      </c>
    </row>
    <row r="820" spans="2:2" x14ac:dyDescent="0.25">
      <c r="B820" s="93" t="str">
        <f t="shared" si="12"/>
        <v/>
      </c>
    </row>
    <row r="821" spans="2:2" x14ac:dyDescent="0.25">
      <c r="B821" s="93" t="str">
        <f t="shared" si="12"/>
        <v/>
      </c>
    </row>
    <row r="822" spans="2:2" x14ac:dyDescent="0.25">
      <c r="B822" s="93" t="str">
        <f t="shared" si="12"/>
        <v/>
      </c>
    </row>
    <row r="823" spans="2:2" x14ac:dyDescent="0.25">
      <c r="B823" s="93" t="str">
        <f t="shared" si="12"/>
        <v/>
      </c>
    </row>
    <row r="824" spans="2:2" x14ac:dyDescent="0.25">
      <c r="B824" s="93" t="str">
        <f t="shared" si="12"/>
        <v/>
      </c>
    </row>
    <row r="825" spans="2:2" x14ac:dyDescent="0.25">
      <c r="B825" s="93" t="str">
        <f t="shared" si="12"/>
        <v/>
      </c>
    </row>
    <row r="826" spans="2:2" x14ac:dyDescent="0.25">
      <c r="B826" s="93" t="str">
        <f t="shared" si="12"/>
        <v/>
      </c>
    </row>
    <row r="827" spans="2:2" x14ac:dyDescent="0.25">
      <c r="B827" s="93" t="str">
        <f t="shared" si="12"/>
        <v/>
      </c>
    </row>
    <row r="828" spans="2:2" x14ac:dyDescent="0.25">
      <c r="B828" s="93" t="str">
        <f t="shared" si="12"/>
        <v/>
      </c>
    </row>
    <row r="829" spans="2:2" x14ac:dyDescent="0.25">
      <c r="B829" s="93" t="str">
        <f t="shared" si="12"/>
        <v/>
      </c>
    </row>
    <row r="830" spans="2:2" x14ac:dyDescent="0.25">
      <c r="B830" s="93" t="str">
        <f t="shared" si="12"/>
        <v/>
      </c>
    </row>
    <row r="831" spans="2:2" x14ac:dyDescent="0.25">
      <c r="B831" s="93" t="str">
        <f t="shared" si="12"/>
        <v/>
      </c>
    </row>
    <row r="832" spans="2:2" x14ac:dyDescent="0.25">
      <c r="B832" s="93" t="str">
        <f t="shared" si="12"/>
        <v/>
      </c>
    </row>
    <row r="833" spans="2:2" x14ac:dyDescent="0.25">
      <c r="B833" s="93" t="str">
        <f t="shared" si="12"/>
        <v/>
      </c>
    </row>
    <row r="834" spans="2:2" x14ac:dyDescent="0.25">
      <c r="B834" s="93" t="str">
        <f t="shared" si="12"/>
        <v/>
      </c>
    </row>
    <row r="835" spans="2:2" x14ac:dyDescent="0.25">
      <c r="B835" s="93" t="str">
        <f t="shared" si="12"/>
        <v/>
      </c>
    </row>
    <row r="836" spans="2:2" x14ac:dyDescent="0.25">
      <c r="B836" s="93" t="str">
        <f t="shared" si="12"/>
        <v/>
      </c>
    </row>
    <row r="837" spans="2:2" x14ac:dyDescent="0.25">
      <c r="B837" s="93" t="str">
        <f t="shared" si="12"/>
        <v/>
      </c>
    </row>
    <row r="838" spans="2:2" x14ac:dyDescent="0.25">
      <c r="B838" s="93" t="str">
        <f t="shared" si="12"/>
        <v/>
      </c>
    </row>
    <row r="839" spans="2:2" x14ac:dyDescent="0.25">
      <c r="B839" s="93" t="str">
        <f t="shared" si="12"/>
        <v/>
      </c>
    </row>
    <row r="840" spans="2:2" x14ac:dyDescent="0.25">
      <c r="B840" s="93" t="str">
        <f t="shared" si="12"/>
        <v/>
      </c>
    </row>
    <row r="841" spans="2:2" x14ac:dyDescent="0.25">
      <c r="B841" s="93" t="str">
        <f t="shared" si="12"/>
        <v/>
      </c>
    </row>
    <row r="842" spans="2:2" x14ac:dyDescent="0.25">
      <c r="B842" s="93" t="str">
        <f t="shared" si="12"/>
        <v/>
      </c>
    </row>
    <row r="843" spans="2:2" x14ac:dyDescent="0.25">
      <c r="B843" s="93" t="str">
        <f t="shared" si="12"/>
        <v/>
      </c>
    </row>
    <row r="844" spans="2:2" x14ac:dyDescent="0.25">
      <c r="B844" s="93" t="str">
        <f t="shared" si="12"/>
        <v/>
      </c>
    </row>
    <row r="845" spans="2:2" x14ac:dyDescent="0.25">
      <c r="B845" s="93" t="str">
        <f t="shared" si="12"/>
        <v/>
      </c>
    </row>
    <row r="846" spans="2:2" x14ac:dyDescent="0.25">
      <c r="B846" s="93" t="str">
        <f t="shared" si="12"/>
        <v/>
      </c>
    </row>
    <row r="847" spans="2:2" x14ac:dyDescent="0.25">
      <c r="B847" s="93" t="str">
        <f t="shared" si="12"/>
        <v/>
      </c>
    </row>
    <row r="848" spans="2:2" x14ac:dyDescent="0.25">
      <c r="B848" s="93" t="str">
        <f t="shared" si="12"/>
        <v/>
      </c>
    </row>
    <row r="849" spans="2:2" x14ac:dyDescent="0.25">
      <c r="B849" s="93" t="str">
        <f t="shared" si="12"/>
        <v/>
      </c>
    </row>
    <row r="850" spans="2:2" x14ac:dyDescent="0.25">
      <c r="B850" s="93" t="str">
        <f t="shared" si="12"/>
        <v/>
      </c>
    </row>
    <row r="851" spans="2:2" x14ac:dyDescent="0.25">
      <c r="B851" s="93" t="str">
        <f t="shared" si="12"/>
        <v/>
      </c>
    </row>
    <row r="852" spans="2:2" x14ac:dyDescent="0.25">
      <c r="B852" s="93" t="str">
        <f t="shared" ref="B852:B915" si="13">IF(A852=0,"","Hinge")</f>
        <v/>
      </c>
    </row>
    <row r="853" spans="2:2" x14ac:dyDescent="0.25">
      <c r="B853" s="93" t="str">
        <f t="shared" si="13"/>
        <v/>
      </c>
    </row>
    <row r="854" spans="2:2" x14ac:dyDescent="0.25">
      <c r="B854" s="93" t="str">
        <f t="shared" si="13"/>
        <v/>
      </c>
    </row>
    <row r="855" spans="2:2" x14ac:dyDescent="0.25">
      <c r="B855" s="93" t="str">
        <f t="shared" si="13"/>
        <v/>
      </c>
    </row>
    <row r="856" spans="2:2" x14ac:dyDescent="0.25">
      <c r="B856" s="93" t="str">
        <f t="shared" si="13"/>
        <v/>
      </c>
    </row>
    <row r="857" spans="2:2" x14ac:dyDescent="0.25">
      <c r="B857" s="93" t="str">
        <f t="shared" si="13"/>
        <v/>
      </c>
    </row>
    <row r="858" spans="2:2" x14ac:dyDescent="0.25">
      <c r="B858" s="93" t="str">
        <f t="shared" si="13"/>
        <v/>
      </c>
    </row>
    <row r="859" spans="2:2" x14ac:dyDescent="0.25">
      <c r="B859" s="93" t="str">
        <f t="shared" si="13"/>
        <v/>
      </c>
    </row>
    <row r="860" spans="2:2" x14ac:dyDescent="0.25">
      <c r="B860" s="93" t="str">
        <f t="shared" si="13"/>
        <v/>
      </c>
    </row>
    <row r="861" spans="2:2" x14ac:dyDescent="0.25">
      <c r="B861" s="93" t="str">
        <f t="shared" si="13"/>
        <v/>
      </c>
    </row>
    <row r="862" spans="2:2" x14ac:dyDescent="0.25">
      <c r="B862" s="93" t="str">
        <f t="shared" si="13"/>
        <v/>
      </c>
    </row>
    <row r="863" spans="2:2" x14ac:dyDescent="0.25">
      <c r="B863" s="93" t="str">
        <f t="shared" si="13"/>
        <v/>
      </c>
    </row>
    <row r="864" spans="2:2" x14ac:dyDescent="0.25">
      <c r="B864" s="93" t="str">
        <f t="shared" si="13"/>
        <v/>
      </c>
    </row>
    <row r="865" spans="2:2" x14ac:dyDescent="0.25">
      <c r="B865" s="93" t="str">
        <f t="shared" si="13"/>
        <v/>
      </c>
    </row>
    <row r="866" spans="2:2" x14ac:dyDescent="0.25">
      <c r="B866" s="93" t="str">
        <f t="shared" si="13"/>
        <v/>
      </c>
    </row>
    <row r="867" spans="2:2" x14ac:dyDescent="0.25">
      <c r="B867" s="93" t="str">
        <f t="shared" si="13"/>
        <v/>
      </c>
    </row>
    <row r="868" spans="2:2" x14ac:dyDescent="0.25">
      <c r="B868" s="93" t="str">
        <f t="shared" si="13"/>
        <v/>
      </c>
    </row>
    <row r="869" spans="2:2" x14ac:dyDescent="0.25">
      <c r="B869" s="93" t="str">
        <f t="shared" si="13"/>
        <v/>
      </c>
    </row>
    <row r="870" spans="2:2" x14ac:dyDescent="0.25">
      <c r="B870" s="93" t="str">
        <f t="shared" si="13"/>
        <v/>
      </c>
    </row>
    <row r="871" spans="2:2" x14ac:dyDescent="0.25">
      <c r="B871" s="93" t="str">
        <f t="shared" si="13"/>
        <v/>
      </c>
    </row>
    <row r="872" spans="2:2" x14ac:dyDescent="0.25">
      <c r="B872" s="93" t="str">
        <f t="shared" si="13"/>
        <v/>
      </c>
    </row>
    <row r="873" spans="2:2" x14ac:dyDescent="0.25">
      <c r="B873" s="93" t="str">
        <f t="shared" si="13"/>
        <v/>
      </c>
    </row>
    <row r="874" spans="2:2" x14ac:dyDescent="0.25">
      <c r="B874" s="93" t="str">
        <f t="shared" si="13"/>
        <v/>
      </c>
    </row>
    <row r="875" spans="2:2" x14ac:dyDescent="0.25">
      <c r="B875" s="93" t="str">
        <f t="shared" si="13"/>
        <v/>
      </c>
    </row>
    <row r="876" spans="2:2" x14ac:dyDescent="0.25">
      <c r="B876" s="93" t="str">
        <f t="shared" si="13"/>
        <v/>
      </c>
    </row>
    <row r="877" spans="2:2" x14ac:dyDescent="0.25">
      <c r="B877" s="93" t="str">
        <f t="shared" si="13"/>
        <v/>
      </c>
    </row>
    <row r="878" spans="2:2" x14ac:dyDescent="0.25">
      <c r="B878" s="93" t="str">
        <f t="shared" si="13"/>
        <v/>
      </c>
    </row>
    <row r="879" spans="2:2" x14ac:dyDescent="0.25">
      <c r="B879" s="93" t="str">
        <f t="shared" si="13"/>
        <v/>
      </c>
    </row>
    <row r="880" spans="2:2" x14ac:dyDescent="0.25">
      <c r="B880" s="93" t="str">
        <f t="shared" si="13"/>
        <v/>
      </c>
    </row>
    <row r="881" spans="2:2" x14ac:dyDescent="0.25">
      <c r="B881" s="93" t="str">
        <f t="shared" si="13"/>
        <v/>
      </c>
    </row>
    <row r="882" spans="2:2" x14ac:dyDescent="0.25">
      <c r="B882" s="93" t="str">
        <f t="shared" si="13"/>
        <v/>
      </c>
    </row>
    <row r="883" spans="2:2" x14ac:dyDescent="0.25">
      <c r="B883" s="93" t="str">
        <f t="shared" si="13"/>
        <v/>
      </c>
    </row>
    <row r="884" spans="2:2" x14ac:dyDescent="0.25">
      <c r="B884" s="93" t="str">
        <f t="shared" si="13"/>
        <v/>
      </c>
    </row>
    <row r="885" spans="2:2" x14ac:dyDescent="0.25">
      <c r="B885" s="93" t="str">
        <f t="shared" si="13"/>
        <v/>
      </c>
    </row>
    <row r="886" spans="2:2" x14ac:dyDescent="0.25">
      <c r="B886" s="93" t="str">
        <f t="shared" si="13"/>
        <v/>
      </c>
    </row>
    <row r="887" spans="2:2" x14ac:dyDescent="0.25">
      <c r="B887" s="93" t="str">
        <f t="shared" si="13"/>
        <v/>
      </c>
    </row>
    <row r="888" spans="2:2" x14ac:dyDescent="0.25">
      <c r="B888" s="93" t="str">
        <f t="shared" si="13"/>
        <v/>
      </c>
    </row>
    <row r="889" spans="2:2" x14ac:dyDescent="0.25">
      <c r="B889" s="93" t="str">
        <f t="shared" si="13"/>
        <v/>
      </c>
    </row>
    <row r="890" spans="2:2" x14ac:dyDescent="0.25">
      <c r="B890" s="93" t="str">
        <f t="shared" si="13"/>
        <v/>
      </c>
    </row>
    <row r="891" spans="2:2" x14ac:dyDescent="0.25">
      <c r="B891" s="93" t="str">
        <f t="shared" si="13"/>
        <v/>
      </c>
    </row>
    <row r="892" spans="2:2" x14ac:dyDescent="0.25">
      <c r="B892" s="93" t="str">
        <f t="shared" si="13"/>
        <v/>
      </c>
    </row>
    <row r="893" spans="2:2" x14ac:dyDescent="0.25">
      <c r="B893" s="93" t="str">
        <f t="shared" si="13"/>
        <v/>
      </c>
    </row>
    <row r="894" spans="2:2" x14ac:dyDescent="0.25">
      <c r="B894" s="93" t="str">
        <f t="shared" si="13"/>
        <v/>
      </c>
    </row>
    <row r="895" spans="2:2" x14ac:dyDescent="0.25">
      <c r="B895" s="93" t="str">
        <f t="shared" si="13"/>
        <v/>
      </c>
    </row>
    <row r="896" spans="2:2" x14ac:dyDescent="0.25">
      <c r="B896" s="93" t="str">
        <f t="shared" si="13"/>
        <v/>
      </c>
    </row>
    <row r="897" spans="2:2" x14ac:dyDescent="0.25">
      <c r="B897" s="93" t="str">
        <f t="shared" si="13"/>
        <v/>
      </c>
    </row>
    <row r="898" spans="2:2" x14ac:dyDescent="0.25">
      <c r="B898" s="93" t="str">
        <f t="shared" si="13"/>
        <v/>
      </c>
    </row>
    <row r="899" spans="2:2" x14ac:dyDescent="0.25">
      <c r="B899" s="93" t="str">
        <f t="shared" si="13"/>
        <v/>
      </c>
    </row>
    <row r="900" spans="2:2" x14ac:dyDescent="0.25">
      <c r="B900" s="93" t="str">
        <f t="shared" si="13"/>
        <v/>
      </c>
    </row>
    <row r="901" spans="2:2" x14ac:dyDescent="0.25">
      <c r="B901" s="93" t="str">
        <f t="shared" si="13"/>
        <v/>
      </c>
    </row>
    <row r="902" spans="2:2" x14ac:dyDescent="0.25">
      <c r="B902" s="93" t="str">
        <f t="shared" si="13"/>
        <v/>
      </c>
    </row>
    <row r="903" spans="2:2" x14ac:dyDescent="0.25">
      <c r="B903" s="93" t="str">
        <f t="shared" si="13"/>
        <v/>
      </c>
    </row>
    <row r="904" spans="2:2" x14ac:dyDescent="0.25">
      <c r="B904" s="93" t="str">
        <f t="shared" si="13"/>
        <v/>
      </c>
    </row>
    <row r="905" spans="2:2" x14ac:dyDescent="0.25">
      <c r="B905" s="93" t="str">
        <f t="shared" si="13"/>
        <v/>
      </c>
    </row>
    <row r="906" spans="2:2" x14ac:dyDescent="0.25">
      <c r="B906" s="93" t="str">
        <f t="shared" si="13"/>
        <v/>
      </c>
    </row>
    <row r="907" spans="2:2" x14ac:dyDescent="0.25">
      <c r="B907" s="93" t="str">
        <f t="shared" si="13"/>
        <v/>
      </c>
    </row>
    <row r="908" spans="2:2" x14ac:dyDescent="0.25">
      <c r="B908" s="93" t="str">
        <f t="shared" si="13"/>
        <v/>
      </c>
    </row>
    <row r="909" spans="2:2" x14ac:dyDescent="0.25">
      <c r="B909" s="93" t="str">
        <f t="shared" si="13"/>
        <v/>
      </c>
    </row>
    <row r="910" spans="2:2" x14ac:dyDescent="0.25">
      <c r="B910" s="93" t="str">
        <f t="shared" si="13"/>
        <v/>
      </c>
    </row>
    <row r="911" spans="2:2" x14ac:dyDescent="0.25">
      <c r="B911" s="93" t="str">
        <f t="shared" si="13"/>
        <v/>
      </c>
    </row>
    <row r="912" spans="2:2" x14ac:dyDescent="0.25">
      <c r="B912" s="93" t="str">
        <f t="shared" si="13"/>
        <v/>
      </c>
    </row>
    <row r="913" spans="2:2" x14ac:dyDescent="0.25">
      <c r="B913" s="93" t="str">
        <f t="shared" si="13"/>
        <v/>
      </c>
    </row>
    <row r="914" spans="2:2" x14ac:dyDescent="0.25">
      <c r="B914" s="93" t="str">
        <f t="shared" si="13"/>
        <v/>
      </c>
    </row>
    <row r="915" spans="2:2" x14ac:dyDescent="0.25">
      <c r="B915" s="93" t="str">
        <f t="shared" si="13"/>
        <v/>
      </c>
    </row>
    <row r="916" spans="2:2" x14ac:dyDescent="0.25">
      <c r="B916" s="93" t="str">
        <f t="shared" ref="B916:B979" si="14">IF(A916=0,"","Hinge")</f>
        <v/>
      </c>
    </row>
    <row r="917" spans="2:2" x14ac:dyDescent="0.25">
      <c r="B917" s="93" t="str">
        <f t="shared" si="14"/>
        <v/>
      </c>
    </row>
    <row r="918" spans="2:2" x14ac:dyDescent="0.25">
      <c r="B918" s="93" t="str">
        <f t="shared" si="14"/>
        <v/>
      </c>
    </row>
    <row r="919" spans="2:2" x14ac:dyDescent="0.25">
      <c r="B919" s="93" t="str">
        <f t="shared" si="14"/>
        <v/>
      </c>
    </row>
    <row r="920" spans="2:2" x14ac:dyDescent="0.25">
      <c r="B920" s="93" t="str">
        <f t="shared" si="14"/>
        <v/>
      </c>
    </row>
    <row r="921" spans="2:2" x14ac:dyDescent="0.25">
      <c r="B921" s="93" t="str">
        <f t="shared" si="14"/>
        <v/>
      </c>
    </row>
    <row r="922" spans="2:2" x14ac:dyDescent="0.25">
      <c r="B922" s="93" t="str">
        <f t="shared" si="14"/>
        <v/>
      </c>
    </row>
    <row r="923" spans="2:2" x14ac:dyDescent="0.25">
      <c r="B923" s="93" t="str">
        <f t="shared" si="14"/>
        <v/>
      </c>
    </row>
    <row r="924" spans="2:2" x14ac:dyDescent="0.25">
      <c r="B924" s="93" t="str">
        <f t="shared" si="14"/>
        <v/>
      </c>
    </row>
    <row r="925" spans="2:2" x14ac:dyDescent="0.25">
      <c r="B925" s="93" t="str">
        <f t="shared" si="14"/>
        <v/>
      </c>
    </row>
    <row r="926" spans="2:2" x14ac:dyDescent="0.25">
      <c r="B926" s="93" t="str">
        <f t="shared" si="14"/>
        <v/>
      </c>
    </row>
    <row r="927" spans="2:2" x14ac:dyDescent="0.25">
      <c r="B927" s="93" t="str">
        <f t="shared" si="14"/>
        <v/>
      </c>
    </row>
    <row r="928" spans="2:2" x14ac:dyDescent="0.25">
      <c r="B928" s="93" t="str">
        <f t="shared" si="14"/>
        <v/>
      </c>
    </row>
    <row r="929" spans="2:2" x14ac:dyDescent="0.25">
      <c r="B929" s="93" t="str">
        <f t="shared" si="14"/>
        <v/>
      </c>
    </row>
    <row r="930" spans="2:2" x14ac:dyDescent="0.25">
      <c r="B930" s="93" t="str">
        <f t="shared" si="14"/>
        <v/>
      </c>
    </row>
    <row r="931" spans="2:2" x14ac:dyDescent="0.25">
      <c r="B931" s="93" t="str">
        <f t="shared" si="14"/>
        <v/>
      </c>
    </row>
    <row r="932" spans="2:2" x14ac:dyDescent="0.25">
      <c r="B932" s="93" t="str">
        <f t="shared" si="14"/>
        <v/>
      </c>
    </row>
    <row r="933" spans="2:2" x14ac:dyDescent="0.25">
      <c r="B933" s="93" t="str">
        <f t="shared" si="14"/>
        <v/>
      </c>
    </row>
    <row r="934" spans="2:2" x14ac:dyDescent="0.25">
      <c r="B934" s="93" t="str">
        <f t="shared" si="14"/>
        <v/>
      </c>
    </row>
    <row r="935" spans="2:2" x14ac:dyDescent="0.25">
      <c r="B935" s="93" t="str">
        <f t="shared" si="14"/>
        <v/>
      </c>
    </row>
    <row r="936" spans="2:2" x14ac:dyDescent="0.25">
      <c r="B936" s="93" t="str">
        <f t="shared" si="14"/>
        <v/>
      </c>
    </row>
    <row r="937" spans="2:2" x14ac:dyDescent="0.25">
      <c r="B937" s="93" t="str">
        <f t="shared" si="14"/>
        <v/>
      </c>
    </row>
    <row r="938" spans="2:2" x14ac:dyDescent="0.25">
      <c r="B938" s="93" t="str">
        <f t="shared" si="14"/>
        <v/>
      </c>
    </row>
    <row r="939" spans="2:2" x14ac:dyDescent="0.25">
      <c r="B939" s="93" t="str">
        <f t="shared" si="14"/>
        <v/>
      </c>
    </row>
    <row r="940" spans="2:2" x14ac:dyDescent="0.25">
      <c r="B940" s="93" t="str">
        <f t="shared" si="14"/>
        <v/>
      </c>
    </row>
    <row r="941" spans="2:2" x14ac:dyDescent="0.25">
      <c r="B941" s="93" t="str">
        <f t="shared" si="14"/>
        <v/>
      </c>
    </row>
    <row r="942" spans="2:2" x14ac:dyDescent="0.25">
      <c r="B942" s="93" t="str">
        <f t="shared" si="14"/>
        <v/>
      </c>
    </row>
    <row r="943" spans="2:2" x14ac:dyDescent="0.25">
      <c r="B943" s="93" t="str">
        <f t="shared" si="14"/>
        <v/>
      </c>
    </row>
    <row r="944" spans="2:2" x14ac:dyDescent="0.25">
      <c r="B944" s="93" t="str">
        <f t="shared" si="14"/>
        <v/>
      </c>
    </row>
    <row r="945" spans="2:2" x14ac:dyDescent="0.25">
      <c r="B945" s="93" t="str">
        <f t="shared" si="14"/>
        <v/>
      </c>
    </row>
    <row r="946" spans="2:2" x14ac:dyDescent="0.25">
      <c r="B946" s="93" t="str">
        <f t="shared" si="14"/>
        <v/>
      </c>
    </row>
    <row r="947" spans="2:2" x14ac:dyDescent="0.25">
      <c r="B947" s="93" t="str">
        <f t="shared" si="14"/>
        <v/>
      </c>
    </row>
    <row r="948" spans="2:2" x14ac:dyDescent="0.25">
      <c r="B948" s="93" t="str">
        <f t="shared" si="14"/>
        <v/>
      </c>
    </row>
    <row r="949" spans="2:2" x14ac:dyDescent="0.25">
      <c r="B949" s="93" t="str">
        <f t="shared" si="14"/>
        <v/>
      </c>
    </row>
    <row r="950" spans="2:2" x14ac:dyDescent="0.25">
      <c r="B950" s="93" t="str">
        <f t="shared" si="14"/>
        <v/>
      </c>
    </row>
    <row r="951" spans="2:2" x14ac:dyDescent="0.25">
      <c r="B951" s="93" t="str">
        <f t="shared" si="14"/>
        <v/>
      </c>
    </row>
    <row r="952" spans="2:2" x14ac:dyDescent="0.25">
      <c r="B952" s="93" t="str">
        <f t="shared" si="14"/>
        <v/>
      </c>
    </row>
    <row r="953" spans="2:2" x14ac:dyDescent="0.25">
      <c r="B953" s="93" t="str">
        <f t="shared" si="14"/>
        <v/>
      </c>
    </row>
    <row r="954" spans="2:2" x14ac:dyDescent="0.25">
      <c r="B954" s="93" t="str">
        <f t="shared" si="14"/>
        <v/>
      </c>
    </row>
    <row r="955" spans="2:2" x14ac:dyDescent="0.25">
      <c r="B955" s="93" t="str">
        <f t="shared" si="14"/>
        <v/>
      </c>
    </row>
    <row r="956" spans="2:2" x14ac:dyDescent="0.25">
      <c r="B956" s="93" t="str">
        <f t="shared" si="14"/>
        <v/>
      </c>
    </row>
    <row r="957" spans="2:2" x14ac:dyDescent="0.25">
      <c r="B957" s="93" t="str">
        <f t="shared" si="14"/>
        <v/>
      </c>
    </row>
    <row r="958" spans="2:2" x14ac:dyDescent="0.25">
      <c r="B958" s="93" t="str">
        <f t="shared" si="14"/>
        <v/>
      </c>
    </row>
    <row r="959" spans="2:2" x14ac:dyDescent="0.25">
      <c r="B959" s="93" t="str">
        <f t="shared" si="14"/>
        <v/>
      </c>
    </row>
    <row r="960" spans="2:2" x14ac:dyDescent="0.25">
      <c r="B960" s="93" t="str">
        <f t="shared" si="14"/>
        <v/>
      </c>
    </row>
    <row r="961" spans="2:2" x14ac:dyDescent="0.25">
      <c r="B961" s="93" t="str">
        <f t="shared" si="14"/>
        <v/>
      </c>
    </row>
    <row r="962" spans="2:2" x14ac:dyDescent="0.25">
      <c r="B962" s="93" t="str">
        <f t="shared" si="14"/>
        <v/>
      </c>
    </row>
    <row r="963" spans="2:2" x14ac:dyDescent="0.25">
      <c r="B963" s="93" t="str">
        <f t="shared" si="14"/>
        <v/>
      </c>
    </row>
    <row r="964" spans="2:2" x14ac:dyDescent="0.25">
      <c r="B964" s="93" t="str">
        <f t="shared" si="14"/>
        <v/>
      </c>
    </row>
    <row r="965" spans="2:2" x14ac:dyDescent="0.25">
      <c r="B965" s="93" t="str">
        <f t="shared" si="14"/>
        <v/>
      </c>
    </row>
    <row r="966" spans="2:2" x14ac:dyDescent="0.25">
      <c r="B966" s="93" t="str">
        <f t="shared" si="14"/>
        <v/>
      </c>
    </row>
    <row r="967" spans="2:2" x14ac:dyDescent="0.25">
      <c r="B967" s="93" t="str">
        <f t="shared" si="14"/>
        <v/>
      </c>
    </row>
    <row r="968" spans="2:2" x14ac:dyDescent="0.25">
      <c r="B968" s="93" t="str">
        <f t="shared" si="14"/>
        <v/>
      </c>
    </row>
    <row r="969" spans="2:2" x14ac:dyDescent="0.25">
      <c r="B969" s="93" t="str">
        <f t="shared" si="14"/>
        <v/>
      </c>
    </row>
    <row r="970" spans="2:2" x14ac:dyDescent="0.25">
      <c r="B970" s="93" t="str">
        <f t="shared" si="14"/>
        <v/>
      </c>
    </row>
    <row r="971" spans="2:2" x14ac:dyDescent="0.25">
      <c r="B971" s="93" t="str">
        <f t="shared" si="14"/>
        <v/>
      </c>
    </row>
    <row r="972" spans="2:2" x14ac:dyDescent="0.25">
      <c r="B972" s="93" t="str">
        <f t="shared" si="14"/>
        <v/>
      </c>
    </row>
    <row r="973" spans="2:2" x14ac:dyDescent="0.25">
      <c r="B973" s="93" t="str">
        <f t="shared" si="14"/>
        <v/>
      </c>
    </row>
    <row r="974" spans="2:2" x14ac:dyDescent="0.25">
      <c r="B974" s="93" t="str">
        <f t="shared" si="14"/>
        <v/>
      </c>
    </row>
    <row r="975" spans="2:2" x14ac:dyDescent="0.25">
      <c r="B975" s="93" t="str">
        <f t="shared" si="14"/>
        <v/>
      </c>
    </row>
    <row r="976" spans="2:2" x14ac:dyDescent="0.25">
      <c r="B976" s="93" t="str">
        <f t="shared" si="14"/>
        <v/>
      </c>
    </row>
    <row r="977" spans="2:2" x14ac:dyDescent="0.25">
      <c r="B977" s="93" t="str">
        <f t="shared" si="14"/>
        <v/>
      </c>
    </row>
    <row r="978" spans="2:2" x14ac:dyDescent="0.25">
      <c r="B978" s="93" t="str">
        <f t="shared" si="14"/>
        <v/>
      </c>
    </row>
    <row r="979" spans="2:2" x14ac:dyDescent="0.25">
      <c r="B979" s="93" t="str">
        <f t="shared" si="14"/>
        <v/>
      </c>
    </row>
    <row r="980" spans="2:2" x14ac:dyDescent="0.25">
      <c r="B980" s="93" t="str">
        <f t="shared" ref="B980:B1019" si="15">IF(A980=0,"","Hinge")</f>
        <v/>
      </c>
    </row>
    <row r="981" spans="2:2" x14ac:dyDescent="0.25">
      <c r="B981" s="93" t="str">
        <f t="shared" si="15"/>
        <v/>
      </c>
    </row>
    <row r="982" spans="2:2" x14ac:dyDescent="0.25">
      <c r="B982" s="93" t="str">
        <f t="shared" si="15"/>
        <v/>
      </c>
    </row>
    <row r="983" spans="2:2" x14ac:dyDescent="0.25">
      <c r="B983" s="93" t="str">
        <f t="shared" si="15"/>
        <v/>
      </c>
    </row>
    <row r="984" spans="2:2" x14ac:dyDescent="0.25">
      <c r="B984" s="93" t="str">
        <f t="shared" si="15"/>
        <v/>
      </c>
    </row>
    <row r="985" spans="2:2" x14ac:dyDescent="0.25">
      <c r="B985" s="93" t="str">
        <f t="shared" si="15"/>
        <v/>
      </c>
    </row>
    <row r="986" spans="2:2" x14ac:dyDescent="0.25">
      <c r="B986" s="93" t="str">
        <f t="shared" si="15"/>
        <v/>
      </c>
    </row>
    <row r="987" spans="2:2" x14ac:dyDescent="0.25">
      <c r="B987" s="93" t="str">
        <f t="shared" si="15"/>
        <v/>
      </c>
    </row>
    <row r="988" spans="2:2" x14ac:dyDescent="0.25">
      <c r="B988" s="93" t="str">
        <f t="shared" si="15"/>
        <v/>
      </c>
    </row>
    <row r="989" spans="2:2" x14ac:dyDescent="0.25">
      <c r="B989" s="93" t="str">
        <f t="shared" si="15"/>
        <v/>
      </c>
    </row>
    <row r="990" spans="2:2" x14ac:dyDescent="0.25">
      <c r="B990" s="93" t="str">
        <f t="shared" si="15"/>
        <v/>
      </c>
    </row>
    <row r="991" spans="2:2" x14ac:dyDescent="0.25">
      <c r="B991" s="93" t="str">
        <f t="shared" si="15"/>
        <v/>
      </c>
    </row>
    <row r="992" spans="2:2" x14ac:dyDescent="0.25">
      <c r="B992" s="93" t="str">
        <f t="shared" si="15"/>
        <v/>
      </c>
    </row>
    <row r="993" spans="2:2" x14ac:dyDescent="0.25">
      <c r="B993" s="93" t="str">
        <f t="shared" si="15"/>
        <v/>
      </c>
    </row>
    <row r="994" spans="2:2" x14ac:dyDescent="0.25">
      <c r="B994" s="93" t="str">
        <f t="shared" si="15"/>
        <v/>
      </c>
    </row>
    <row r="995" spans="2:2" x14ac:dyDescent="0.25">
      <c r="B995" s="93" t="str">
        <f t="shared" si="15"/>
        <v/>
      </c>
    </row>
    <row r="996" spans="2:2" x14ac:dyDescent="0.25">
      <c r="B996" s="93" t="str">
        <f t="shared" si="15"/>
        <v/>
      </c>
    </row>
    <row r="997" spans="2:2" x14ac:dyDescent="0.25">
      <c r="B997" s="93" t="str">
        <f t="shared" si="15"/>
        <v/>
      </c>
    </row>
    <row r="998" spans="2:2" x14ac:dyDescent="0.25">
      <c r="B998" s="93" t="str">
        <f t="shared" si="15"/>
        <v/>
      </c>
    </row>
    <row r="999" spans="2:2" x14ac:dyDescent="0.25">
      <c r="B999" s="93" t="str">
        <f t="shared" si="15"/>
        <v/>
      </c>
    </row>
    <row r="1000" spans="2:2" x14ac:dyDescent="0.25">
      <c r="B1000" s="93" t="str">
        <f t="shared" si="15"/>
        <v/>
      </c>
    </row>
    <row r="1001" spans="2:2" x14ac:dyDescent="0.25">
      <c r="B1001" s="93" t="str">
        <f t="shared" si="15"/>
        <v/>
      </c>
    </row>
    <row r="1002" spans="2:2" x14ac:dyDescent="0.25">
      <c r="B1002" s="93" t="str">
        <f t="shared" si="15"/>
        <v/>
      </c>
    </row>
    <row r="1003" spans="2:2" x14ac:dyDescent="0.25">
      <c r="B1003" s="93" t="str">
        <f t="shared" si="15"/>
        <v/>
      </c>
    </row>
    <row r="1004" spans="2:2" x14ac:dyDescent="0.25">
      <c r="B1004" s="93" t="str">
        <f t="shared" si="15"/>
        <v/>
      </c>
    </row>
    <row r="1005" spans="2:2" x14ac:dyDescent="0.25">
      <c r="B1005" s="93" t="str">
        <f t="shared" si="15"/>
        <v/>
      </c>
    </row>
    <row r="1006" spans="2:2" x14ac:dyDescent="0.25">
      <c r="B1006" s="93" t="str">
        <f t="shared" si="15"/>
        <v/>
      </c>
    </row>
    <row r="1007" spans="2:2" x14ac:dyDescent="0.25">
      <c r="B1007" s="93" t="str">
        <f t="shared" si="15"/>
        <v/>
      </c>
    </row>
    <row r="1008" spans="2:2" x14ac:dyDescent="0.25">
      <c r="B1008" s="93" t="str">
        <f t="shared" si="15"/>
        <v/>
      </c>
    </row>
    <row r="1009" spans="2:2" x14ac:dyDescent="0.25">
      <c r="B1009" s="93" t="str">
        <f t="shared" si="15"/>
        <v/>
      </c>
    </row>
    <row r="1010" spans="2:2" x14ac:dyDescent="0.25">
      <c r="B1010" s="93" t="str">
        <f t="shared" si="15"/>
        <v/>
      </c>
    </row>
    <row r="1011" spans="2:2" x14ac:dyDescent="0.25">
      <c r="B1011" s="93" t="str">
        <f t="shared" si="15"/>
        <v/>
      </c>
    </row>
    <row r="1012" spans="2:2" x14ac:dyDescent="0.25">
      <c r="B1012" s="93" t="str">
        <f t="shared" si="15"/>
        <v/>
      </c>
    </row>
    <row r="1013" spans="2:2" x14ac:dyDescent="0.25">
      <c r="B1013" s="93" t="str">
        <f t="shared" si="15"/>
        <v/>
      </c>
    </row>
    <row r="1014" spans="2:2" x14ac:dyDescent="0.25">
      <c r="B1014" s="93" t="str">
        <f t="shared" si="15"/>
        <v/>
      </c>
    </row>
    <row r="1015" spans="2:2" x14ac:dyDescent="0.25">
      <c r="B1015" s="93" t="str">
        <f t="shared" si="15"/>
        <v/>
      </c>
    </row>
    <row r="1016" spans="2:2" x14ac:dyDescent="0.25">
      <c r="B1016" s="93" t="str">
        <f t="shared" si="15"/>
        <v/>
      </c>
    </row>
    <row r="1017" spans="2:2" x14ac:dyDescent="0.25">
      <c r="B1017" s="93" t="str">
        <f t="shared" si="15"/>
        <v/>
      </c>
    </row>
    <row r="1018" spans="2:2" x14ac:dyDescent="0.25">
      <c r="B1018" s="93" t="str">
        <f t="shared" si="15"/>
        <v/>
      </c>
    </row>
    <row r="1019" spans="2:2" x14ac:dyDescent="0.25">
      <c r="B1019" s="93" t="str">
        <f t="shared" si="15"/>
        <v/>
      </c>
    </row>
  </sheetData>
  <mergeCells count="4">
    <mergeCell ref="A6:P6"/>
    <mergeCell ref="A7:P7"/>
    <mergeCell ref="A12:P12"/>
    <mergeCell ref="A13:P13"/>
  </mergeCells>
  <conditionalFormatting sqref="K20:K1048576">
    <cfRule type="expression" dxfId="6" priority="4">
      <formula>OR(C20="IMKBilinear",C20="IMKPeakOriented")</formula>
    </cfRule>
  </conditionalFormatting>
  <conditionalFormatting sqref="L20:L1048576">
    <cfRule type="expression" dxfId="5" priority="3">
      <formula>OR(C20="IMKBilinear",C20="IMKPeakOriented")</formula>
    </cfRule>
  </conditionalFormatting>
  <conditionalFormatting sqref="L20:M1048576">
    <cfRule type="expression" dxfId="4" priority="6">
      <formula>OR(D20="IMKPinching",D20="IMKPeakOriented")</formula>
    </cfRule>
  </conditionalFormatting>
  <conditionalFormatting sqref="M20:M1048576">
    <cfRule type="expression" dxfId="3" priority="2">
      <formula>OR(C20="IMKBilinear",C20="IMKPeakOriented")</formula>
    </cfRule>
  </conditionalFormatting>
  <conditionalFormatting sqref="N20:N1048576">
    <cfRule type="expression" dxfId="2" priority="1">
      <formula>OR(C20="IMKPeakOriented",C20="IMKPinching")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A20" sqref="A20"/>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199</v>
      </c>
      <c r="B1" s="39"/>
      <c r="C1" s="39"/>
      <c r="D1" s="39"/>
      <c r="E1" s="39"/>
      <c r="F1" s="46"/>
      <c r="G1" s="46"/>
      <c r="H1" s="46"/>
      <c r="I1" s="46"/>
      <c r="J1" s="46"/>
      <c r="K1" s="46"/>
      <c r="L1" s="46"/>
      <c r="M1" s="47"/>
    </row>
    <row r="2" spans="1:13" x14ac:dyDescent="0.25">
      <c r="A2" s="48" t="s">
        <v>288</v>
      </c>
      <c r="B2" s="41"/>
      <c r="C2" s="41"/>
      <c r="E2" s="41"/>
      <c r="F2" s="58"/>
      <c r="G2" s="58"/>
      <c r="H2" s="58"/>
      <c r="I2" s="58"/>
      <c r="J2" s="58"/>
      <c r="K2" s="58"/>
      <c r="L2" s="58"/>
      <c r="M2" s="49"/>
    </row>
    <row r="3" spans="1:13" x14ac:dyDescent="0.25">
      <c r="A3" s="48" t="s">
        <v>289</v>
      </c>
      <c r="B3" s="41"/>
      <c r="C3" s="41"/>
      <c r="E3" s="41"/>
      <c r="F3" s="58"/>
      <c r="G3" s="58"/>
      <c r="H3" s="58"/>
      <c r="I3" s="58"/>
      <c r="J3" s="58"/>
      <c r="K3" s="58"/>
      <c r="L3" s="58"/>
      <c r="M3" s="49"/>
    </row>
    <row r="4" spans="1:13" x14ac:dyDescent="0.25">
      <c r="A4" s="96" t="s">
        <v>290</v>
      </c>
      <c r="B4" s="41"/>
      <c r="C4" s="41"/>
      <c r="E4" s="41"/>
      <c r="F4" s="58"/>
      <c r="G4" s="58"/>
      <c r="H4" s="58"/>
      <c r="I4" s="58"/>
      <c r="J4" s="58"/>
      <c r="K4" s="58"/>
      <c r="L4" s="58"/>
      <c r="M4" s="49"/>
    </row>
    <row r="5" spans="1:13" x14ac:dyDescent="0.25">
      <c r="A5" s="48" t="s">
        <v>291</v>
      </c>
      <c r="B5" s="41"/>
      <c r="C5" s="41"/>
      <c r="E5" s="41"/>
      <c r="F5" s="58"/>
      <c r="G5" s="58"/>
      <c r="H5" s="58"/>
      <c r="I5" s="58"/>
      <c r="J5" s="58"/>
      <c r="K5" s="58"/>
      <c r="L5" s="58"/>
      <c r="M5" s="49"/>
    </row>
    <row r="6" spans="1:13" x14ac:dyDescent="0.25">
      <c r="A6" s="48" t="s">
        <v>292</v>
      </c>
      <c r="B6" s="41"/>
      <c r="C6" s="41"/>
      <c r="E6" s="41"/>
      <c r="F6" s="58"/>
      <c r="G6" s="58"/>
      <c r="H6" s="58"/>
      <c r="I6" s="58"/>
      <c r="J6" s="58"/>
      <c r="K6" s="58"/>
      <c r="L6" s="58"/>
      <c r="M6" s="49"/>
    </row>
    <row r="7" spans="1:13" x14ac:dyDescent="0.25">
      <c r="A7" s="48" t="str">
        <f>"- h: Section height (Input as Float) ("&amp;'User Specified Unitsystem'!$B$11&amp;")"</f>
        <v>- h: Section height (Input as Float) (m)</v>
      </c>
      <c r="B7" s="41"/>
      <c r="C7" s="41"/>
      <c r="E7" s="41"/>
      <c r="F7" s="58"/>
      <c r="G7" s="58"/>
      <c r="H7" s="58"/>
      <c r="I7" s="58"/>
      <c r="J7" s="58"/>
      <c r="K7" s="58"/>
      <c r="L7" s="58"/>
      <c r="M7" s="49"/>
    </row>
    <row r="8" spans="1:13" x14ac:dyDescent="0.25">
      <c r="A8" s="48" t="str">
        <f>"- b: Section width (Input as Float) ("&amp;'User Specified Unitsystem'!$B$11&amp;")"</f>
        <v>- b: Section width (Input as Float) (m)</v>
      </c>
      <c r="B8" s="41"/>
      <c r="C8" s="41"/>
      <c r="E8" s="41"/>
      <c r="F8" s="58"/>
      <c r="G8" s="58"/>
      <c r="H8" s="58"/>
      <c r="I8" s="58"/>
      <c r="J8" s="58"/>
      <c r="K8" s="58"/>
      <c r="L8" s="58"/>
      <c r="M8" s="49"/>
    </row>
    <row r="9" spans="1:13" x14ac:dyDescent="0.25">
      <c r="A9" s="48" t="s">
        <v>294</v>
      </c>
      <c r="B9" s="41"/>
      <c r="C9" s="41"/>
      <c r="E9" s="41"/>
      <c r="F9" s="58"/>
      <c r="G9" s="58"/>
      <c r="H9" s="58"/>
      <c r="I9" s="58"/>
      <c r="J9" s="58"/>
      <c r="K9" s="58"/>
      <c r="L9" s="58"/>
      <c r="M9" s="49"/>
    </row>
    <row r="10" spans="1:13" x14ac:dyDescent="0.25">
      <c r="A10" s="48" t="s">
        <v>293</v>
      </c>
      <c r="B10" s="41"/>
      <c r="C10" s="41"/>
      <c r="E10" s="41"/>
      <c r="F10" s="58"/>
      <c r="G10" s="58"/>
      <c r="H10" s="58"/>
      <c r="I10" s="58"/>
      <c r="J10" s="58"/>
      <c r="K10" s="58"/>
      <c r="L10" s="58"/>
      <c r="M10" s="49"/>
    </row>
    <row r="11" spans="1:13" x14ac:dyDescent="0.25">
      <c r="A11" s="48" t="s">
        <v>295</v>
      </c>
      <c r="B11" s="41"/>
      <c r="C11" s="41"/>
      <c r="E11" s="41"/>
      <c r="F11" s="58"/>
      <c r="G11" s="58"/>
      <c r="H11" s="58"/>
      <c r="I11" s="58"/>
      <c r="J11" s="58"/>
      <c r="K11" s="58"/>
      <c r="L11" s="58"/>
      <c r="M11" s="49"/>
    </row>
    <row r="12" spans="1:13" x14ac:dyDescent="0.25">
      <c r="A12" s="48" t="s">
        <v>296</v>
      </c>
      <c r="B12" s="41"/>
      <c r="C12" s="41"/>
      <c r="E12" s="41"/>
      <c r="F12" s="58"/>
      <c r="G12" s="58"/>
      <c r="H12" s="58"/>
      <c r="I12" s="58"/>
      <c r="J12" s="58"/>
      <c r="K12" s="58"/>
      <c r="L12" s="58"/>
      <c r="M12" s="49"/>
    </row>
    <row r="13" spans="1:13" x14ac:dyDescent="0.25">
      <c r="A13" s="48" t="s">
        <v>297</v>
      </c>
      <c r="B13" s="41"/>
      <c r="C13" s="41"/>
      <c r="E13" s="41"/>
      <c r="F13" s="58"/>
      <c r="G13" s="58"/>
      <c r="H13" s="58"/>
      <c r="I13" s="58"/>
      <c r="J13" s="58"/>
      <c r="K13" s="58"/>
      <c r="L13" s="58"/>
      <c r="M13" s="49"/>
    </row>
    <row r="14" spans="1:13" x14ac:dyDescent="0.25">
      <c r="A14" s="53" t="s">
        <v>298</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71</v>
      </c>
      <c r="B16" s="31" t="s">
        <v>70</v>
      </c>
      <c r="C16" s="31" t="s">
        <v>18</v>
      </c>
      <c r="D16" s="31" t="s">
        <v>78</v>
      </c>
      <c r="E16" s="31" t="s">
        <v>114</v>
      </c>
      <c r="F16" s="31" t="s">
        <v>79</v>
      </c>
      <c r="G16" s="31" t="s">
        <v>28</v>
      </c>
      <c r="H16" s="31" t="s">
        <v>80</v>
      </c>
      <c r="I16" s="31" t="s">
        <v>81</v>
      </c>
      <c r="J16" s="31" t="s">
        <v>82</v>
      </c>
      <c r="K16" s="31" t="s">
        <v>83</v>
      </c>
      <c r="L16" s="31" t="s">
        <v>84</v>
      </c>
      <c r="M16" s="31" t="s">
        <v>85</v>
      </c>
    </row>
    <row r="17" spans="1:13" x14ac:dyDescent="0.25">
      <c r="A17" s="45" t="s">
        <v>86</v>
      </c>
      <c r="B17" s="45" t="s">
        <v>73</v>
      </c>
      <c r="C17" s="45" t="s">
        <v>16</v>
      </c>
      <c r="D17" s="41" t="str">
        <f t="shared" ref="D17:D80" si="0">IF(A17=0,"","Elastic")</f>
        <v>Elastic</v>
      </c>
      <c r="E17" s="45" t="s">
        <v>115</v>
      </c>
      <c r="F17" s="52">
        <v>0.7</v>
      </c>
      <c r="G17" s="52">
        <v>0.7</v>
      </c>
      <c r="H17" s="52">
        <v>1</v>
      </c>
      <c r="I17" s="52">
        <v>1</v>
      </c>
      <c r="J17" s="52">
        <v>1</v>
      </c>
      <c r="K17" s="52">
        <v>0.7</v>
      </c>
      <c r="L17" s="52">
        <v>0.7</v>
      </c>
      <c r="M17" s="52">
        <v>1</v>
      </c>
    </row>
    <row r="18" spans="1:13" x14ac:dyDescent="0.25">
      <c r="A18" s="45" t="s">
        <v>87</v>
      </c>
      <c r="B18" s="45" t="s">
        <v>73</v>
      </c>
      <c r="C18" s="45" t="s">
        <v>16</v>
      </c>
      <c r="D18" s="41" t="str">
        <f t="shared" si="0"/>
        <v>Elastic</v>
      </c>
      <c r="E18" s="45" t="s">
        <v>116</v>
      </c>
      <c r="F18" s="52">
        <v>0.6</v>
      </c>
      <c r="G18" s="52">
        <v>0.3</v>
      </c>
      <c r="H18" s="52">
        <v>1</v>
      </c>
      <c r="I18" s="52">
        <v>1</v>
      </c>
      <c r="J18" s="52">
        <v>1</v>
      </c>
      <c r="K18" s="52">
        <v>0.35</v>
      </c>
      <c r="L18" s="52">
        <v>0.35</v>
      </c>
      <c r="M18" s="52">
        <v>1</v>
      </c>
    </row>
    <row r="19" spans="1:13" x14ac:dyDescent="0.25">
      <c r="D19" s="41" t="str">
        <f t="shared" si="0"/>
        <v/>
      </c>
    </row>
    <row r="20" spans="1:13" x14ac:dyDescent="0.25">
      <c r="D20" s="41" t="str">
        <f t="shared" si="0"/>
        <v/>
      </c>
    </row>
    <row r="21" spans="1:13" x14ac:dyDescent="0.25">
      <c r="D21" s="41" t="str">
        <f t="shared" si="0"/>
        <v/>
      </c>
    </row>
    <row r="22" spans="1:13" x14ac:dyDescent="0.25">
      <c r="D22" s="41" t="str">
        <f t="shared" si="0"/>
        <v/>
      </c>
    </row>
    <row r="23" spans="1:13" x14ac:dyDescent="0.25">
      <c r="D23" s="41" t="str">
        <f t="shared" si="0"/>
        <v/>
      </c>
    </row>
    <row r="24" spans="1:13" x14ac:dyDescent="0.25">
      <c r="D24" s="41" t="str">
        <f t="shared" si="0"/>
        <v/>
      </c>
    </row>
    <row r="25" spans="1:13" x14ac:dyDescent="0.25">
      <c r="D25" s="41" t="str">
        <f t="shared" si="0"/>
        <v/>
      </c>
    </row>
    <row r="26" spans="1:13" x14ac:dyDescent="0.25">
      <c r="D26" s="41" t="str">
        <f t="shared" si="0"/>
        <v/>
      </c>
    </row>
    <row r="27" spans="1:13" x14ac:dyDescent="0.25">
      <c r="D27" s="41" t="str">
        <f t="shared" si="0"/>
        <v/>
      </c>
    </row>
    <row r="28" spans="1:13" x14ac:dyDescent="0.25">
      <c r="D28" s="41" t="str">
        <f t="shared" si="0"/>
        <v/>
      </c>
    </row>
    <row r="29" spans="1:13" x14ac:dyDescent="0.25">
      <c r="D29" s="41" t="str">
        <f t="shared" si="0"/>
        <v/>
      </c>
    </row>
    <row r="30" spans="1:13" x14ac:dyDescent="0.25">
      <c r="D30" s="41" t="str">
        <f t="shared" si="0"/>
        <v/>
      </c>
    </row>
    <row r="31" spans="1:13" x14ac:dyDescent="0.25">
      <c r="D31" s="41" t="str">
        <f t="shared" si="0"/>
        <v/>
      </c>
    </row>
    <row r="32" spans="1:13" x14ac:dyDescent="0.25">
      <c r="D32" s="41" t="str">
        <f t="shared" si="0"/>
        <v/>
      </c>
    </row>
    <row r="33" spans="4:4" x14ac:dyDescent="0.25">
      <c r="D33" s="41" t="str">
        <f t="shared" si="0"/>
        <v/>
      </c>
    </row>
    <row r="34" spans="4:4" x14ac:dyDescent="0.25">
      <c r="D34" s="41" t="str">
        <f t="shared" si="0"/>
        <v/>
      </c>
    </row>
    <row r="35" spans="4:4" x14ac:dyDescent="0.25">
      <c r="D35" s="41" t="str">
        <f t="shared" si="0"/>
        <v/>
      </c>
    </row>
    <row r="36" spans="4:4" x14ac:dyDescent="0.25">
      <c r="D36" s="41" t="str">
        <f t="shared" si="0"/>
        <v/>
      </c>
    </row>
    <row r="37" spans="4:4" x14ac:dyDescent="0.25">
      <c r="D37" s="41" t="str">
        <f t="shared" si="0"/>
        <v/>
      </c>
    </row>
    <row r="38" spans="4:4" x14ac:dyDescent="0.25">
      <c r="D38" s="41" t="str">
        <f t="shared" si="0"/>
        <v/>
      </c>
    </row>
    <row r="39" spans="4:4" x14ac:dyDescent="0.25">
      <c r="D39" s="41" t="str">
        <f t="shared" si="0"/>
        <v/>
      </c>
    </row>
    <row r="40" spans="4:4" x14ac:dyDescent="0.25">
      <c r="D40" s="41" t="str">
        <f t="shared" si="0"/>
        <v/>
      </c>
    </row>
    <row r="41" spans="4:4" x14ac:dyDescent="0.25">
      <c r="D41" s="41" t="str">
        <f t="shared" si="0"/>
        <v/>
      </c>
    </row>
    <row r="42" spans="4:4" x14ac:dyDescent="0.25">
      <c r="D42" s="41" t="str">
        <f t="shared" si="0"/>
        <v/>
      </c>
    </row>
    <row r="43" spans="4:4" x14ac:dyDescent="0.25">
      <c r="D43" s="41" t="str">
        <f t="shared" si="0"/>
        <v/>
      </c>
    </row>
    <row r="44" spans="4:4" x14ac:dyDescent="0.25">
      <c r="D44" s="41" t="str">
        <f t="shared" si="0"/>
        <v/>
      </c>
    </row>
    <row r="45" spans="4:4" x14ac:dyDescent="0.25">
      <c r="D45" s="41" t="str">
        <f t="shared" si="0"/>
        <v/>
      </c>
    </row>
    <row r="46" spans="4:4" x14ac:dyDescent="0.25">
      <c r="D46" s="41" t="str">
        <f t="shared" si="0"/>
        <v/>
      </c>
    </row>
    <row r="47" spans="4:4" x14ac:dyDescent="0.25">
      <c r="D47" s="41" t="str">
        <f t="shared" si="0"/>
        <v/>
      </c>
    </row>
    <row r="48" spans="4:4" x14ac:dyDescent="0.25">
      <c r="D48" s="41" t="str">
        <f t="shared" si="0"/>
        <v/>
      </c>
    </row>
    <row r="49" spans="4:4" x14ac:dyDescent="0.25">
      <c r="D49" s="41" t="str">
        <f t="shared" si="0"/>
        <v/>
      </c>
    </row>
    <row r="50" spans="4:4" x14ac:dyDescent="0.25">
      <c r="D50" s="41" t="str">
        <f t="shared" si="0"/>
        <v/>
      </c>
    </row>
    <row r="51" spans="4:4" x14ac:dyDescent="0.25">
      <c r="D51" s="41" t="str">
        <f t="shared" si="0"/>
        <v/>
      </c>
    </row>
    <row r="52" spans="4:4" x14ac:dyDescent="0.25">
      <c r="D52" s="41" t="str">
        <f t="shared" si="0"/>
        <v/>
      </c>
    </row>
    <row r="53" spans="4:4" x14ac:dyDescent="0.25">
      <c r="D53" s="41" t="str">
        <f t="shared" si="0"/>
        <v/>
      </c>
    </row>
    <row r="54" spans="4:4" x14ac:dyDescent="0.25">
      <c r="D54" s="41" t="str">
        <f t="shared" si="0"/>
        <v/>
      </c>
    </row>
    <row r="55" spans="4:4" x14ac:dyDescent="0.25">
      <c r="D55" s="41" t="str">
        <f t="shared" si="0"/>
        <v/>
      </c>
    </row>
    <row r="56" spans="4:4" x14ac:dyDescent="0.25">
      <c r="D56" s="41" t="str">
        <f t="shared" si="0"/>
        <v/>
      </c>
    </row>
    <row r="57" spans="4:4" x14ac:dyDescent="0.25">
      <c r="D57" s="41" t="str">
        <f t="shared" si="0"/>
        <v/>
      </c>
    </row>
    <row r="58" spans="4:4" x14ac:dyDescent="0.25">
      <c r="D58" s="41" t="str">
        <f t="shared" si="0"/>
        <v/>
      </c>
    </row>
    <row r="59" spans="4:4" x14ac:dyDescent="0.25">
      <c r="D59" s="41" t="str">
        <f t="shared" si="0"/>
        <v/>
      </c>
    </row>
    <row r="60" spans="4:4" x14ac:dyDescent="0.25">
      <c r="D60" s="41" t="str">
        <f t="shared" si="0"/>
        <v/>
      </c>
    </row>
    <row r="61" spans="4:4" x14ac:dyDescent="0.25">
      <c r="D61" s="41" t="str">
        <f t="shared" si="0"/>
        <v/>
      </c>
    </row>
    <row r="62" spans="4:4" x14ac:dyDescent="0.25">
      <c r="D62" s="41" t="str">
        <f t="shared" si="0"/>
        <v/>
      </c>
    </row>
    <row r="63" spans="4:4" x14ac:dyDescent="0.25">
      <c r="D63" s="41" t="str">
        <f t="shared" si="0"/>
        <v/>
      </c>
    </row>
    <row r="64" spans="4:4" x14ac:dyDescent="0.25">
      <c r="D64" s="41" t="str">
        <f t="shared" si="0"/>
        <v/>
      </c>
    </row>
    <row r="65" spans="4:4" x14ac:dyDescent="0.25">
      <c r="D65" s="41" t="str">
        <f t="shared" si="0"/>
        <v/>
      </c>
    </row>
    <row r="66" spans="4:4" x14ac:dyDescent="0.25">
      <c r="D66" s="41" t="str">
        <f t="shared" si="0"/>
        <v/>
      </c>
    </row>
    <row r="67" spans="4:4" x14ac:dyDescent="0.25">
      <c r="D67" s="41" t="str">
        <f t="shared" si="0"/>
        <v/>
      </c>
    </row>
    <row r="68" spans="4:4" x14ac:dyDescent="0.25">
      <c r="D68" s="41" t="str">
        <f t="shared" si="0"/>
        <v/>
      </c>
    </row>
    <row r="69" spans="4:4" x14ac:dyDescent="0.25">
      <c r="D69" s="41" t="str">
        <f t="shared" si="0"/>
        <v/>
      </c>
    </row>
    <row r="70" spans="4:4" x14ac:dyDescent="0.25">
      <c r="D70" s="41" t="str">
        <f t="shared" si="0"/>
        <v/>
      </c>
    </row>
    <row r="71" spans="4:4" x14ac:dyDescent="0.25">
      <c r="D71" s="41" t="str">
        <f t="shared" si="0"/>
        <v/>
      </c>
    </row>
    <row r="72" spans="4:4" x14ac:dyDescent="0.25">
      <c r="D72" s="41" t="str">
        <f t="shared" si="0"/>
        <v/>
      </c>
    </row>
    <row r="73" spans="4:4" x14ac:dyDescent="0.25">
      <c r="D73" s="41" t="str">
        <f t="shared" si="0"/>
        <v/>
      </c>
    </row>
    <row r="74" spans="4:4" x14ac:dyDescent="0.25">
      <c r="D74" s="41" t="str">
        <f t="shared" si="0"/>
        <v/>
      </c>
    </row>
    <row r="75" spans="4:4" x14ac:dyDescent="0.25">
      <c r="D75" s="41" t="str">
        <f t="shared" si="0"/>
        <v/>
      </c>
    </row>
    <row r="76" spans="4:4" x14ac:dyDescent="0.25">
      <c r="D76" s="41" t="str">
        <f t="shared" si="0"/>
        <v/>
      </c>
    </row>
    <row r="77" spans="4:4" x14ac:dyDescent="0.25">
      <c r="D77" s="41" t="str">
        <f t="shared" si="0"/>
        <v/>
      </c>
    </row>
    <row r="78" spans="4:4" x14ac:dyDescent="0.25">
      <c r="D78" s="41" t="str">
        <f t="shared" si="0"/>
        <v/>
      </c>
    </row>
    <row r="79" spans="4:4" x14ac:dyDescent="0.25">
      <c r="D79" s="41" t="str">
        <f t="shared" si="0"/>
        <v/>
      </c>
    </row>
    <row r="80" spans="4:4" x14ac:dyDescent="0.25">
      <c r="D80" s="41" t="str">
        <f t="shared" si="0"/>
        <v/>
      </c>
    </row>
    <row r="81" spans="4:4" x14ac:dyDescent="0.25">
      <c r="D81" s="41" t="str">
        <f t="shared" ref="D81:D144" si="1">IF(A81=0,"","Elastic")</f>
        <v/>
      </c>
    </row>
    <row r="82" spans="4:4" x14ac:dyDescent="0.25">
      <c r="D82" s="41" t="str">
        <f t="shared" si="1"/>
        <v/>
      </c>
    </row>
    <row r="83" spans="4:4" x14ac:dyDescent="0.25">
      <c r="D83" s="41" t="str">
        <f t="shared" si="1"/>
        <v/>
      </c>
    </row>
    <row r="84" spans="4:4" x14ac:dyDescent="0.25">
      <c r="D84" s="41" t="str">
        <f t="shared" si="1"/>
        <v/>
      </c>
    </row>
    <row r="85" spans="4:4" x14ac:dyDescent="0.25">
      <c r="D85" s="41" t="str">
        <f t="shared" si="1"/>
        <v/>
      </c>
    </row>
    <row r="86" spans="4:4" x14ac:dyDescent="0.25">
      <c r="D86" s="41" t="str">
        <f t="shared" si="1"/>
        <v/>
      </c>
    </row>
    <row r="87" spans="4:4" x14ac:dyDescent="0.25">
      <c r="D87" s="41" t="str">
        <f t="shared" si="1"/>
        <v/>
      </c>
    </row>
    <row r="88" spans="4:4" x14ac:dyDescent="0.25">
      <c r="D88" s="41" t="str">
        <f t="shared" si="1"/>
        <v/>
      </c>
    </row>
    <row r="89" spans="4:4" x14ac:dyDescent="0.25">
      <c r="D89" s="41" t="str">
        <f t="shared" si="1"/>
        <v/>
      </c>
    </row>
    <row r="90" spans="4:4" x14ac:dyDescent="0.25">
      <c r="D90" s="41" t="str">
        <f t="shared" si="1"/>
        <v/>
      </c>
    </row>
    <row r="91" spans="4:4" x14ac:dyDescent="0.25">
      <c r="D91" s="41" t="str">
        <f t="shared" si="1"/>
        <v/>
      </c>
    </row>
    <row r="92" spans="4:4" x14ac:dyDescent="0.25">
      <c r="D92" s="41" t="str">
        <f t="shared" si="1"/>
        <v/>
      </c>
    </row>
    <row r="93" spans="4:4" x14ac:dyDescent="0.25">
      <c r="D93" s="41" t="str">
        <f t="shared" si="1"/>
        <v/>
      </c>
    </row>
    <row r="94" spans="4:4" x14ac:dyDescent="0.25">
      <c r="D94" s="41" t="str">
        <f t="shared" si="1"/>
        <v/>
      </c>
    </row>
    <row r="95" spans="4:4" x14ac:dyDescent="0.25">
      <c r="D95" s="41" t="str">
        <f t="shared" si="1"/>
        <v/>
      </c>
    </row>
    <row r="96" spans="4:4" x14ac:dyDescent="0.25">
      <c r="D96" s="41" t="str">
        <f t="shared" si="1"/>
        <v/>
      </c>
    </row>
    <row r="97" spans="4:4" x14ac:dyDescent="0.25">
      <c r="D97" s="41" t="str">
        <f t="shared" si="1"/>
        <v/>
      </c>
    </row>
    <row r="98" spans="4:4" x14ac:dyDescent="0.25">
      <c r="D98" s="41" t="str">
        <f t="shared" si="1"/>
        <v/>
      </c>
    </row>
    <row r="99" spans="4:4" x14ac:dyDescent="0.25">
      <c r="D99" s="41" t="str">
        <f t="shared" si="1"/>
        <v/>
      </c>
    </row>
    <row r="100" spans="4:4" x14ac:dyDescent="0.25">
      <c r="D100" s="41" t="str">
        <f t="shared" si="1"/>
        <v/>
      </c>
    </row>
    <row r="101" spans="4:4" x14ac:dyDescent="0.25">
      <c r="D101" s="41" t="str">
        <f t="shared" si="1"/>
        <v/>
      </c>
    </row>
    <row r="102" spans="4:4" x14ac:dyDescent="0.25">
      <c r="D102" s="41" t="str">
        <f t="shared" si="1"/>
        <v/>
      </c>
    </row>
    <row r="103" spans="4:4" x14ac:dyDescent="0.25">
      <c r="D103" s="41" t="str">
        <f t="shared" si="1"/>
        <v/>
      </c>
    </row>
    <row r="104" spans="4:4" x14ac:dyDescent="0.25">
      <c r="D104" s="41" t="str">
        <f t="shared" si="1"/>
        <v/>
      </c>
    </row>
    <row r="105" spans="4:4" x14ac:dyDescent="0.25">
      <c r="D105" s="41" t="str">
        <f t="shared" si="1"/>
        <v/>
      </c>
    </row>
    <row r="106" spans="4:4" x14ac:dyDescent="0.25">
      <c r="D106" s="41" t="str">
        <f t="shared" si="1"/>
        <v/>
      </c>
    </row>
    <row r="107" spans="4:4" x14ac:dyDescent="0.25">
      <c r="D107" s="41" t="str">
        <f t="shared" si="1"/>
        <v/>
      </c>
    </row>
    <row r="108" spans="4:4" x14ac:dyDescent="0.25">
      <c r="D108" s="41" t="str">
        <f t="shared" si="1"/>
        <v/>
      </c>
    </row>
    <row r="109" spans="4:4" x14ac:dyDescent="0.25">
      <c r="D109" s="41" t="str">
        <f t="shared" si="1"/>
        <v/>
      </c>
    </row>
    <row r="110" spans="4:4" x14ac:dyDescent="0.25">
      <c r="D110" s="41" t="str">
        <f t="shared" si="1"/>
        <v/>
      </c>
    </row>
    <row r="111" spans="4:4" x14ac:dyDescent="0.25">
      <c r="D111" s="41" t="str">
        <f t="shared" si="1"/>
        <v/>
      </c>
    </row>
    <row r="112" spans="4:4" x14ac:dyDescent="0.25">
      <c r="D112" s="41" t="str">
        <f t="shared" si="1"/>
        <v/>
      </c>
    </row>
    <row r="113" spans="4:4" x14ac:dyDescent="0.25">
      <c r="D113" s="41" t="str">
        <f t="shared" si="1"/>
        <v/>
      </c>
    </row>
    <row r="114" spans="4:4" x14ac:dyDescent="0.25">
      <c r="D114" s="41" t="str">
        <f t="shared" si="1"/>
        <v/>
      </c>
    </row>
    <row r="115" spans="4:4" x14ac:dyDescent="0.25">
      <c r="D115" s="41" t="str">
        <f t="shared" si="1"/>
        <v/>
      </c>
    </row>
    <row r="116" spans="4:4" x14ac:dyDescent="0.25">
      <c r="D116" s="41" t="str">
        <f t="shared" si="1"/>
        <v/>
      </c>
    </row>
    <row r="117" spans="4:4" x14ac:dyDescent="0.25">
      <c r="D117" s="41" t="str">
        <f t="shared" si="1"/>
        <v/>
      </c>
    </row>
    <row r="118" spans="4:4" x14ac:dyDescent="0.25">
      <c r="D118" s="41" t="str">
        <f t="shared" si="1"/>
        <v/>
      </c>
    </row>
    <row r="119" spans="4:4" x14ac:dyDescent="0.25">
      <c r="D119" s="41" t="str">
        <f t="shared" si="1"/>
        <v/>
      </c>
    </row>
    <row r="120" spans="4:4" x14ac:dyDescent="0.25">
      <c r="D120" s="41" t="str">
        <f t="shared" si="1"/>
        <v/>
      </c>
    </row>
    <row r="121" spans="4:4" x14ac:dyDescent="0.25">
      <c r="D121" s="41" t="str">
        <f t="shared" si="1"/>
        <v/>
      </c>
    </row>
    <row r="122" spans="4:4" x14ac:dyDescent="0.25">
      <c r="D122" s="41" t="str">
        <f t="shared" si="1"/>
        <v/>
      </c>
    </row>
    <row r="123" spans="4:4" x14ac:dyDescent="0.25">
      <c r="D123" s="41" t="str">
        <f t="shared" si="1"/>
        <v/>
      </c>
    </row>
    <row r="124" spans="4:4" x14ac:dyDescent="0.25">
      <c r="D124" s="41" t="str">
        <f t="shared" si="1"/>
        <v/>
      </c>
    </row>
    <row r="125" spans="4:4" x14ac:dyDescent="0.25">
      <c r="D125" s="41" t="str">
        <f t="shared" si="1"/>
        <v/>
      </c>
    </row>
    <row r="126" spans="4:4" x14ac:dyDescent="0.25">
      <c r="D126" s="41" t="str">
        <f t="shared" si="1"/>
        <v/>
      </c>
    </row>
    <row r="127" spans="4:4" x14ac:dyDescent="0.25">
      <c r="D127" s="41" t="str">
        <f t="shared" si="1"/>
        <v/>
      </c>
    </row>
    <row r="128" spans="4:4" x14ac:dyDescent="0.25">
      <c r="D128" s="41" t="str">
        <f t="shared" si="1"/>
        <v/>
      </c>
    </row>
    <row r="129" spans="4:4" x14ac:dyDescent="0.25">
      <c r="D129" s="41" t="str">
        <f t="shared" si="1"/>
        <v/>
      </c>
    </row>
    <row r="130" spans="4:4" x14ac:dyDescent="0.25">
      <c r="D130" s="41" t="str">
        <f t="shared" si="1"/>
        <v/>
      </c>
    </row>
    <row r="131" spans="4:4" x14ac:dyDescent="0.25">
      <c r="D131" s="41" t="str">
        <f t="shared" si="1"/>
        <v/>
      </c>
    </row>
    <row r="132" spans="4:4" x14ac:dyDescent="0.25">
      <c r="D132" s="41" t="str">
        <f t="shared" si="1"/>
        <v/>
      </c>
    </row>
    <row r="133" spans="4:4" x14ac:dyDescent="0.25">
      <c r="D133" s="41" t="str">
        <f t="shared" si="1"/>
        <v/>
      </c>
    </row>
    <row r="134" spans="4:4" x14ac:dyDescent="0.25">
      <c r="D134" s="41" t="str">
        <f t="shared" si="1"/>
        <v/>
      </c>
    </row>
    <row r="135" spans="4:4" x14ac:dyDescent="0.25">
      <c r="D135" s="41" t="str">
        <f t="shared" si="1"/>
        <v/>
      </c>
    </row>
    <row r="136" spans="4:4" x14ac:dyDescent="0.25">
      <c r="D136" s="41" t="str">
        <f t="shared" si="1"/>
        <v/>
      </c>
    </row>
    <row r="137" spans="4:4" x14ac:dyDescent="0.25">
      <c r="D137" s="41" t="str">
        <f t="shared" si="1"/>
        <v/>
      </c>
    </row>
    <row r="138" spans="4:4" x14ac:dyDescent="0.25">
      <c r="D138" s="41" t="str">
        <f t="shared" si="1"/>
        <v/>
      </c>
    </row>
    <row r="139" spans="4:4" x14ac:dyDescent="0.25">
      <c r="D139" s="41" t="str">
        <f t="shared" si="1"/>
        <v/>
      </c>
    </row>
    <row r="140" spans="4:4" x14ac:dyDescent="0.25">
      <c r="D140" s="41" t="str">
        <f t="shared" si="1"/>
        <v/>
      </c>
    </row>
    <row r="141" spans="4:4" x14ac:dyDescent="0.25">
      <c r="D141" s="41" t="str">
        <f t="shared" si="1"/>
        <v/>
      </c>
    </row>
    <row r="142" spans="4:4" x14ac:dyDescent="0.25">
      <c r="D142" s="41" t="str">
        <f t="shared" si="1"/>
        <v/>
      </c>
    </row>
    <row r="143" spans="4:4" x14ac:dyDescent="0.25">
      <c r="D143" s="41" t="str">
        <f t="shared" si="1"/>
        <v/>
      </c>
    </row>
    <row r="144" spans="4:4" x14ac:dyDescent="0.25">
      <c r="D144" s="41" t="str">
        <f t="shared" si="1"/>
        <v/>
      </c>
    </row>
    <row r="145" spans="4:4" x14ac:dyDescent="0.25">
      <c r="D145" s="41" t="str">
        <f t="shared" ref="D145:D208" si="2">IF(A145=0,"","Elastic")</f>
        <v/>
      </c>
    </row>
    <row r="146" spans="4:4" x14ac:dyDescent="0.25">
      <c r="D146" s="41" t="str">
        <f t="shared" si="2"/>
        <v/>
      </c>
    </row>
    <row r="147" spans="4:4" x14ac:dyDescent="0.25">
      <c r="D147" s="41" t="str">
        <f t="shared" si="2"/>
        <v/>
      </c>
    </row>
    <row r="148" spans="4:4" x14ac:dyDescent="0.25">
      <c r="D148" s="41" t="str">
        <f t="shared" si="2"/>
        <v/>
      </c>
    </row>
    <row r="149" spans="4:4" x14ac:dyDescent="0.25">
      <c r="D149" s="41" t="str">
        <f t="shared" si="2"/>
        <v/>
      </c>
    </row>
    <row r="150" spans="4:4" x14ac:dyDescent="0.25">
      <c r="D150" s="41" t="str">
        <f t="shared" si="2"/>
        <v/>
      </c>
    </row>
    <row r="151" spans="4:4" x14ac:dyDescent="0.25">
      <c r="D151" s="41" t="str">
        <f t="shared" si="2"/>
        <v/>
      </c>
    </row>
    <row r="152" spans="4:4" x14ac:dyDescent="0.25">
      <c r="D152" s="41" t="str">
        <f t="shared" si="2"/>
        <v/>
      </c>
    </row>
    <row r="153" spans="4:4" x14ac:dyDescent="0.25">
      <c r="D153" s="41" t="str">
        <f t="shared" si="2"/>
        <v/>
      </c>
    </row>
    <row r="154" spans="4:4" x14ac:dyDescent="0.25">
      <c r="D154" s="41" t="str">
        <f t="shared" si="2"/>
        <v/>
      </c>
    </row>
    <row r="155" spans="4:4" x14ac:dyDescent="0.25">
      <c r="D155" s="41" t="str">
        <f t="shared" si="2"/>
        <v/>
      </c>
    </row>
    <row r="156" spans="4:4" x14ac:dyDescent="0.25">
      <c r="D156" s="41" t="str">
        <f t="shared" si="2"/>
        <v/>
      </c>
    </row>
    <row r="157" spans="4:4" x14ac:dyDescent="0.25">
      <c r="D157" s="41" t="str">
        <f t="shared" si="2"/>
        <v/>
      </c>
    </row>
    <row r="158" spans="4:4" x14ac:dyDescent="0.25">
      <c r="D158" s="41" t="str">
        <f t="shared" si="2"/>
        <v/>
      </c>
    </row>
    <row r="159" spans="4:4" x14ac:dyDescent="0.25">
      <c r="D159" s="41" t="str">
        <f t="shared" si="2"/>
        <v/>
      </c>
    </row>
    <row r="160" spans="4:4" x14ac:dyDescent="0.25">
      <c r="D160" s="41" t="str">
        <f t="shared" si="2"/>
        <v/>
      </c>
    </row>
    <row r="161" spans="4:4" x14ac:dyDescent="0.25">
      <c r="D161" s="41" t="str">
        <f t="shared" si="2"/>
        <v/>
      </c>
    </row>
    <row r="162" spans="4:4" x14ac:dyDescent="0.25">
      <c r="D162" s="41" t="str">
        <f t="shared" si="2"/>
        <v/>
      </c>
    </row>
    <row r="163" spans="4:4" x14ac:dyDescent="0.25">
      <c r="D163" s="41" t="str">
        <f t="shared" si="2"/>
        <v/>
      </c>
    </row>
    <row r="164" spans="4:4" x14ac:dyDescent="0.25">
      <c r="D164" s="41" t="str">
        <f t="shared" si="2"/>
        <v/>
      </c>
    </row>
    <row r="165" spans="4:4" x14ac:dyDescent="0.25">
      <c r="D165" s="41" t="str">
        <f t="shared" si="2"/>
        <v/>
      </c>
    </row>
    <row r="166" spans="4:4" x14ac:dyDescent="0.25">
      <c r="D166" s="41" t="str">
        <f t="shared" si="2"/>
        <v/>
      </c>
    </row>
    <row r="167" spans="4:4" x14ac:dyDescent="0.25">
      <c r="D167" s="41" t="str">
        <f t="shared" si="2"/>
        <v/>
      </c>
    </row>
    <row r="168" spans="4:4" x14ac:dyDescent="0.25">
      <c r="D168" s="41" t="str">
        <f t="shared" si="2"/>
        <v/>
      </c>
    </row>
    <row r="169" spans="4:4" x14ac:dyDescent="0.25">
      <c r="D169" s="41" t="str">
        <f t="shared" si="2"/>
        <v/>
      </c>
    </row>
    <row r="170" spans="4:4" x14ac:dyDescent="0.25">
      <c r="D170" s="41" t="str">
        <f t="shared" si="2"/>
        <v/>
      </c>
    </row>
    <row r="171" spans="4:4" x14ac:dyDescent="0.25">
      <c r="D171" s="41" t="str">
        <f t="shared" si="2"/>
        <v/>
      </c>
    </row>
    <row r="172" spans="4:4" x14ac:dyDescent="0.25">
      <c r="D172" s="41" t="str">
        <f t="shared" si="2"/>
        <v/>
      </c>
    </row>
    <row r="173" spans="4:4" x14ac:dyDescent="0.25">
      <c r="D173" s="41" t="str">
        <f t="shared" si="2"/>
        <v/>
      </c>
    </row>
    <row r="174" spans="4:4" x14ac:dyDescent="0.25">
      <c r="D174" s="41" t="str">
        <f t="shared" si="2"/>
        <v/>
      </c>
    </row>
    <row r="175" spans="4:4" x14ac:dyDescent="0.25">
      <c r="D175" s="41" t="str">
        <f t="shared" si="2"/>
        <v/>
      </c>
    </row>
    <row r="176" spans="4:4" x14ac:dyDescent="0.25">
      <c r="D176" s="41" t="str">
        <f t="shared" si="2"/>
        <v/>
      </c>
    </row>
    <row r="177" spans="4:4" x14ac:dyDescent="0.25">
      <c r="D177" s="41" t="str">
        <f t="shared" si="2"/>
        <v/>
      </c>
    </row>
    <row r="178" spans="4:4" x14ac:dyDescent="0.25">
      <c r="D178" s="41" t="str">
        <f t="shared" si="2"/>
        <v/>
      </c>
    </row>
    <row r="179" spans="4:4" x14ac:dyDescent="0.25">
      <c r="D179" s="41" t="str">
        <f t="shared" si="2"/>
        <v/>
      </c>
    </row>
    <row r="180" spans="4:4" x14ac:dyDescent="0.25">
      <c r="D180" s="41" t="str">
        <f t="shared" si="2"/>
        <v/>
      </c>
    </row>
    <row r="181" spans="4:4" x14ac:dyDescent="0.25">
      <c r="D181" s="41" t="str">
        <f t="shared" si="2"/>
        <v/>
      </c>
    </row>
    <row r="182" spans="4:4" x14ac:dyDescent="0.25">
      <c r="D182" s="41" t="str">
        <f t="shared" si="2"/>
        <v/>
      </c>
    </row>
    <row r="183" spans="4:4" x14ac:dyDescent="0.25">
      <c r="D183" s="41" t="str">
        <f t="shared" si="2"/>
        <v/>
      </c>
    </row>
    <row r="184" spans="4:4" x14ac:dyDescent="0.25">
      <c r="D184" s="41" t="str">
        <f t="shared" si="2"/>
        <v/>
      </c>
    </row>
    <row r="185" spans="4:4" x14ac:dyDescent="0.25">
      <c r="D185" s="41" t="str">
        <f t="shared" si="2"/>
        <v/>
      </c>
    </row>
    <row r="186" spans="4:4" x14ac:dyDescent="0.25">
      <c r="D186" s="41" t="str">
        <f t="shared" si="2"/>
        <v/>
      </c>
    </row>
    <row r="187" spans="4:4" x14ac:dyDescent="0.25">
      <c r="D187" s="41" t="str">
        <f t="shared" si="2"/>
        <v/>
      </c>
    </row>
    <row r="188" spans="4:4" x14ac:dyDescent="0.25">
      <c r="D188" s="41" t="str">
        <f t="shared" si="2"/>
        <v/>
      </c>
    </row>
    <row r="189" spans="4:4" x14ac:dyDescent="0.25">
      <c r="D189" s="41" t="str">
        <f t="shared" si="2"/>
        <v/>
      </c>
    </row>
    <row r="190" spans="4:4" x14ac:dyDescent="0.25">
      <c r="D190" s="41" t="str">
        <f t="shared" si="2"/>
        <v/>
      </c>
    </row>
    <row r="191" spans="4:4" x14ac:dyDescent="0.25">
      <c r="D191" s="41" t="str">
        <f t="shared" si="2"/>
        <v/>
      </c>
    </row>
    <row r="192" spans="4:4" x14ac:dyDescent="0.25">
      <c r="D192" s="41" t="str">
        <f t="shared" si="2"/>
        <v/>
      </c>
    </row>
    <row r="193" spans="4:4" x14ac:dyDescent="0.25">
      <c r="D193" s="41" t="str">
        <f t="shared" si="2"/>
        <v/>
      </c>
    </row>
    <row r="194" spans="4:4" x14ac:dyDescent="0.25">
      <c r="D194" s="41" t="str">
        <f t="shared" si="2"/>
        <v/>
      </c>
    </row>
    <row r="195" spans="4:4" x14ac:dyDescent="0.25">
      <c r="D195" s="41" t="str">
        <f t="shared" si="2"/>
        <v/>
      </c>
    </row>
    <row r="196" spans="4:4" x14ac:dyDescent="0.25">
      <c r="D196" s="41" t="str">
        <f t="shared" si="2"/>
        <v/>
      </c>
    </row>
    <row r="197" spans="4:4" x14ac:dyDescent="0.25">
      <c r="D197" s="41" t="str">
        <f t="shared" si="2"/>
        <v/>
      </c>
    </row>
    <row r="198" spans="4:4" x14ac:dyDescent="0.25">
      <c r="D198" s="41" t="str">
        <f t="shared" si="2"/>
        <v/>
      </c>
    </row>
    <row r="199" spans="4:4" x14ac:dyDescent="0.25">
      <c r="D199" s="41" t="str">
        <f t="shared" si="2"/>
        <v/>
      </c>
    </row>
    <row r="200" spans="4:4" x14ac:dyDescent="0.25">
      <c r="D200" s="41" t="str">
        <f t="shared" si="2"/>
        <v/>
      </c>
    </row>
    <row r="201" spans="4:4" x14ac:dyDescent="0.25">
      <c r="D201" s="41" t="str">
        <f t="shared" si="2"/>
        <v/>
      </c>
    </row>
    <row r="202" spans="4:4" x14ac:dyDescent="0.25">
      <c r="D202" s="41" t="str">
        <f t="shared" si="2"/>
        <v/>
      </c>
    </row>
    <row r="203" spans="4:4" x14ac:dyDescent="0.25">
      <c r="D203" s="41" t="str">
        <f t="shared" si="2"/>
        <v/>
      </c>
    </row>
    <row r="204" spans="4:4" x14ac:dyDescent="0.25">
      <c r="D204" s="41" t="str">
        <f t="shared" si="2"/>
        <v/>
      </c>
    </row>
    <row r="205" spans="4:4" x14ac:dyDescent="0.25">
      <c r="D205" s="41" t="str">
        <f t="shared" si="2"/>
        <v/>
      </c>
    </row>
    <row r="206" spans="4:4" x14ac:dyDescent="0.25">
      <c r="D206" s="41" t="str">
        <f t="shared" si="2"/>
        <v/>
      </c>
    </row>
    <row r="207" spans="4:4" x14ac:dyDescent="0.25">
      <c r="D207" s="41" t="str">
        <f t="shared" si="2"/>
        <v/>
      </c>
    </row>
    <row r="208" spans="4:4" x14ac:dyDescent="0.25">
      <c r="D208" s="41" t="str">
        <f t="shared" si="2"/>
        <v/>
      </c>
    </row>
    <row r="209" spans="4:4" x14ac:dyDescent="0.25">
      <c r="D209" s="41" t="str">
        <f t="shared" ref="D209:D272" si="3">IF(A209=0,"","Elastic")</f>
        <v/>
      </c>
    </row>
    <row r="210" spans="4:4" x14ac:dyDescent="0.25">
      <c r="D210" s="41" t="str">
        <f t="shared" si="3"/>
        <v/>
      </c>
    </row>
    <row r="211" spans="4:4" x14ac:dyDescent="0.25">
      <c r="D211" s="41" t="str">
        <f t="shared" si="3"/>
        <v/>
      </c>
    </row>
    <row r="212" spans="4:4" x14ac:dyDescent="0.25">
      <c r="D212" s="41" t="str">
        <f t="shared" si="3"/>
        <v/>
      </c>
    </row>
    <row r="213" spans="4:4" x14ac:dyDescent="0.25">
      <c r="D213" s="41" t="str">
        <f t="shared" si="3"/>
        <v/>
      </c>
    </row>
    <row r="214" spans="4:4" x14ac:dyDescent="0.25">
      <c r="D214" s="41" t="str">
        <f t="shared" si="3"/>
        <v/>
      </c>
    </row>
    <row r="215" spans="4:4" x14ac:dyDescent="0.25">
      <c r="D215" s="41" t="str">
        <f t="shared" si="3"/>
        <v/>
      </c>
    </row>
    <row r="216" spans="4:4" x14ac:dyDescent="0.25">
      <c r="D216" s="41" t="str">
        <f t="shared" si="3"/>
        <v/>
      </c>
    </row>
    <row r="217" spans="4:4" x14ac:dyDescent="0.25">
      <c r="D217" s="41" t="str">
        <f t="shared" si="3"/>
        <v/>
      </c>
    </row>
    <row r="218" spans="4:4" x14ac:dyDescent="0.25">
      <c r="D218" s="41" t="str">
        <f t="shared" si="3"/>
        <v/>
      </c>
    </row>
    <row r="219" spans="4:4" x14ac:dyDescent="0.25">
      <c r="D219" s="41" t="str">
        <f t="shared" si="3"/>
        <v/>
      </c>
    </row>
    <row r="220" spans="4:4" x14ac:dyDescent="0.25">
      <c r="D220" s="41" t="str">
        <f t="shared" si="3"/>
        <v/>
      </c>
    </row>
    <row r="221" spans="4:4" x14ac:dyDescent="0.25">
      <c r="D221" s="41" t="str">
        <f t="shared" si="3"/>
        <v/>
      </c>
    </row>
    <row r="222" spans="4:4" x14ac:dyDescent="0.25">
      <c r="D222" s="41" t="str">
        <f t="shared" si="3"/>
        <v/>
      </c>
    </row>
    <row r="223" spans="4:4" x14ac:dyDescent="0.25">
      <c r="D223" s="41" t="str">
        <f t="shared" si="3"/>
        <v/>
      </c>
    </row>
    <row r="224" spans="4:4" x14ac:dyDescent="0.25">
      <c r="D224" s="41" t="str">
        <f t="shared" si="3"/>
        <v/>
      </c>
    </row>
    <row r="225" spans="4:4" x14ac:dyDescent="0.25">
      <c r="D225" s="41" t="str">
        <f t="shared" si="3"/>
        <v/>
      </c>
    </row>
    <row r="226" spans="4:4" x14ac:dyDescent="0.25">
      <c r="D226" s="41" t="str">
        <f t="shared" si="3"/>
        <v/>
      </c>
    </row>
    <row r="227" spans="4:4" x14ac:dyDescent="0.25">
      <c r="D227" s="41" t="str">
        <f t="shared" si="3"/>
        <v/>
      </c>
    </row>
    <row r="228" spans="4:4" x14ac:dyDescent="0.25">
      <c r="D228" s="41" t="str">
        <f t="shared" si="3"/>
        <v/>
      </c>
    </row>
    <row r="229" spans="4:4" x14ac:dyDescent="0.25">
      <c r="D229" s="41" t="str">
        <f t="shared" si="3"/>
        <v/>
      </c>
    </row>
    <row r="230" spans="4:4" x14ac:dyDescent="0.25">
      <c r="D230" s="41" t="str">
        <f t="shared" si="3"/>
        <v/>
      </c>
    </row>
    <row r="231" spans="4:4" x14ac:dyDescent="0.25">
      <c r="D231" s="41" t="str">
        <f t="shared" si="3"/>
        <v/>
      </c>
    </row>
    <row r="232" spans="4:4" x14ac:dyDescent="0.25">
      <c r="D232" s="41" t="str">
        <f t="shared" si="3"/>
        <v/>
      </c>
    </row>
    <row r="233" spans="4:4" x14ac:dyDescent="0.25">
      <c r="D233" s="41" t="str">
        <f t="shared" si="3"/>
        <v/>
      </c>
    </row>
    <row r="234" spans="4:4" x14ac:dyDescent="0.25">
      <c r="D234" s="41" t="str">
        <f t="shared" si="3"/>
        <v/>
      </c>
    </row>
    <row r="235" spans="4:4" x14ac:dyDescent="0.25">
      <c r="D235" s="41" t="str">
        <f t="shared" si="3"/>
        <v/>
      </c>
    </row>
    <row r="236" spans="4:4" x14ac:dyDescent="0.25">
      <c r="D236" s="41" t="str">
        <f t="shared" si="3"/>
        <v/>
      </c>
    </row>
    <row r="237" spans="4:4" x14ac:dyDescent="0.25">
      <c r="D237" s="41" t="str">
        <f t="shared" si="3"/>
        <v/>
      </c>
    </row>
    <row r="238" spans="4:4" x14ac:dyDescent="0.25">
      <c r="D238" s="41" t="str">
        <f t="shared" si="3"/>
        <v/>
      </c>
    </row>
    <row r="239" spans="4:4" x14ac:dyDescent="0.25">
      <c r="D239" s="41" t="str">
        <f t="shared" si="3"/>
        <v/>
      </c>
    </row>
    <row r="240" spans="4:4" x14ac:dyDescent="0.25">
      <c r="D240" s="41" t="str">
        <f t="shared" si="3"/>
        <v/>
      </c>
    </row>
    <row r="241" spans="4:4" x14ac:dyDescent="0.25">
      <c r="D241" s="41" t="str">
        <f t="shared" si="3"/>
        <v/>
      </c>
    </row>
    <row r="242" spans="4:4" x14ac:dyDescent="0.25">
      <c r="D242" s="41" t="str">
        <f t="shared" si="3"/>
        <v/>
      </c>
    </row>
    <row r="243" spans="4:4" x14ac:dyDescent="0.25">
      <c r="D243" s="41" t="str">
        <f t="shared" si="3"/>
        <v/>
      </c>
    </row>
    <row r="244" spans="4:4" x14ac:dyDescent="0.25">
      <c r="D244" s="41" t="str">
        <f t="shared" si="3"/>
        <v/>
      </c>
    </row>
    <row r="245" spans="4:4" x14ac:dyDescent="0.25">
      <c r="D245" s="41" t="str">
        <f t="shared" si="3"/>
        <v/>
      </c>
    </row>
    <row r="246" spans="4:4" x14ac:dyDescent="0.25">
      <c r="D246" s="41" t="str">
        <f t="shared" si="3"/>
        <v/>
      </c>
    </row>
    <row r="247" spans="4:4" x14ac:dyDescent="0.25">
      <c r="D247" s="41" t="str">
        <f t="shared" si="3"/>
        <v/>
      </c>
    </row>
    <row r="248" spans="4:4" x14ac:dyDescent="0.25">
      <c r="D248" s="41" t="str">
        <f t="shared" si="3"/>
        <v/>
      </c>
    </row>
    <row r="249" spans="4:4" x14ac:dyDescent="0.25">
      <c r="D249" s="41" t="str">
        <f t="shared" si="3"/>
        <v/>
      </c>
    </row>
    <row r="250" spans="4:4" x14ac:dyDescent="0.25">
      <c r="D250" s="41" t="str">
        <f t="shared" si="3"/>
        <v/>
      </c>
    </row>
    <row r="251" spans="4:4" x14ac:dyDescent="0.25">
      <c r="D251" s="41" t="str">
        <f t="shared" si="3"/>
        <v/>
      </c>
    </row>
    <row r="252" spans="4:4" x14ac:dyDescent="0.25">
      <c r="D252" s="41" t="str">
        <f t="shared" si="3"/>
        <v/>
      </c>
    </row>
    <row r="253" spans="4:4" x14ac:dyDescent="0.25">
      <c r="D253" s="41" t="str">
        <f t="shared" si="3"/>
        <v/>
      </c>
    </row>
    <row r="254" spans="4:4" x14ac:dyDescent="0.25">
      <c r="D254" s="41" t="str">
        <f t="shared" si="3"/>
        <v/>
      </c>
    </row>
    <row r="255" spans="4:4" x14ac:dyDescent="0.25">
      <c r="D255" s="41" t="str">
        <f t="shared" si="3"/>
        <v/>
      </c>
    </row>
    <row r="256" spans="4:4" x14ac:dyDescent="0.25">
      <c r="D256" s="41" t="str">
        <f t="shared" si="3"/>
        <v/>
      </c>
    </row>
    <row r="257" spans="4:4" x14ac:dyDescent="0.25">
      <c r="D257" s="41" t="str">
        <f t="shared" si="3"/>
        <v/>
      </c>
    </row>
    <row r="258" spans="4:4" x14ac:dyDescent="0.25">
      <c r="D258" s="41" t="str">
        <f t="shared" si="3"/>
        <v/>
      </c>
    </row>
    <row r="259" spans="4:4" x14ac:dyDescent="0.25">
      <c r="D259" s="41" t="str">
        <f t="shared" si="3"/>
        <v/>
      </c>
    </row>
    <row r="260" spans="4:4" x14ac:dyDescent="0.25">
      <c r="D260" s="41" t="str">
        <f t="shared" si="3"/>
        <v/>
      </c>
    </row>
    <row r="261" spans="4:4" x14ac:dyDescent="0.25">
      <c r="D261" s="41" t="str">
        <f t="shared" si="3"/>
        <v/>
      </c>
    </row>
    <row r="262" spans="4:4" x14ac:dyDescent="0.25">
      <c r="D262" s="41" t="str">
        <f t="shared" si="3"/>
        <v/>
      </c>
    </row>
    <row r="263" spans="4:4" x14ac:dyDescent="0.25">
      <c r="D263" s="41" t="str">
        <f t="shared" si="3"/>
        <v/>
      </c>
    </row>
    <row r="264" spans="4:4" x14ac:dyDescent="0.25">
      <c r="D264" s="41" t="str">
        <f t="shared" si="3"/>
        <v/>
      </c>
    </row>
    <row r="265" spans="4:4" x14ac:dyDescent="0.25">
      <c r="D265" s="41" t="str">
        <f t="shared" si="3"/>
        <v/>
      </c>
    </row>
    <row r="266" spans="4:4" x14ac:dyDescent="0.25">
      <c r="D266" s="41" t="str">
        <f t="shared" si="3"/>
        <v/>
      </c>
    </row>
    <row r="267" spans="4:4" x14ac:dyDescent="0.25">
      <c r="D267" s="41" t="str">
        <f t="shared" si="3"/>
        <v/>
      </c>
    </row>
    <row r="268" spans="4:4" x14ac:dyDescent="0.25">
      <c r="D268" s="41" t="str">
        <f t="shared" si="3"/>
        <v/>
      </c>
    </row>
    <row r="269" spans="4:4" x14ac:dyDescent="0.25">
      <c r="D269" s="41" t="str">
        <f t="shared" si="3"/>
        <v/>
      </c>
    </row>
    <row r="270" spans="4:4" x14ac:dyDescent="0.25">
      <c r="D270" s="41" t="str">
        <f t="shared" si="3"/>
        <v/>
      </c>
    </row>
    <row r="271" spans="4:4" x14ac:dyDescent="0.25">
      <c r="D271" s="41" t="str">
        <f t="shared" si="3"/>
        <v/>
      </c>
    </row>
    <row r="272" spans="4:4" x14ac:dyDescent="0.25">
      <c r="D272" s="41" t="str">
        <f t="shared" si="3"/>
        <v/>
      </c>
    </row>
    <row r="273" spans="4:4" x14ac:dyDescent="0.25">
      <c r="D273" s="41" t="str">
        <f t="shared" ref="D273:D336" si="4">IF(A273=0,"","Elastic")</f>
        <v/>
      </c>
    </row>
    <row r="274" spans="4:4" x14ac:dyDescent="0.25">
      <c r="D274" s="41" t="str">
        <f t="shared" si="4"/>
        <v/>
      </c>
    </row>
    <row r="275" spans="4:4" x14ac:dyDescent="0.25">
      <c r="D275" s="41" t="str">
        <f t="shared" si="4"/>
        <v/>
      </c>
    </row>
    <row r="276" spans="4:4" x14ac:dyDescent="0.25">
      <c r="D276" s="41" t="str">
        <f t="shared" si="4"/>
        <v/>
      </c>
    </row>
    <row r="277" spans="4:4" x14ac:dyDescent="0.25">
      <c r="D277" s="41" t="str">
        <f t="shared" si="4"/>
        <v/>
      </c>
    </row>
    <row r="278" spans="4:4" x14ac:dyDescent="0.25">
      <c r="D278" s="41" t="str">
        <f t="shared" si="4"/>
        <v/>
      </c>
    </row>
    <row r="279" spans="4:4" x14ac:dyDescent="0.25">
      <c r="D279" s="41" t="str">
        <f t="shared" si="4"/>
        <v/>
      </c>
    </row>
    <row r="280" spans="4:4" x14ac:dyDescent="0.25">
      <c r="D280" s="41" t="str">
        <f t="shared" si="4"/>
        <v/>
      </c>
    </row>
    <row r="281" spans="4:4" x14ac:dyDescent="0.25">
      <c r="D281" s="41" t="str">
        <f t="shared" si="4"/>
        <v/>
      </c>
    </row>
    <row r="282" spans="4:4" x14ac:dyDescent="0.25">
      <c r="D282" s="41" t="str">
        <f t="shared" si="4"/>
        <v/>
      </c>
    </row>
    <row r="283" spans="4:4" x14ac:dyDescent="0.25">
      <c r="D283" s="41" t="str">
        <f t="shared" si="4"/>
        <v/>
      </c>
    </row>
    <row r="284" spans="4:4" x14ac:dyDescent="0.25">
      <c r="D284" s="41" t="str">
        <f t="shared" si="4"/>
        <v/>
      </c>
    </row>
    <row r="285" spans="4:4" x14ac:dyDescent="0.25">
      <c r="D285" s="41" t="str">
        <f t="shared" si="4"/>
        <v/>
      </c>
    </row>
    <row r="286" spans="4:4" x14ac:dyDescent="0.25">
      <c r="D286" s="41" t="str">
        <f t="shared" si="4"/>
        <v/>
      </c>
    </row>
    <row r="287" spans="4:4" x14ac:dyDescent="0.25">
      <c r="D287" s="41" t="str">
        <f t="shared" si="4"/>
        <v/>
      </c>
    </row>
    <row r="288" spans="4:4" x14ac:dyDescent="0.25">
      <c r="D288" s="41" t="str">
        <f t="shared" si="4"/>
        <v/>
      </c>
    </row>
    <row r="289" spans="4:4" x14ac:dyDescent="0.25">
      <c r="D289" s="41" t="str">
        <f t="shared" si="4"/>
        <v/>
      </c>
    </row>
    <row r="290" spans="4:4" x14ac:dyDescent="0.25">
      <c r="D290" s="41" t="str">
        <f t="shared" si="4"/>
        <v/>
      </c>
    </row>
    <row r="291" spans="4:4" x14ac:dyDescent="0.25">
      <c r="D291" s="41" t="str">
        <f t="shared" si="4"/>
        <v/>
      </c>
    </row>
    <row r="292" spans="4:4" x14ac:dyDescent="0.25">
      <c r="D292" s="41" t="str">
        <f t="shared" si="4"/>
        <v/>
      </c>
    </row>
    <row r="293" spans="4:4" x14ac:dyDescent="0.25">
      <c r="D293" s="41" t="str">
        <f t="shared" si="4"/>
        <v/>
      </c>
    </row>
    <row r="294" spans="4:4" x14ac:dyDescent="0.25">
      <c r="D294" s="41" t="str">
        <f t="shared" si="4"/>
        <v/>
      </c>
    </row>
    <row r="295" spans="4:4" x14ac:dyDescent="0.25">
      <c r="D295" s="41" t="str">
        <f t="shared" si="4"/>
        <v/>
      </c>
    </row>
    <row r="296" spans="4:4" x14ac:dyDescent="0.25">
      <c r="D296" s="41" t="str">
        <f t="shared" si="4"/>
        <v/>
      </c>
    </row>
    <row r="297" spans="4:4" x14ac:dyDescent="0.25">
      <c r="D297" s="41" t="str">
        <f t="shared" si="4"/>
        <v/>
      </c>
    </row>
    <row r="298" spans="4:4" x14ac:dyDescent="0.25">
      <c r="D298" s="41" t="str">
        <f t="shared" si="4"/>
        <v/>
      </c>
    </row>
    <row r="299" spans="4:4" x14ac:dyDescent="0.25">
      <c r="D299" s="41" t="str">
        <f t="shared" si="4"/>
        <v/>
      </c>
    </row>
    <row r="300" spans="4:4" x14ac:dyDescent="0.25">
      <c r="D300" s="41" t="str">
        <f t="shared" si="4"/>
        <v/>
      </c>
    </row>
    <row r="301" spans="4:4" x14ac:dyDescent="0.25">
      <c r="D301" s="41" t="str">
        <f t="shared" si="4"/>
        <v/>
      </c>
    </row>
    <row r="302" spans="4:4" x14ac:dyDescent="0.25">
      <c r="D302" s="41" t="str">
        <f t="shared" si="4"/>
        <v/>
      </c>
    </row>
    <row r="303" spans="4:4" x14ac:dyDescent="0.25">
      <c r="D303" s="41" t="str">
        <f t="shared" si="4"/>
        <v/>
      </c>
    </row>
    <row r="304" spans="4:4" x14ac:dyDescent="0.25">
      <c r="D304" s="41" t="str">
        <f t="shared" si="4"/>
        <v/>
      </c>
    </row>
    <row r="305" spans="4:4" x14ac:dyDescent="0.25">
      <c r="D305" s="41" t="str">
        <f t="shared" si="4"/>
        <v/>
      </c>
    </row>
    <row r="306" spans="4:4" x14ac:dyDescent="0.25">
      <c r="D306" s="41" t="str">
        <f t="shared" si="4"/>
        <v/>
      </c>
    </row>
    <row r="307" spans="4:4" x14ac:dyDescent="0.25">
      <c r="D307" s="41" t="str">
        <f t="shared" si="4"/>
        <v/>
      </c>
    </row>
    <row r="308" spans="4:4" x14ac:dyDescent="0.25">
      <c r="D308" s="41" t="str">
        <f t="shared" si="4"/>
        <v/>
      </c>
    </row>
    <row r="309" spans="4:4" x14ac:dyDescent="0.25">
      <c r="D309" s="41" t="str">
        <f t="shared" si="4"/>
        <v/>
      </c>
    </row>
    <row r="310" spans="4:4" x14ac:dyDescent="0.25">
      <c r="D310" s="41" t="str">
        <f t="shared" si="4"/>
        <v/>
      </c>
    </row>
    <row r="311" spans="4:4" x14ac:dyDescent="0.25">
      <c r="D311" s="41" t="str">
        <f t="shared" si="4"/>
        <v/>
      </c>
    </row>
    <row r="312" spans="4:4" x14ac:dyDescent="0.25">
      <c r="D312" s="41" t="str">
        <f t="shared" si="4"/>
        <v/>
      </c>
    </row>
    <row r="313" spans="4:4" x14ac:dyDescent="0.25">
      <c r="D313" s="41" t="str">
        <f t="shared" si="4"/>
        <v/>
      </c>
    </row>
    <row r="314" spans="4:4" x14ac:dyDescent="0.25">
      <c r="D314" s="41" t="str">
        <f t="shared" si="4"/>
        <v/>
      </c>
    </row>
    <row r="315" spans="4:4" x14ac:dyDescent="0.25">
      <c r="D315" s="41" t="str">
        <f t="shared" si="4"/>
        <v/>
      </c>
    </row>
    <row r="316" spans="4:4" x14ac:dyDescent="0.25">
      <c r="D316" s="41" t="str">
        <f t="shared" si="4"/>
        <v/>
      </c>
    </row>
    <row r="317" spans="4:4" x14ac:dyDescent="0.25">
      <c r="D317" s="41" t="str">
        <f t="shared" si="4"/>
        <v/>
      </c>
    </row>
    <row r="318" spans="4:4" x14ac:dyDescent="0.25">
      <c r="D318" s="41" t="str">
        <f t="shared" si="4"/>
        <v/>
      </c>
    </row>
    <row r="319" spans="4:4" x14ac:dyDescent="0.25">
      <c r="D319" s="41" t="str">
        <f t="shared" si="4"/>
        <v/>
      </c>
    </row>
    <row r="320" spans="4:4" x14ac:dyDescent="0.25">
      <c r="D320" s="41" t="str">
        <f t="shared" si="4"/>
        <v/>
      </c>
    </row>
    <row r="321" spans="4:4" x14ac:dyDescent="0.25">
      <c r="D321" s="41" t="str">
        <f t="shared" si="4"/>
        <v/>
      </c>
    </row>
    <row r="322" spans="4:4" x14ac:dyDescent="0.25">
      <c r="D322" s="41" t="str">
        <f t="shared" si="4"/>
        <v/>
      </c>
    </row>
    <row r="323" spans="4:4" x14ac:dyDescent="0.25">
      <c r="D323" s="41" t="str">
        <f t="shared" si="4"/>
        <v/>
      </c>
    </row>
    <row r="324" spans="4:4" x14ac:dyDescent="0.25">
      <c r="D324" s="41" t="str">
        <f t="shared" si="4"/>
        <v/>
      </c>
    </row>
    <row r="325" spans="4:4" x14ac:dyDescent="0.25">
      <c r="D325" s="41" t="str">
        <f t="shared" si="4"/>
        <v/>
      </c>
    </row>
    <row r="326" spans="4:4" x14ac:dyDescent="0.25">
      <c r="D326" s="41" t="str">
        <f t="shared" si="4"/>
        <v/>
      </c>
    </row>
    <row r="327" spans="4:4" x14ac:dyDescent="0.25">
      <c r="D327" s="41" t="str">
        <f t="shared" si="4"/>
        <v/>
      </c>
    </row>
    <row r="328" spans="4:4" x14ac:dyDescent="0.25">
      <c r="D328" s="41" t="str">
        <f t="shared" si="4"/>
        <v/>
      </c>
    </row>
    <row r="329" spans="4:4" x14ac:dyDescent="0.25">
      <c r="D329" s="41" t="str">
        <f t="shared" si="4"/>
        <v/>
      </c>
    </row>
    <row r="330" spans="4:4" x14ac:dyDescent="0.25">
      <c r="D330" s="41" t="str">
        <f t="shared" si="4"/>
        <v/>
      </c>
    </row>
    <row r="331" spans="4:4" x14ac:dyDescent="0.25">
      <c r="D331" s="41" t="str">
        <f t="shared" si="4"/>
        <v/>
      </c>
    </row>
    <row r="332" spans="4:4" x14ac:dyDescent="0.25">
      <c r="D332" s="41" t="str">
        <f t="shared" si="4"/>
        <v/>
      </c>
    </row>
    <row r="333" spans="4:4" x14ac:dyDescent="0.25">
      <c r="D333" s="41" t="str">
        <f t="shared" si="4"/>
        <v/>
      </c>
    </row>
    <row r="334" spans="4:4" x14ac:dyDescent="0.25">
      <c r="D334" s="41" t="str">
        <f t="shared" si="4"/>
        <v/>
      </c>
    </row>
    <row r="335" spans="4:4" x14ac:dyDescent="0.25">
      <c r="D335" s="41" t="str">
        <f t="shared" si="4"/>
        <v/>
      </c>
    </row>
    <row r="336" spans="4:4" x14ac:dyDescent="0.25">
      <c r="D336" s="41" t="str">
        <f t="shared" si="4"/>
        <v/>
      </c>
    </row>
    <row r="337" spans="4:4" x14ac:dyDescent="0.25">
      <c r="D337" s="41" t="str">
        <f t="shared" ref="D337:D400" si="5">IF(A337=0,"","Elastic")</f>
        <v/>
      </c>
    </row>
    <row r="338" spans="4:4" x14ac:dyDescent="0.25">
      <c r="D338" s="41" t="str">
        <f t="shared" si="5"/>
        <v/>
      </c>
    </row>
    <row r="339" spans="4:4" x14ac:dyDescent="0.25">
      <c r="D339" s="41" t="str">
        <f t="shared" si="5"/>
        <v/>
      </c>
    </row>
    <row r="340" spans="4:4" x14ac:dyDescent="0.25">
      <c r="D340" s="41" t="str">
        <f t="shared" si="5"/>
        <v/>
      </c>
    </row>
    <row r="341" spans="4:4" x14ac:dyDescent="0.25">
      <c r="D341" s="41" t="str">
        <f t="shared" si="5"/>
        <v/>
      </c>
    </row>
    <row r="342" spans="4:4" x14ac:dyDescent="0.25">
      <c r="D342" s="41" t="str">
        <f t="shared" si="5"/>
        <v/>
      </c>
    </row>
    <row r="343" spans="4:4" x14ac:dyDescent="0.25">
      <c r="D343" s="41" t="str">
        <f t="shared" si="5"/>
        <v/>
      </c>
    </row>
    <row r="344" spans="4:4" x14ac:dyDescent="0.25">
      <c r="D344" s="41" t="str">
        <f t="shared" si="5"/>
        <v/>
      </c>
    </row>
    <row r="345" spans="4:4" x14ac:dyDescent="0.25">
      <c r="D345" s="41" t="str">
        <f t="shared" si="5"/>
        <v/>
      </c>
    </row>
    <row r="346" spans="4:4" x14ac:dyDescent="0.25">
      <c r="D346" s="41" t="str">
        <f t="shared" si="5"/>
        <v/>
      </c>
    </row>
    <row r="347" spans="4:4" x14ac:dyDescent="0.25">
      <c r="D347" s="41" t="str">
        <f t="shared" si="5"/>
        <v/>
      </c>
    </row>
    <row r="348" spans="4:4" x14ac:dyDescent="0.25">
      <c r="D348" s="41" t="str">
        <f t="shared" si="5"/>
        <v/>
      </c>
    </row>
    <row r="349" spans="4:4" x14ac:dyDescent="0.25">
      <c r="D349" s="41" t="str">
        <f t="shared" si="5"/>
        <v/>
      </c>
    </row>
    <row r="350" spans="4:4" x14ac:dyDescent="0.25">
      <c r="D350" s="41" t="str">
        <f t="shared" si="5"/>
        <v/>
      </c>
    </row>
    <row r="351" spans="4:4" x14ac:dyDescent="0.25">
      <c r="D351" s="41" t="str">
        <f t="shared" si="5"/>
        <v/>
      </c>
    </row>
    <row r="352" spans="4:4" x14ac:dyDescent="0.25">
      <c r="D352" s="41" t="str">
        <f t="shared" si="5"/>
        <v/>
      </c>
    </row>
    <row r="353" spans="4:4" x14ac:dyDescent="0.25">
      <c r="D353" s="41" t="str">
        <f t="shared" si="5"/>
        <v/>
      </c>
    </row>
    <row r="354" spans="4:4" x14ac:dyDescent="0.25">
      <c r="D354" s="41" t="str">
        <f t="shared" si="5"/>
        <v/>
      </c>
    </row>
    <row r="355" spans="4:4" x14ac:dyDescent="0.25">
      <c r="D355" s="41" t="str">
        <f t="shared" si="5"/>
        <v/>
      </c>
    </row>
    <row r="356" spans="4:4" x14ac:dyDescent="0.25">
      <c r="D356" s="41" t="str">
        <f t="shared" si="5"/>
        <v/>
      </c>
    </row>
    <row r="357" spans="4:4" x14ac:dyDescent="0.25">
      <c r="D357" s="41" t="str">
        <f t="shared" si="5"/>
        <v/>
      </c>
    </row>
    <row r="358" spans="4:4" x14ac:dyDescent="0.25">
      <c r="D358" s="41" t="str">
        <f t="shared" si="5"/>
        <v/>
      </c>
    </row>
    <row r="359" spans="4:4" x14ac:dyDescent="0.25">
      <c r="D359" s="41" t="str">
        <f t="shared" si="5"/>
        <v/>
      </c>
    </row>
    <row r="360" spans="4:4" x14ac:dyDescent="0.25">
      <c r="D360" s="41" t="str">
        <f t="shared" si="5"/>
        <v/>
      </c>
    </row>
    <row r="361" spans="4:4" x14ac:dyDescent="0.25">
      <c r="D361" s="41" t="str">
        <f t="shared" si="5"/>
        <v/>
      </c>
    </row>
    <row r="362" spans="4:4" x14ac:dyDescent="0.25">
      <c r="D362" s="41" t="str">
        <f t="shared" si="5"/>
        <v/>
      </c>
    </row>
    <row r="363" spans="4:4" x14ac:dyDescent="0.25">
      <c r="D363" s="41" t="str">
        <f t="shared" si="5"/>
        <v/>
      </c>
    </row>
    <row r="364" spans="4:4" x14ac:dyDescent="0.25">
      <c r="D364" s="41" t="str">
        <f t="shared" si="5"/>
        <v/>
      </c>
    </row>
    <row r="365" spans="4:4" x14ac:dyDescent="0.25">
      <c r="D365" s="41" t="str">
        <f t="shared" si="5"/>
        <v/>
      </c>
    </row>
    <row r="366" spans="4:4" x14ac:dyDescent="0.25">
      <c r="D366" s="41" t="str">
        <f t="shared" si="5"/>
        <v/>
      </c>
    </row>
    <row r="367" spans="4:4" x14ac:dyDescent="0.25">
      <c r="D367" s="41" t="str">
        <f t="shared" si="5"/>
        <v/>
      </c>
    </row>
    <row r="368" spans="4:4" x14ac:dyDescent="0.25">
      <c r="D368" s="41" t="str">
        <f t="shared" si="5"/>
        <v/>
      </c>
    </row>
    <row r="369" spans="4:4" x14ac:dyDescent="0.25">
      <c r="D369" s="41" t="str">
        <f t="shared" si="5"/>
        <v/>
      </c>
    </row>
    <row r="370" spans="4:4" x14ac:dyDescent="0.25">
      <c r="D370" s="41" t="str">
        <f t="shared" si="5"/>
        <v/>
      </c>
    </row>
    <row r="371" spans="4:4" x14ac:dyDescent="0.25">
      <c r="D371" s="41" t="str">
        <f t="shared" si="5"/>
        <v/>
      </c>
    </row>
    <row r="372" spans="4:4" x14ac:dyDescent="0.25">
      <c r="D372" s="41" t="str">
        <f t="shared" si="5"/>
        <v/>
      </c>
    </row>
    <row r="373" spans="4:4" x14ac:dyDescent="0.25">
      <c r="D373" s="41" t="str">
        <f t="shared" si="5"/>
        <v/>
      </c>
    </row>
    <row r="374" spans="4:4" x14ac:dyDescent="0.25">
      <c r="D374" s="41" t="str">
        <f t="shared" si="5"/>
        <v/>
      </c>
    </row>
    <row r="375" spans="4:4" x14ac:dyDescent="0.25">
      <c r="D375" s="41" t="str">
        <f t="shared" si="5"/>
        <v/>
      </c>
    </row>
    <row r="376" spans="4:4" x14ac:dyDescent="0.25">
      <c r="D376" s="41" t="str">
        <f t="shared" si="5"/>
        <v/>
      </c>
    </row>
    <row r="377" spans="4:4" x14ac:dyDescent="0.25">
      <c r="D377" s="41" t="str">
        <f t="shared" si="5"/>
        <v/>
      </c>
    </row>
    <row r="378" spans="4:4" x14ac:dyDescent="0.25">
      <c r="D378" s="41" t="str">
        <f t="shared" si="5"/>
        <v/>
      </c>
    </row>
    <row r="379" spans="4:4" x14ac:dyDescent="0.25">
      <c r="D379" s="41" t="str">
        <f t="shared" si="5"/>
        <v/>
      </c>
    </row>
    <row r="380" spans="4:4" x14ac:dyDescent="0.25">
      <c r="D380" s="41" t="str">
        <f t="shared" si="5"/>
        <v/>
      </c>
    </row>
    <row r="381" spans="4:4" x14ac:dyDescent="0.25">
      <c r="D381" s="41" t="str">
        <f t="shared" si="5"/>
        <v/>
      </c>
    </row>
    <row r="382" spans="4:4" x14ac:dyDescent="0.25">
      <c r="D382" s="41" t="str">
        <f t="shared" si="5"/>
        <v/>
      </c>
    </row>
    <row r="383" spans="4:4" x14ac:dyDescent="0.25">
      <c r="D383" s="41" t="str">
        <f t="shared" si="5"/>
        <v/>
      </c>
    </row>
    <row r="384" spans="4:4" x14ac:dyDescent="0.25">
      <c r="D384" s="41" t="str">
        <f t="shared" si="5"/>
        <v/>
      </c>
    </row>
    <row r="385" spans="4:4" x14ac:dyDescent="0.25">
      <c r="D385" s="41" t="str">
        <f t="shared" si="5"/>
        <v/>
      </c>
    </row>
    <row r="386" spans="4:4" x14ac:dyDescent="0.25">
      <c r="D386" s="41" t="str">
        <f t="shared" si="5"/>
        <v/>
      </c>
    </row>
    <row r="387" spans="4:4" x14ac:dyDescent="0.25">
      <c r="D387" s="41" t="str">
        <f t="shared" si="5"/>
        <v/>
      </c>
    </row>
    <row r="388" spans="4:4" x14ac:dyDescent="0.25">
      <c r="D388" s="41" t="str">
        <f t="shared" si="5"/>
        <v/>
      </c>
    </row>
    <row r="389" spans="4:4" x14ac:dyDescent="0.25">
      <c r="D389" s="41" t="str">
        <f t="shared" si="5"/>
        <v/>
      </c>
    </row>
    <row r="390" spans="4:4" x14ac:dyDescent="0.25">
      <c r="D390" s="41" t="str">
        <f t="shared" si="5"/>
        <v/>
      </c>
    </row>
    <row r="391" spans="4:4" x14ac:dyDescent="0.25">
      <c r="D391" s="41" t="str">
        <f t="shared" si="5"/>
        <v/>
      </c>
    </row>
    <row r="392" spans="4:4" x14ac:dyDescent="0.25">
      <c r="D392" s="41" t="str">
        <f t="shared" si="5"/>
        <v/>
      </c>
    </row>
    <row r="393" spans="4:4" x14ac:dyDescent="0.25">
      <c r="D393" s="41" t="str">
        <f t="shared" si="5"/>
        <v/>
      </c>
    </row>
    <row r="394" spans="4:4" x14ac:dyDescent="0.25">
      <c r="D394" s="41" t="str">
        <f t="shared" si="5"/>
        <v/>
      </c>
    </row>
    <row r="395" spans="4:4" x14ac:dyDescent="0.25">
      <c r="D395" s="41" t="str">
        <f t="shared" si="5"/>
        <v/>
      </c>
    </row>
    <row r="396" spans="4:4" x14ac:dyDescent="0.25">
      <c r="D396" s="41" t="str">
        <f t="shared" si="5"/>
        <v/>
      </c>
    </row>
    <row r="397" spans="4:4" x14ac:dyDescent="0.25">
      <c r="D397" s="41" t="str">
        <f t="shared" si="5"/>
        <v/>
      </c>
    </row>
    <row r="398" spans="4:4" x14ac:dyDescent="0.25">
      <c r="D398" s="41" t="str">
        <f t="shared" si="5"/>
        <v/>
      </c>
    </row>
    <row r="399" spans="4:4" x14ac:dyDescent="0.25">
      <c r="D399" s="41" t="str">
        <f t="shared" si="5"/>
        <v/>
      </c>
    </row>
    <row r="400" spans="4:4" x14ac:dyDescent="0.25">
      <c r="D400" s="41" t="str">
        <f t="shared" si="5"/>
        <v/>
      </c>
    </row>
    <row r="401" spans="4:4" x14ac:dyDescent="0.25">
      <c r="D401" s="41" t="str">
        <f t="shared" ref="D401:D464" si="6">IF(A401=0,"","Elastic")</f>
        <v/>
      </c>
    </row>
    <row r="402" spans="4:4" x14ac:dyDescent="0.25">
      <c r="D402" s="41" t="str">
        <f t="shared" si="6"/>
        <v/>
      </c>
    </row>
    <row r="403" spans="4:4" x14ac:dyDescent="0.25">
      <c r="D403" s="41" t="str">
        <f t="shared" si="6"/>
        <v/>
      </c>
    </row>
    <row r="404" spans="4:4" x14ac:dyDescent="0.25">
      <c r="D404" s="41" t="str">
        <f t="shared" si="6"/>
        <v/>
      </c>
    </row>
    <row r="405" spans="4:4" x14ac:dyDescent="0.25">
      <c r="D405" s="41" t="str">
        <f t="shared" si="6"/>
        <v/>
      </c>
    </row>
    <row r="406" spans="4:4" x14ac:dyDescent="0.25">
      <c r="D406" s="41" t="str">
        <f t="shared" si="6"/>
        <v/>
      </c>
    </row>
    <row r="407" spans="4:4" x14ac:dyDescent="0.25">
      <c r="D407" s="41" t="str">
        <f t="shared" si="6"/>
        <v/>
      </c>
    </row>
    <row r="408" spans="4:4" x14ac:dyDescent="0.25">
      <c r="D408" s="41" t="str">
        <f t="shared" si="6"/>
        <v/>
      </c>
    </row>
    <row r="409" spans="4:4" x14ac:dyDescent="0.25">
      <c r="D409" s="41" t="str">
        <f t="shared" si="6"/>
        <v/>
      </c>
    </row>
    <row r="410" spans="4:4" x14ac:dyDescent="0.25">
      <c r="D410" s="41" t="str">
        <f t="shared" si="6"/>
        <v/>
      </c>
    </row>
    <row r="411" spans="4:4" x14ac:dyDescent="0.25">
      <c r="D411" s="41" t="str">
        <f t="shared" si="6"/>
        <v/>
      </c>
    </row>
    <row r="412" spans="4:4" x14ac:dyDescent="0.25">
      <c r="D412" s="41" t="str">
        <f t="shared" si="6"/>
        <v/>
      </c>
    </row>
    <row r="413" spans="4:4" x14ac:dyDescent="0.25">
      <c r="D413" s="41" t="str">
        <f t="shared" si="6"/>
        <v/>
      </c>
    </row>
    <row r="414" spans="4:4" x14ac:dyDescent="0.25">
      <c r="D414" s="41" t="str">
        <f t="shared" si="6"/>
        <v/>
      </c>
    </row>
    <row r="415" spans="4:4" x14ac:dyDescent="0.25">
      <c r="D415" s="41" t="str">
        <f t="shared" si="6"/>
        <v/>
      </c>
    </row>
    <row r="416" spans="4:4" x14ac:dyDescent="0.25">
      <c r="D416" s="41" t="str">
        <f t="shared" si="6"/>
        <v/>
      </c>
    </row>
    <row r="417" spans="4:4" x14ac:dyDescent="0.25">
      <c r="D417" s="41" t="str">
        <f t="shared" si="6"/>
        <v/>
      </c>
    </row>
    <row r="418" spans="4:4" x14ac:dyDescent="0.25">
      <c r="D418" s="41" t="str">
        <f t="shared" si="6"/>
        <v/>
      </c>
    </row>
    <row r="419" spans="4:4" x14ac:dyDescent="0.25">
      <c r="D419" s="41" t="str">
        <f t="shared" si="6"/>
        <v/>
      </c>
    </row>
    <row r="420" spans="4:4" x14ac:dyDescent="0.25">
      <c r="D420" s="41" t="str">
        <f t="shared" si="6"/>
        <v/>
      </c>
    </row>
    <row r="421" spans="4:4" x14ac:dyDescent="0.25">
      <c r="D421" s="41" t="str">
        <f t="shared" si="6"/>
        <v/>
      </c>
    </row>
    <row r="422" spans="4:4" x14ac:dyDescent="0.25">
      <c r="D422" s="41" t="str">
        <f t="shared" si="6"/>
        <v/>
      </c>
    </row>
    <row r="423" spans="4:4" x14ac:dyDescent="0.25">
      <c r="D423" s="41" t="str">
        <f t="shared" si="6"/>
        <v/>
      </c>
    </row>
    <row r="424" spans="4:4" x14ac:dyDescent="0.25">
      <c r="D424" s="41" t="str">
        <f t="shared" si="6"/>
        <v/>
      </c>
    </row>
    <row r="425" spans="4:4" x14ac:dyDescent="0.25">
      <c r="D425" s="41" t="str">
        <f t="shared" si="6"/>
        <v/>
      </c>
    </row>
    <row r="426" spans="4:4" x14ac:dyDescent="0.25">
      <c r="D426" s="41" t="str">
        <f t="shared" si="6"/>
        <v/>
      </c>
    </row>
    <row r="427" spans="4:4" x14ac:dyDescent="0.25">
      <c r="D427" s="41" t="str">
        <f t="shared" si="6"/>
        <v/>
      </c>
    </row>
    <row r="428" spans="4:4" x14ac:dyDescent="0.25">
      <c r="D428" s="41" t="str">
        <f t="shared" si="6"/>
        <v/>
      </c>
    </row>
    <row r="429" spans="4:4" x14ac:dyDescent="0.25">
      <c r="D429" s="41" t="str">
        <f t="shared" si="6"/>
        <v/>
      </c>
    </row>
    <row r="430" spans="4:4" x14ac:dyDescent="0.25">
      <c r="D430" s="41" t="str">
        <f t="shared" si="6"/>
        <v/>
      </c>
    </row>
    <row r="431" spans="4:4" x14ac:dyDescent="0.25">
      <c r="D431" s="41" t="str">
        <f t="shared" si="6"/>
        <v/>
      </c>
    </row>
    <row r="432" spans="4:4" x14ac:dyDescent="0.25">
      <c r="D432" s="41" t="str">
        <f t="shared" si="6"/>
        <v/>
      </c>
    </row>
    <row r="433" spans="4:4" x14ac:dyDescent="0.25">
      <c r="D433" s="41" t="str">
        <f t="shared" si="6"/>
        <v/>
      </c>
    </row>
    <row r="434" spans="4:4" x14ac:dyDescent="0.25">
      <c r="D434" s="41" t="str">
        <f t="shared" si="6"/>
        <v/>
      </c>
    </row>
    <row r="435" spans="4:4" x14ac:dyDescent="0.25">
      <c r="D435" s="41" t="str">
        <f t="shared" si="6"/>
        <v/>
      </c>
    </row>
    <row r="436" spans="4:4" x14ac:dyDescent="0.25">
      <c r="D436" s="41" t="str">
        <f t="shared" si="6"/>
        <v/>
      </c>
    </row>
    <row r="437" spans="4:4" x14ac:dyDescent="0.25">
      <c r="D437" s="41" t="str">
        <f t="shared" si="6"/>
        <v/>
      </c>
    </row>
    <row r="438" spans="4:4" x14ac:dyDescent="0.25">
      <c r="D438" s="41" t="str">
        <f t="shared" si="6"/>
        <v/>
      </c>
    </row>
    <row r="439" spans="4:4" x14ac:dyDescent="0.25">
      <c r="D439" s="41" t="str">
        <f t="shared" si="6"/>
        <v/>
      </c>
    </row>
    <row r="440" spans="4:4" x14ac:dyDescent="0.25">
      <c r="D440" s="41" t="str">
        <f t="shared" si="6"/>
        <v/>
      </c>
    </row>
    <row r="441" spans="4:4" x14ac:dyDescent="0.25">
      <c r="D441" s="41" t="str">
        <f t="shared" si="6"/>
        <v/>
      </c>
    </row>
    <row r="442" spans="4:4" x14ac:dyDescent="0.25">
      <c r="D442" s="41" t="str">
        <f t="shared" si="6"/>
        <v/>
      </c>
    </row>
    <row r="443" spans="4:4" x14ac:dyDescent="0.25">
      <c r="D443" s="41" t="str">
        <f t="shared" si="6"/>
        <v/>
      </c>
    </row>
    <row r="444" spans="4:4" x14ac:dyDescent="0.25">
      <c r="D444" s="41" t="str">
        <f t="shared" si="6"/>
        <v/>
      </c>
    </row>
    <row r="445" spans="4:4" x14ac:dyDescent="0.25">
      <c r="D445" s="41" t="str">
        <f t="shared" si="6"/>
        <v/>
      </c>
    </row>
    <row r="446" spans="4:4" x14ac:dyDescent="0.25">
      <c r="D446" s="41" t="str">
        <f t="shared" si="6"/>
        <v/>
      </c>
    </row>
    <row r="447" spans="4:4" x14ac:dyDescent="0.25">
      <c r="D447" s="41" t="str">
        <f t="shared" si="6"/>
        <v/>
      </c>
    </row>
    <row r="448" spans="4:4" x14ac:dyDescent="0.25">
      <c r="D448" s="41" t="str">
        <f t="shared" si="6"/>
        <v/>
      </c>
    </row>
    <row r="449" spans="4:4" x14ac:dyDescent="0.25">
      <c r="D449" s="41" t="str">
        <f t="shared" si="6"/>
        <v/>
      </c>
    </row>
    <row r="450" spans="4:4" x14ac:dyDescent="0.25">
      <c r="D450" s="41" t="str">
        <f t="shared" si="6"/>
        <v/>
      </c>
    </row>
    <row r="451" spans="4:4" x14ac:dyDescent="0.25">
      <c r="D451" s="41" t="str">
        <f t="shared" si="6"/>
        <v/>
      </c>
    </row>
    <row r="452" spans="4:4" x14ac:dyDescent="0.25">
      <c r="D452" s="41" t="str">
        <f t="shared" si="6"/>
        <v/>
      </c>
    </row>
    <row r="453" spans="4:4" x14ac:dyDescent="0.25">
      <c r="D453" s="41" t="str">
        <f t="shared" si="6"/>
        <v/>
      </c>
    </row>
    <row r="454" spans="4:4" x14ac:dyDescent="0.25">
      <c r="D454" s="41" t="str">
        <f t="shared" si="6"/>
        <v/>
      </c>
    </row>
    <row r="455" spans="4:4" x14ac:dyDescent="0.25">
      <c r="D455" s="41" t="str">
        <f t="shared" si="6"/>
        <v/>
      </c>
    </row>
    <row r="456" spans="4:4" x14ac:dyDescent="0.25">
      <c r="D456" s="41" t="str">
        <f t="shared" si="6"/>
        <v/>
      </c>
    </row>
    <row r="457" spans="4:4" x14ac:dyDescent="0.25">
      <c r="D457" s="41" t="str">
        <f t="shared" si="6"/>
        <v/>
      </c>
    </row>
    <row r="458" spans="4:4" x14ac:dyDescent="0.25">
      <c r="D458" s="41" t="str">
        <f t="shared" si="6"/>
        <v/>
      </c>
    </row>
    <row r="459" spans="4:4" x14ac:dyDescent="0.25">
      <c r="D459" s="41" t="str">
        <f t="shared" si="6"/>
        <v/>
      </c>
    </row>
    <row r="460" spans="4:4" x14ac:dyDescent="0.25">
      <c r="D460" s="41" t="str">
        <f t="shared" si="6"/>
        <v/>
      </c>
    </row>
    <row r="461" spans="4:4" x14ac:dyDescent="0.25">
      <c r="D461" s="41" t="str">
        <f t="shared" si="6"/>
        <v/>
      </c>
    </row>
    <row r="462" spans="4:4" x14ac:dyDescent="0.25">
      <c r="D462" s="41" t="str">
        <f t="shared" si="6"/>
        <v/>
      </c>
    </row>
    <row r="463" spans="4:4" x14ac:dyDescent="0.25">
      <c r="D463" s="41" t="str">
        <f t="shared" si="6"/>
        <v/>
      </c>
    </row>
    <row r="464" spans="4:4" x14ac:dyDescent="0.25">
      <c r="D464" s="41" t="str">
        <f t="shared" si="6"/>
        <v/>
      </c>
    </row>
    <row r="465" spans="4:4" x14ac:dyDescent="0.25">
      <c r="D465" s="41" t="str">
        <f t="shared" ref="D465:D528" si="7">IF(A465=0,"","Elastic")</f>
        <v/>
      </c>
    </row>
    <row r="466" spans="4:4" x14ac:dyDescent="0.25">
      <c r="D466" s="41" t="str">
        <f t="shared" si="7"/>
        <v/>
      </c>
    </row>
    <row r="467" spans="4:4" x14ac:dyDescent="0.25">
      <c r="D467" s="41" t="str">
        <f t="shared" si="7"/>
        <v/>
      </c>
    </row>
    <row r="468" spans="4:4" x14ac:dyDescent="0.25">
      <c r="D468" s="41" t="str">
        <f t="shared" si="7"/>
        <v/>
      </c>
    </row>
    <row r="469" spans="4:4" x14ac:dyDescent="0.25">
      <c r="D469" s="41" t="str">
        <f t="shared" si="7"/>
        <v/>
      </c>
    </row>
    <row r="470" spans="4:4" x14ac:dyDescent="0.25">
      <c r="D470" s="41" t="str">
        <f t="shared" si="7"/>
        <v/>
      </c>
    </row>
    <row r="471" spans="4:4" x14ac:dyDescent="0.25">
      <c r="D471" s="41" t="str">
        <f t="shared" si="7"/>
        <v/>
      </c>
    </row>
    <row r="472" spans="4:4" x14ac:dyDescent="0.25">
      <c r="D472" s="41" t="str">
        <f t="shared" si="7"/>
        <v/>
      </c>
    </row>
    <row r="473" spans="4:4" x14ac:dyDescent="0.25">
      <c r="D473" s="41" t="str">
        <f t="shared" si="7"/>
        <v/>
      </c>
    </row>
    <row r="474" spans="4:4" x14ac:dyDescent="0.25">
      <c r="D474" s="41" t="str">
        <f t="shared" si="7"/>
        <v/>
      </c>
    </row>
    <row r="475" spans="4:4" x14ac:dyDescent="0.25">
      <c r="D475" s="41" t="str">
        <f t="shared" si="7"/>
        <v/>
      </c>
    </row>
    <row r="476" spans="4:4" x14ac:dyDescent="0.25">
      <c r="D476" s="41" t="str">
        <f t="shared" si="7"/>
        <v/>
      </c>
    </row>
    <row r="477" spans="4:4" x14ac:dyDescent="0.25">
      <c r="D477" s="41" t="str">
        <f t="shared" si="7"/>
        <v/>
      </c>
    </row>
    <row r="478" spans="4:4" x14ac:dyDescent="0.25">
      <c r="D478" s="41" t="str">
        <f t="shared" si="7"/>
        <v/>
      </c>
    </row>
    <row r="479" spans="4:4" x14ac:dyDescent="0.25">
      <c r="D479" s="41" t="str">
        <f t="shared" si="7"/>
        <v/>
      </c>
    </row>
    <row r="480" spans="4:4" x14ac:dyDescent="0.25">
      <c r="D480" s="41" t="str">
        <f t="shared" si="7"/>
        <v/>
      </c>
    </row>
    <row r="481" spans="4:4" x14ac:dyDescent="0.25">
      <c r="D481" s="41" t="str">
        <f t="shared" si="7"/>
        <v/>
      </c>
    </row>
    <row r="482" spans="4:4" x14ac:dyDescent="0.25">
      <c r="D482" s="41" t="str">
        <f t="shared" si="7"/>
        <v/>
      </c>
    </row>
    <row r="483" spans="4:4" x14ac:dyDescent="0.25">
      <c r="D483" s="41" t="str">
        <f t="shared" si="7"/>
        <v/>
      </c>
    </row>
    <row r="484" spans="4:4" x14ac:dyDescent="0.25">
      <c r="D484" s="41" t="str">
        <f t="shared" si="7"/>
        <v/>
      </c>
    </row>
    <row r="485" spans="4:4" x14ac:dyDescent="0.25">
      <c r="D485" s="41" t="str">
        <f t="shared" si="7"/>
        <v/>
      </c>
    </row>
    <row r="486" spans="4:4" x14ac:dyDescent="0.25">
      <c r="D486" s="41" t="str">
        <f t="shared" si="7"/>
        <v/>
      </c>
    </row>
    <row r="487" spans="4:4" x14ac:dyDescent="0.25">
      <c r="D487" s="41" t="str">
        <f t="shared" si="7"/>
        <v/>
      </c>
    </row>
    <row r="488" spans="4:4" x14ac:dyDescent="0.25">
      <c r="D488" s="41" t="str">
        <f t="shared" si="7"/>
        <v/>
      </c>
    </row>
    <row r="489" spans="4:4" x14ac:dyDescent="0.25">
      <c r="D489" s="41" t="str">
        <f t="shared" si="7"/>
        <v/>
      </c>
    </row>
    <row r="490" spans="4:4" x14ac:dyDescent="0.25">
      <c r="D490" s="41" t="str">
        <f t="shared" si="7"/>
        <v/>
      </c>
    </row>
    <row r="491" spans="4:4" x14ac:dyDescent="0.25">
      <c r="D491" s="41" t="str">
        <f t="shared" si="7"/>
        <v/>
      </c>
    </row>
    <row r="492" spans="4:4" x14ac:dyDescent="0.25">
      <c r="D492" s="41" t="str">
        <f t="shared" si="7"/>
        <v/>
      </c>
    </row>
    <row r="493" spans="4:4" x14ac:dyDescent="0.25">
      <c r="D493" s="41" t="str">
        <f t="shared" si="7"/>
        <v/>
      </c>
    </row>
    <row r="494" spans="4:4" x14ac:dyDescent="0.25">
      <c r="D494" s="41" t="str">
        <f t="shared" si="7"/>
        <v/>
      </c>
    </row>
    <row r="495" spans="4:4" x14ac:dyDescent="0.25">
      <c r="D495" s="41" t="str">
        <f t="shared" si="7"/>
        <v/>
      </c>
    </row>
    <row r="496" spans="4:4" x14ac:dyDescent="0.25">
      <c r="D496" s="41" t="str">
        <f t="shared" si="7"/>
        <v/>
      </c>
    </row>
    <row r="497" spans="4:4" x14ac:dyDescent="0.25">
      <c r="D497" s="41" t="str">
        <f t="shared" si="7"/>
        <v/>
      </c>
    </row>
    <row r="498" spans="4:4" x14ac:dyDescent="0.25">
      <c r="D498" s="41" t="str">
        <f t="shared" si="7"/>
        <v/>
      </c>
    </row>
    <row r="499" spans="4:4" x14ac:dyDescent="0.25">
      <c r="D499" s="41" t="str">
        <f t="shared" si="7"/>
        <v/>
      </c>
    </row>
    <row r="500" spans="4:4" x14ac:dyDescent="0.25">
      <c r="D500" s="41" t="str">
        <f t="shared" si="7"/>
        <v/>
      </c>
    </row>
    <row r="501" spans="4:4" x14ac:dyDescent="0.25">
      <c r="D501" s="41" t="str">
        <f t="shared" si="7"/>
        <v/>
      </c>
    </row>
    <row r="502" spans="4:4" x14ac:dyDescent="0.25">
      <c r="D502" s="41" t="str">
        <f t="shared" si="7"/>
        <v/>
      </c>
    </row>
    <row r="503" spans="4:4" x14ac:dyDescent="0.25">
      <c r="D503" s="41" t="str">
        <f t="shared" si="7"/>
        <v/>
      </c>
    </row>
    <row r="504" spans="4:4" x14ac:dyDescent="0.25">
      <c r="D504" s="41" t="str">
        <f t="shared" si="7"/>
        <v/>
      </c>
    </row>
    <row r="505" spans="4:4" x14ac:dyDescent="0.25">
      <c r="D505" s="41" t="str">
        <f t="shared" si="7"/>
        <v/>
      </c>
    </row>
    <row r="506" spans="4:4" x14ac:dyDescent="0.25">
      <c r="D506" s="41" t="str">
        <f t="shared" si="7"/>
        <v/>
      </c>
    </row>
    <row r="507" spans="4:4" x14ac:dyDescent="0.25">
      <c r="D507" s="41" t="str">
        <f t="shared" si="7"/>
        <v/>
      </c>
    </row>
    <row r="508" spans="4:4" x14ac:dyDescent="0.25">
      <c r="D508" s="41" t="str">
        <f t="shared" si="7"/>
        <v/>
      </c>
    </row>
    <row r="509" spans="4:4" x14ac:dyDescent="0.25">
      <c r="D509" s="41" t="str">
        <f t="shared" si="7"/>
        <v/>
      </c>
    </row>
    <row r="510" spans="4:4" x14ac:dyDescent="0.25">
      <c r="D510" s="41" t="str">
        <f t="shared" si="7"/>
        <v/>
      </c>
    </row>
    <row r="511" spans="4:4" x14ac:dyDescent="0.25">
      <c r="D511" s="41" t="str">
        <f t="shared" si="7"/>
        <v/>
      </c>
    </row>
    <row r="512" spans="4:4" x14ac:dyDescent="0.25">
      <c r="D512" s="41" t="str">
        <f t="shared" si="7"/>
        <v/>
      </c>
    </row>
    <row r="513" spans="4:4" x14ac:dyDescent="0.25">
      <c r="D513" s="41" t="str">
        <f t="shared" si="7"/>
        <v/>
      </c>
    </row>
    <row r="514" spans="4:4" x14ac:dyDescent="0.25">
      <c r="D514" s="41" t="str">
        <f t="shared" si="7"/>
        <v/>
      </c>
    </row>
    <row r="515" spans="4:4" x14ac:dyDescent="0.25">
      <c r="D515" s="41" t="str">
        <f t="shared" si="7"/>
        <v/>
      </c>
    </row>
    <row r="516" spans="4:4" x14ac:dyDescent="0.25">
      <c r="D516" s="41" t="str">
        <f t="shared" si="7"/>
        <v/>
      </c>
    </row>
    <row r="517" spans="4:4" x14ac:dyDescent="0.25">
      <c r="D517" s="41" t="str">
        <f t="shared" si="7"/>
        <v/>
      </c>
    </row>
    <row r="518" spans="4:4" x14ac:dyDescent="0.25">
      <c r="D518" s="41" t="str">
        <f t="shared" si="7"/>
        <v/>
      </c>
    </row>
    <row r="519" spans="4:4" x14ac:dyDescent="0.25">
      <c r="D519" s="41" t="str">
        <f t="shared" si="7"/>
        <v/>
      </c>
    </row>
    <row r="520" spans="4:4" x14ac:dyDescent="0.25">
      <c r="D520" s="41" t="str">
        <f t="shared" si="7"/>
        <v/>
      </c>
    </row>
    <row r="521" spans="4:4" x14ac:dyDescent="0.25">
      <c r="D521" s="41" t="str">
        <f t="shared" si="7"/>
        <v/>
      </c>
    </row>
    <row r="522" spans="4:4" x14ac:dyDescent="0.25">
      <c r="D522" s="41" t="str">
        <f t="shared" si="7"/>
        <v/>
      </c>
    </row>
    <row r="523" spans="4:4" x14ac:dyDescent="0.25">
      <c r="D523" s="41" t="str">
        <f t="shared" si="7"/>
        <v/>
      </c>
    </row>
    <row r="524" spans="4:4" x14ac:dyDescent="0.25">
      <c r="D524" s="41" t="str">
        <f t="shared" si="7"/>
        <v/>
      </c>
    </row>
    <row r="525" spans="4:4" x14ac:dyDescent="0.25">
      <c r="D525" s="41" t="str">
        <f t="shared" si="7"/>
        <v/>
      </c>
    </row>
    <row r="526" spans="4:4" x14ac:dyDescent="0.25">
      <c r="D526" s="41" t="str">
        <f t="shared" si="7"/>
        <v/>
      </c>
    </row>
    <row r="527" spans="4:4" x14ac:dyDescent="0.25">
      <c r="D527" s="41" t="str">
        <f t="shared" si="7"/>
        <v/>
      </c>
    </row>
    <row r="528" spans="4:4" x14ac:dyDescent="0.25">
      <c r="D528" s="41" t="str">
        <f t="shared" si="7"/>
        <v/>
      </c>
    </row>
    <row r="529" spans="4:4" x14ac:dyDescent="0.25">
      <c r="D529" s="41" t="str">
        <f t="shared" ref="D529:D592" si="8">IF(A529=0,"","Elastic")</f>
        <v/>
      </c>
    </row>
    <row r="530" spans="4:4" x14ac:dyDescent="0.25">
      <c r="D530" s="41" t="str">
        <f t="shared" si="8"/>
        <v/>
      </c>
    </row>
    <row r="531" spans="4:4" x14ac:dyDescent="0.25">
      <c r="D531" s="41" t="str">
        <f t="shared" si="8"/>
        <v/>
      </c>
    </row>
    <row r="532" spans="4:4" x14ac:dyDescent="0.25">
      <c r="D532" s="41" t="str">
        <f t="shared" si="8"/>
        <v/>
      </c>
    </row>
    <row r="533" spans="4:4" x14ac:dyDescent="0.25">
      <c r="D533" s="41" t="str">
        <f t="shared" si="8"/>
        <v/>
      </c>
    </row>
    <row r="534" spans="4:4" x14ac:dyDescent="0.25">
      <c r="D534" s="41" t="str">
        <f t="shared" si="8"/>
        <v/>
      </c>
    </row>
    <row r="535" spans="4:4" x14ac:dyDescent="0.25">
      <c r="D535" s="41" t="str">
        <f t="shared" si="8"/>
        <v/>
      </c>
    </row>
    <row r="536" spans="4:4" x14ac:dyDescent="0.25">
      <c r="D536" s="41" t="str">
        <f t="shared" si="8"/>
        <v/>
      </c>
    </row>
    <row r="537" spans="4:4" x14ac:dyDescent="0.25">
      <c r="D537" s="41" t="str">
        <f t="shared" si="8"/>
        <v/>
      </c>
    </row>
    <row r="538" spans="4:4" x14ac:dyDescent="0.25">
      <c r="D538" s="41" t="str">
        <f t="shared" si="8"/>
        <v/>
      </c>
    </row>
    <row r="539" spans="4:4" x14ac:dyDescent="0.25">
      <c r="D539" s="41" t="str">
        <f t="shared" si="8"/>
        <v/>
      </c>
    </row>
    <row r="540" spans="4:4" x14ac:dyDescent="0.25">
      <c r="D540" s="41" t="str">
        <f t="shared" si="8"/>
        <v/>
      </c>
    </row>
    <row r="541" spans="4:4" x14ac:dyDescent="0.25">
      <c r="D541" s="41" t="str">
        <f t="shared" si="8"/>
        <v/>
      </c>
    </row>
    <row r="542" spans="4:4" x14ac:dyDescent="0.25">
      <c r="D542" s="41" t="str">
        <f t="shared" si="8"/>
        <v/>
      </c>
    </row>
    <row r="543" spans="4:4" x14ac:dyDescent="0.25">
      <c r="D543" s="41" t="str">
        <f t="shared" si="8"/>
        <v/>
      </c>
    </row>
    <row r="544" spans="4:4" x14ac:dyDescent="0.25">
      <c r="D544" s="41" t="str">
        <f t="shared" si="8"/>
        <v/>
      </c>
    </row>
    <row r="545" spans="4:4" x14ac:dyDescent="0.25">
      <c r="D545" s="41" t="str">
        <f t="shared" si="8"/>
        <v/>
      </c>
    </row>
    <row r="546" spans="4:4" x14ac:dyDescent="0.25">
      <c r="D546" s="41" t="str">
        <f t="shared" si="8"/>
        <v/>
      </c>
    </row>
    <row r="547" spans="4:4" x14ac:dyDescent="0.25">
      <c r="D547" s="41" t="str">
        <f t="shared" si="8"/>
        <v/>
      </c>
    </row>
    <row r="548" spans="4:4" x14ac:dyDescent="0.25">
      <c r="D548" s="41" t="str">
        <f t="shared" si="8"/>
        <v/>
      </c>
    </row>
    <row r="549" spans="4:4" x14ac:dyDescent="0.25">
      <c r="D549" s="41" t="str">
        <f t="shared" si="8"/>
        <v/>
      </c>
    </row>
    <row r="550" spans="4:4" x14ac:dyDescent="0.25">
      <c r="D550" s="41" t="str">
        <f t="shared" si="8"/>
        <v/>
      </c>
    </row>
    <row r="551" spans="4:4" x14ac:dyDescent="0.25">
      <c r="D551" s="41" t="str">
        <f t="shared" si="8"/>
        <v/>
      </c>
    </row>
    <row r="552" spans="4:4" x14ac:dyDescent="0.25">
      <c r="D552" s="41" t="str">
        <f t="shared" si="8"/>
        <v/>
      </c>
    </row>
    <row r="553" spans="4:4" x14ac:dyDescent="0.25">
      <c r="D553" s="41" t="str">
        <f t="shared" si="8"/>
        <v/>
      </c>
    </row>
    <row r="554" spans="4:4" x14ac:dyDescent="0.25">
      <c r="D554" s="41" t="str">
        <f t="shared" si="8"/>
        <v/>
      </c>
    </row>
    <row r="555" spans="4:4" x14ac:dyDescent="0.25">
      <c r="D555" s="41" t="str">
        <f t="shared" si="8"/>
        <v/>
      </c>
    </row>
    <row r="556" spans="4:4" x14ac:dyDescent="0.25">
      <c r="D556" s="41" t="str">
        <f t="shared" si="8"/>
        <v/>
      </c>
    </row>
    <row r="557" spans="4:4" x14ac:dyDescent="0.25">
      <c r="D557" s="41" t="str">
        <f t="shared" si="8"/>
        <v/>
      </c>
    </row>
    <row r="558" spans="4:4" x14ac:dyDescent="0.25">
      <c r="D558" s="41" t="str">
        <f t="shared" si="8"/>
        <v/>
      </c>
    </row>
    <row r="559" spans="4:4" x14ac:dyDescent="0.25">
      <c r="D559" s="41" t="str">
        <f t="shared" si="8"/>
        <v/>
      </c>
    </row>
    <row r="560" spans="4:4" x14ac:dyDescent="0.25">
      <c r="D560" s="41" t="str">
        <f t="shared" si="8"/>
        <v/>
      </c>
    </row>
    <row r="561" spans="4:4" x14ac:dyDescent="0.25">
      <c r="D561" s="41" t="str">
        <f t="shared" si="8"/>
        <v/>
      </c>
    </row>
    <row r="562" spans="4:4" x14ac:dyDescent="0.25">
      <c r="D562" s="41" t="str">
        <f t="shared" si="8"/>
        <v/>
      </c>
    </row>
    <row r="563" spans="4:4" x14ac:dyDescent="0.25">
      <c r="D563" s="41" t="str">
        <f t="shared" si="8"/>
        <v/>
      </c>
    </row>
    <row r="564" spans="4:4" x14ac:dyDescent="0.25">
      <c r="D564" s="41" t="str">
        <f t="shared" si="8"/>
        <v/>
      </c>
    </row>
    <row r="565" spans="4:4" x14ac:dyDescent="0.25">
      <c r="D565" s="41" t="str">
        <f t="shared" si="8"/>
        <v/>
      </c>
    </row>
    <row r="566" spans="4:4" x14ac:dyDescent="0.25">
      <c r="D566" s="41" t="str">
        <f t="shared" si="8"/>
        <v/>
      </c>
    </row>
    <row r="567" spans="4:4" x14ac:dyDescent="0.25">
      <c r="D567" s="41" t="str">
        <f t="shared" si="8"/>
        <v/>
      </c>
    </row>
    <row r="568" spans="4:4" x14ac:dyDescent="0.25">
      <c r="D568" s="41" t="str">
        <f t="shared" si="8"/>
        <v/>
      </c>
    </row>
    <row r="569" spans="4:4" x14ac:dyDescent="0.25">
      <c r="D569" s="41" t="str">
        <f t="shared" si="8"/>
        <v/>
      </c>
    </row>
    <row r="570" spans="4:4" x14ac:dyDescent="0.25">
      <c r="D570" s="41" t="str">
        <f t="shared" si="8"/>
        <v/>
      </c>
    </row>
    <row r="571" spans="4:4" x14ac:dyDescent="0.25">
      <c r="D571" s="41" t="str">
        <f t="shared" si="8"/>
        <v/>
      </c>
    </row>
    <row r="572" spans="4:4" x14ac:dyDescent="0.25">
      <c r="D572" s="41" t="str">
        <f t="shared" si="8"/>
        <v/>
      </c>
    </row>
    <row r="573" spans="4:4" x14ac:dyDescent="0.25">
      <c r="D573" s="41" t="str">
        <f t="shared" si="8"/>
        <v/>
      </c>
    </row>
    <row r="574" spans="4:4" x14ac:dyDescent="0.25">
      <c r="D574" s="41" t="str">
        <f t="shared" si="8"/>
        <v/>
      </c>
    </row>
    <row r="575" spans="4:4" x14ac:dyDescent="0.25">
      <c r="D575" s="41" t="str">
        <f t="shared" si="8"/>
        <v/>
      </c>
    </row>
    <row r="576" spans="4:4" x14ac:dyDescent="0.25">
      <c r="D576" s="41" t="str">
        <f t="shared" si="8"/>
        <v/>
      </c>
    </row>
    <row r="577" spans="4:4" x14ac:dyDescent="0.25">
      <c r="D577" s="41" t="str">
        <f t="shared" si="8"/>
        <v/>
      </c>
    </row>
    <row r="578" spans="4:4" x14ac:dyDescent="0.25">
      <c r="D578" s="41" t="str">
        <f t="shared" si="8"/>
        <v/>
      </c>
    </row>
    <row r="579" spans="4:4" x14ac:dyDescent="0.25">
      <c r="D579" s="41" t="str">
        <f t="shared" si="8"/>
        <v/>
      </c>
    </row>
    <row r="580" spans="4:4" x14ac:dyDescent="0.25">
      <c r="D580" s="41" t="str">
        <f t="shared" si="8"/>
        <v/>
      </c>
    </row>
    <row r="581" spans="4:4" x14ac:dyDescent="0.25">
      <c r="D581" s="41" t="str">
        <f t="shared" si="8"/>
        <v/>
      </c>
    </row>
    <row r="582" spans="4:4" x14ac:dyDescent="0.25">
      <c r="D582" s="41" t="str">
        <f t="shared" si="8"/>
        <v/>
      </c>
    </row>
    <row r="583" spans="4:4" x14ac:dyDescent="0.25">
      <c r="D583" s="41" t="str">
        <f t="shared" si="8"/>
        <v/>
      </c>
    </row>
    <row r="584" spans="4:4" x14ac:dyDescent="0.25">
      <c r="D584" s="41" t="str">
        <f t="shared" si="8"/>
        <v/>
      </c>
    </row>
    <row r="585" spans="4:4" x14ac:dyDescent="0.25">
      <c r="D585" s="41" t="str">
        <f t="shared" si="8"/>
        <v/>
      </c>
    </row>
    <row r="586" spans="4:4" x14ac:dyDescent="0.25">
      <c r="D586" s="41" t="str">
        <f t="shared" si="8"/>
        <v/>
      </c>
    </row>
    <row r="587" spans="4:4" x14ac:dyDescent="0.25">
      <c r="D587" s="41" t="str">
        <f t="shared" si="8"/>
        <v/>
      </c>
    </row>
    <row r="588" spans="4:4" x14ac:dyDescent="0.25">
      <c r="D588" s="41" t="str">
        <f t="shared" si="8"/>
        <v/>
      </c>
    </row>
    <row r="589" spans="4:4" x14ac:dyDescent="0.25">
      <c r="D589" s="41" t="str">
        <f t="shared" si="8"/>
        <v/>
      </c>
    </row>
    <row r="590" spans="4:4" x14ac:dyDescent="0.25">
      <c r="D590" s="41" t="str">
        <f t="shared" si="8"/>
        <v/>
      </c>
    </row>
    <row r="591" spans="4:4" x14ac:dyDescent="0.25">
      <c r="D591" s="41" t="str">
        <f t="shared" si="8"/>
        <v/>
      </c>
    </row>
    <row r="592" spans="4:4" x14ac:dyDescent="0.25">
      <c r="D592" s="41" t="str">
        <f t="shared" si="8"/>
        <v/>
      </c>
    </row>
    <row r="593" spans="4:4" x14ac:dyDescent="0.25">
      <c r="D593" s="41" t="str">
        <f t="shared" ref="D593:D656" si="9">IF(A593=0,"","Elastic")</f>
        <v/>
      </c>
    </row>
    <row r="594" spans="4:4" x14ac:dyDescent="0.25">
      <c r="D594" s="41" t="str">
        <f t="shared" si="9"/>
        <v/>
      </c>
    </row>
    <row r="595" spans="4:4" x14ac:dyDescent="0.25">
      <c r="D595" s="41" t="str">
        <f t="shared" si="9"/>
        <v/>
      </c>
    </row>
    <row r="596" spans="4:4" x14ac:dyDescent="0.25">
      <c r="D596" s="41" t="str">
        <f t="shared" si="9"/>
        <v/>
      </c>
    </row>
    <row r="597" spans="4:4" x14ac:dyDescent="0.25">
      <c r="D597" s="41" t="str">
        <f t="shared" si="9"/>
        <v/>
      </c>
    </row>
    <row r="598" spans="4:4" x14ac:dyDescent="0.25">
      <c r="D598" s="41" t="str">
        <f t="shared" si="9"/>
        <v/>
      </c>
    </row>
    <row r="599" spans="4:4" x14ac:dyDescent="0.25">
      <c r="D599" s="41" t="str">
        <f t="shared" si="9"/>
        <v/>
      </c>
    </row>
    <row r="600" spans="4:4" x14ac:dyDescent="0.25">
      <c r="D600" s="41" t="str">
        <f t="shared" si="9"/>
        <v/>
      </c>
    </row>
    <row r="601" spans="4:4" x14ac:dyDescent="0.25">
      <c r="D601" s="41" t="str">
        <f t="shared" si="9"/>
        <v/>
      </c>
    </row>
    <row r="602" spans="4:4" x14ac:dyDescent="0.25">
      <c r="D602" s="41" t="str">
        <f t="shared" si="9"/>
        <v/>
      </c>
    </row>
    <row r="603" spans="4:4" x14ac:dyDescent="0.25">
      <c r="D603" s="41" t="str">
        <f t="shared" si="9"/>
        <v/>
      </c>
    </row>
    <row r="604" spans="4:4" x14ac:dyDescent="0.25">
      <c r="D604" s="41" t="str">
        <f t="shared" si="9"/>
        <v/>
      </c>
    </row>
    <row r="605" spans="4:4" x14ac:dyDescent="0.25">
      <c r="D605" s="41" t="str">
        <f t="shared" si="9"/>
        <v/>
      </c>
    </row>
    <row r="606" spans="4:4" x14ac:dyDescent="0.25">
      <c r="D606" s="41" t="str">
        <f t="shared" si="9"/>
        <v/>
      </c>
    </row>
    <row r="607" spans="4:4" x14ac:dyDescent="0.25">
      <c r="D607" s="41" t="str">
        <f t="shared" si="9"/>
        <v/>
      </c>
    </row>
    <row r="608" spans="4:4" x14ac:dyDescent="0.25">
      <c r="D608" s="41" t="str">
        <f t="shared" si="9"/>
        <v/>
      </c>
    </row>
    <row r="609" spans="4:4" x14ac:dyDescent="0.25">
      <c r="D609" s="41" t="str">
        <f t="shared" si="9"/>
        <v/>
      </c>
    </row>
    <row r="610" spans="4:4" x14ac:dyDescent="0.25">
      <c r="D610" s="41" t="str">
        <f t="shared" si="9"/>
        <v/>
      </c>
    </row>
    <row r="611" spans="4:4" x14ac:dyDescent="0.25">
      <c r="D611" s="41" t="str">
        <f t="shared" si="9"/>
        <v/>
      </c>
    </row>
    <row r="612" spans="4:4" x14ac:dyDescent="0.25">
      <c r="D612" s="41" t="str">
        <f t="shared" si="9"/>
        <v/>
      </c>
    </row>
    <row r="613" spans="4:4" x14ac:dyDescent="0.25">
      <c r="D613" s="41" t="str">
        <f t="shared" si="9"/>
        <v/>
      </c>
    </row>
    <row r="614" spans="4:4" x14ac:dyDescent="0.25">
      <c r="D614" s="41" t="str">
        <f t="shared" si="9"/>
        <v/>
      </c>
    </row>
    <row r="615" spans="4:4" x14ac:dyDescent="0.25">
      <c r="D615" s="41" t="str">
        <f t="shared" si="9"/>
        <v/>
      </c>
    </row>
    <row r="616" spans="4:4" x14ac:dyDescent="0.25">
      <c r="D616" s="41" t="str">
        <f t="shared" si="9"/>
        <v/>
      </c>
    </row>
    <row r="617" spans="4:4" x14ac:dyDescent="0.25">
      <c r="D617" s="41" t="str">
        <f t="shared" si="9"/>
        <v/>
      </c>
    </row>
    <row r="618" spans="4:4" x14ac:dyDescent="0.25">
      <c r="D618" s="41" t="str">
        <f t="shared" si="9"/>
        <v/>
      </c>
    </row>
    <row r="619" spans="4:4" x14ac:dyDescent="0.25">
      <c r="D619" s="41" t="str">
        <f t="shared" si="9"/>
        <v/>
      </c>
    </row>
    <row r="620" spans="4:4" x14ac:dyDescent="0.25">
      <c r="D620" s="41" t="str">
        <f t="shared" si="9"/>
        <v/>
      </c>
    </row>
    <row r="621" spans="4:4" x14ac:dyDescent="0.25">
      <c r="D621" s="41" t="str">
        <f t="shared" si="9"/>
        <v/>
      </c>
    </row>
    <row r="622" spans="4:4" x14ac:dyDescent="0.25">
      <c r="D622" s="41" t="str">
        <f t="shared" si="9"/>
        <v/>
      </c>
    </row>
    <row r="623" spans="4:4" x14ac:dyDescent="0.25">
      <c r="D623" s="41" t="str">
        <f t="shared" si="9"/>
        <v/>
      </c>
    </row>
    <row r="624" spans="4:4" x14ac:dyDescent="0.25">
      <c r="D624" s="41" t="str">
        <f t="shared" si="9"/>
        <v/>
      </c>
    </row>
    <row r="625" spans="4:4" x14ac:dyDescent="0.25">
      <c r="D625" s="41" t="str">
        <f t="shared" si="9"/>
        <v/>
      </c>
    </row>
    <row r="626" spans="4:4" x14ac:dyDescent="0.25">
      <c r="D626" s="41" t="str">
        <f t="shared" si="9"/>
        <v/>
      </c>
    </row>
    <row r="627" spans="4:4" x14ac:dyDescent="0.25">
      <c r="D627" s="41" t="str">
        <f t="shared" si="9"/>
        <v/>
      </c>
    </row>
    <row r="628" spans="4:4" x14ac:dyDescent="0.25">
      <c r="D628" s="41" t="str">
        <f t="shared" si="9"/>
        <v/>
      </c>
    </row>
    <row r="629" spans="4:4" x14ac:dyDescent="0.25">
      <c r="D629" s="41" t="str">
        <f t="shared" si="9"/>
        <v/>
      </c>
    </row>
    <row r="630" spans="4:4" x14ac:dyDescent="0.25">
      <c r="D630" s="41" t="str">
        <f t="shared" si="9"/>
        <v/>
      </c>
    </row>
    <row r="631" spans="4:4" x14ac:dyDescent="0.25">
      <c r="D631" s="41" t="str">
        <f t="shared" si="9"/>
        <v/>
      </c>
    </row>
    <row r="632" spans="4:4" x14ac:dyDescent="0.25">
      <c r="D632" s="41" t="str">
        <f t="shared" si="9"/>
        <v/>
      </c>
    </row>
    <row r="633" spans="4:4" x14ac:dyDescent="0.25">
      <c r="D633" s="41" t="str">
        <f t="shared" si="9"/>
        <v/>
      </c>
    </row>
    <row r="634" spans="4:4" x14ac:dyDescent="0.25">
      <c r="D634" s="41" t="str">
        <f t="shared" si="9"/>
        <v/>
      </c>
    </row>
    <row r="635" spans="4:4" x14ac:dyDescent="0.25">
      <c r="D635" s="41" t="str">
        <f t="shared" si="9"/>
        <v/>
      </c>
    </row>
    <row r="636" spans="4:4" x14ac:dyDescent="0.25">
      <c r="D636" s="41" t="str">
        <f t="shared" si="9"/>
        <v/>
      </c>
    </row>
    <row r="637" spans="4:4" x14ac:dyDescent="0.25">
      <c r="D637" s="41" t="str">
        <f t="shared" si="9"/>
        <v/>
      </c>
    </row>
    <row r="638" spans="4:4" x14ac:dyDescent="0.25">
      <c r="D638" s="41" t="str">
        <f t="shared" si="9"/>
        <v/>
      </c>
    </row>
    <row r="639" spans="4:4" x14ac:dyDescent="0.25">
      <c r="D639" s="41" t="str">
        <f t="shared" si="9"/>
        <v/>
      </c>
    </row>
    <row r="640" spans="4:4" x14ac:dyDescent="0.25">
      <c r="D640" s="41" t="str">
        <f t="shared" si="9"/>
        <v/>
      </c>
    </row>
    <row r="641" spans="4:4" x14ac:dyDescent="0.25">
      <c r="D641" s="41" t="str">
        <f t="shared" si="9"/>
        <v/>
      </c>
    </row>
    <row r="642" spans="4:4" x14ac:dyDescent="0.25">
      <c r="D642" s="41" t="str">
        <f t="shared" si="9"/>
        <v/>
      </c>
    </row>
    <row r="643" spans="4:4" x14ac:dyDescent="0.25">
      <c r="D643" s="41" t="str">
        <f t="shared" si="9"/>
        <v/>
      </c>
    </row>
    <row r="644" spans="4:4" x14ac:dyDescent="0.25">
      <c r="D644" s="41" t="str">
        <f t="shared" si="9"/>
        <v/>
      </c>
    </row>
    <row r="645" spans="4:4" x14ac:dyDescent="0.25">
      <c r="D645" s="41" t="str">
        <f t="shared" si="9"/>
        <v/>
      </c>
    </row>
    <row r="646" spans="4:4" x14ac:dyDescent="0.25">
      <c r="D646" s="41" t="str">
        <f t="shared" si="9"/>
        <v/>
      </c>
    </row>
    <row r="647" spans="4:4" x14ac:dyDescent="0.25">
      <c r="D647" s="41" t="str">
        <f t="shared" si="9"/>
        <v/>
      </c>
    </row>
    <row r="648" spans="4:4" x14ac:dyDescent="0.25">
      <c r="D648" s="41" t="str">
        <f t="shared" si="9"/>
        <v/>
      </c>
    </row>
    <row r="649" spans="4:4" x14ac:dyDescent="0.25">
      <c r="D649" s="41" t="str">
        <f t="shared" si="9"/>
        <v/>
      </c>
    </row>
    <row r="650" spans="4:4" x14ac:dyDescent="0.25">
      <c r="D650" s="41" t="str">
        <f t="shared" si="9"/>
        <v/>
      </c>
    </row>
    <row r="651" spans="4:4" x14ac:dyDescent="0.25">
      <c r="D651" s="41" t="str">
        <f t="shared" si="9"/>
        <v/>
      </c>
    </row>
    <row r="652" spans="4:4" x14ac:dyDescent="0.25">
      <c r="D652" s="41" t="str">
        <f t="shared" si="9"/>
        <v/>
      </c>
    </row>
    <row r="653" spans="4:4" x14ac:dyDescent="0.25">
      <c r="D653" s="41" t="str">
        <f t="shared" si="9"/>
        <v/>
      </c>
    </row>
    <row r="654" spans="4:4" x14ac:dyDescent="0.25">
      <c r="D654" s="41" t="str">
        <f t="shared" si="9"/>
        <v/>
      </c>
    </row>
    <row r="655" spans="4:4" x14ac:dyDescent="0.25">
      <c r="D655" s="41" t="str">
        <f t="shared" si="9"/>
        <v/>
      </c>
    </row>
    <row r="656" spans="4:4" x14ac:dyDescent="0.25">
      <c r="D656" s="41" t="str">
        <f t="shared" si="9"/>
        <v/>
      </c>
    </row>
    <row r="657" spans="4:4" x14ac:dyDescent="0.25">
      <c r="D657" s="41" t="str">
        <f t="shared" ref="D657:D720" si="10">IF(A657=0,"","Elastic")</f>
        <v/>
      </c>
    </row>
    <row r="658" spans="4:4" x14ac:dyDescent="0.25">
      <c r="D658" s="41" t="str">
        <f t="shared" si="10"/>
        <v/>
      </c>
    </row>
    <row r="659" spans="4:4" x14ac:dyDescent="0.25">
      <c r="D659" s="41" t="str">
        <f t="shared" si="10"/>
        <v/>
      </c>
    </row>
    <row r="660" spans="4:4" x14ac:dyDescent="0.25">
      <c r="D660" s="41" t="str">
        <f t="shared" si="10"/>
        <v/>
      </c>
    </row>
    <row r="661" spans="4:4" x14ac:dyDescent="0.25">
      <c r="D661" s="41" t="str">
        <f t="shared" si="10"/>
        <v/>
      </c>
    </row>
    <row r="662" spans="4:4" x14ac:dyDescent="0.25">
      <c r="D662" s="41" t="str">
        <f t="shared" si="10"/>
        <v/>
      </c>
    </row>
    <row r="663" spans="4:4" x14ac:dyDescent="0.25">
      <c r="D663" s="41" t="str">
        <f t="shared" si="10"/>
        <v/>
      </c>
    </row>
    <row r="664" spans="4:4" x14ac:dyDescent="0.25">
      <c r="D664" s="41" t="str">
        <f t="shared" si="10"/>
        <v/>
      </c>
    </row>
    <row r="665" spans="4:4" x14ac:dyDescent="0.25">
      <c r="D665" s="41" t="str">
        <f t="shared" si="10"/>
        <v/>
      </c>
    </row>
    <row r="666" spans="4:4" x14ac:dyDescent="0.25">
      <c r="D666" s="41" t="str">
        <f t="shared" si="10"/>
        <v/>
      </c>
    </row>
    <row r="667" spans="4:4" x14ac:dyDescent="0.25">
      <c r="D667" s="41" t="str">
        <f t="shared" si="10"/>
        <v/>
      </c>
    </row>
    <row r="668" spans="4:4" x14ac:dyDescent="0.25">
      <c r="D668" s="41" t="str">
        <f t="shared" si="10"/>
        <v/>
      </c>
    </row>
    <row r="669" spans="4:4" x14ac:dyDescent="0.25">
      <c r="D669" s="41" t="str">
        <f t="shared" si="10"/>
        <v/>
      </c>
    </row>
    <row r="670" spans="4:4" x14ac:dyDescent="0.25">
      <c r="D670" s="41" t="str">
        <f t="shared" si="10"/>
        <v/>
      </c>
    </row>
    <row r="671" spans="4:4" x14ac:dyDescent="0.25">
      <c r="D671" s="41" t="str">
        <f t="shared" si="10"/>
        <v/>
      </c>
    </row>
    <row r="672" spans="4:4" x14ac:dyDescent="0.25">
      <c r="D672" s="41" t="str">
        <f t="shared" si="10"/>
        <v/>
      </c>
    </row>
    <row r="673" spans="4:4" x14ac:dyDescent="0.25">
      <c r="D673" s="41" t="str">
        <f t="shared" si="10"/>
        <v/>
      </c>
    </row>
    <row r="674" spans="4:4" x14ac:dyDescent="0.25">
      <c r="D674" s="41" t="str">
        <f t="shared" si="10"/>
        <v/>
      </c>
    </row>
    <row r="675" spans="4:4" x14ac:dyDescent="0.25">
      <c r="D675" s="41" t="str">
        <f t="shared" si="10"/>
        <v/>
      </c>
    </row>
    <row r="676" spans="4:4" x14ac:dyDescent="0.25">
      <c r="D676" s="41" t="str">
        <f t="shared" si="10"/>
        <v/>
      </c>
    </row>
    <row r="677" spans="4:4" x14ac:dyDescent="0.25">
      <c r="D677" s="41" t="str">
        <f t="shared" si="10"/>
        <v/>
      </c>
    </row>
    <row r="678" spans="4:4" x14ac:dyDescent="0.25">
      <c r="D678" s="41" t="str">
        <f t="shared" si="10"/>
        <v/>
      </c>
    </row>
    <row r="679" spans="4:4" x14ac:dyDescent="0.25">
      <c r="D679" s="41" t="str">
        <f t="shared" si="10"/>
        <v/>
      </c>
    </row>
    <row r="680" spans="4:4" x14ac:dyDescent="0.25">
      <c r="D680" s="41" t="str">
        <f t="shared" si="10"/>
        <v/>
      </c>
    </row>
    <row r="681" spans="4:4" x14ac:dyDescent="0.25">
      <c r="D681" s="41" t="str">
        <f t="shared" si="10"/>
        <v/>
      </c>
    </row>
    <row r="682" spans="4:4" x14ac:dyDescent="0.25">
      <c r="D682" s="41" t="str">
        <f t="shared" si="10"/>
        <v/>
      </c>
    </row>
    <row r="683" spans="4:4" x14ac:dyDescent="0.25">
      <c r="D683" s="41" t="str">
        <f t="shared" si="10"/>
        <v/>
      </c>
    </row>
    <row r="684" spans="4:4" x14ac:dyDescent="0.25">
      <c r="D684" s="41" t="str">
        <f t="shared" si="10"/>
        <v/>
      </c>
    </row>
    <row r="685" spans="4:4" x14ac:dyDescent="0.25">
      <c r="D685" s="41" t="str">
        <f t="shared" si="10"/>
        <v/>
      </c>
    </row>
    <row r="686" spans="4:4" x14ac:dyDescent="0.25">
      <c r="D686" s="41" t="str">
        <f t="shared" si="10"/>
        <v/>
      </c>
    </row>
    <row r="687" spans="4:4" x14ac:dyDescent="0.25">
      <c r="D687" s="41" t="str">
        <f t="shared" si="10"/>
        <v/>
      </c>
    </row>
    <row r="688" spans="4:4" x14ac:dyDescent="0.25">
      <c r="D688" s="41" t="str">
        <f t="shared" si="10"/>
        <v/>
      </c>
    </row>
    <row r="689" spans="4:4" x14ac:dyDescent="0.25">
      <c r="D689" s="41" t="str">
        <f t="shared" si="10"/>
        <v/>
      </c>
    </row>
    <row r="690" spans="4:4" x14ac:dyDescent="0.25">
      <c r="D690" s="41" t="str">
        <f t="shared" si="10"/>
        <v/>
      </c>
    </row>
    <row r="691" spans="4:4" x14ac:dyDescent="0.25">
      <c r="D691" s="41" t="str">
        <f t="shared" si="10"/>
        <v/>
      </c>
    </row>
    <row r="692" spans="4:4" x14ac:dyDescent="0.25">
      <c r="D692" s="41" t="str">
        <f t="shared" si="10"/>
        <v/>
      </c>
    </row>
    <row r="693" spans="4:4" x14ac:dyDescent="0.25">
      <c r="D693" s="41" t="str">
        <f t="shared" si="10"/>
        <v/>
      </c>
    </row>
    <row r="694" spans="4:4" x14ac:dyDescent="0.25">
      <c r="D694" s="41" t="str">
        <f t="shared" si="10"/>
        <v/>
      </c>
    </row>
    <row r="695" spans="4:4" x14ac:dyDescent="0.25">
      <c r="D695" s="41" t="str">
        <f t="shared" si="10"/>
        <v/>
      </c>
    </row>
    <row r="696" spans="4:4" x14ac:dyDescent="0.25">
      <c r="D696" s="41" t="str">
        <f t="shared" si="10"/>
        <v/>
      </c>
    </row>
    <row r="697" spans="4:4" x14ac:dyDescent="0.25">
      <c r="D697" s="41" t="str">
        <f t="shared" si="10"/>
        <v/>
      </c>
    </row>
    <row r="698" spans="4:4" x14ac:dyDescent="0.25">
      <c r="D698" s="41" t="str">
        <f t="shared" si="10"/>
        <v/>
      </c>
    </row>
    <row r="699" spans="4:4" x14ac:dyDescent="0.25">
      <c r="D699" s="41" t="str">
        <f t="shared" si="10"/>
        <v/>
      </c>
    </row>
    <row r="700" spans="4:4" x14ac:dyDescent="0.25">
      <c r="D700" s="41" t="str">
        <f t="shared" si="10"/>
        <v/>
      </c>
    </row>
    <row r="701" spans="4:4" x14ac:dyDescent="0.25">
      <c r="D701" s="41" t="str">
        <f t="shared" si="10"/>
        <v/>
      </c>
    </row>
    <row r="702" spans="4:4" x14ac:dyDescent="0.25">
      <c r="D702" s="41" t="str">
        <f t="shared" si="10"/>
        <v/>
      </c>
    </row>
    <row r="703" spans="4:4" x14ac:dyDescent="0.25">
      <c r="D703" s="41" t="str">
        <f t="shared" si="10"/>
        <v/>
      </c>
    </row>
    <row r="704" spans="4:4" x14ac:dyDescent="0.25">
      <c r="D704" s="41" t="str">
        <f t="shared" si="10"/>
        <v/>
      </c>
    </row>
    <row r="705" spans="4:4" x14ac:dyDescent="0.25">
      <c r="D705" s="41" t="str">
        <f t="shared" si="10"/>
        <v/>
      </c>
    </row>
    <row r="706" spans="4:4" x14ac:dyDescent="0.25">
      <c r="D706" s="41" t="str">
        <f t="shared" si="10"/>
        <v/>
      </c>
    </row>
    <row r="707" spans="4:4" x14ac:dyDescent="0.25">
      <c r="D707" s="41" t="str">
        <f t="shared" si="10"/>
        <v/>
      </c>
    </row>
    <row r="708" spans="4:4" x14ac:dyDescent="0.25">
      <c r="D708" s="41" t="str">
        <f t="shared" si="10"/>
        <v/>
      </c>
    </row>
    <row r="709" spans="4:4" x14ac:dyDescent="0.25">
      <c r="D709" s="41" t="str">
        <f t="shared" si="10"/>
        <v/>
      </c>
    </row>
    <row r="710" spans="4:4" x14ac:dyDescent="0.25">
      <c r="D710" s="41" t="str">
        <f t="shared" si="10"/>
        <v/>
      </c>
    </row>
    <row r="711" spans="4:4" x14ac:dyDescent="0.25">
      <c r="D711" s="41" t="str">
        <f t="shared" si="10"/>
        <v/>
      </c>
    </row>
    <row r="712" spans="4:4" x14ac:dyDescent="0.25">
      <c r="D712" s="41" t="str">
        <f t="shared" si="10"/>
        <v/>
      </c>
    </row>
    <row r="713" spans="4:4" x14ac:dyDescent="0.25">
      <c r="D713" s="41" t="str">
        <f t="shared" si="10"/>
        <v/>
      </c>
    </row>
    <row r="714" spans="4:4" x14ac:dyDescent="0.25">
      <c r="D714" s="41" t="str">
        <f t="shared" si="10"/>
        <v/>
      </c>
    </row>
    <row r="715" spans="4:4" x14ac:dyDescent="0.25">
      <c r="D715" s="41" t="str">
        <f t="shared" si="10"/>
        <v/>
      </c>
    </row>
    <row r="716" spans="4:4" x14ac:dyDescent="0.25">
      <c r="D716" s="41" t="str">
        <f t="shared" si="10"/>
        <v/>
      </c>
    </row>
    <row r="717" spans="4:4" x14ac:dyDescent="0.25">
      <c r="D717" s="41" t="str">
        <f t="shared" si="10"/>
        <v/>
      </c>
    </row>
    <row r="718" spans="4:4" x14ac:dyDescent="0.25">
      <c r="D718" s="41" t="str">
        <f t="shared" si="10"/>
        <v/>
      </c>
    </row>
    <row r="719" spans="4:4" x14ac:dyDescent="0.25">
      <c r="D719" s="41" t="str">
        <f t="shared" si="10"/>
        <v/>
      </c>
    </row>
    <row r="720" spans="4:4" x14ac:dyDescent="0.25">
      <c r="D720" s="41" t="str">
        <f t="shared" si="10"/>
        <v/>
      </c>
    </row>
    <row r="721" spans="4:4" x14ac:dyDescent="0.25">
      <c r="D721" s="41" t="str">
        <f t="shared" ref="D721:D784" si="11">IF(A721=0,"","Elastic")</f>
        <v/>
      </c>
    </row>
    <row r="722" spans="4:4" x14ac:dyDescent="0.25">
      <c r="D722" s="41" t="str">
        <f t="shared" si="11"/>
        <v/>
      </c>
    </row>
    <row r="723" spans="4:4" x14ac:dyDescent="0.25">
      <c r="D723" s="41" t="str">
        <f t="shared" si="11"/>
        <v/>
      </c>
    </row>
    <row r="724" spans="4:4" x14ac:dyDescent="0.25">
      <c r="D724" s="41" t="str">
        <f t="shared" si="11"/>
        <v/>
      </c>
    </row>
    <row r="725" spans="4:4" x14ac:dyDescent="0.25">
      <c r="D725" s="41" t="str">
        <f t="shared" si="11"/>
        <v/>
      </c>
    </row>
    <row r="726" spans="4:4" x14ac:dyDescent="0.25">
      <c r="D726" s="41" t="str">
        <f t="shared" si="11"/>
        <v/>
      </c>
    </row>
    <row r="727" spans="4:4" x14ac:dyDescent="0.25">
      <c r="D727" s="41" t="str">
        <f t="shared" si="11"/>
        <v/>
      </c>
    </row>
    <row r="728" spans="4:4" x14ac:dyDescent="0.25">
      <c r="D728" s="41" t="str">
        <f t="shared" si="11"/>
        <v/>
      </c>
    </row>
    <row r="729" spans="4:4" x14ac:dyDescent="0.25">
      <c r="D729" s="41" t="str">
        <f t="shared" si="11"/>
        <v/>
      </c>
    </row>
    <row r="730" spans="4:4" x14ac:dyDescent="0.25">
      <c r="D730" s="41" t="str">
        <f t="shared" si="11"/>
        <v/>
      </c>
    </row>
    <row r="731" spans="4:4" x14ac:dyDescent="0.25">
      <c r="D731" s="41" t="str">
        <f t="shared" si="11"/>
        <v/>
      </c>
    </row>
    <row r="732" spans="4:4" x14ac:dyDescent="0.25">
      <c r="D732" s="41" t="str">
        <f t="shared" si="11"/>
        <v/>
      </c>
    </row>
    <row r="733" spans="4:4" x14ac:dyDescent="0.25">
      <c r="D733" s="41" t="str">
        <f t="shared" si="11"/>
        <v/>
      </c>
    </row>
    <row r="734" spans="4:4" x14ac:dyDescent="0.25">
      <c r="D734" s="41" t="str">
        <f t="shared" si="11"/>
        <v/>
      </c>
    </row>
    <row r="735" spans="4:4" x14ac:dyDescent="0.25">
      <c r="D735" s="41" t="str">
        <f t="shared" si="11"/>
        <v/>
      </c>
    </row>
    <row r="736" spans="4:4" x14ac:dyDescent="0.25">
      <c r="D736" s="41" t="str">
        <f t="shared" si="11"/>
        <v/>
      </c>
    </row>
    <row r="737" spans="4:4" x14ac:dyDescent="0.25">
      <c r="D737" s="41" t="str">
        <f t="shared" si="11"/>
        <v/>
      </c>
    </row>
    <row r="738" spans="4:4" x14ac:dyDescent="0.25">
      <c r="D738" s="41" t="str">
        <f t="shared" si="11"/>
        <v/>
      </c>
    </row>
    <row r="739" spans="4:4" x14ac:dyDescent="0.25">
      <c r="D739" s="41" t="str">
        <f t="shared" si="11"/>
        <v/>
      </c>
    </row>
    <row r="740" spans="4:4" x14ac:dyDescent="0.25">
      <c r="D740" s="41" t="str">
        <f t="shared" si="11"/>
        <v/>
      </c>
    </row>
    <row r="741" spans="4:4" x14ac:dyDescent="0.25">
      <c r="D741" s="41" t="str">
        <f t="shared" si="11"/>
        <v/>
      </c>
    </row>
    <row r="742" spans="4:4" x14ac:dyDescent="0.25">
      <c r="D742" s="41" t="str">
        <f t="shared" si="11"/>
        <v/>
      </c>
    </row>
    <row r="743" spans="4:4" x14ac:dyDescent="0.25">
      <c r="D743" s="41" t="str">
        <f t="shared" si="11"/>
        <v/>
      </c>
    </row>
    <row r="744" spans="4:4" x14ac:dyDescent="0.25">
      <c r="D744" s="41" t="str">
        <f t="shared" si="11"/>
        <v/>
      </c>
    </row>
    <row r="745" spans="4:4" x14ac:dyDescent="0.25">
      <c r="D745" s="41" t="str">
        <f t="shared" si="11"/>
        <v/>
      </c>
    </row>
    <row r="746" spans="4:4" x14ac:dyDescent="0.25">
      <c r="D746" s="41" t="str">
        <f t="shared" si="11"/>
        <v/>
      </c>
    </row>
    <row r="747" spans="4:4" x14ac:dyDescent="0.25">
      <c r="D747" s="41" t="str">
        <f t="shared" si="11"/>
        <v/>
      </c>
    </row>
    <row r="748" spans="4:4" x14ac:dyDescent="0.25">
      <c r="D748" s="41" t="str">
        <f t="shared" si="11"/>
        <v/>
      </c>
    </row>
    <row r="749" spans="4:4" x14ac:dyDescent="0.25">
      <c r="D749" s="41" t="str">
        <f t="shared" si="11"/>
        <v/>
      </c>
    </row>
    <row r="750" spans="4:4" x14ac:dyDescent="0.25">
      <c r="D750" s="41" t="str">
        <f t="shared" si="11"/>
        <v/>
      </c>
    </row>
    <row r="751" spans="4:4" x14ac:dyDescent="0.25">
      <c r="D751" s="41" t="str">
        <f t="shared" si="11"/>
        <v/>
      </c>
    </row>
    <row r="752" spans="4:4" x14ac:dyDescent="0.25">
      <c r="D752" s="41" t="str">
        <f t="shared" si="11"/>
        <v/>
      </c>
    </row>
    <row r="753" spans="4:4" x14ac:dyDescent="0.25">
      <c r="D753" s="41" t="str">
        <f t="shared" si="11"/>
        <v/>
      </c>
    </row>
    <row r="754" spans="4:4" x14ac:dyDescent="0.25">
      <c r="D754" s="41" t="str">
        <f t="shared" si="11"/>
        <v/>
      </c>
    </row>
    <row r="755" spans="4:4" x14ac:dyDescent="0.25">
      <c r="D755" s="41" t="str">
        <f t="shared" si="11"/>
        <v/>
      </c>
    </row>
    <row r="756" spans="4:4" x14ac:dyDescent="0.25">
      <c r="D756" s="41" t="str">
        <f t="shared" si="11"/>
        <v/>
      </c>
    </row>
    <row r="757" spans="4:4" x14ac:dyDescent="0.25">
      <c r="D757" s="41" t="str">
        <f t="shared" si="11"/>
        <v/>
      </c>
    </row>
    <row r="758" spans="4:4" x14ac:dyDescent="0.25">
      <c r="D758" s="41" t="str">
        <f t="shared" si="11"/>
        <v/>
      </c>
    </row>
    <row r="759" spans="4:4" x14ac:dyDescent="0.25">
      <c r="D759" s="41" t="str">
        <f t="shared" si="11"/>
        <v/>
      </c>
    </row>
    <row r="760" spans="4:4" x14ac:dyDescent="0.25">
      <c r="D760" s="41" t="str">
        <f t="shared" si="11"/>
        <v/>
      </c>
    </row>
    <row r="761" spans="4:4" x14ac:dyDescent="0.25">
      <c r="D761" s="41" t="str">
        <f t="shared" si="11"/>
        <v/>
      </c>
    </row>
    <row r="762" spans="4:4" x14ac:dyDescent="0.25">
      <c r="D762" s="41" t="str">
        <f t="shared" si="11"/>
        <v/>
      </c>
    </row>
    <row r="763" spans="4:4" x14ac:dyDescent="0.25">
      <c r="D763" s="41" t="str">
        <f t="shared" si="11"/>
        <v/>
      </c>
    </row>
    <row r="764" spans="4:4" x14ac:dyDescent="0.25">
      <c r="D764" s="41" t="str">
        <f t="shared" si="11"/>
        <v/>
      </c>
    </row>
    <row r="765" spans="4:4" x14ac:dyDescent="0.25">
      <c r="D765" s="41" t="str">
        <f t="shared" si="11"/>
        <v/>
      </c>
    </row>
    <row r="766" spans="4:4" x14ac:dyDescent="0.25">
      <c r="D766" s="41" t="str">
        <f t="shared" si="11"/>
        <v/>
      </c>
    </row>
    <row r="767" spans="4:4" x14ac:dyDescent="0.25">
      <c r="D767" s="41" t="str">
        <f t="shared" si="11"/>
        <v/>
      </c>
    </row>
    <row r="768" spans="4:4" x14ac:dyDescent="0.25">
      <c r="D768" s="41" t="str">
        <f t="shared" si="11"/>
        <v/>
      </c>
    </row>
    <row r="769" spans="4:4" x14ac:dyDescent="0.25">
      <c r="D769" s="41" t="str">
        <f t="shared" si="11"/>
        <v/>
      </c>
    </row>
    <row r="770" spans="4:4" x14ac:dyDescent="0.25">
      <c r="D770" s="41" t="str">
        <f t="shared" si="11"/>
        <v/>
      </c>
    </row>
    <row r="771" spans="4:4" x14ac:dyDescent="0.25">
      <c r="D771" s="41" t="str">
        <f t="shared" si="11"/>
        <v/>
      </c>
    </row>
    <row r="772" spans="4:4" x14ac:dyDescent="0.25">
      <c r="D772" s="41" t="str">
        <f t="shared" si="11"/>
        <v/>
      </c>
    </row>
    <row r="773" spans="4:4" x14ac:dyDescent="0.25">
      <c r="D773" s="41" t="str">
        <f t="shared" si="11"/>
        <v/>
      </c>
    </row>
    <row r="774" spans="4:4" x14ac:dyDescent="0.25">
      <c r="D774" s="41" t="str">
        <f t="shared" si="11"/>
        <v/>
      </c>
    </row>
    <row r="775" spans="4:4" x14ac:dyDescent="0.25">
      <c r="D775" s="41" t="str">
        <f t="shared" si="11"/>
        <v/>
      </c>
    </row>
    <row r="776" spans="4:4" x14ac:dyDescent="0.25">
      <c r="D776" s="41" t="str">
        <f t="shared" si="11"/>
        <v/>
      </c>
    </row>
    <row r="777" spans="4:4" x14ac:dyDescent="0.25">
      <c r="D777" s="41" t="str">
        <f t="shared" si="11"/>
        <v/>
      </c>
    </row>
    <row r="778" spans="4:4" x14ac:dyDescent="0.25">
      <c r="D778" s="41" t="str">
        <f t="shared" si="11"/>
        <v/>
      </c>
    </row>
    <row r="779" spans="4:4" x14ac:dyDescent="0.25">
      <c r="D779" s="41" t="str">
        <f t="shared" si="11"/>
        <v/>
      </c>
    </row>
    <row r="780" spans="4:4" x14ac:dyDescent="0.25">
      <c r="D780" s="41" t="str">
        <f t="shared" si="11"/>
        <v/>
      </c>
    </row>
    <row r="781" spans="4:4" x14ac:dyDescent="0.25">
      <c r="D781" s="41" t="str">
        <f t="shared" si="11"/>
        <v/>
      </c>
    </row>
    <row r="782" spans="4:4" x14ac:dyDescent="0.25">
      <c r="D782" s="41" t="str">
        <f t="shared" si="11"/>
        <v/>
      </c>
    </row>
    <row r="783" spans="4:4" x14ac:dyDescent="0.25">
      <c r="D783" s="41" t="str">
        <f t="shared" si="11"/>
        <v/>
      </c>
    </row>
    <row r="784" spans="4:4" x14ac:dyDescent="0.25">
      <c r="D784" s="41" t="str">
        <f t="shared" si="11"/>
        <v/>
      </c>
    </row>
    <row r="785" spans="4:4" x14ac:dyDescent="0.25">
      <c r="D785" s="41" t="str">
        <f t="shared" ref="D785:D848" si="12">IF(A785=0,"","Elastic")</f>
        <v/>
      </c>
    </row>
    <row r="786" spans="4:4" x14ac:dyDescent="0.25">
      <c r="D786" s="41" t="str">
        <f t="shared" si="12"/>
        <v/>
      </c>
    </row>
    <row r="787" spans="4:4" x14ac:dyDescent="0.25">
      <c r="D787" s="41" t="str">
        <f t="shared" si="12"/>
        <v/>
      </c>
    </row>
    <row r="788" spans="4:4" x14ac:dyDescent="0.25">
      <c r="D788" s="41" t="str">
        <f t="shared" si="12"/>
        <v/>
      </c>
    </row>
    <row r="789" spans="4:4" x14ac:dyDescent="0.25">
      <c r="D789" s="41" t="str">
        <f t="shared" si="12"/>
        <v/>
      </c>
    </row>
    <row r="790" spans="4:4" x14ac:dyDescent="0.25">
      <c r="D790" s="41" t="str">
        <f t="shared" si="12"/>
        <v/>
      </c>
    </row>
    <row r="791" spans="4:4" x14ac:dyDescent="0.25">
      <c r="D791" s="41" t="str">
        <f t="shared" si="12"/>
        <v/>
      </c>
    </row>
    <row r="792" spans="4:4" x14ac:dyDescent="0.25">
      <c r="D792" s="41" t="str">
        <f t="shared" si="12"/>
        <v/>
      </c>
    </row>
    <row r="793" spans="4:4" x14ac:dyDescent="0.25">
      <c r="D793" s="41" t="str">
        <f t="shared" si="12"/>
        <v/>
      </c>
    </row>
    <row r="794" spans="4:4" x14ac:dyDescent="0.25">
      <c r="D794" s="41" t="str">
        <f t="shared" si="12"/>
        <v/>
      </c>
    </row>
    <row r="795" spans="4:4" x14ac:dyDescent="0.25">
      <c r="D795" s="41" t="str">
        <f t="shared" si="12"/>
        <v/>
      </c>
    </row>
    <row r="796" spans="4:4" x14ac:dyDescent="0.25">
      <c r="D796" s="41" t="str">
        <f t="shared" si="12"/>
        <v/>
      </c>
    </row>
    <row r="797" spans="4:4" x14ac:dyDescent="0.25">
      <c r="D797" s="41" t="str">
        <f t="shared" si="12"/>
        <v/>
      </c>
    </row>
    <row r="798" spans="4:4" x14ac:dyDescent="0.25">
      <c r="D798" s="41" t="str">
        <f t="shared" si="12"/>
        <v/>
      </c>
    </row>
    <row r="799" spans="4:4" x14ac:dyDescent="0.25">
      <c r="D799" s="41" t="str">
        <f t="shared" si="12"/>
        <v/>
      </c>
    </row>
    <row r="800" spans="4:4" x14ac:dyDescent="0.25">
      <c r="D800" s="41" t="str">
        <f t="shared" si="12"/>
        <v/>
      </c>
    </row>
    <row r="801" spans="4:4" x14ac:dyDescent="0.25">
      <c r="D801" s="41" t="str">
        <f t="shared" si="12"/>
        <v/>
      </c>
    </row>
    <row r="802" spans="4:4" x14ac:dyDescent="0.25">
      <c r="D802" s="41" t="str">
        <f t="shared" si="12"/>
        <v/>
      </c>
    </row>
    <row r="803" spans="4:4" x14ac:dyDescent="0.25">
      <c r="D803" s="41" t="str">
        <f t="shared" si="12"/>
        <v/>
      </c>
    </row>
    <row r="804" spans="4:4" x14ac:dyDescent="0.25">
      <c r="D804" s="41" t="str">
        <f t="shared" si="12"/>
        <v/>
      </c>
    </row>
    <row r="805" spans="4:4" x14ac:dyDescent="0.25">
      <c r="D805" s="41" t="str">
        <f t="shared" si="12"/>
        <v/>
      </c>
    </row>
    <row r="806" spans="4:4" x14ac:dyDescent="0.25">
      <c r="D806" s="41" t="str">
        <f t="shared" si="12"/>
        <v/>
      </c>
    </row>
    <row r="807" spans="4:4" x14ac:dyDescent="0.25">
      <c r="D807" s="41" t="str">
        <f t="shared" si="12"/>
        <v/>
      </c>
    </row>
    <row r="808" spans="4:4" x14ac:dyDescent="0.25">
      <c r="D808" s="41" t="str">
        <f t="shared" si="12"/>
        <v/>
      </c>
    </row>
    <row r="809" spans="4:4" x14ac:dyDescent="0.25">
      <c r="D809" s="41" t="str">
        <f t="shared" si="12"/>
        <v/>
      </c>
    </row>
    <row r="810" spans="4:4" x14ac:dyDescent="0.25">
      <c r="D810" s="41" t="str">
        <f t="shared" si="12"/>
        <v/>
      </c>
    </row>
    <row r="811" spans="4:4" x14ac:dyDescent="0.25">
      <c r="D811" s="41" t="str">
        <f t="shared" si="12"/>
        <v/>
      </c>
    </row>
    <row r="812" spans="4:4" x14ac:dyDescent="0.25">
      <c r="D812" s="41" t="str">
        <f t="shared" si="12"/>
        <v/>
      </c>
    </row>
    <row r="813" spans="4:4" x14ac:dyDescent="0.25">
      <c r="D813" s="41" t="str">
        <f t="shared" si="12"/>
        <v/>
      </c>
    </row>
    <row r="814" spans="4:4" x14ac:dyDescent="0.25">
      <c r="D814" s="41" t="str">
        <f t="shared" si="12"/>
        <v/>
      </c>
    </row>
    <row r="815" spans="4:4" x14ac:dyDescent="0.25">
      <c r="D815" s="41" t="str">
        <f t="shared" si="12"/>
        <v/>
      </c>
    </row>
    <row r="816" spans="4:4" x14ac:dyDescent="0.25">
      <c r="D816" s="41" t="str">
        <f t="shared" si="12"/>
        <v/>
      </c>
    </row>
    <row r="817" spans="4:4" x14ac:dyDescent="0.25">
      <c r="D817" s="41" t="str">
        <f t="shared" si="12"/>
        <v/>
      </c>
    </row>
    <row r="818" spans="4:4" x14ac:dyDescent="0.25">
      <c r="D818" s="41" t="str">
        <f t="shared" si="12"/>
        <v/>
      </c>
    </row>
    <row r="819" spans="4:4" x14ac:dyDescent="0.25">
      <c r="D819" s="41" t="str">
        <f t="shared" si="12"/>
        <v/>
      </c>
    </row>
    <row r="820" spans="4:4" x14ac:dyDescent="0.25">
      <c r="D820" s="41" t="str">
        <f t="shared" si="12"/>
        <v/>
      </c>
    </row>
    <row r="821" spans="4:4" x14ac:dyDescent="0.25">
      <c r="D821" s="41" t="str">
        <f t="shared" si="12"/>
        <v/>
      </c>
    </row>
    <row r="822" spans="4:4" x14ac:dyDescent="0.25">
      <c r="D822" s="41" t="str">
        <f t="shared" si="12"/>
        <v/>
      </c>
    </row>
    <row r="823" spans="4:4" x14ac:dyDescent="0.25">
      <c r="D823" s="41" t="str">
        <f t="shared" si="12"/>
        <v/>
      </c>
    </row>
    <row r="824" spans="4:4" x14ac:dyDescent="0.25">
      <c r="D824" s="41" t="str">
        <f t="shared" si="12"/>
        <v/>
      </c>
    </row>
    <row r="825" spans="4:4" x14ac:dyDescent="0.25">
      <c r="D825" s="41" t="str">
        <f t="shared" si="12"/>
        <v/>
      </c>
    </row>
    <row r="826" spans="4:4" x14ac:dyDescent="0.25">
      <c r="D826" s="41" t="str">
        <f t="shared" si="12"/>
        <v/>
      </c>
    </row>
    <row r="827" spans="4:4" x14ac:dyDescent="0.25">
      <c r="D827" s="41" t="str">
        <f t="shared" si="12"/>
        <v/>
      </c>
    </row>
    <row r="828" spans="4:4" x14ac:dyDescent="0.25">
      <c r="D828" s="41" t="str">
        <f t="shared" si="12"/>
        <v/>
      </c>
    </row>
    <row r="829" spans="4:4" x14ac:dyDescent="0.25">
      <c r="D829" s="41" t="str">
        <f t="shared" si="12"/>
        <v/>
      </c>
    </row>
    <row r="830" spans="4:4" x14ac:dyDescent="0.25">
      <c r="D830" s="41" t="str">
        <f t="shared" si="12"/>
        <v/>
      </c>
    </row>
    <row r="831" spans="4:4" x14ac:dyDescent="0.25">
      <c r="D831" s="41" t="str">
        <f t="shared" si="12"/>
        <v/>
      </c>
    </row>
    <row r="832" spans="4:4" x14ac:dyDescent="0.25">
      <c r="D832" s="41" t="str">
        <f t="shared" si="12"/>
        <v/>
      </c>
    </row>
    <row r="833" spans="4:4" x14ac:dyDescent="0.25">
      <c r="D833" s="41" t="str">
        <f t="shared" si="12"/>
        <v/>
      </c>
    </row>
    <row r="834" spans="4:4" x14ac:dyDescent="0.25">
      <c r="D834" s="41" t="str">
        <f t="shared" si="12"/>
        <v/>
      </c>
    </row>
    <row r="835" spans="4:4" x14ac:dyDescent="0.25">
      <c r="D835" s="41" t="str">
        <f t="shared" si="12"/>
        <v/>
      </c>
    </row>
    <row r="836" spans="4:4" x14ac:dyDescent="0.25">
      <c r="D836" s="41" t="str">
        <f t="shared" si="12"/>
        <v/>
      </c>
    </row>
    <row r="837" spans="4:4" x14ac:dyDescent="0.25">
      <c r="D837" s="41" t="str">
        <f t="shared" si="12"/>
        <v/>
      </c>
    </row>
    <row r="838" spans="4:4" x14ac:dyDescent="0.25">
      <c r="D838" s="41" t="str">
        <f t="shared" si="12"/>
        <v/>
      </c>
    </row>
    <row r="839" spans="4:4" x14ac:dyDescent="0.25">
      <c r="D839" s="41" t="str">
        <f t="shared" si="12"/>
        <v/>
      </c>
    </row>
    <row r="840" spans="4:4" x14ac:dyDescent="0.25">
      <c r="D840" s="41" t="str">
        <f t="shared" si="12"/>
        <v/>
      </c>
    </row>
    <row r="841" spans="4:4" x14ac:dyDescent="0.25">
      <c r="D841" s="41" t="str">
        <f t="shared" si="12"/>
        <v/>
      </c>
    </row>
    <row r="842" spans="4:4" x14ac:dyDescent="0.25">
      <c r="D842" s="41" t="str">
        <f t="shared" si="12"/>
        <v/>
      </c>
    </row>
    <row r="843" spans="4:4" x14ac:dyDescent="0.25">
      <c r="D843" s="41" t="str">
        <f t="shared" si="12"/>
        <v/>
      </c>
    </row>
    <row r="844" spans="4:4" x14ac:dyDescent="0.25">
      <c r="D844" s="41" t="str">
        <f t="shared" si="12"/>
        <v/>
      </c>
    </row>
    <row r="845" spans="4:4" x14ac:dyDescent="0.25">
      <c r="D845" s="41" t="str">
        <f t="shared" si="12"/>
        <v/>
      </c>
    </row>
    <row r="846" spans="4:4" x14ac:dyDescent="0.25">
      <c r="D846" s="41" t="str">
        <f t="shared" si="12"/>
        <v/>
      </c>
    </row>
    <row r="847" spans="4:4" x14ac:dyDescent="0.25">
      <c r="D847" s="41" t="str">
        <f t="shared" si="12"/>
        <v/>
      </c>
    </row>
    <row r="848" spans="4:4" x14ac:dyDescent="0.25">
      <c r="D848" s="41" t="str">
        <f t="shared" si="12"/>
        <v/>
      </c>
    </row>
    <row r="849" spans="4:4" x14ac:dyDescent="0.25">
      <c r="D849" s="41" t="str">
        <f t="shared" ref="D849:D912" si="13">IF(A849=0,"","Elastic")</f>
        <v/>
      </c>
    </row>
    <row r="850" spans="4:4" x14ac:dyDescent="0.25">
      <c r="D850" s="41" t="str">
        <f t="shared" si="13"/>
        <v/>
      </c>
    </row>
    <row r="851" spans="4:4" x14ac:dyDescent="0.25">
      <c r="D851" s="41" t="str">
        <f t="shared" si="13"/>
        <v/>
      </c>
    </row>
    <row r="852" spans="4:4" x14ac:dyDescent="0.25">
      <c r="D852" s="41" t="str">
        <f t="shared" si="13"/>
        <v/>
      </c>
    </row>
    <row r="853" spans="4:4" x14ac:dyDescent="0.25">
      <c r="D853" s="41" t="str">
        <f t="shared" si="13"/>
        <v/>
      </c>
    </row>
    <row r="854" spans="4:4" x14ac:dyDescent="0.25">
      <c r="D854" s="41" t="str">
        <f t="shared" si="13"/>
        <v/>
      </c>
    </row>
    <row r="855" spans="4:4" x14ac:dyDescent="0.25">
      <c r="D855" s="41" t="str">
        <f t="shared" si="13"/>
        <v/>
      </c>
    </row>
    <row r="856" spans="4:4" x14ac:dyDescent="0.25">
      <c r="D856" s="41" t="str">
        <f t="shared" si="13"/>
        <v/>
      </c>
    </row>
    <row r="857" spans="4:4" x14ac:dyDescent="0.25">
      <c r="D857" s="41" t="str">
        <f t="shared" si="13"/>
        <v/>
      </c>
    </row>
    <row r="858" spans="4:4" x14ac:dyDescent="0.25">
      <c r="D858" s="41" t="str">
        <f t="shared" si="13"/>
        <v/>
      </c>
    </row>
    <row r="859" spans="4:4" x14ac:dyDescent="0.25">
      <c r="D859" s="41" t="str">
        <f t="shared" si="13"/>
        <v/>
      </c>
    </row>
    <row r="860" spans="4:4" x14ac:dyDescent="0.25">
      <c r="D860" s="41" t="str">
        <f t="shared" si="13"/>
        <v/>
      </c>
    </row>
    <row r="861" spans="4:4" x14ac:dyDescent="0.25">
      <c r="D861" s="41" t="str">
        <f t="shared" si="13"/>
        <v/>
      </c>
    </row>
    <row r="862" spans="4:4" x14ac:dyDescent="0.25">
      <c r="D862" s="41" t="str">
        <f t="shared" si="13"/>
        <v/>
      </c>
    </row>
    <row r="863" spans="4:4" x14ac:dyDescent="0.25">
      <c r="D863" s="41" t="str">
        <f t="shared" si="13"/>
        <v/>
      </c>
    </row>
    <row r="864" spans="4:4" x14ac:dyDescent="0.25">
      <c r="D864" s="41" t="str">
        <f t="shared" si="13"/>
        <v/>
      </c>
    </row>
    <row r="865" spans="4:4" x14ac:dyDescent="0.25">
      <c r="D865" s="41" t="str">
        <f t="shared" si="13"/>
        <v/>
      </c>
    </row>
    <row r="866" spans="4:4" x14ac:dyDescent="0.25">
      <c r="D866" s="41" t="str">
        <f t="shared" si="13"/>
        <v/>
      </c>
    </row>
    <row r="867" spans="4:4" x14ac:dyDescent="0.25">
      <c r="D867" s="41" t="str">
        <f t="shared" si="13"/>
        <v/>
      </c>
    </row>
    <row r="868" spans="4:4" x14ac:dyDescent="0.25">
      <c r="D868" s="41" t="str">
        <f t="shared" si="13"/>
        <v/>
      </c>
    </row>
    <row r="869" spans="4:4" x14ac:dyDescent="0.25">
      <c r="D869" s="41" t="str">
        <f t="shared" si="13"/>
        <v/>
      </c>
    </row>
    <row r="870" spans="4:4" x14ac:dyDescent="0.25">
      <c r="D870" s="41" t="str">
        <f t="shared" si="13"/>
        <v/>
      </c>
    </row>
    <row r="871" spans="4:4" x14ac:dyDescent="0.25">
      <c r="D871" s="41" t="str">
        <f t="shared" si="13"/>
        <v/>
      </c>
    </row>
    <row r="872" spans="4:4" x14ac:dyDescent="0.25">
      <c r="D872" s="41" t="str">
        <f t="shared" si="13"/>
        <v/>
      </c>
    </row>
    <row r="873" spans="4:4" x14ac:dyDescent="0.25">
      <c r="D873" s="41" t="str">
        <f t="shared" si="13"/>
        <v/>
      </c>
    </row>
    <row r="874" spans="4:4" x14ac:dyDescent="0.25">
      <c r="D874" s="41" t="str">
        <f t="shared" si="13"/>
        <v/>
      </c>
    </row>
    <row r="875" spans="4:4" x14ac:dyDescent="0.25">
      <c r="D875" s="41" t="str">
        <f t="shared" si="13"/>
        <v/>
      </c>
    </row>
    <row r="876" spans="4:4" x14ac:dyDescent="0.25">
      <c r="D876" s="41" t="str">
        <f t="shared" si="13"/>
        <v/>
      </c>
    </row>
    <row r="877" spans="4:4" x14ac:dyDescent="0.25">
      <c r="D877" s="41" t="str">
        <f t="shared" si="13"/>
        <v/>
      </c>
    </row>
    <row r="878" spans="4:4" x14ac:dyDescent="0.25">
      <c r="D878" s="41" t="str">
        <f t="shared" si="13"/>
        <v/>
      </c>
    </row>
    <row r="879" spans="4:4" x14ac:dyDescent="0.25">
      <c r="D879" s="41" t="str">
        <f t="shared" si="13"/>
        <v/>
      </c>
    </row>
    <row r="880" spans="4:4" x14ac:dyDescent="0.25">
      <c r="D880" s="41" t="str">
        <f t="shared" si="13"/>
        <v/>
      </c>
    </row>
    <row r="881" spans="4:4" x14ac:dyDescent="0.25">
      <c r="D881" s="41" t="str">
        <f t="shared" si="13"/>
        <v/>
      </c>
    </row>
    <row r="882" spans="4:4" x14ac:dyDescent="0.25">
      <c r="D882" s="41" t="str">
        <f t="shared" si="13"/>
        <v/>
      </c>
    </row>
    <row r="883" spans="4:4" x14ac:dyDescent="0.25">
      <c r="D883" s="41" t="str">
        <f t="shared" si="13"/>
        <v/>
      </c>
    </row>
    <row r="884" spans="4:4" x14ac:dyDescent="0.25">
      <c r="D884" s="41" t="str">
        <f t="shared" si="13"/>
        <v/>
      </c>
    </row>
    <row r="885" spans="4:4" x14ac:dyDescent="0.25">
      <c r="D885" s="41" t="str">
        <f t="shared" si="13"/>
        <v/>
      </c>
    </row>
    <row r="886" spans="4:4" x14ac:dyDescent="0.25">
      <c r="D886" s="41" t="str">
        <f t="shared" si="13"/>
        <v/>
      </c>
    </row>
    <row r="887" spans="4:4" x14ac:dyDescent="0.25">
      <c r="D887" s="41" t="str">
        <f t="shared" si="13"/>
        <v/>
      </c>
    </row>
    <row r="888" spans="4:4" x14ac:dyDescent="0.25">
      <c r="D888" s="41" t="str">
        <f t="shared" si="13"/>
        <v/>
      </c>
    </row>
    <row r="889" spans="4:4" x14ac:dyDescent="0.25">
      <c r="D889" s="41" t="str">
        <f t="shared" si="13"/>
        <v/>
      </c>
    </row>
    <row r="890" spans="4:4" x14ac:dyDescent="0.25">
      <c r="D890" s="41" t="str">
        <f t="shared" si="13"/>
        <v/>
      </c>
    </row>
    <row r="891" spans="4:4" x14ac:dyDescent="0.25">
      <c r="D891" s="41" t="str">
        <f t="shared" si="13"/>
        <v/>
      </c>
    </row>
    <row r="892" spans="4:4" x14ac:dyDescent="0.25">
      <c r="D892" s="41" t="str">
        <f t="shared" si="13"/>
        <v/>
      </c>
    </row>
    <row r="893" spans="4:4" x14ac:dyDescent="0.25">
      <c r="D893" s="41" t="str">
        <f t="shared" si="13"/>
        <v/>
      </c>
    </row>
    <row r="894" spans="4:4" x14ac:dyDescent="0.25">
      <c r="D894" s="41" t="str">
        <f t="shared" si="13"/>
        <v/>
      </c>
    </row>
    <row r="895" spans="4:4" x14ac:dyDescent="0.25">
      <c r="D895" s="41" t="str">
        <f t="shared" si="13"/>
        <v/>
      </c>
    </row>
    <row r="896" spans="4:4" x14ac:dyDescent="0.25">
      <c r="D896" s="41" t="str">
        <f t="shared" si="13"/>
        <v/>
      </c>
    </row>
    <row r="897" spans="4:4" x14ac:dyDescent="0.25">
      <c r="D897" s="41" t="str">
        <f t="shared" si="13"/>
        <v/>
      </c>
    </row>
    <row r="898" spans="4:4" x14ac:dyDescent="0.25">
      <c r="D898" s="41" t="str">
        <f t="shared" si="13"/>
        <v/>
      </c>
    </row>
    <row r="899" spans="4:4" x14ac:dyDescent="0.25">
      <c r="D899" s="41" t="str">
        <f t="shared" si="13"/>
        <v/>
      </c>
    </row>
    <row r="900" spans="4:4" x14ac:dyDescent="0.25">
      <c r="D900" s="41" t="str">
        <f t="shared" si="13"/>
        <v/>
      </c>
    </row>
    <row r="901" spans="4:4" x14ac:dyDescent="0.25">
      <c r="D901" s="41" t="str">
        <f t="shared" si="13"/>
        <v/>
      </c>
    </row>
    <row r="902" spans="4:4" x14ac:dyDescent="0.25">
      <c r="D902" s="41" t="str">
        <f t="shared" si="13"/>
        <v/>
      </c>
    </row>
    <row r="903" spans="4:4" x14ac:dyDescent="0.25">
      <c r="D903" s="41" t="str">
        <f t="shared" si="13"/>
        <v/>
      </c>
    </row>
    <row r="904" spans="4:4" x14ac:dyDescent="0.25">
      <c r="D904" s="41" t="str">
        <f t="shared" si="13"/>
        <v/>
      </c>
    </row>
    <row r="905" spans="4:4" x14ac:dyDescent="0.25">
      <c r="D905" s="41" t="str">
        <f t="shared" si="13"/>
        <v/>
      </c>
    </row>
    <row r="906" spans="4:4" x14ac:dyDescent="0.25">
      <c r="D906" s="41" t="str">
        <f t="shared" si="13"/>
        <v/>
      </c>
    </row>
    <row r="907" spans="4:4" x14ac:dyDescent="0.25">
      <c r="D907" s="41" t="str">
        <f t="shared" si="13"/>
        <v/>
      </c>
    </row>
    <row r="908" spans="4:4" x14ac:dyDescent="0.25">
      <c r="D908" s="41" t="str">
        <f t="shared" si="13"/>
        <v/>
      </c>
    </row>
    <row r="909" spans="4:4" x14ac:dyDescent="0.25">
      <c r="D909" s="41" t="str">
        <f t="shared" si="13"/>
        <v/>
      </c>
    </row>
    <row r="910" spans="4:4" x14ac:dyDescent="0.25">
      <c r="D910" s="41" t="str">
        <f t="shared" si="13"/>
        <v/>
      </c>
    </row>
    <row r="911" spans="4:4" x14ac:dyDescent="0.25">
      <c r="D911" s="41" t="str">
        <f t="shared" si="13"/>
        <v/>
      </c>
    </row>
    <row r="912" spans="4:4" x14ac:dyDescent="0.25">
      <c r="D912" s="41" t="str">
        <f t="shared" si="13"/>
        <v/>
      </c>
    </row>
    <row r="913" spans="4:4" x14ac:dyDescent="0.25">
      <c r="D913" s="41" t="str">
        <f t="shared" ref="D913:D976" si="14">IF(A913=0,"","Elastic")</f>
        <v/>
      </c>
    </row>
    <row r="914" spans="4:4" x14ac:dyDescent="0.25">
      <c r="D914" s="41" t="str">
        <f t="shared" si="14"/>
        <v/>
      </c>
    </row>
    <row r="915" spans="4:4" x14ac:dyDescent="0.25">
      <c r="D915" s="41" t="str">
        <f t="shared" si="14"/>
        <v/>
      </c>
    </row>
    <row r="916" spans="4:4" x14ac:dyDescent="0.25">
      <c r="D916" s="41" t="str">
        <f t="shared" si="14"/>
        <v/>
      </c>
    </row>
    <row r="917" spans="4:4" x14ac:dyDescent="0.25">
      <c r="D917" s="41" t="str">
        <f t="shared" si="14"/>
        <v/>
      </c>
    </row>
    <row r="918" spans="4:4" x14ac:dyDescent="0.25">
      <c r="D918" s="41" t="str">
        <f t="shared" si="14"/>
        <v/>
      </c>
    </row>
    <row r="919" spans="4:4" x14ac:dyDescent="0.25">
      <c r="D919" s="41" t="str">
        <f t="shared" si="14"/>
        <v/>
      </c>
    </row>
    <row r="920" spans="4:4" x14ac:dyDescent="0.25">
      <c r="D920" s="41" t="str">
        <f t="shared" si="14"/>
        <v/>
      </c>
    </row>
    <row r="921" spans="4:4" x14ac:dyDescent="0.25">
      <c r="D921" s="41" t="str">
        <f t="shared" si="14"/>
        <v/>
      </c>
    </row>
    <row r="922" spans="4:4" x14ac:dyDescent="0.25">
      <c r="D922" s="41" t="str">
        <f t="shared" si="14"/>
        <v/>
      </c>
    </row>
    <row r="923" spans="4:4" x14ac:dyDescent="0.25">
      <c r="D923" s="41" t="str">
        <f t="shared" si="14"/>
        <v/>
      </c>
    </row>
    <row r="924" spans="4:4" x14ac:dyDescent="0.25">
      <c r="D924" s="41" t="str">
        <f t="shared" si="14"/>
        <v/>
      </c>
    </row>
    <row r="925" spans="4:4" x14ac:dyDescent="0.25">
      <c r="D925" s="41" t="str">
        <f t="shared" si="14"/>
        <v/>
      </c>
    </row>
    <row r="926" spans="4:4" x14ac:dyDescent="0.25">
      <c r="D926" s="41" t="str">
        <f t="shared" si="14"/>
        <v/>
      </c>
    </row>
    <row r="927" spans="4:4" x14ac:dyDescent="0.25">
      <c r="D927" s="41" t="str">
        <f t="shared" si="14"/>
        <v/>
      </c>
    </row>
    <row r="928" spans="4:4" x14ac:dyDescent="0.25">
      <c r="D928" s="41" t="str">
        <f t="shared" si="14"/>
        <v/>
      </c>
    </row>
    <row r="929" spans="4:4" x14ac:dyDescent="0.25">
      <c r="D929" s="41" t="str">
        <f t="shared" si="14"/>
        <v/>
      </c>
    </row>
    <row r="930" spans="4:4" x14ac:dyDescent="0.25">
      <c r="D930" s="41" t="str">
        <f t="shared" si="14"/>
        <v/>
      </c>
    </row>
    <row r="931" spans="4:4" x14ac:dyDescent="0.25">
      <c r="D931" s="41" t="str">
        <f t="shared" si="14"/>
        <v/>
      </c>
    </row>
    <row r="932" spans="4:4" x14ac:dyDescent="0.25">
      <c r="D932" s="41" t="str">
        <f t="shared" si="14"/>
        <v/>
      </c>
    </row>
    <row r="933" spans="4:4" x14ac:dyDescent="0.25">
      <c r="D933" s="41" t="str">
        <f t="shared" si="14"/>
        <v/>
      </c>
    </row>
    <row r="934" spans="4:4" x14ac:dyDescent="0.25">
      <c r="D934" s="41" t="str">
        <f t="shared" si="14"/>
        <v/>
      </c>
    </row>
    <row r="935" spans="4:4" x14ac:dyDescent="0.25">
      <c r="D935" s="41" t="str">
        <f t="shared" si="14"/>
        <v/>
      </c>
    </row>
    <row r="936" spans="4:4" x14ac:dyDescent="0.25">
      <c r="D936" s="41" t="str">
        <f t="shared" si="14"/>
        <v/>
      </c>
    </row>
    <row r="937" spans="4:4" x14ac:dyDescent="0.25">
      <c r="D937" s="41" t="str">
        <f t="shared" si="14"/>
        <v/>
      </c>
    </row>
    <row r="938" spans="4:4" x14ac:dyDescent="0.25">
      <c r="D938" s="41" t="str">
        <f t="shared" si="14"/>
        <v/>
      </c>
    </row>
    <row r="939" spans="4:4" x14ac:dyDescent="0.25">
      <c r="D939" s="41" t="str">
        <f t="shared" si="14"/>
        <v/>
      </c>
    </row>
    <row r="940" spans="4:4" x14ac:dyDescent="0.25">
      <c r="D940" s="41" t="str">
        <f t="shared" si="14"/>
        <v/>
      </c>
    </row>
    <row r="941" spans="4:4" x14ac:dyDescent="0.25">
      <c r="D941" s="41" t="str">
        <f t="shared" si="14"/>
        <v/>
      </c>
    </row>
    <row r="942" spans="4:4" x14ac:dyDescent="0.25">
      <c r="D942" s="41" t="str">
        <f t="shared" si="14"/>
        <v/>
      </c>
    </row>
    <row r="943" spans="4:4" x14ac:dyDescent="0.25">
      <c r="D943" s="41" t="str">
        <f t="shared" si="14"/>
        <v/>
      </c>
    </row>
    <row r="944" spans="4:4" x14ac:dyDescent="0.25">
      <c r="D944" s="41" t="str">
        <f t="shared" si="14"/>
        <v/>
      </c>
    </row>
    <row r="945" spans="4:4" x14ac:dyDescent="0.25">
      <c r="D945" s="41" t="str">
        <f t="shared" si="14"/>
        <v/>
      </c>
    </row>
    <row r="946" spans="4:4" x14ac:dyDescent="0.25">
      <c r="D946" s="41" t="str">
        <f t="shared" si="14"/>
        <v/>
      </c>
    </row>
    <row r="947" spans="4:4" x14ac:dyDescent="0.25">
      <c r="D947" s="41" t="str">
        <f t="shared" si="14"/>
        <v/>
      </c>
    </row>
    <row r="948" spans="4:4" x14ac:dyDescent="0.25">
      <c r="D948" s="41" t="str">
        <f t="shared" si="14"/>
        <v/>
      </c>
    </row>
    <row r="949" spans="4:4" x14ac:dyDescent="0.25">
      <c r="D949" s="41" t="str">
        <f t="shared" si="14"/>
        <v/>
      </c>
    </row>
    <row r="950" spans="4:4" x14ac:dyDescent="0.25">
      <c r="D950" s="41" t="str">
        <f t="shared" si="14"/>
        <v/>
      </c>
    </row>
    <row r="951" spans="4:4" x14ac:dyDescent="0.25">
      <c r="D951" s="41" t="str">
        <f t="shared" si="14"/>
        <v/>
      </c>
    </row>
    <row r="952" spans="4:4" x14ac:dyDescent="0.25">
      <c r="D952" s="41" t="str">
        <f t="shared" si="14"/>
        <v/>
      </c>
    </row>
    <row r="953" spans="4:4" x14ac:dyDescent="0.25">
      <c r="D953" s="41" t="str">
        <f t="shared" si="14"/>
        <v/>
      </c>
    </row>
    <row r="954" spans="4:4" x14ac:dyDescent="0.25">
      <c r="D954" s="41" t="str">
        <f t="shared" si="14"/>
        <v/>
      </c>
    </row>
    <row r="955" spans="4:4" x14ac:dyDescent="0.25">
      <c r="D955" s="41" t="str">
        <f t="shared" si="14"/>
        <v/>
      </c>
    </row>
    <row r="956" spans="4:4" x14ac:dyDescent="0.25">
      <c r="D956" s="41" t="str">
        <f t="shared" si="14"/>
        <v/>
      </c>
    </row>
    <row r="957" spans="4:4" x14ac:dyDescent="0.25">
      <c r="D957" s="41" t="str">
        <f t="shared" si="14"/>
        <v/>
      </c>
    </row>
    <row r="958" spans="4:4" x14ac:dyDescent="0.25">
      <c r="D958" s="41" t="str">
        <f t="shared" si="14"/>
        <v/>
      </c>
    </row>
    <row r="959" spans="4:4" x14ac:dyDescent="0.25">
      <c r="D959" s="41" t="str">
        <f t="shared" si="14"/>
        <v/>
      </c>
    </row>
    <row r="960" spans="4:4" x14ac:dyDescent="0.25">
      <c r="D960" s="41" t="str">
        <f t="shared" si="14"/>
        <v/>
      </c>
    </row>
    <row r="961" spans="4:4" x14ac:dyDescent="0.25">
      <c r="D961" s="41" t="str">
        <f t="shared" si="14"/>
        <v/>
      </c>
    </row>
    <row r="962" spans="4:4" x14ac:dyDescent="0.25">
      <c r="D962" s="41" t="str">
        <f t="shared" si="14"/>
        <v/>
      </c>
    </row>
    <row r="963" spans="4:4" x14ac:dyDescent="0.25">
      <c r="D963" s="41" t="str">
        <f t="shared" si="14"/>
        <v/>
      </c>
    </row>
    <row r="964" spans="4:4" x14ac:dyDescent="0.25">
      <c r="D964" s="41" t="str">
        <f t="shared" si="14"/>
        <v/>
      </c>
    </row>
    <row r="965" spans="4:4" x14ac:dyDescent="0.25">
      <c r="D965" s="41" t="str">
        <f t="shared" si="14"/>
        <v/>
      </c>
    </row>
    <row r="966" spans="4:4" x14ac:dyDescent="0.25">
      <c r="D966" s="41" t="str">
        <f t="shared" si="14"/>
        <v/>
      </c>
    </row>
    <row r="967" spans="4:4" x14ac:dyDescent="0.25">
      <c r="D967" s="41" t="str">
        <f t="shared" si="14"/>
        <v/>
      </c>
    </row>
    <row r="968" spans="4:4" x14ac:dyDescent="0.25">
      <c r="D968" s="41" t="str">
        <f t="shared" si="14"/>
        <v/>
      </c>
    </row>
    <row r="969" spans="4:4" x14ac:dyDescent="0.25">
      <c r="D969" s="41" t="str">
        <f t="shared" si="14"/>
        <v/>
      </c>
    </row>
    <row r="970" spans="4:4" x14ac:dyDescent="0.25">
      <c r="D970" s="41" t="str">
        <f t="shared" si="14"/>
        <v/>
      </c>
    </row>
    <row r="971" spans="4:4" x14ac:dyDescent="0.25">
      <c r="D971" s="41" t="str">
        <f t="shared" si="14"/>
        <v/>
      </c>
    </row>
    <row r="972" spans="4:4" x14ac:dyDescent="0.25">
      <c r="D972" s="41" t="str">
        <f t="shared" si="14"/>
        <v/>
      </c>
    </row>
    <row r="973" spans="4:4" x14ac:dyDescent="0.25">
      <c r="D973" s="41" t="str">
        <f t="shared" si="14"/>
        <v/>
      </c>
    </row>
    <row r="974" spans="4:4" x14ac:dyDescent="0.25">
      <c r="D974" s="41" t="str">
        <f t="shared" si="14"/>
        <v/>
      </c>
    </row>
    <row r="975" spans="4:4" x14ac:dyDescent="0.25">
      <c r="D975" s="41" t="str">
        <f t="shared" si="14"/>
        <v/>
      </c>
    </row>
    <row r="976" spans="4:4" x14ac:dyDescent="0.25">
      <c r="D976" s="41" t="str">
        <f t="shared" si="14"/>
        <v/>
      </c>
    </row>
    <row r="977" spans="4:4" x14ac:dyDescent="0.25">
      <c r="D977" s="41" t="str">
        <f t="shared" ref="D977:D1016" si="15">IF(A977=0,"","Elastic")</f>
        <v/>
      </c>
    </row>
    <row r="978" spans="4:4" x14ac:dyDescent="0.25">
      <c r="D978" s="41" t="str">
        <f t="shared" si="15"/>
        <v/>
      </c>
    </row>
    <row r="979" spans="4:4" x14ac:dyDescent="0.25">
      <c r="D979" s="41" t="str">
        <f t="shared" si="15"/>
        <v/>
      </c>
    </row>
    <row r="980" spans="4:4" x14ac:dyDescent="0.25">
      <c r="D980" s="41" t="str">
        <f t="shared" si="15"/>
        <v/>
      </c>
    </row>
    <row r="981" spans="4:4" x14ac:dyDescent="0.25">
      <c r="D981" s="41" t="str">
        <f t="shared" si="15"/>
        <v/>
      </c>
    </row>
    <row r="982" spans="4:4" x14ac:dyDescent="0.25">
      <c r="D982" s="41" t="str">
        <f t="shared" si="15"/>
        <v/>
      </c>
    </row>
    <row r="983" spans="4:4" x14ac:dyDescent="0.25">
      <c r="D983" s="41" t="str">
        <f t="shared" si="15"/>
        <v/>
      </c>
    </row>
    <row r="984" spans="4:4" x14ac:dyDescent="0.25">
      <c r="D984" s="41" t="str">
        <f t="shared" si="15"/>
        <v/>
      </c>
    </row>
    <row r="985" spans="4:4" x14ac:dyDescent="0.25">
      <c r="D985" s="41" t="str">
        <f t="shared" si="15"/>
        <v/>
      </c>
    </row>
    <row r="986" spans="4:4" x14ac:dyDescent="0.25">
      <c r="D986" s="41" t="str">
        <f t="shared" si="15"/>
        <v/>
      </c>
    </row>
    <row r="987" spans="4:4" x14ac:dyDescent="0.25">
      <c r="D987" s="41" t="str">
        <f t="shared" si="15"/>
        <v/>
      </c>
    </row>
    <row r="988" spans="4:4" x14ac:dyDescent="0.25">
      <c r="D988" s="41" t="str">
        <f t="shared" si="15"/>
        <v/>
      </c>
    </row>
    <row r="989" spans="4:4" x14ac:dyDescent="0.25">
      <c r="D989" s="41" t="str">
        <f t="shared" si="15"/>
        <v/>
      </c>
    </row>
    <row r="990" spans="4:4" x14ac:dyDescent="0.25">
      <c r="D990" s="41" t="str">
        <f t="shared" si="15"/>
        <v/>
      </c>
    </row>
    <row r="991" spans="4:4" x14ac:dyDescent="0.25">
      <c r="D991" s="41" t="str">
        <f t="shared" si="15"/>
        <v/>
      </c>
    </row>
    <row r="992" spans="4:4" x14ac:dyDescent="0.25">
      <c r="D992" s="41" t="str">
        <f t="shared" si="15"/>
        <v/>
      </c>
    </row>
    <row r="993" spans="4:4" x14ac:dyDescent="0.25">
      <c r="D993" s="41" t="str">
        <f t="shared" si="15"/>
        <v/>
      </c>
    </row>
    <row r="994" spans="4:4" x14ac:dyDescent="0.25">
      <c r="D994" s="41" t="str">
        <f t="shared" si="15"/>
        <v/>
      </c>
    </row>
    <row r="995" spans="4:4" x14ac:dyDescent="0.25">
      <c r="D995" s="41" t="str">
        <f t="shared" si="15"/>
        <v/>
      </c>
    </row>
    <row r="996" spans="4:4" x14ac:dyDescent="0.25">
      <c r="D996" s="41" t="str">
        <f t="shared" si="15"/>
        <v/>
      </c>
    </row>
    <row r="997" spans="4:4" x14ac:dyDescent="0.25">
      <c r="D997" s="41" t="str">
        <f t="shared" si="15"/>
        <v/>
      </c>
    </row>
    <row r="998" spans="4:4" x14ac:dyDescent="0.25">
      <c r="D998" s="41" t="str">
        <f t="shared" si="15"/>
        <v/>
      </c>
    </row>
    <row r="999" spans="4:4" x14ac:dyDescent="0.25">
      <c r="D999" s="41" t="str">
        <f t="shared" si="15"/>
        <v/>
      </c>
    </row>
    <row r="1000" spans="4:4" x14ac:dyDescent="0.25">
      <c r="D1000" s="41" t="str">
        <f t="shared" si="15"/>
        <v/>
      </c>
    </row>
    <row r="1001" spans="4:4" x14ac:dyDescent="0.25">
      <c r="D1001" s="41" t="str">
        <f t="shared" si="15"/>
        <v/>
      </c>
    </row>
    <row r="1002" spans="4:4" x14ac:dyDescent="0.25">
      <c r="D1002" s="41" t="str">
        <f t="shared" si="15"/>
        <v/>
      </c>
    </row>
    <row r="1003" spans="4:4" x14ac:dyDescent="0.25">
      <c r="D1003" s="41" t="str">
        <f t="shared" si="15"/>
        <v/>
      </c>
    </row>
    <row r="1004" spans="4:4" x14ac:dyDescent="0.25">
      <c r="D1004" s="41" t="str">
        <f t="shared" si="15"/>
        <v/>
      </c>
    </row>
    <row r="1005" spans="4:4" x14ac:dyDescent="0.25">
      <c r="D1005" s="41" t="str">
        <f t="shared" si="15"/>
        <v/>
      </c>
    </row>
    <row r="1006" spans="4:4" x14ac:dyDescent="0.25">
      <c r="D1006" s="41" t="str">
        <f t="shared" si="15"/>
        <v/>
      </c>
    </row>
    <row r="1007" spans="4:4" x14ac:dyDescent="0.25">
      <c r="D1007" s="41" t="str">
        <f t="shared" si="15"/>
        <v/>
      </c>
    </row>
    <row r="1008" spans="4:4" x14ac:dyDescent="0.25">
      <c r="D1008" s="41" t="str">
        <f t="shared" si="15"/>
        <v/>
      </c>
    </row>
    <row r="1009" spans="4:4" x14ac:dyDescent="0.25">
      <c r="D1009" s="41" t="str">
        <f t="shared" si="15"/>
        <v/>
      </c>
    </row>
    <row r="1010" spans="4:4" x14ac:dyDescent="0.25">
      <c r="D1010" s="41" t="str">
        <f t="shared" si="15"/>
        <v/>
      </c>
    </row>
    <row r="1011" spans="4:4" x14ac:dyDescent="0.25">
      <c r="D1011" s="41" t="str">
        <f t="shared" si="15"/>
        <v/>
      </c>
    </row>
    <row r="1012" spans="4:4" x14ac:dyDescent="0.25">
      <c r="D1012" s="41" t="str">
        <f t="shared" si="15"/>
        <v/>
      </c>
    </row>
    <row r="1013" spans="4:4" x14ac:dyDescent="0.25">
      <c r="D1013" s="41" t="str">
        <f t="shared" si="15"/>
        <v/>
      </c>
    </row>
    <row r="1014" spans="4:4" x14ac:dyDescent="0.25">
      <c r="D1014" s="41" t="str">
        <f t="shared" si="15"/>
        <v/>
      </c>
    </row>
    <row r="1015" spans="4:4" x14ac:dyDescent="0.25">
      <c r="D1015" s="41" t="str">
        <f t="shared" si="15"/>
        <v/>
      </c>
    </row>
    <row r="1016" spans="4:4" x14ac:dyDescent="0.25">
      <c r="D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B1048576" xr:uid="{4EF50105-085C-447C-A0CE-688E34E28766}">
      <formula1>Sec_Shape</formula1>
    </dataValidation>
    <dataValidation type="list" showInputMessage="1" showErrorMessage="1" errorTitle="Invalid Input" error="Choose from the list" sqref="C17:C1048576" xr:uid="{A8355B54-42F1-4EFA-9077-D2579C7DD321}">
      <formula1>Base_Mat</formula1>
    </dataValidation>
    <dataValidation type="list"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tabSelected="1" zoomScale="130" zoomScaleNormal="130" workbookViewId="0">
      <selection activeCell="K20" sqref="K20"/>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7" customWidth="1"/>
    <col min="12" max="15" width="15.7109375" style="59" customWidth="1"/>
    <col min="16" max="16384" width="10.85546875" style="3"/>
  </cols>
  <sheetData>
    <row r="1" spans="1:15" x14ac:dyDescent="0.25">
      <c r="A1" s="33" t="s">
        <v>199</v>
      </c>
      <c r="B1" s="39"/>
      <c r="C1" s="39"/>
      <c r="D1" s="39"/>
      <c r="E1" s="39"/>
      <c r="F1" s="39"/>
      <c r="G1" s="39"/>
      <c r="H1" s="46"/>
      <c r="I1" s="158"/>
      <c r="J1" s="158"/>
      <c r="K1" s="158"/>
      <c r="L1" s="159"/>
      <c r="M1" s="159"/>
      <c r="N1" s="159"/>
      <c r="O1" s="160"/>
    </row>
    <row r="2" spans="1:15" x14ac:dyDescent="0.25">
      <c r="A2" s="48" t="s">
        <v>299</v>
      </c>
      <c r="B2" s="41"/>
      <c r="C2" s="41"/>
      <c r="D2" s="41"/>
      <c r="E2" s="41"/>
      <c r="F2" s="41"/>
      <c r="H2" s="58"/>
      <c r="I2" s="161"/>
      <c r="J2" s="161"/>
      <c r="K2" s="161"/>
      <c r="L2" s="162"/>
      <c r="M2" s="162"/>
      <c r="N2" s="162"/>
      <c r="O2" s="163"/>
    </row>
    <row r="3" spans="1:15" x14ac:dyDescent="0.25">
      <c r="A3" s="48" t="s">
        <v>300</v>
      </c>
      <c r="B3" s="41"/>
      <c r="C3" s="41"/>
      <c r="D3" s="41"/>
      <c r="E3" s="41"/>
      <c r="F3" s="41"/>
      <c r="H3" s="58"/>
      <c r="I3" s="161"/>
      <c r="J3" s="161"/>
      <c r="K3" s="161"/>
      <c r="L3" s="162"/>
      <c r="M3" s="162"/>
      <c r="N3" s="162"/>
      <c r="O3" s="163"/>
    </row>
    <row r="4" spans="1:15" x14ac:dyDescent="0.25">
      <c r="A4" s="48" t="s">
        <v>301</v>
      </c>
      <c r="B4" s="41"/>
      <c r="C4" s="41"/>
      <c r="D4" s="41"/>
      <c r="E4" s="41"/>
      <c r="F4" s="41"/>
      <c r="H4" s="58"/>
      <c r="I4" s="161"/>
      <c r="J4" s="161"/>
      <c r="K4" s="161"/>
      <c r="L4" s="162"/>
      <c r="M4" s="162"/>
      <c r="N4" s="162"/>
      <c r="O4" s="163"/>
    </row>
    <row r="5" spans="1:15" x14ac:dyDescent="0.25">
      <c r="A5" s="48" t="s">
        <v>302</v>
      </c>
      <c r="B5" s="41"/>
      <c r="C5" s="41"/>
      <c r="D5" s="41"/>
      <c r="E5" s="41"/>
      <c r="F5" s="41"/>
      <c r="H5" s="58"/>
      <c r="I5" s="161"/>
      <c r="J5" s="161"/>
      <c r="K5" s="161"/>
      <c r="L5" s="162"/>
      <c r="M5" s="162"/>
      <c r="N5" s="162"/>
      <c r="O5" s="163"/>
    </row>
    <row r="6" spans="1:15" x14ac:dyDescent="0.25">
      <c r="A6" s="48" t="s">
        <v>303</v>
      </c>
      <c r="B6" s="41"/>
      <c r="C6" s="41"/>
      <c r="D6" s="41"/>
      <c r="E6" s="41"/>
      <c r="F6" s="41"/>
      <c r="H6" s="58"/>
      <c r="I6" s="161"/>
      <c r="J6" s="161"/>
      <c r="K6" s="161"/>
      <c r="L6" s="162"/>
      <c r="M6" s="162"/>
      <c r="N6" s="162"/>
      <c r="O6" s="163"/>
    </row>
    <row r="7" spans="1:15" x14ac:dyDescent="0.25">
      <c r="A7" s="48" t="s">
        <v>304</v>
      </c>
      <c r="B7" s="41"/>
      <c r="C7" s="41"/>
      <c r="D7" s="41"/>
      <c r="E7" s="41"/>
      <c r="F7" s="41"/>
      <c r="H7" s="58"/>
      <c r="I7" s="161"/>
      <c r="J7" s="161"/>
      <c r="K7" s="161"/>
      <c r="L7" s="162"/>
      <c r="M7" s="162"/>
      <c r="N7" s="162"/>
      <c r="O7" s="163"/>
    </row>
    <row r="8" spans="1:15" x14ac:dyDescent="0.25">
      <c r="A8" s="48" t="s">
        <v>291</v>
      </c>
      <c r="B8" s="41"/>
      <c r="C8" s="41"/>
      <c r="D8" s="41"/>
      <c r="E8" s="41"/>
      <c r="F8" s="41"/>
      <c r="H8" s="58"/>
      <c r="I8" s="161"/>
      <c r="J8" s="161"/>
      <c r="K8" s="161"/>
      <c r="L8" s="162"/>
      <c r="M8" s="162"/>
      <c r="N8" s="162"/>
      <c r="O8" s="163"/>
    </row>
    <row r="9" spans="1:15" x14ac:dyDescent="0.25">
      <c r="A9" s="48" t="s">
        <v>305</v>
      </c>
      <c r="B9" s="41"/>
      <c r="C9" s="41"/>
      <c r="D9" s="41"/>
      <c r="E9" s="41"/>
      <c r="F9" s="41"/>
      <c r="H9" s="58"/>
      <c r="I9" s="161"/>
      <c r="J9" s="161"/>
      <c r="K9" s="161"/>
      <c r="L9" s="162"/>
      <c r="M9" s="162"/>
      <c r="N9" s="162"/>
      <c r="O9" s="163"/>
    </row>
    <row r="10" spans="1:15" x14ac:dyDescent="0.25">
      <c r="A10" s="48" t="s">
        <v>306</v>
      </c>
      <c r="B10" s="41"/>
      <c r="C10" s="41"/>
      <c r="D10" s="41"/>
      <c r="E10" s="41"/>
      <c r="F10" s="41"/>
      <c r="H10" s="58"/>
      <c r="I10" s="161"/>
      <c r="J10" s="161"/>
      <c r="K10" s="161"/>
      <c r="L10" s="162"/>
      <c r="M10" s="162"/>
      <c r="N10" s="162"/>
      <c r="O10" s="163"/>
    </row>
    <row r="11" spans="1:15" x14ac:dyDescent="0.25">
      <c r="A11" s="48" t="s">
        <v>307</v>
      </c>
      <c r="B11" s="41"/>
      <c r="C11" s="41"/>
      <c r="D11" s="41"/>
      <c r="E11" s="41"/>
      <c r="F11" s="41"/>
      <c r="H11" s="58"/>
      <c r="I11" s="161"/>
      <c r="J11" s="161"/>
      <c r="K11" s="161"/>
      <c r="L11" s="162"/>
      <c r="M11" s="162"/>
      <c r="N11" s="162"/>
      <c r="O11" s="163"/>
    </row>
    <row r="12" spans="1:15" x14ac:dyDescent="0.25">
      <c r="A12" s="48" t="s">
        <v>308</v>
      </c>
      <c r="B12" s="41"/>
      <c r="C12" s="41"/>
      <c r="D12" s="41"/>
      <c r="E12" s="41"/>
      <c r="F12" s="41"/>
      <c r="H12" s="58"/>
      <c r="I12" s="161"/>
      <c r="J12" s="161"/>
      <c r="K12" s="161"/>
      <c r="L12" s="162"/>
      <c r="M12" s="162"/>
      <c r="N12" s="162"/>
      <c r="O12" s="163"/>
    </row>
    <row r="13" spans="1:15" x14ac:dyDescent="0.25">
      <c r="A13" s="48" t="str">
        <f>"- barDiaHoop: Diameter of hoops (Input as Float) ("&amp;'User Specified Unitsystem'!$B$11&amp;")"</f>
        <v>- barDiaHoop: Diameter of hoops (Input as Float) (m)</v>
      </c>
      <c r="B13" s="41"/>
      <c r="C13" s="41"/>
      <c r="D13" s="41"/>
      <c r="E13" s="41"/>
      <c r="F13" s="41"/>
      <c r="H13" s="58"/>
      <c r="I13" s="161"/>
      <c r="J13" s="161"/>
      <c r="K13" s="161"/>
      <c r="L13" s="162"/>
      <c r="M13" s="162"/>
      <c r="N13" s="162"/>
      <c r="O13" s="163"/>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61"/>
      <c r="J14" s="161"/>
      <c r="K14" s="161"/>
      <c r="L14" s="162"/>
      <c r="M14" s="162"/>
      <c r="N14" s="162"/>
      <c r="O14" s="163"/>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61"/>
      <c r="J15" s="161"/>
      <c r="K15" s="161"/>
      <c r="L15" s="162"/>
      <c r="M15" s="162"/>
      <c r="N15" s="162"/>
      <c r="O15" s="163"/>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4"/>
      <c r="J16" s="164"/>
      <c r="K16" s="164"/>
      <c r="L16" s="165"/>
      <c r="M16" s="165"/>
      <c r="N16" s="165"/>
      <c r="O16" s="166"/>
    </row>
    <row r="17" spans="1:15" x14ac:dyDescent="0.25">
      <c r="A17" s="34"/>
      <c r="B17" s="1"/>
      <c r="C17" s="1"/>
      <c r="D17" s="1"/>
      <c r="E17" s="1"/>
      <c r="F17" s="1"/>
      <c r="G17" s="1"/>
      <c r="H17" s="4"/>
      <c r="I17" s="6"/>
      <c r="J17" s="6"/>
      <c r="K17" s="6"/>
      <c r="L17" s="5"/>
      <c r="M17" s="5"/>
      <c r="N17" s="5"/>
      <c r="O17" s="5"/>
    </row>
    <row r="18" spans="1:15" s="2" customFormat="1" x14ac:dyDescent="0.25">
      <c r="A18" s="31" t="s">
        <v>71</v>
      </c>
      <c r="B18" s="31" t="s">
        <v>88</v>
      </c>
      <c r="C18" s="31" t="s">
        <v>89</v>
      </c>
      <c r="D18" s="31" t="s">
        <v>90</v>
      </c>
      <c r="E18" s="31" t="s">
        <v>91</v>
      </c>
      <c r="F18" s="31" t="s">
        <v>92</v>
      </c>
      <c r="G18" s="31" t="s">
        <v>78</v>
      </c>
      <c r="H18" s="31" t="s">
        <v>93</v>
      </c>
      <c r="I18" s="31" t="s">
        <v>94</v>
      </c>
      <c r="J18" s="31" t="s">
        <v>95</v>
      </c>
      <c r="K18" s="31" t="s">
        <v>96</v>
      </c>
      <c r="L18" s="31" t="s">
        <v>97</v>
      </c>
      <c r="M18" s="31" t="s">
        <v>98</v>
      </c>
      <c r="N18" s="31" t="s">
        <v>99</v>
      </c>
      <c r="O18" s="31" t="s">
        <v>100</v>
      </c>
    </row>
    <row r="19" spans="1:15" x14ac:dyDescent="0.25">
      <c r="A19" s="45" t="s">
        <v>101</v>
      </c>
      <c r="B19" s="45" t="s">
        <v>86</v>
      </c>
      <c r="C19" s="45" t="s">
        <v>68</v>
      </c>
      <c r="D19" s="45" t="s">
        <v>25</v>
      </c>
      <c r="E19" s="45" t="s">
        <v>26</v>
      </c>
      <c r="F19" s="45" t="s">
        <v>32</v>
      </c>
      <c r="G19" s="41" t="str">
        <f t="shared" ref="G19:G82" si="0">IF(A19=0,"","Fiber")</f>
        <v>Fiber</v>
      </c>
      <c r="H19" s="52">
        <f>40/1000</f>
        <v>0.04</v>
      </c>
      <c r="I19" s="167">
        <v>7</v>
      </c>
      <c r="J19" s="167">
        <v>7</v>
      </c>
      <c r="K19" s="167">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7">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F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 type="list" showInputMessage="1" showErrorMessage="1" errorTitle="Invalid Input" error="Choose from the list" sqref="D19:D1048576 E19:E1048576" xr:uid="{E85738B1-52F9-4382-9472-D2C528F10877}">
      <formula1>NL_Mat_Name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A9" sqref="A9:A104857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199</v>
      </c>
      <c r="B1" s="39"/>
      <c r="C1" s="39"/>
      <c r="D1" s="39"/>
      <c r="E1" s="168"/>
    </row>
    <row r="2" spans="1:5" x14ac:dyDescent="0.25">
      <c r="A2" s="48" t="s">
        <v>309</v>
      </c>
      <c r="B2" s="41"/>
      <c r="E2" s="169"/>
    </row>
    <row r="3" spans="1:5" x14ac:dyDescent="0.25">
      <c r="A3" s="48" t="s">
        <v>310</v>
      </c>
      <c r="B3" s="41"/>
      <c r="E3" s="169"/>
    </row>
    <row r="4" spans="1:5" x14ac:dyDescent="0.25">
      <c r="A4" s="48" t="s">
        <v>312</v>
      </c>
      <c r="B4" s="41"/>
      <c r="E4" s="169"/>
    </row>
    <row r="5" spans="1:5" x14ac:dyDescent="0.25">
      <c r="A5" s="48" t="s">
        <v>291</v>
      </c>
      <c r="B5" s="41"/>
      <c r="E5" s="169"/>
    </row>
    <row r="6" spans="1:5" x14ac:dyDescent="0.25">
      <c r="A6" s="53" t="s">
        <v>311</v>
      </c>
      <c r="B6" s="43"/>
      <c r="C6" s="43"/>
      <c r="D6" s="43"/>
      <c r="E6" s="170"/>
    </row>
    <row r="7" spans="1:5" x14ac:dyDescent="0.25">
      <c r="A7" s="34"/>
      <c r="B7" s="1"/>
      <c r="C7" s="1"/>
      <c r="D7" s="1"/>
      <c r="E7" s="1"/>
    </row>
    <row r="8" spans="1:5" s="2" customFormat="1" x14ac:dyDescent="0.25">
      <c r="A8" s="31" t="s">
        <v>71</v>
      </c>
      <c r="B8" s="31" t="s">
        <v>102</v>
      </c>
      <c r="C8" s="31" t="s">
        <v>18</v>
      </c>
      <c r="D8" s="31" t="s">
        <v>78</v>
      </c>
      <c r="E8" s="31" t="s">
        <v>103</v>
      </c>
    </row>
    <row r="9" spans="1:5" x14ac:dyDescent="0.25">
      <c r="A9" s="45" t="s">
        <v>104</v>
      </c>
      <c r="B9" s="171" t="s">
        <v>101</v>
      </c>
      <c r="C9" s="41" t="str">
        <f>IF(A9=0,"",IF(IF(COUNTIF(Sec_Fiber!$A$19:$A$1018,B9)&gt;0,TRUE,FALSE)=FALSE,VLOOKUP(B9,SecDB,3,FALSE),VLOOKUP(VLOOKUP(B9,SecFiberDB,2,FALSE),SecDB,3,FALSE)))</f>
        <v>RC30</v>
      </c>
      <c r="D9" s="41" t="str">
        <f t="shared" ref="D9:D72" si="0">IF(A9=0,"","Aggregator")</f>
        <v>Aggregator</v>
      </c>
      <c r="E9" s="45" t="s">
        <v>105</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7" sqref="A7:A1048576"/>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199</v>
      </c>
      <c r="B1" s="39"/>
      <c r="C1" s="46"/>
      <c r="D1" s="185"/>
      <c r="E1" s="40"/>
    </row>
    <row r="2" spans="1:5" x14ac:dyDescent="0.25">
      <c r="A2" s="48" t="s">
        <v>327</v>
      </c>
      <c r="B2" s="41"/>
      <c r="C2" s="58"/>
      <c r="D2" s="184"/>
      <c r="E2" s="42"/>
    </row>
    <row r="3" spans="1:5" x14ac:dyDescent="0.25">
      <c r="A3" s="48" t="s">
        <v>313</v>
      </c>
      <c r="B3" s="41"/>
      <c r="C3" s="58"/>
      <c r="D3" s="184"/>
      <c r="E3" s="42"/>
    </row>
    <row r="4" spans="1:5" x14ac:dyDescent="0.25">
      <c r="A4" s="53" t="str">
        <f>"- t: Slab thickness (Input as float) ("&amp;'User Specified Unitsystem'!$B$11&amp;")"</f>
        <v>- t: Slab thickness (Input as float) (m)</v>
      </c>
      <c r="B4" s="43"/>
      <c r="C4" s="50"/>
      <c r="D4" s="186"/>
      <c r="E4" s="44"/>
    </row>
    <row r="5" spans="1:5" x14ac:dyDescent="0.25">
      <c r="A5" s="34"/>
      <c r="B5" s="1"/>
      <c r="C5" s="4"/>
    </row>
    <row r="6" spans="1:5" s="8" customFormat="1" x14ac:dyDescent="0.25">
      <c r="A6" s="32" t="s">
        <v>71</v>
      </c>
      <c r="B6" s="32" t="s">
        <v>18</v>
      </c>
      <c r="C6" s="32" t="s">
        <v>106</v>
      </c>
    </row>
    <row r="7" spans="1:5" x14ac:dyDescent="0.25">
      <c r="A7" s="45" t="s">
        <v>107</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defaultColWidth="10.85546875" defaultRowHeight="15.75" x14ac:dyDescent="0.25"/>
  <cols>
    <col min="1" max="1" width="15.7109375" style="183" customWidth="1"/>
    <col min="2" max="4" width="10.7109375" style="88" customWidth="1"/>
    <col min="5" max="6" width="10.85546875" style="87" customWidth="1"/>
    <col min="7" max="16384" width="10.85546875" style="75"/>
  </cols>
  <sheetData>
    <row r="1" spans="1:9" x14ac:dyDescent="0.25">
      <c r="A1" s="71" t="s">
        <v>199</v>
      </c>
      <c r="B1" s="72"/>
      <c r="C1" s="72"/>
      <c r="D1" s="72"/>
      <c r="E1" s="73"/>
      <c r="F1" s="73"/>
      <c r="G1" s="73"/>
      <c r="H1" s="73"/>
      <c r="I1" s="74"/>
    </row>
    <row r="2" spans="1:9" x14ac:dyDescent="0.25">
      <c r="A2" s="96" t="s">
        <v>324</v>
      </c>
      <c r="B2" s="180"/>
      <c r="C2" s="180"/>
      <c r="D2" s="180"/>
      <c r="E2" s="181"/>
      <c r="F2" s="181"/>
      <c r="G2" s="181"/>
      <c r="H2" s="181"/>
      <c r="I2" s="77"/>
    </row>
    <row r="3" spans="1:9" x14ac:dyDescent="0.25">
      <c r="A3" s="78" t="str">
        <f>"- X: X coordinate of point objects (Input as Float) ("&amp;'User Specified Unitsystem'!$B$11&amp;")"</f>
        <v>- X: X coordinate of point objects (Input as Float) (m)</v>
      </c>
      <c r="B3" s="180"/>
      <c r="C3" s="180"/>
      <c r="D3" s="180"/>
      <c r="E3" s="181"/>
      <c r="F3" s="181"/>
      <c r="G3" s="181"/>
      <c r="H3" s="181"/>
      <c r="I3" s="77"/>
    </row>
    <row r="4" spans="1:9" x14ac:dyDescent="0.25">
      <c r="A4" s="78" t="str">
        <f>"- Y: Y coordinate of point objects (Input as Float) ("&amp;'User Specified Unitsystem'!$B$11&amp;")"</f>
        <v>- Y: Y coordinate of point objects (Input as Float) (m)</v>
      </c>
      <c r="B4" s="180"/>
      <c r="C4" s="180"/>
      <c r="D4" s="180"/>
      <c r="E4" s="181"/>
      <c r="F4" s="181"/>
      <c r="G4" s="181"/>
      <c r="H4" s="181"/>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323</v>
      </c>
      <c r="B7" s="17" t="s">
        <v>109</v>
      </c>
      <c r="C7" s="17" t="s">
        <v>110</v>
      </c>
      <c r="D7" s="17" t="s">
        <v>111</v>
      </c>
      <c r="E7" s="86"/>
      <c r="F7" s="87"/>
    </row>
    <row r="8" spans="1:9" x14ac:dyDescent="0.25">
      <c r="A8" s="183">
        <v>1</v>
      </c>
      <c r="B8" s="88">
        <v>0</v>
      </c>
      <c r="C8" s="88">
        <v>0</v>
      </c>
      <c r="D8" s="88">
        <v>0</v>
      </c>
    </row>
    <row r="9" spans="1:9" x14ac:dyDescent="0.25">
      <c r="A9" s="183">
        <v>2</v>
      </c>
      <c r="B9" s="88">
        <v>8</v>
      </c>
      <c r="C9" s="88">
        <v>0</v>
      </c>
      <c r="D9" s="88">
        <v>0</v>
      </c>
    </row>
    <row r="10" spans="1:9" x14ac:dyDescent="0.25">
      <c r="A10" s="179">
        <v>3</v>
      </c>
      <c r="B10" s="88">
        <v>16</v>
      </c>
      <c r="C10" s="88">
        <v>0</v>
      </c>
      <c r="D10" s="88">
        <v>0</v>
      </c>
    </row>
    <row r="11" spans="1:9" x14ac:dyDescent="0.25">
      <c r="A11" s="183">
        <v>4</v>
      </c>
      <c r="B11" s="88">
        <v>24</v>
      </c>
      <c r="C11" s="88">
        <v>0</v>
      </c>
      <c r="D11" s="88">
        <v>0</v>
      </c>
    </row>
    <row r="12" spans="1:9" x14ac:dyDescent="0.25">
      <c r="A12" s="183">
        <v>5</v>
      </c>
      <c r="B12" s="88">
        <v>32</v>
      </c>
      <c r="C12" s="88">
        <v>0</v>
      </c>
      <c r="D12" s="88">
        <v>0</v>
      </c>
    </row>
    <row r="13" spans="1:9" x14ac:dyDescent="0.25">
      <c r="A13" s="183">
        <v>6</v>
      </c>
      <c r="B13" s="88">
        <v>0</v>
      </c>
      <c r="C13" s="88">
        <v>8</v>
      </c>
      <c r="D13" s="88">
        <v>0</v>
      </c>
    </row>
    <row r="14" spans="1:9" x14ac:dyDescent="0.25">
      <c r="A14" s="183">
        <v>7</v>
      </c>
      <c r="B14" s="88">
        <v>8</v>
      </c>
      <c r="C14" s="88">
        <v>8</v>
      </c>
      <c r="D14" s="88">
        <v>0</v>
      </c>
    </row>
    <row r="15" spans="1:9" x14ac:dyDescent="0.25">
      <c r="A15" s="183">
        <v>8</v>
      </c>
      <c r="B15" s="88">
        <v>16</v>
      </c>
      <c r="C15" s="88">
        <v>8</v>
      </c>
      <c r="D15" s="88">
        <v>0</v>
      </c>
    </row>
    <row r="16" spans="1:9" x14ac:dyDescent="0.25">
      <c r="A16" s="183">
        <v>9</v>
      </c>
      <c r="B16" s="88">
        <v>24</v>
      </c>
      <c r="C16" s="88">
        <v>8</v>
      </c>
      <c r="D16" s="88">
        <v>0</v>
      </c>
    </row>
    <row r="17" spans="1:4" x14ac:dyDescent="0.25">
      <c r="A17" s="183">
        <v>10</v>
      </c>
      <c r="B17" s="88">
        <v>32</v>
      </c>
      <c r="C17" s="88">
        <v>8</v>
      </c>
      <c r="D17" s="88">
        <v>0</v>
      </c>
    </row>
    <row r="18" spans="1:4" x14ac:dyDescent="0.25">
      <c r="A18" s="183">
        <v>11</v>
      </c>
      <c r="B18" s="88">
        <v>0</v>
      </c>
      <c r="C18" s="88">
        <v>16</v>
      </c>
      <c r="D18" s="88">
        <v>0</v>
      </c>
    </row>
    <row r="19" spans="1:4" x14ac:dyDescent="0.25">
      <c r="A19" s="183">
        <v>12</v>
      </c>
      <c r="B19" s="88">
        <v>8</v>
      </c>
      <c r="C19" s="88">
        <v>16</v>
      </c>
      <c r="D19" s="88">
        <v>0</v>
      </c>
    </row>
    <row r="20" spans="1:4" x14ac:dyDescent="0.25">
      <c r="A20" s="183">
        <v>13</v>
      </c>
      <c r="B20" s="88">
        <v>16</v>
      </c>
      <c r="C20" s="88">
        <v>16</v>
      </c>
      <c r="D20" s="88">
        <v>0</v>
      </c>
    </row>
    <row r="21" spans="1:4" x14ac:dyDescent="0.25">
      <c r="A21" s="183">
        <v>14</v>
      </c>
      <c r="B21" s="88">
        <v>24</v>
      </c>
      <c r="C21" s="88">
        <v>16</v>
      </c>
      <c r="D21" s="88">
        <v>0</v>
      </c>
    </row>
    <row r="22" spans="1:4" x14ac:dyDescent="0.25">
      <c r="A22" s="183">
        <v>15</v>
      </c>
      <c r="B22" s="88">
        <v>32</v>
      </c>
      <c r="C22" s="88">
        <v>16</v>
      </c>
      <c r="D22" s="88">
        <v>0</v>
      </c>
    </row>
    <row r="23" spans="1:4" x14ac:dyDescent="0.25">
      <c r="A23" s="183">
        <v>16</v>
      </c>
      <c r="B23" s="88">
        <v>0</v>
      </c>
      <c r="C23" s="88">
        <v>24</v>
      </c>
      <c r="D23" s="88">
        <v>0</v>
      </c>
    </row>
    <row r="24" spans="1:4" x14ac:dyDescent="0.25">
      <c r="A24" s="183">
        <v>17</v>
      </c>
      <c r="B24" s="88">
        <v>8</v>
      </c>
      <c r="C24" s="88">
        <v>24</v>
      </c>
      <c r="D24" s="88">
        <v>0</v>
      </c>
    </row>
    <row r="25" spans="1:4" x14ac:dyDescent="0.25">
      <c r="A25" s="183">
        <v>18</v>
      </c>
      <c r="B25" s="88">
        <v>16</v>
      </c>
      <c r="C25" s="88">
        <v>24</v>
      </c>
      <c r="D25" s="88">
        <v>0</v>
      </c>
    </row>
    <row r="26" spans="1:4" x14ac:dyDescent="0.25">
      <c r="A26" s="183">
        <v>19</v>
      </c>
      <c r="B26" s="88">
        <v>24</v>
      </c>
      <c r="C26" s="88">
        <v>24</v>
      </c>
      <c r="D26" s="88">
        <v>0</v>
      </c>
    </row>
    <row r="27" spans="1:4" x14ac:dyDescent="0.25">
      <c r="A27" s="183">
        <v>20</v>
      </c>
      <c r="B27" s="88">
        <v>32</v>
      </c>
      <c r="C27" s="88">
        <v>24</v>
      </c>
      <c r="D27" s="88">
        <v>0</v>
      </c>
    </row>
    <row r="28" spans="1:4" x14ac:dyDescent="0.25">
      <c r="A28" s="183">
        <v>21</v>
      </c>
      <c r="B28" s="88">
        <v>0</v>
      </c>
      <c r="C28" s="88">
        <v>32</v>
      </c>
      <c r="D28" s="88">
        <v>0</v>
      </c>
    </row>
    <row r="29" spans="1:4" x14ac:dyDescent="0.25">
      <c r="A29" s="183">
        <v>22</v>
      </c>
      <c r="B29" s="88">
        <v>8</v>
      </c>
      <c r="C29" s="88">
        <v>32</v>
      </c>
      <c r="D29" s="88">
        <v>0</v>
      </c>
    </row>
    <row r="30" spans="1:4" x14ac:dyDescent="0.25">
      <c r="A30" s="183">
        <v>23</v>
      </c>
      <c r="B30" s="88">
        <v>16</v>
      </c>
      <c r="C30" s="88">
        <v>32</v>
      </c>
      <c r="D30" s="88">
        <v>0</v>
      </c>
    </row>
    <row r="31" spans="1:4" x14ac:dyDescent="0.25">
      <c r="A31" s="183">
        <v>24</v>
      </c>
      <c r="B31" s="88">
        <v>24</v>
      </c>
      <c r="C31" s="88">
        <v>32</v>
      </c>
      <c r="D31" s="88">
        <v>0</v>
      </c>
    </row>
    <row r="32" spans="1:4" x14ac:dyDescent="0.25">
      <c r="A32" s="183">
        <v>25</v>
      </c>
      <c r="B32" s="88">
        <v>32</v>
      </c>
      <c r="C32" s="88">
        <v>32</v>
      </c>
      <c r="D32" s="88">
        <v>0</v>
      </c>
    </row>
    <row r="33" spans="1:4" x14ac:dyDescent="0.25">
      <c r="A33" s="183">
        <v>26</v>
      </c>
      <c r="B33" s="88">
        <v>0</v>
      </c>
      <c r="C33" s="88">
        <v>0</v>
      </c>
      <c r="D33" s="88">
        <v>4</v>
      </c>
    </row>
    <row r="34" spans="1:4" x14ac:dyDescent="0.25">
      <c r="A34" s="183">
        <v>27</v>
      </c>
      <c r="B34" s="88">
        <v>8</v>
      </c>
      <c r="C34" s="88">
        <v>0</v>
      </c>
      <c r="D34" s="88">
        <v>4</v>
      </c>
    </row>
    <row r="35" spans="1:4" x14ac:dyDescent="0.25">
      <c r="A35" s="183">
        <v>28</v>
      </c>
      <c r="B35" s="88">
        <v>16</v>
      </c>
      <c r="C35" s="88">
        <v>0</v>
      </c>
      <c r="D35" s="88">
        <v>4</v>
      </c>
    </row>
    <row r="36" spans="1:4" x14ac:dyDescent="0.25">
      <c r="A36" s="183">
        <v>29</v>
      </c>
      <c r="B36" s="88">
        <v>24</v>
      </c>
      <c r="C36" s="88">
        <v>0</v>
      </c>
      <c r="D36" s="88">
        <v>4</v>
      </c>
    </row>
    <row r="37" spans="1:4" x14ac:dyDescent="0.25">
      <c r="A37" s="183">
        <v>30</v>
      </c>
      <c r="B37" s="88">
        <v>32</v>
      </c>
      <c r="C37" s="88">
        <v>0</v>
      </c>
      <c r="D37" s="88">
        <v>4</v>
      </c>
    </row>
    <row r="38" spans="1:4" x14ac:dyDescent="0.25">
      <c r="A38" s="183">
        <v>31</v>
      </c>
      <c r="B38" s="88">
        <v>0</v>
      </c>
      <c r="C38" s="88">
        <v>8</v>
      </c>
      <c r="D38" s="88">
        <v>4</v>
      </c>
    </row>
    <row r="39" spans="1:4" x14ac:dyDescent="0.25">
      <c r="A39" s="183">
        <v>32</v>
      </c>
      <c r="B39" s="88">
        <v>8</v>
      </c>
      <c r="C39" s="88">
        <v>8</v>
      </c>
      <c r="D39" s="88">
        <v>4</v>
      </c>
    </row>
    <row r="40" spans="1:4" x14ac:dyDescent="0.25">
      <c r="A40" s="183">
        <v>33</v>
      </c>
      <c r="B40" s="88">
        <v>16</v>
      </c>
      <c r="C40" s="88">
        <v>8</v>
      </c>
      <c r="D40" s="88">
        <v>4</v>
      </c>
    </row>
    <row r="41" spans="1:4" x14ac:dyDescent="0.25">
      <c r="A41" s="183">
        <v>34</v>
      </c>
      <c r="B41" s="88">
        <v>24</v>
      </c>
      <c r="C41" s="88">
        <v>8</v>
      </c>
      <c r="D41" s="88">
        <v>4</v>
      </c>
    </row>
    <row r="42" spans="1:4" x14ac:dyDescent="0.25">
      <c r="A42" s="183">
        <v>35</v>
      </c>
      <c r="B42" s="88">
        <v>32</v>
      </c>
      <c r="C42" s="88">
        <v>8</v>
      </c>
      <c r="D42" s="88">
        <v>4</v>
      </c>
    </row>
    <row r="43" spans="1:4" x14ac:dyDescent="0.25">
      <c r="A43" s="183">
        <v>36</v>
      </c>
      <c r="B43" s="88">
        <v>0</v>
      </c>
      <c r="C43" s="88">
        <v>16</v>
      </c>
      <c r="D43" s="88">
        <v>4</v>
      </c>
    </row>
    <row r="44" spans="1:4" x14ac:dyDescent="0.25">
      <c r="A44" s="183">
        <v>37</v>
      </c>
      <c r="B44" s="88">
        <v>8</v>
      </c>
      <c r="C44" s="88">
        <v>16</v>
      </c>
      <c r="D44" s="88">
        <v>4</v>
      </c>
    </row>
    <row r="45" spans="1:4" x14ac:dyDescent="0.25">
      <c r="A45" s="183">
        <v>38</v>
      </c>
      <c r="B45" s="88">
        <v>16</v>
      </c>
      <c r="C45" s="88">
        <v>16</v>
      </c>
      <c r="D45" s="88">
        <v>4</v>
      </c>
    </row>
    <row r="46" spans="1:4" x14ac:dyDescent="0.25">
      <c r="A46" s="183">
        <v>39</v>
      </c>
      <c r="B46" s="88">
        <v>24</v>
      </c>
      <c r="C46" s="88">
        <v>16</v>
      </c>
      <c r="D46" s="88">
        <v>4</v>
      </c>
    </row>
    <row r="47" spans="1:4" x14ac:dyDescent="0.25">
      <c r="A47" s="183">
        <v>40</v>
      </c>
      <c r="B47" s="88">
        <v>32</v>
      </c>
      <c r="C47" s="88">
        <v>16</v>
      </c>
      <c r="D47" s="88">
        <v>4</v>
      </c>
    </row>
    <row r="48" spans="1:4" x14ac:dyDescent="0.25">
      <c r="A48" s="183">
        <v>41</v>
      </c>
      <c r="B48" s="88">
        <v>0</v>
      </c>
      <c r="C48" s="88">
        <v>24</v>
      </c>
      <c r="D48" s="88">
        <v>4</v>
      </c>
    </row>
    <row r="49" spans="1:4" x14ac:dyDescent="0.25">
      <c r="A49" s="183">
        <v>42</v>
      </c>
      <c r="B49" s="88">
        <v>8</v>
      </c>
      <c r="C49" s="88">
        <v>24</v>
      </c>
      <c r="D49" s="88">
        <v>4</v>
      </c>
    </row>
    <row r="50" spans="1:4" x14ac:dyDescent="0.25">
      <c r="A50" s="183">
        <v>43</v>
      </c>
      <c r="B50" s="88">
        <v>16</v>
      </c>
      <c r="C50" s="88">
        <v>24</v>
      </c>
      <c r="D50" s="88">
        <v>4</v>
      </c>
    </row>
    <row r="51" spans="1:4" x14ac:dyDescent="0.25">
      <c r="A51" s="183">
        <v>44</v>
      </c>
      <c r="B51" s="88">
        <v>24</v>
      </c>
      <c r="C51" s="88">
        <v>24</v>
      </c>
      <c r="D51" s="88">
        <v>4</v>
      </c>
    </row>
    <row r="52" spans="1:4" x14ac:dyDescent="0.25">
      <c r="A52" s="183">
        <v>45</v>
      </c>
      <c r="B52" s="88">
        <v>32</v>
      </c>
      <c r="C52" s="88">
        <v>24</v>
      </c>
      <c r="D52" s="88">
        <v>4</v>
      </c>
    </row>
    <row r="53" spans="1:4" x14ac:dyDescent="0.25">
      <c r="A53" s="183">
        <v>46</v>
      </c>
      <c r="B53" s="88">
        <v>0</v>
      </c>
      <c r="C53" s="88">
        <v>32</v>
      </c>
      <c r="D53" s="88">
        <v>4</v>
      </c>
    </row>
    <row r="54" spans="1:4" x14ac:dyDescent="0.25">
      <c r="A54" s="183">
        <v>47</v>
      </c>
      <c r="B54" s="88">
        <v>8</v>
      </c>
      <c r="C54" s="88">
        <v>32</v>
      </c>
      <c r="D54" s="88">
        <v>4</v>
      </c>
    </row>
    <row r="55" spans="1:4" x14ac:dyDescent="0.25">
      <c r="A55" s="183">
        <v>48</v>
      </c>
      <c r="B55" s="88">
        <v>16</v>
      </c>
      <c r="C55" s="88">
        <v>32</v>
      </c>
      <c r="D55" s="88">
        <v>4</v>
      </c>
    </row>
    <row r="56" spans="1:4" x14ac:dyDescent="0.25">
      <c r="A56" s="183">
        <v>49</v>
      </c>
      <c r="B56" s="88">
        <v>24</v>
      </c>
      <c r="C56" s="88">
        <v>32</v>
      </c>
      <c r="D56" s="88">
        <v>4</v>
      </c>
    </row>
    <row r="57" spans="1:4" x14ac:dyDescent="0.25">
      <c r="A57" s="183">
        <v>50</v>
      </c>
      <c r="B57" s="88">
        <v>32</v>
      </c>
      <c r="C57" s="88">
        <v>32</v>
      </c>
      <c r="D57" s="88">
        <v>4</v>
      </c>
    </row>
    <row r="58" spans="1:4" x14ac:dyDescent="0.25">
      <c r="A58" s="183">
        <v>51</v>
      </c>
      <c r="B58" s="88">
        <v>0</v>
      </c>
      <c r="C58" s="88">
        <v>0</v>
      </c>
      <c r="D58" s="88">
        <v>7.5</v>
      </c>
    </row>
    <row r="59" spans="1:4" x14ac:dyDescent="0.25">
      <c r="A59" s="183">
        <v>52</v>
      </c>
      <c r="B59" s="88">
        <v>8</v>
      </c>
      <c r="C59" s="88">
        <v>0</v>
      </c>
      <c r="D59" s="88">
        <v>7.5</v>
      </c>
    </row>
    <row r="60" spans="1:4" x14ac:dyDescent="0.25">
      <c r="A60" s="183">
        <v>53</v>
      </c>
      <c r="B60" s="88">
        <v>16</v>
      </c>
      <c r="C60" s="88">
        <v>0</v>
      </c>
      <c r="D60" s="88">
        <v>7.5</v>
      </c>
    </row>
    <row r="61" spans="1:4" x14ac:dyDescent="0.25">
      <c r="A61" s="183">
        <v>54</v>
      </c>
      <c r="B61" s="88">
        <v>24</v>
      </c>
      <c r="C61" s="88">
        <v>0</v>
      </c>
      <c r="D61" s="88">
        <v>7.5</v>
      </c>
    </row>
    <row r="62" spans="1:4" x14ac:dyDescent="0.25">
      <c r="A62" s="183">
        <v>55</v>
      </c>
      <c r="B62" s="88">
        <v>32</v>
      </c>
      <c r="C62" s="88">
        <v>0</v>
      </c>
      <c r="D62" s="88">
        <v>7.5</v>
      </c>
    </row>
    <row r="63" spans="1:4" x14ac:dyDescent="0.25">
      <c r="A63" s="183">
        <v>56</v>
      </c>
      <c r="B63" s="88">
        <v>0</v>
      </c>
      <c r="C63" s="88">
        <v>8</v>
      </c>
      <c r="D63" s="88">
        <v>7.5</v>
      </c>
    </row>
    <row r="64" spans="1:4" x14ac:dyDescent="0.25">
      <c r="A64" s="183">
        <v>57</v>
      </c>
      <c r="B64" s="88">
        <v>8</v>
      </c>
      <c r="C64" s="88">
        <v>8</v>
      </c>
      <c r="D64" s="88">
        <v>7.5</v>
      </c>
    </row>
    <row r="65" spans="1:4" x14ac:dyDescent="0.25">
      <c r="A65" s="183">
        <v>58</v>
      </c>
      <c r="B65" s="88">
        <v>16</v>
      </c>
      <c r="C65" s="88">
        <v>8</v>
      </c>
      <c r="D65" s="88">
        <v>7.5</v>
      </c>
    </row>
    <row r="66" spans="1:4" x14ac:dyDescent="0.25">
      <c r="A66" s="183">
        <v>59</v>
      </c>
      <c r="B66" s="88">
        <v>24</v>
      </c>
      <c r="C66" s="88">
        <v>8</v>
      </c>
      <c r="D66" s="88">
        <v>7.5</v>
      </c>
    </row>
    <row r="67" spans="1:4" x14ac:dyDescent="0.25">
      <c r="A67" s="183">
        <v>60</v>
      </c>
      <c r="B67" s="88">
        <v>32</v>
      </c>
      <c r="C67" s="88">
        <v>8</v>
      </c>
      <c r="D67" s="88">
        <v>7.5</v>
      </c>
    </row>
    <row r="68" spans="1:4" x14ac:dyDescent="0.25">
      <c r="A68" s="183">
        <v>61</v>
      </c>
      <c r="B68" s="88">
        <v>0</v>
      </c>
      <c r="C68" s="88">
        <v>16</v>
      </c>
      <c r="D68" s="88">
        <v>7.5</v>
      </c>
    </row>
    <row r="69" spans="1:4" x14ac:dyDescent="0.25">
      <c r="A69" s="183">
        <v>62</v>
      </c>
      <c r="B69" s="88">
        <v>8</v>
      </c>
      <c r="C69" s="88">
        <v>16</v>
      </c>
      <c r="D69" s="88">
        <v>7.5</v>
      </c>
    </row>
    <row r="70" spans="1:4" x14ac:dyDescent="0.25">
      <c r="A70" s="183">
        <v>63</v>
      </c>
      <c r="B70" s="88">
        <v>16</v>
      </c>
      <c r="C70" s="88">
        <v>16</v>
      </c>
      <c r="D70" s="88">
        <v>7.5</v>
      </c>
    </row>
    <row r="71" spans="1:4" x14ac:dyDescent="0.25">
      <c r="A71" s="183">
        <v>64</v>
      </c>
      <c r="B71" s="88">
        <v>24</v>
      </c>
      <c r="C71" s="88">
        <v>16</v>
      </c>
      <c r="D71" s="88">
        <v>7.5</v>
      </c>
    </row>
    <row r="72" spans="1:4" x14ac:dyDescent="0.25">
      <c r="A72" s="183">
        <v>65</v>
      </c>
      <c r="B72" s="88">
        <v>32</v>
      </c>
      <c r="C72" s="88">
        <v>16</v>
      </c>
      <c r="D72" s="88">
        <v>7.5</v>
      </c>
    </row>
    <row r="73" spans="1:4" x14ac:dyDescent="0.25">
      <c r="A73" s="183">
        <v>66</v>
      </c>
      <c r="B73" s="88">
        <v>0</v>
      </c>
      <c r="C73" s="88">
        <v>24</v>
      </c>
      <c r="D73" s="88">
        <v>7.5</v>
      </c>
    </row>
    <row r="74" spans="1:4" x14ac:dyDescent="0.25">
      <c r="A74" s="183">
        <v>67</v>
      </c>
      <c r="B74" s="88">
        <v>8</v>
      </c>
      <c r="C74" s="88">
        <v>24</v>
      </c>
      <c r="D74" s="88">
        <v>7.5</v>
      </c>
    </row>
    <row r="75" spans="1:4" x14ac:dyDescent="0.25">
      <c r="A75" s="183">
        <v>68</v>
      </c>
      <c r="B75" s="88">
        <v>16</v>
      </c>
      <c r="C75" s="88">
        <v>24</v>
      </c>
      <c r="D75" s="88">
        <v>7.5</v>
      </c>
    </row>
    <row r="76" spans="1:4" x14ac:dyDescent="0.25">
      <c r="A76" s="183">
        <v>69</v>
      </c>
      <c r="B76" s="88">
        <v>24</v>
      </c>
      <c r="C76" s="88">
        <v>24</v>
      </c>
      <c r="D76" s="88">
        <v>7.5</v>
      </c>
    </row>
    <row r="77" spans="1:4" x14ac:dyDescent="0.25">
      <c r="A77" s="183">
        <v>70</v>
      </c>
      <c r="B77" s="88">
        <v>32</v>
      </c>
      <c r="C77" s="88">
        <v>24</v>
      </c>
      <c r="D77" s="88">
        <v>7.5</v>
      </c>
    </row>
    <row r="78" spans="1:4" x14ac:dyDescent="0.25">
      <c r="A78" s="183">
        <v>71</v>
      </c>
      <c r="B78" s="88">
        <v>0</v>
      </c>
      <c r="C78" s="88">
        <v>32</v>
      </c>
      <c r="D78" s="88">
        <v>7.5</v>
      </c>
    </row>
    <row r="79" spans="1:4" x14ac:dyDescent="0.25">
      <c r="A79" s="183">
        <v>72</v>
      </c>
      <c r="B79" s="88">
        <v>8</v>
      </c>
      <c r="C79" s="88">
        <v>32</v>
      </c>
      <c r="D79" s="88">
        <v>7.5</v>
      </c>
    </row>
    <row r="80" spans="1:4" x14ac:dyDescent="0.25">
      <c r="A80" s="183">
        <v>73</v>
      </c>
      <c r="B80" s="88">
        <v>16</v>
      </c>
      <c r="C80" s="88">
        <v>32</v>
      </c>
      <c r="D80" s="88">
        <v>7.5</v>
      </c>
    </row>
    <row r="81" spans="1:4" x14ac:dyDescent="0.25">
      <c r="A81" s="183">
        <v>74</v>
      </c>
      <c r="B81" s="88">
        <v>24</v>
      </c>
      <c r="C81" s="88">
        <v>32</v>
      </c>
      <c r="D81" s="88">
        <v>7.5</v>
      </c>
    </row>
    <row r="82" spans="1:4" x14ac:dyDescent="0.25">
      <c r="A82" s="183">
        <v>75</v>
      </c>
      <c r="B82" s="88">
        <v>32</v>
      </c>
      <c r="C82" s="88">
        <v>32</v>
      </c>
      <c r="D82" s="88">
        <v>7.5</v>
      </c>
    </row>
    <row r="83" spans="1:4" x14ac:dyDescent="0.25">
      <c r="A83" s="183">
        <v>76</v>
      </c>
      <c r="B83" s="88">
        <v>0</v>
      </c>
      <c r="C83" s="88">
        <v>0</v>
      </c>
      <c r="D83" s="88">
        <v>11</v>
      </c>
    </row>
    <row r="84" spans="1:4" x14ac:dyDescent="0.25">
      <c r="A84" s="183">
        <v>77</v>
      </c>
      <c r="B84" s="88">
        <v>8</v>
      </c>
      <c r="C84" s="88">
        <v>0</v>
      </c>
      <c r="D84" s="88">
        <v>11</v>
      </c>
    </row>
    <row r="85" spans="1:4" x14ac:dyDescent="0.25">
      <c r="A85" s="183">
        <v>78</v>
      </c>
      <c r="B85" s="88">
        <v>16</v>
      </c>
      <c r="C85" s="88">
        <v>0</v>
      </c>
      <c r="D85" s="88">
        <v>11</v>
      </c>
    </row>
    <row r="86" spans="1:4" x14ac:dyDescent="0.25">
      <c r="A86" s="183">
        <v>79</v>
      </c>
      <c r="B86" s="88">
        <v>24</v>
      </c>
      <c r="C86" s="88">
        <v>0</v>
      </c>
      <c r="D86" s="88">
        <v>11</v>
      </c>
    </row>
    <row r="87" spans="1:4" x14ac:dyDescent="0.25">
      <c r="A87" s="183">
        <v>80</v>
      </c>
      <c r="B87" s="88">
        <v>32</v>
      </c>
      <c r="C87" s="88">
        <v>0</v>
      </c>
      <c r="D87" s="88">
        <v>11</v>
      </c>
    </row>
    <row r="88" spans="1:4" x14ac:dyDescent="0.25">
      <c r="A88" s="183">
        <v>81</v>
      </c>
      <c r="B88" s="88">
        <v>0</v>
      </c>
      <c r="C88" s="88">
        <v>8</v>
      </c>
      <c r="D88" s="88">
        <v>11</v>
      </c>
    </row>
    <row r="89" spans="1:4" x14ac:dyDescent="0.25">
      <c r="A89" s="183">
        <v>82</v>
      </c>
      <c r="B89" s="88">
        <v>8</v>
      </c>
      <c r="C89" s="88">
        <v>8</v>
      </c>
      <c r="D89" s="88">
        <v>11</v>
      </c>
    </row>
    <row r="90" spans="1:4" x14ac:dyDescent="0.25">
      <c r="A90" s="183">
        <v>83</v>
      </c>
      <c r="B90" s="88">
        <v>16</v>
      </c>
      <c r="C90" s="88">
        <v>8</v>
      </c>
      <c r="D90" s="88">
        <v>11</v>
      </c>
    </row>
    <row r="91" spans="1:4" x14ac:dyDescent="0.25">
      <c r="A91" s="183">
        <v>84</v>
      </c>
      <c r="B91" s="88">
        <v>24</v>
      </c>
      <c r="C91" s="88">
        <v>8</v>
      </c>
      <c r="D91" s="88">
        <v>11</v>
      </c>
    </row>
    <row r="92" spans="1:4" x14ac:dyDescent="0.25">
      <c r="A92" s="183">
        <v>85</v>
      </c>
      <c r="B92" s="88">
        <v>32</v>
      </c>
      <c r="C92" s="88">
        <v>8</v>
      </c>
      <c r="D92" s="88">
        <v>11</v>
      </c>
    </row>
    <row r="93" spans="1:4" x14ac:dyDescent="0.25">
      <c r="A93" s="183">
        <v>86</v>
      </c>
      <c r="B93" s="88">
        <v>0</v>
      </c>
      <c r="C93" s="88">
        <v>16</v>
      </c>
      <c r="D93" s="88">
        <v>11</v>
      </c>
    </row>
    <row r="94" spans="1:4" x14ac:dyDescent="0.25">
      <c r="A94" s="183">
        <v>87</v>
      </c>
      <c r="B94" s="88">
        <v>8</v>
      </c>
      <c r="C94" s="88">
        <v>16</v>
      </c>
      <c r="D94" s="88">
        <v>11</v>
      </c>
    </row>
    <row r="95" spans="1:4" x14ac:dyDescent="0.25">
      <c r="A95" s="183">
        <v>88</v>
      </c>
      <c r="B95" s="88">
        <v>16</v>
      </c>
      <c r="C95" s="88">
        <v>16</v>
      </c>
      <c r="D95" s="88">
        <v>11</v>
      </c>
    </row>
    <row r="96" spans="1:4" x14ac:dyDescent="0.25">
      <c r="A96" s="183">
        <v>89</v>
      </c>
      <c r="B96" s="88">
        <v>24</v>
      </c>
      <c r="C96" s="88">
        <v>16</v>
      </c>
      <c r="D96" s="88">
        <v>11</v>
      </c>
    </row>
    <row r="97" spans="1:4" x14ac:dyDescent="0.25">
      <c r="A97" s="183">
        <v>90</v>
      </c>
      <c r="B97" s="88">
        <v>32</v>
      </c>
      <c r="C97" s="88">
        <v>16</v>
      </c>
      <c r="D97" s="88">
        <v>11</v>
      </c>
    </row>
    <row r="98" spans="1:4" x14ac:dyDescent="0.25">
      <c r="A98" s="183">
        <v>91</v>
      </c>
      <c r="B98" s="88">
        <v>0</v>
      </c>
      <c r="C98" s="88">
        <v>24</v>
      </c>
      <c r="D98" s="88">
        <v>11</v>
      </c>
    </row>
    <row r="99" spans="1:4" x14ac:dyDescent="0.25">
      <c r="A99" s="183">
        <v>92</v>
      </c>
      <c r="B99" s="88">
        <v>8</v>
      </c>
      <c r="C99" s="88">
        <v>24</v>
      </c>
      <c r="D99" s="88">
        <v>11</v>
      </c>
    </row>
    <row r="100" spans="1:4" x14ac:dyDescent="0.25">
      <c r="A100" s="183">
        <v>93</v>
      </c>
      <c r="B100" s="88">
        <v>16</v>
      </c>
      <c r="C100" s="88">
        <v>24</v>
      </c>
      <c r="D100" s="88">
        <v>11</v>
      </c>
    </row>
    <row r="101" spans="1:4" x14ac:dyDescent="0.25">
      <c r="A101" s="183">
        <v>94</v>
      </c>
      <c r="B101" s="88">
        <v>24</v>
      </c>
      <c r="C101" s="88">
        <v>24</v>
      </c>
      <c r="D101" s="88">
        <v>11</v>
      </c>
    </row>
    <row r="102" spans="1:4" x14ac:dyDescent="0.25">
      <c r="A102" s="183">
        <v>95</v>
      </c>
      <c r="B102" s="88">
        <v>32</v>
      </c>
      <c r="C102" s="88">
        <v>24</v>
      </c>
      <c r="D102" s="88">
        <v>11</v>
      </c>
    </row>
    <row r="103" spans="1:4" x14ac:dyDescent="0.25">
      <c r="A103" s="183">
        <v>96</v>
      </c>
      <c r="B103" s="88">
        <v>0</v>
      </c>
      <c r="C103" s="88">
        <v>32</v>
      </c>
      <c r="D103" s="88">
        <v>11</v>
      </c>
    </row>
    <row r="104" spans="1:4" x14ac:dyDescent="0.25">
      <c r="A104" s="183">
        <v>97</v>
      </c>
      <c r="B104" s="88">
        <v>8</v>
      </c>
      <c r="C104" s="88">
        <v>32</v>
      </c>
      <c r="D104" s="88">
        <v>11</v>
      </c>
    </row>
    <row r="105" spans="1:4" x14ac:dyDescent="0.25">
      <c r="A105" s="183">
        <v>98</v>
      </c>
      <c r="B105" s="88">
        <v>16</v>
      </c>
      <c r="C105" s="88">
        <v>32</v>
      </c>
      <c r="D105" s="88">
        <v>11</v>
      </c>
    </row>
    <row r="106" spans="1:4" x14ac:dyDescent="0.25">
      <c r="A106" s="183">
        <v>99</v>
      </c>
      <c r="B106" s="88">
        <v>24</v>
      </c>
      <c r="C106" s="88">
        <v>32</v>
      </c>
      <c r="D106" s="88">
        <v>11</v>
      </c>
    </row>
    <row r="107" spans="1:4" x14ac:dyDescent="0.25">
      <c r="A107" s="183">
        <v>100</v>
      </c>
      <c r="B107" s="88">
        <v>32</v>
      </c>
      <c r="C107" s="88">
        <v>32</v>
      </c>
      <c r="D107" s="88">
        <v>11</v>
      </c>
    </row>
    <row r="108" spans="1:4" x14ac:dyDescent="0.25">
      <c r="A108" s="183">
        <v>101</v>
      </c>
      <c r="B108" s="88">
        <v>0</v>
      </c>
      <c r="C108" s="88">
        <v>0</v>
      </c>
      <c r="D108" s="88">
        <v>14.5</v>
      </c>
    </row>
    <row r="109" spans="1:4" x14ac:dyDescent="0.25">
      <c r="A109" s="183">
        <v>102</v>
      </c>
      <c r="B109" s="88">
        <v>8</v>
      </c>
      <c r="C109" s="88">
        <v>0</v>
      </c>
      <c r="D109" s="88">
        <v>14.5</v>
      </c>
    </row>
    <row r="110" spans="1:4" x14ac:dyDescent="0.25">
      <c r="A110" s="183">
        <v>103</v>
      </c>
      <c r="B110" s="88">
        <v>16</v>
      </c>
      <c r="C110" s="88">
        <v>0</v>
      </c>
      <c r="D110" s="88">
        <v>14.5</v>
      </c>
    </row>
    <row r="111" spans="1:4" x14ac:dyDescent="0.25">
      <c r="A111" s="183">
        <v>104</v>
      </c>
      <c r="B111" s="88">
        <v>24</v>
      </c>
      <c r="C111" s="88">
        <v>0</v>
      </c>
      <c r="D111" s="88">
        <v>14.5</v>
      </c>
    </row>
    <row r="112" spans="1:4" x14ac:dyDescent="0.25">
      <c r="A112" s="183">
        <v>105</v>
      </c>
      <c r="B112" s="88">
        <v>32</v>
      </c>
      <c r="C112" s="88">
        <v>0</v>
      </c>
      <c r="D112" s="88">
        <v>14.5</v>
      </c>
    </row>
    <row r="113" spans="1:4" x14ac:dyDescent="0.25">
      <c r="A113" s="183">
        <v>106</v>
      </c>
      <c r="B113" s="88">
        <v>0</v>
      </c>
      <c r="C113" s="88">
        <v>8</v>
      </c>
      <c r="D113" s="88">
        <v>14.5</v>
      </c>
    </row>
    <row r="114" spans="1:4" x14ac:dyDescent="0.25">
      <c r="A114" s="183">
        <v>107</v>
      </c>
      <c r="B114" s="88">
        <v>8</v>
      </c>
      <c r="C114" s="88">
        <v>8</v>
      </c>
      <c r="D114" s="88">
        <v>14.5</v>
      </c>
    </row>
    <row r="115" spans="1:4" x14ac:dyDescent="0.25">
      <c r="A115" s="183">
        <v>108</v>
      </c>
      <c r="B115" s="88">
        <v>16</v>
      </c>
      <c r="C115" s="88">
        <v>8</v>
      </c>
      <c r="D115" s="88">
        <v>14.5</v>
      </c>
    </row>
    <row r="116" spans="1:4" x14ac:dyDescent="0.25">
      <c r="A116" s="183">
        <v>109</v>
      </c>
      <c r="B116" s="88">
        <v>24</v>
      </c>
      <c r="C116" s="88">
        <v>8</v>
      </c>
      <c r="D116" s="88">
        <v>14.5</v>
      </c>
    </row>
    <row r="117" spans="1:4" x14ac:dyDescent="0.25">
      <c r="A117" s="183">
        <v>110</v>
      </c>
      <c r="B117" s="88">
        <v>32</v>
      </c>
      <c r="C117" s="88">
        <v>8</v>
      </c>
      <c r="D117" s="88">
        <v>14.5</v>
      </c>
    </row>
    <row r="118" spans="1:4" x14ac:dyDescent="0.25">
      <c r="A118" s="183">
        <v>111</v>
      </c>
      <c r="B118" s="88">
        <v>0</v>
      </c>
      <c r="C118" s="88">
        <v>16</v>
      </c>
      <c r="D118" s="88">
        <v>14.5</v>
      </c>
    </row>
    <row r="119" spans="1:4" x14ac:dyDescent="0.25">
      <c r="A119" s="183">
        <v>112</v>
      </c>
      <c r="B119" s="88">
        <v>8</v>
      </c>
      <c r="C119" s="88">
        <v>16</v>
      </c>
      <c r="D119" s="88">
        <v>14.5</v>
      </c>
    </row>
    <row r="120" spans="1:4" x14ac:dyDescent="0.25">
      <c r="A120" s="183">
        <v>113</v>
      </c>
      <c r="B120" s="88">
        <v>16</v>
      </c>
      <c r="C120" s="88">
        <v>16</v>
      </c>
      <c r="D120" s="88">
        <v>14.5</v>
      </c>
    </row>
    <row r="121" spans="1:4" x14ac:dyDescent="0.25">
      <c r="A121" s="183">
        <v>114</v>
      </c>
      <c r="B121" s="88">
        <v>24</v>
      </c>
      <c r="C121" s="88">
        <v>16</v>
      </c>
      <c r="D121" s="88">
        <v>14.5</v>
      </c>
    </row>
    <row r="122" spans="1:4" x14ac:dyDescent="0.25">
      <c r="A122" s="183">
        <v>115</v>
      </c>
      <c r="B122" s="88">
        <v>32</v>
      </c>
      <c r="C122" s="88">
        <v>16</v>
      </c>
      <c r="D122" s="88">
        <v>14.5</v>
      </c>
    </row>
    <row r="123" spans="1:4" x14ac:dyDescent="0.25">
      <c r="A123" s="183">
        <v>116</v>
      </c>
      <c r="B123" s="88">
        <v>0</v>
      </c>
      <c r="C123" s="88">
        <v>24</v>
      </c>
      <c r="D123" s="88">
        <v>14.5</v>
      </c>
    </row>
    <row r="124" spans="1:4" x14ac:dyDescent="0.25">
      <c r="A124" s="183">
        <v>117</v>
      </c>
      <c r="B124" s="88">
        <v>8</v>
      </c>
      <c r="C124" s="88">
        <v>24</v>
      </c>
      <c r="D124" s="88">
        <v>14.5</v>
      </c>
    </row>
    <row r="125" spans="1:4" x14ac:dyDescent="0.25">
      <c r="A125" s="183">
        <v>118</v>
      </c>
      <c r="B125" s="88">
        <v>16</v>
      </c>
      <c r="C125" s="88">
        <v>24</v>
      </c>
      <c r="D125" s="88">
        <v>14.5</v>
      </c>
    </row>
    <row r="126" spans="1:4" x14ac:dyDescent="0.25">
      <c r="A126" s="183">
        <v>119</v>
      </c>
      <c r="B126" s="88">
        <v>24</v>
      </c>
      <c r="C126" s="88">
        <v>24</v>
      </c>
      <c r="D126" s="88">
        <v>14.5</v>
      </c>
    </row>
    <row r="127" spans="1:4" x14ac:dyDescent="0.25">
      <c r="A127" s="183">
        <v>120</v>
      </c>
      <c r="B127" s="88">
        <v>32</v>
      </c>
      <c r="C127" s="88">
        <v>24</v>
      </c>
      <c r="D127" s="88">
        <v>14.5</v>
      </c>
    </row>
    <row r="128" spans="1:4" x14ac:dyDescent="0.25">
      <c r="A128" s="183">
        <v>121</v>
      </c>
      <c r="B128" s="88">
        <v>0</v>
      </c>
      <c r="C128" s="88">
        <v>32</v>
      </c>
      <c r="D128" s="88">
        <v>14.5</v>
      </c>
    </row>
    <row r="129" spans="1:4" x14ac:dyDescent="0.25">
      <c r="A129" s="183">
        <v>122</v>
      </c>
      <c r="B129" s="88">
        <v>8</v>
      </c>
      <c r="C129" s="88">
        <v>32</v>
      </c>
      <c r="D129" s="88">
        <v>14.5</v>
      </c>
    </row>
    <row r="130" spans="1:4" x14ac:dyDescent="0.25">
      <c r="A130" s="183">
        <v>123</v>
      </c>
      <c r="B130" s="88">
        <v>16</v>
      </c>
      <c r="C130" s="88">
        <v>32</v>
      </c>
      <c r="D130" s="88">
        <v>14.5</v>
      </c>
    </row>
    <row r="131" spans="1:4" x14ac:dyDescent="0.25">
      <c r="A131" s="183">
        <v>124</v>
      </c>
      <c r="B131" s="88">
        <v>24</v>
      </c>
      <c r="C131" s="88">
        <v>32</v>
      </c>
      <c r="D131" s="88">
        <v>14.5</v>
      </c>
    </row>
    <row r="132" spans="1:4" x14ac:dyDescent="0.25">
      <c r="A132" s="183">
        <v>125</v>
      </c>
      <c r="B132" s="88">
        <v>32</v>
      </c>
      <c r="C132" s="88">
        <v>32</v>
      </c>
      <c r="D132" s="88">
        <v>14.5</v>
      </c>
    </row>
  </sheetData>
  <phoneticPr fontId="12"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defaultColWidth="10.85546875" defaultRowHeight="15.75" x14ac:dyDescent="0.25"/>
  <cols>
    <col min="1" max="1" width="15.7109375" style="105" customWidth="1"/>
    <col min="2" max="3" width="10.7109375" style="105" customWidth="1"/>
    <col min="4" max="4" width="25.7109375" style="61" customWidth="1"/>
    <col min="5" max="6" width="20.7109375" style="102" customWidth="1"/>
    <col min="7" max="16384" width="10.85546875" style="92"/>
  </cols>
  <sheetData>
    <row r="1" spans="1:8" x14ac:dyDescent="0.25">
      <c r="A1" s="71" t="s">
        <v>199</v>
      </c>
      <c r="B1" s="89"/>
      <c r="C1" s="89"/>
      <c r="D1" s="90"/>
      <c r="E1" s="90"/>
      <c r="F1" s="90"/>
      <c r="G1" s="91"/>
    </row>
    <row r="2" spans="1:8" x14ac:dyDescent="0.25">
      <c r="A2" s="96" t="s">
        <v>325</v>
      </c>
      <c r="B2" s="93"/>
      <c r="C2" s="93"/>
      <c r="D2" s="94"/>
      <c r="E2" s="94"/>
      <c r="F2" s="94"/>
      <c r="G2" s="95"/>
    </row>
    <row r="3" spans="1:8" x14ac:dyDescent="0.25">
      <c r="A3" s="78" t="s">
        <v>216</v>
      </c>
      <c r="B3" s="93"/>
      <c r="C3" s="93"/>
      <c r="D3" s="94"/>
      <c r="E3" s="94"/>
      <c r="F3" s="94"/>
      <c r="G3" s="95"/>
    </row>
    <row r="4" spans="1:8" x14ac:dyDescent="0.25">
      <c r="A4" s="78" t="s">
        <v>217</v>
      </c>
      <c r="B4" s="93"/>
      <c r="C4" s="93"/>
      <c r="D4" s="94"/>
      <c r="E4" s="94"/>
      <c r="F4" s="94"/>
      <c r="G4" s="95"/>
    </row>
    <row r="5" spans="1:8" x14ac:dyDescent="0.25">
      <c r="A5" s="96" t="s">
        <v>228</v>
      </c>
      <c r="B5" s="93"/>
      <c r="C5" s="93"/>
      <c r="D5" s="94"/>
      <c r="E5" s="94"/>
      <c r="F5" s="94"/>
      <c r="G5" s="95"/>
    </row>
    <row r="6" spans="1:8" x14ac:dyDescent="0.25">
      <c r="A6" s="96" t="str">
        <f>"- I-End Offset Length: Offset length at the start (I) of the line object (Input as Float) ("&amp;'User Specified Unitsystem'!$B$11&amp;")"</f>
        <v>- I-End Offset Length: Offset length at the start (I) of the line object (Input as Float) (m)</v>
      </c>
      <c r="B6" s="93"/>
      <c r="C6" s="93"/>
      <c r="D6" s="94"/>
      <c r="E6" s="94"/>
      <c r="F6" s="94"/>
      <c r="G6" s="95"/>
    </row>
    <row r="7" spans="1:8" x14ac:dyDescent="0.25">
      <c r="A7" s="96" t="str">
        <f>"-J-End Offset Length: Offset length at the end (J) of the line object (Input as Float) ("&amp;'User Specified Unitsystem'!$B$11&amp;")"</f>
        <v>-J-End Offset Length: Offset length at the end (J) of the line object (Input as Float) (m)</v>
      </c>
      <c r="B7" s="93"/>
      <c r="C7" s="93"/>
      <c r="D7" s="94"/>
      <c r="E7" s="94"/>
      <c r="F7" s="94"/>
      <c r="G7" s="95"/>
    </row>
    <row r="8" spans="1:8" x14ac:dyDescent="0.25">
      <c r="A8" s="97" t="s">
        <v>223</v>
      </c>
      <c r="B8" s="93"/>
      <c r="C8" s="93"/>
      <c r="D8" s="94"/>
      <c r="E8" s="94"/>
      <c r="F8" s="94"/>
      <c r="G8" s="95"/>
    </row>
    <row r="9" spans="1:8" x14ac:dyDescent="0.25">
      <c r="A9" s="98" t="s">
        <v>239</v>
      </c>
      <c r="B9" s="99"/>
      <c r="C9" s="100"/>
      <c r="D9" s="100"/>
      <c r="E9" s="100"/>
      <c r="F9" s="100"/>
      <c r="G9" s="101"/>
      <c r="H9" s="102"/>
    </row>
    <row r="10" spans="1:8" x14ac:dyDescent="0.25">
      <c r="A10" s="103"/>
      <c r="B10" s="61"/>
      <c r="C10" s="61"/>
      <c r="D10" s="92"/>
      <c r="E10" s="92"/>
      <c r="F10" s="92"/>
    </row>
    <row r="11" spans="1:8" s="13" customFormat="1" x14ac:dyDescent="0.25">
      <c r="A11" s="85" t="s">
        <v>323</v>
      </c>
      <c r="B11" s="17" t="s">
        <v>204</v>
      </c>
      <c r="C11" s="17" t="s">
        <v>205</v>
      </c>
      <c r="D11" s="85" t="s">
        <v>226</v>
      </c>
      <c r="E11" s="104" t="s">
        <v>224</v>
      </c>
      <c r="F11" s="104" t="s">
        <v>225</v>
      </c>
      <c r="G11" s="85" t="s">
        <v>328</v>
      </c>
    </row>
    <row r="12" spans="1:8" x14ac:dyDescent="0.25">
      <c r="A12" s="105">
        <v>1</v>
      </c>
      <c r="B12" s="105">
        <v>1</v>
      </c>
      <c r="C12" s="105">
        <v>26</v>
      </c>
      <c r="D12" s="61" t="s">
        <v>227</v>
      </c>
      <c r="E12" s="102">
        <v>0</v>
      </c>
      <c r="F12" s="102">
        <v>0</v>
      </c>
    </row>
    <row r="13" spans="1:8" x14ac:dyDescent="0.25">
      <c r="A13" s="105">
        <v>2</v>
      </c>
      <c r="B13" s="105">
        <v>2</v>
      </c>
      <c r="C13" s="105">
        <v>27</v>
      </c>
      <c r="D13" s="61" t="s">
        <v>227</v>
      </c>
      <c r="E13" s="102">
        <v>0</v>
      </c>
      <c r="F13" s="102">
        <v>0</v>
      </c>
    </row>
    <row r="14" spans="1:8" x14ac:dyDescent="0.25">
      <c r="A14" s="105">
        <v>3</v>
      </c>
      <c r="B14" s="105">
        <v>3</v>
      </c>
      <c r="C14" s="105">
        <v>28</v>
      </c>
      <c r="D14" s="61" t="s">
        <v>227</v>
      </c>
      <c r="E14" s="102">
        <v>0</v>
      </c>
      <c r="F14" s="102">
        <v>0</v>
      </c>
    </row>
    <row r="15" spans="1:8" x14ac:dyDescent="0.25">
      <c r="A15" s="105">
        <v>4</v>
      </c>
      <c r="B15" s="105">
        <v>4</v>
      </c>
      <c r="C15" s="105">
        <v>29</v>
      </c>
      <c r="D15" s="61" t="s">
        <v>227</v>
      </c>
      <c r="E15" s="102">
        <v>0</v>
      </c>
      <c r="F15" s="102">
        <v>0</v>
      </c>
    </row>
    <row r="16" spans="1:8" x14ac:dyDescent="0.25">
      <c r="A16" s="105">
        <v>5</v>
      </c>
      <c r="B16" s="105">
        <v>5</v>
      </c>
      <c r="C16" s="105">
        <v>30</v>
      </c>
      <c r="D16" s="61" t="s">
        <v>227</v>
      </c>
      <c r="E16" s="102">
        <v>0</v>
      </c>
      <c r="F16" s="102">
        <v>0</v>
      </c>
    </row>
    <row r="17" spans="1:6" x14ac:dyDescent="0.25">
      <c r="A17" s="105">
        <v>6</v>
      </c>
      <c r="B17" s="105">
        <v>6</v>
      </c>
      <c r="C17" s="105">
        <v>31</v>
      </c>
      <c r="D17" s="61" t="s">
        <v>227</v>
      </c>
      <c r="E17" s="102">
        <v>0</v>
      </c>
      <c r="F17" s="102">
        <v>0</v>
      </c>
    </row>
    <row r="18" spans="1:6" x14ac:dyDescent="0.25">
      <c r="A18" s="105">
        <v>7</v>
      </c>
      <c r="B18" s="105">
        <v>7</v>
      </c>
      <c r="C18" s="105">
        <v>32</v>
      </c>
      <c r="D18" s="61" t="s">
        <v>227</v>
      </c>
      <c r="E18" s="102">
        <v>0</v>
      </c>
      <c r="F18" s="102">
        <v>0</v>
      </c>
    </row>
    <row r="19" spans="1:6" x14ac:dyDescent="0.25">
      <c r="A19" s="105">
        <v>8</v>
      </c>
      <c r="B19" s="105">
        <v>8</v>
      </c>
      <c r="C19" s="105">
        <v>33</v>
      </c>
      <c r="D19" s="61" t="s">
        <v>227</v>
      </c>
      <c r="E19" s="102">
        <v>0</v>
      </c>
      <c r="F19" s="102">
        <v>0</v>
      </c>
    </row>
    <row r="20" spans="1:6" x14ac:dyDescent="0.25">
      <c r="A20" s="105">
        <v>9</v>
      </c>
      <c r="B20" s="105">
        <v>9</v>
      </c>
      <c r="C20" s="105">
        <v>34</v>
      </c>
      <c r="D20" s="61" t="s">
        <v>227</v>
      </c>
      <c r="E20" s="102">
        <v>0</v>
      </c>
      <c r="F20" s="102">
        <v>0</v>
      </c>
    </row>
    <row r="21" spans="1:6" x14ac:dyDescent="0.25">
      <c r="A21" s="105">
        <v>10</v>
      </c>
      <c r="B21" s="105">
        <v>10</v>
      </c>
      <c r="C21" s="105">
        <v>35</v>
      </c>
      <c r="D21" s="61" t="s">
        <v>227</v>
      </c>
      <c r="E21" s="102">
        <v>0</v>
      </c>
      <c r="F21" s="102">
        <v>0</v>
      </c>
    </row>
    <row r="22" spans="1:6" x14ac:dyDescent="0.25">
      <c r="A22" s="105">
        <v>11</v>
      </c>
      <c r="B22" s="105">
        <v>11</v>
      </c>
      <c r="C22" s="105">
        <v>36</v>
      </c>
      <c r="D22" s="61" t="s">
        <v>227</v>
      </c>
      <c r="E22" s="102">
        <v>0</v>
      </c>
      <c r="F22" s="102">
        <v>0</v>
      </c>
    </row>
    <row r="23" spans="1:6" x14ac:dyDescent="0.25">
      <c r="A23" s="105">
        <v>12</v>
      </c>
      <c r="B23" s="105">
        <v>12</v>
      </c>
      <c r="C23" s="105">
        <v>37</v>
      </c>
      <c r="D23" s="61" t="s">
        <v>227</v>
      </c>
      <c r="E23" s="102">
        <v>0</v>
      </c>
      <c r="F23" s="102">
        <v>0</v>
      </c>
    </row>
    <row r="24" spans="1:6" x14ac:dyDescent="0.25">
      <c r="A24" s="105">
        <v>13</v>
      </c>
      <c r="B24" s="105">
        <v>13</v>
      </c>
      <c r="C24" s="105">
        <v>38</v>
      </c>
      <c r="D24" s="61" t="s">
        <v>227</v>
      </c>
      <c r="E24" s="102">
        <v>0</v>
      </c>
      <c r="F24" s="102">
        <v>0</v>
      </c>
    </row>
    <row r="25" spans="1:6" x14ac:dyDescent="0.25">
      <c r="A25" s="105">
        <v>14</v>
      </c>
      <c r="B25" s="105">
        <v>14</v>
      </c>
      <c r="C25" s="105">
        <v>39</v>
      </c>
      <c r="D25" s="61" t="s">
        <v>227</v>
      </c>
      <c r="E25" s="102">
        <v>0</v>
      </c>
      <c r="F25" s="102">
        <v>0</v>
      </c>
    </row>
    <row r="26" spans="1:6" x14ac:dyDescent="0.25">
      <c r="A26" s="105">
        <v>15</v>
      </c>
      <c r="B26" s="105">
        <v>15</v>
      </c>
      <c r="C26" s="105">
        <v>40</v>
      </c>
      <c r="D26" s="61" t="s">
        <v>227</v>
      </c>
      <c r="E26" s="102">
        <v>0</v>
      </c>
      <c r="F26" s="102">
        <v>0</v>
      </c>
    </row>
    <row r="27" spans="1:6" x14ac:dyDescent="0.25">
      <c r="A27" s="105">
        <v>16</v>
      </c>
      <c r="B27" s="105">
        <v>16</v>
      </c>
      <c r="C27" s="105">
        <v>41</v>
      </c>
      <c r="D27" s="61" t="s">
        <v>227</v>
      </c>
      <c r="E27" s="102">
        <v>0</v>
      </c>
      <c r="F27" s="102">
        <v>0</v>
      </c>
    </row>
    <row r="28" spans="1:6" x14ac:dyDescent="0.25">
      <c r="A28" s="105">
        <v>17</v>
      </c>
      <c r="B28" s="105">
        <v>17</v>
      </c>
      <c r="C28" s="105">
        <v>42</v>
      </c>
      <c r="D28" s="61" t="s">
        <v>227</v>
      </c>
      <c r="E28" s="102">
        <v>0</v>
      </c>
      <c r="F28" s="102">
        <v>0</v>
      </c>
    </row>
    <row r="29" spans="1:6" x14ac:dyDescent="0.25">
      <c r="A29" s="105">
        <v>18</v>
      </c>
      <c r="B29" s="105">
        <v>18</v>
      </c>
      <c r="C29" s="105">
        <v>43</v>
      </c>
      <c r="D29" s="61" t="s">
        <v>227</v>
      </c>
      <c r="E29" s="102">
        <v>0</v>
      </c>
      <c r="F29" s="102">
        <v>0</v>
      </c>
    </row>
    <row r="30" spans="1:6" x14ac:dyDescent="0.25">
      <c r="A30" s="105">
        <v>19</v>
      </c>
      <c r="B30" s="105">
        <v>19</v>
      </c>
      <c r="C30" s="105">
        <v>44</v>
      </c>
      <c r="D30" s="61" t="s">
        <v>227</v>
      </c>
      <c r="E30" s="102">
        <v>0</v>
      </c>
      <c r="F30" s="102">
        <v>0</v>
      </c>
    </row>
    <row r="31" spans="1:6" x14ac:dyDescent="0.25">
      <c r="A31" s="105">
        <v>20</v>
      </c>
      <c r="B31" s="105">
        <v>20</v>
      </c>
      <c r="C31" s="105">
        <v>45</v>
      </c>
      <c r="D31" s="61" t="s">
        <v>227</v>
      </c>
      <c r="E31" s="102">
        <v>0</v>
      </c>
      <c r="F31" s="102">
        <v>0</v>
      </c>
    </row>
    <row r="32" spans="1:6" x14ac:dyDescent="0.25">
      <c r="A32" s="105">
        <v>21</v>
      </c>
      <c r="B32" s="105">
        <v>21</v>
      </c>
      <c r="C32" s="105">
        <v>46</v>
      </c>
      <c r="D32" s="61" t="s">
        <v>227</v>
      </c>
      <c r="E32" s="102">
        <v>0</v>
      </c>
      <c r="F32" s="102">
        <v>0</v>
      </c>
    </row>
    <row r="33" spans="1:6" x14ac:dyDescent="0.25">
      <c r="A33" s="105">
        <v>22</v>
      </c>
      <c r="B33" s="105">
        <v>22</v>
      </c>
      <c r="C33" s="105">
        <v>47</v>
      </c>
      <c r="D33" s="61" t="s">
        <v>227</v>
      </c>
      <c r="E33" s="102">
        <v>0</v>
      </c>
      <c r="F33" s="102">
        <v>0</v>
      </c>
    </row>
    <row r="34" spans="1:6" x14ac:dyDescent="0.25">
      <c r="A34" s="105">
        <v>23</v>
      </c>
      <c r="B34" s="105">
        <v>23</v>
      </c>
      <c r="C34" s="105">
        <v>48</v>
      </c>
      <c r="D34" s="61" t="s">
        <v>227</v>
      </c>
      <c r="E34" s="102">
        <v>0</v>
      </c>
      <c r="F34" s="102">
        <v>0</v>
      </c>
    </row>
    <row r="35" spans="1:6" x14ac:dyDescent="0.25">
      <c r="A35" s="105">
        <v>24</v>
      </c>
      <c r="B35" s="105">
        <v>24</v>
      </c>
      <c r="C35" s="105">
        <v>49</v>
      </c>
      <c r="D35" s="61" t="s">
        <v>227</v>
      </c>
      <c r="E35" s="102">
        <v>0</v>
      </c>
      <c r="F35" s="102">
        <v>0</v>
      </c>
    </row>
    <row r="36" spans="1:6" x14ac:dyDescent="0.25">
      <c r="A36" s="105">
        <v>25</v>
      </c>
      <c r="B36" s="105">
        <v>25</v>
      </c>
      <c r="C36" s="105">
        <v>50</v>
      </c>
      <c r="D36" s="61" t="s">
        <v>227</v>
      </c>
      <c r="E36" s="102">
        <v>0</v>
      </c>
      <c r="F36" s="102">
        <v>0</v>
      </c>
    </row>
    <row r="37" spans="1:6" x14ac:dyDescent="0.25">
      <c r="A37" s="105">
        <v>26</v>
      </c>
      <c r="B37" s="105">
        <v>26</v>
      </c>
      <c r="C37" s="105">
        <v>51</v>
      </c>
      <c r="D37" s="61" t="s">
        <v>227</v>
      </c>
      <c r="E37" s="102">
        <v>0</v>
      </c>
      <c r="F37" s="102">
        <v>0</v>
      </c>
    </row>
    <row r="38" spans="1:6" x14ac:dyDescent="0.25">
      <c r="A38" s="105">
        <v>27</v>
      </c>
      <c r="B38" s="105">
        <v>27</v>
      </c>
      <c r="C38" s="105">
        <v>52</v>
      </c>
      <c r="D38" s="61" t="s">
        <v>227</v>
      </c>
      <c r="E38" s="102">
        <v>0</v>
      </c>
      <c r="F38" s="102">
        <v>0</v>
      </c>
    </row>
    <row r="39" spans="1:6" x14ac:dyDescent="0.25">
      <c r="A39" s="105">
        <v>28</v>
      </c>
      <c r="B39" s="105">
        <v>28</v>
      </c>
      <c r="C39" s="105">
        <v>53</v>
      </c>
      <c r="D39" s="61" t="s">
        <v>227</v>
      </c>
      <c r="E39" s="102">
        <v>0</v>
      </c>
      <c r="F39" s="102">
        <v>0</v>
      </c>
    </row>
    <row r="40" spans="1:6" x14ac:dyDescent="0.25">
      <c r="A40" s="105">
        <v>29</v>
      </c>
      <c r="B40" s="105">
        <v>29</v>
      </c>
      <c r="C40" s="105">
        <v>54</v>
      </c>
      <c r="D40" s="61" t="s">
        <v>227</v>
      </c>
      <c r="E40" s="102">
        <v>0</v>
      </c>
      <c r="F40" s="102">
        <v>0</v>
      </c>
    </row>
    <row r="41" spans="1:6" x14ac:dyDescent="0.25">
      <c r="A41" s="105">
        <v>30</v>
      </c>
      <c r="B41" s="105">
        <v>30</v>
      </c>
      <c r="C41" s="105">
        <v>55</v>
      </c>
      <c r="D41" s="61" t="s">
        <v>227</v>
      </c>
      <c r="E41" s="102">
        <v>0</v>
      </c>
      <c r="F41" s="102">
        <v>0</v>
      </c>
    </row>
    <row r="42" spans="1:6" x14ac:dyDescent="0.25">
      <c r="A42" s="105">
        <v>31</v>
      </c>
      <c r="B42" s="105">
        <v>31</v>
      </c>
      <c r="C42" s="105">
        <v>56</v>
      </c>
      <c r="D42" s="61" t="s">
        <v>227</v>
      </c>
      <c r="E42" s="102">
        <v>0</v>
      </c>
      <c r="F42" s="102">
        <v>0</v>
      </c>
    </row>
    <row r="43" spans="1:6" x14ac:dyDescent="0.25">
      <c r="A43" s="105">
        <v>32</v>
      </c>
      <c r="B43" s="105">
        <v>32</v>
      </c>
      <c r="C43" s="105">
        <v>57</v>
      </c>
      <c r="D43" s="61" t="s">
        <v>227</v>
      </c>
      <c r="E43" s="102">
        <v>0</v>
      </c>
      <c r="F43" s="102">
        <v>0</v>
      </c>
    </row>
    <row r="44" spans="1:6" x14ac:dyDescent="0.25">
      <c r="A44" s="105">
        <v>33</v>
      </c>
      <c r="B44" s="105">
        <v>33</v>
      </c>
      <c r="C44" s="105">
        <v>58</v>
      </c>
      <c r="D44" s="61" t="s">
        <v>227</v>
      </c>
      <c r="E44" s="102">
        <v>0</v>
      </c>
      <c r="F44" s="102">
        <v>0</v>
      </c>
    </row>
    <row r="45" spans="1:6" x14ac:dyDescent="0.25">
      <c r="A45" s="105">
        <v>34</v>
      </c>
      <c r="B45" s="105">
        <v>34</v>
      </c>
      <c r="C45" s="105">
        <v>59</v>
      </c>
      <c r="D45" s="61" t="s">
        <v>227</v>
      </c>
      <c r="E45" s="102">
        <v>0</v>
      </c>
      <c r="F45" s="102">
        <v>0</v>
      </c>
    </row>
    <row r="46" spans="1:6" x14ac:dyDescent="0.25">
      <c r="A46" s="105">
        <v>35</v>
      </c>
      <c r="B46" s="105">
        <v>35</v>
      </c>
      <c r="C46" s="105">
        <v>60</v>
      </c>
      <c r="D46" s="61" t="s">
        <v>227</v>
      </c>
      <c r="E46" s="102">
        <v>0</v>
      </c>
      <c r="F46" s="102">
        <v>0</v>
      </c>
    </row>
    <row r="47" spans="1:6" x14ac:dyDescent="0.25">
      <c r="A47" s="105">
        <v>36</v>
      </c>
      <c r="B47" s="105">
        <v>36</v>
      </c>
      <c r="C47" s="105">
        <v>61</v>
      </c>
      <c r="D47" s="61" t="s">
        <v>227</v>
      </c>
      <c r="E47" s="102">
        <v>0</v>
      </c>
      <c r="F47" s="102">
        <v>0</v>
      </c>
    </row>
    <row r="48" spans="1:6" x14ac:dyDescent="0.25">
      <c r="A48" s="105">
        <v>37</v>
      </c>
      <c r="B48" s="105">
        <v>37</v>
      </c>
      <c r="C48" s="105">
        <v>62</v>
      </c>
      <c r="D48" s="61" t="s">
        <v>227</v>
      </c>
      <c r="E48" s="102">
        <v>0</v>
      </c>
      <c r="F48" s="102">
        <v>0</v>
      </c>
    </row>
    <row r="49" spans="1:6" x14ac:dyDescent="0.25">
      <c r="A49" s="105">
        <v>38</v>
      </c>
      <c r="B49" s="105">
        <v>38</v>
      </c>
      <c r="C49" s="105">
        <v>63</v>
      </c>
      <c r="D49" s="61" t="s">
        <v>227</v>
      </c>
      <c r="E49" s="102">
        <v>0</v>
      </c>
      <c r="F49" s="102">
        <v>0</v>
      </c>
    </row>
    <row r="50" spans="1:6" x14ac:dyDescent="0.25">
      <c r="A50" s="105">
        <v>39</v>
      </c>
      <c r="B50" s="105">
        <v>39</v>
      </c>
      <c r="C50" s="105">
        <v>64</v>
      </c>
      <c r="D50" s="61" t="s">
        <v>227</v>
      </c>
      <c r="E50" s="102">
        <v>0</v>
      </c>
      <c r="F50" s="102">
        <v>0</v>
      </c>
    </row>
    <row r="51" spans="1:6" x14ac:dyDescent="0.25">
      <c r="A51" s="105">
        <v>40</v>
      </c>
      <c r="B51" s="105">
        <v>40</v>
      </c>
      <c r="C51" s="105">
        <v>65</v>
      </c>
      <c r="D51" s="61" t="s">
        <v>227</v>
      </c>
      <c r="E51" s="102">
        <v>0</v>
      </c>
      <c r="F51" s="102">
        <v>0</v>
      </c>
    </row>
    <row r="52" spans="1:6" x14ac:dyDescent="0.25">
      <c r="A52" s="105">
        <v>41</v>
      </c>
      <c r="B52" s="105">
        <v>41</v>
      </c>
      <c r="C52" s="105">
        <v>66</v>
      </c>
      <c r="D52" s="61" t="s">
        <v>227</v>
      </c>
      <c r="E52" s="102">
        <v>0</v>
      </c>
      <c r="F52" s="102">
        <v>0</v>
      </c>
    </row>
    <row r="53" spans="1:6" x14ac:dyDescent="0.25">
      <c r="A53" s="105">
        <v>42</v>
      </c>
      <c r="B53" s="105">
        <v>42</v>
      </c>
      <c r="C53" s="105">
        <v>67</v>
      </c>
      <c r="D53" s="61" t="s">
        <v>227</v>
      </c>
      <c r="E53" s="102">
        <v>0</v>
      </c>
      <c r="F53" s="102">
        <v>0</v>
      </c>
    </row>
    <row r="54" spans="1:6" x14ac:dyDescent="0.25">
      <c r="A54" s="105">
        <v>43</v>
      </c>
      <c r="B54" s="105">
        <v>43</v>
      </c>
      <c r="C54" s="105">
        <v>68</v>
      </c>
      <c r="D54" s="61" t="s">
        <v>227</v>
      </c>
      <c r="E54" s="102">
        <v>0</v>
      </c>
      <c r="F54" s="102">
        <v>0</v>
      </c>
    </row>
    <row r="55" spans="1:6" x14ac:dyDescent="0.25">
      <c r="A55" s="105">
        <v>44</v>
      </c>
      <c r="B55" s="105">
        <v>44</v>
      </c>
      <c r="C55" s="105">
        <v>69</v>
      </c>
      <c r="D55" s="61" t="s">
        <v>227</v>
      </c>
      <c r="E55" s="102">
        <v>0</v>
      </c>
      <c r="F55" s="102">
        <v>0</v>
      </c>
    </row>
    <row r="56" spans="1:6" x14ac:dyDescent="0.25">
      <c r="A56" s="105">
        <v>45</v>
      </c>
      <c r="B56" s="105">
        <v>45</v>
      </c>
      <c r="C56" s="105">
        <v>70</v>
      </c>
      <c r="D56" s="61" t="s">
        <v>227</v>
      </c>
      <c r="E56" s="102">
        <v>0</v>
      </c>
      <c r="F56" s="102">
        <v>0</v>
      </c>
    </row>
    <row r="57" spans="1:6" x14ac:dyDescent="0.25">
      <c r="A57" s="105">
        <v>46</v>
      </c>
      <c r="B57" s="105">
        <v>46</v>
      </c>
      <c r="C57" s="105">
        <v>71</v>
      </c>
      <c r="D57" s="61" t="s">
        <v>227</v>
      </c>
      <c r="E57" s="102">
        <v>0</v>
      </c>
      <c r="F57" s="102">
        <v>0</v>
      </c>
    </row>
    <row r="58" spans="1:6" x14ac:dyDescent="0.25">
      <c r="A58" s="105">
        <v>47</v>
      </c>
      <c r="B58" s="105">
        <v>47</v>
      </c>
      <c r="C58" s="105">
        <v>72</v>
      </c>
      <c r="D58" s="61" t="s">
        <v>227</v>
      </c>
      <c r="E58" s="102">
        <v>0</v>
      </c>
      <c r="F58" s="102">
        <v>0</v>
      </c>
    </row>
    <row r="59" spans="1:6" x14ac:dyDescent="0.25">
      <c r="A59" s="105">
        <v>48</v>
      </c>
      <c r="B59" s="105">
        <v>48</v>
      </c>
      <c r="C59" s="105">
        <v>73</v>
      </c>
      <c r="D59" s="61" t="s">
        <v>227</v>
      </c>
      <c r="E59" s="102">
        <v>0</v>
      </c>
      <c r="F59" s="102">
        <v>0</v>
      </c>
    </row>
    <row r="60" spans="1:6" x14ac:dyDescent="0.25">
      <c r="A60" s="105">
        <v>49</v>
      </c>
      <c r="B60" s="105">
        <v>49</v>
      </c>
      <c r="C60" s="105">
        <v>74</v>
      </c>
      <c r="D60" s="61" t="s">
        <v>227</v>
      </c>
      <c r="E60" s="102">
        <v>0</v>
      </c>
      <c r="F60" s="102">
        <v>0</v>
      </c>
    </row>
    <row r="61" spans="1:6" x14ac:dyDescent="0.25">
      <c r="A61" s="105">
        <v>50</v>
      </c>
      <c r="B61" s="105">
        <v>50</v>
      </c>
      <c r="C61" s="105">
        <v>75</v>
      </c>
      <c r="D61" s="61" t="s">
        <v>227</v>
      </c>
      <c r="E61" s="102">
        <v>0</v>
      </c>
      <c r="F61" s="102">
        <v>0</v>
      </c>
    </row>
    <row r="62" spans="1:6" x14ac:dyDescent="0.25">
      <c r="A62" s="105">
        <v>51</v>
      </c>
      <c r="B62" s="105">
        <v>51</v>
      </c>
      <c r="C62" s="105">
        <v>76</v>
      </c>
      <c r="D62" s="61" t="s">
        <v>227</v>
      </c>
      <c r="E62" s="102">
        <v>0</v>
      </c>
      <c r="F62" s="102">
        <v>0</v>
      </c>
    </row>
    <row r="63" spans="1:6" x14ac:dyDescent="0.25">
      <c r="A63" s="105">
        <v>52</v>
      </c>
      <c r="B63" s="105">
        <v>52</v>
      </c>
      <c r="C63" s="105">
        <v>77</v>
      </c>
      <c r="D63" s="61" t="s">
        <v>227</v>
      </c>
      <c r="E63" s="102">
        <v>0</v>
      </c>
      <c r="F63" s="102">
        <v>0</v>
      </c>
    </row>
    <row r="64" spans="1:6" x14ac:dyDescent="0.25">
      <c r="A64" s="105">
        <v>53</v>
      </c>
      <c r="B64" s="105">
        <v>53</v>
      </c>
      <c r="C64" s="105">
        <v>78</v>
      </c>
      <c r="D64" s="61" t="s">
        <v>227</v>
      </c>
      <c r="E64" s="102">
        <v>0</v>
      </c>
      <c r="F64" s="102">
        <v>0</v>
      </c>
    </row>
    <row r="65" spans="1:6" x14ac:dyDescent="0.25">
      <c r="A65" s="105">
        <v>54</v>
      </c>
      <c r="B65" s="105">
        <v>54</v>
      </c>
      <c r="C65" s="105">
        <v>79</v>
      </c>
      <c r="D65" s="61" t="s">
        <v>227</v>
      </c>
      <c r="E65" s="102">
        <v>0</v>
      </c>
      <c r="F65" s="102">
        <v>0</v>
      </c>
    </row>
    <row r="66" spans="1:6" x14ac:dyDescent="0.25">
      <c r="A66" s="105">
        <v>55</v>
      </c>
      <c r="B66" s="105">
        <v>55</v>
      </c>
      <c r="C66" s="105">
        <v>80</v>
      </c>
      <c r="D66" s="61" t="s">
        <v>227</v>
      </c>
      <c r="E66" s="102">
        <v>0</v>
      </c>
      <c r="F66" s="102">
        <v>0</v>
      </c>
    </row>
    <row r="67" spans="1:6" x14ac:dyDescent="0.25">
      <c r="A67" s="105">
        <v>56</v>
      </c>
      <c r="B67" s="105">
        <v>56</v>
      </c>
      <c r="C67" s="105">
        <v>81</v>
      </c>
      <c r="D67" s="61" t="s">
        <v>227</v>
      </c>
      <c r="E67" s="102">
        <v>0</v>
      </c>
      <c r="F67" s="102">
        <v>0</v>
      </c>
    </row>
    <row r="68" spans="1:6" x14ac:dyDescent="0.25">
      <c r="A68" s="105">
        <v>57</v>
      </c>
      <c r="B68" s="105">
        <v>57</v>
      </c>
      <c r="C68" s="105">
        <v>82</v>
      </c>
      <c r="D68" s="61" t="s">
        <v>227</v>
      </c>
      <c r="E68" s="102">
        <v>0</v>
      </c>
      <c r="F68" s="102">
        <v>0</v>
      </c>
    </row>
    <row r="69" spans="1:6" x14ac:dyDescent="0.25">
      <c r="A69" s="105">
        <v>58</v>
      </c>
      <c r="B69" s="105">
        <v>58</v>
      </c>
      <c r="C69" s="105">
        <v>83</v>
      </c>
      <c r="D69" s="61" t="s">
        <v>227</v>
      </c>
      <c r="E69" s="102">
        <v>0</v>
      </c>
      <c r="F69" s="102">
        <v>0</v>
      </c>
    </row>
    <row r="70" spans="1:6" x14ac:dyDescent="0.25">
      <c r="A70" s="105">
        <v>59</v>
      </c>
      <c r="B70" s="105">
        <v>59</v>
      </c>
      <c r="C70" s="105">
        <v>84</v>
      </c>
      <c r="D70" s="61" t="s">
        <v>227</v>
      </c>
      <c r="E70" s="102">
        <v>0</v>
      </c>
      <c r="F70" s="102">
        <v>0</v>
      </c>
    </row>
    <row r="71" spans="1:6" x14ac:dyDescent="0.25">
      <c r="A71" s="105">
        <v>60</v>
      </c>
      <c r="B71" s="105">
        <v>60</v>
      </c>
      <c r="C71" s="105">
        <v>85</v>
      </c>
      <c r="D71" s="61" t="s">
        <v>227</v>
      </c>
      <c r="E71" s="102">
        <v>0</v>
      </c>
      <c r="F71" s="102">
        <v>0</v>
      </c>
    </row>
    <row r="72" spans="1:6" x14ac:dyDescent="0.25">
      <c r="A72" s="105">
        <v>61</v>
      </c>
      <c r="B72" s="105">
        <v>61</v>
      </c>
      <c r="C72" s="105">
        <v>86</v>
      </c>
      <c r="D72" s="61" t="s">
        <v>227</v>
      </c>
      <c r="E72" s="102">
        <v>0</v>
      </c>
      <c r="F72" s="102">
        <v>0</v>
      </c>
    </row>
    <row r="73" spans="1:6" x14ac:dyDescent="0.25">
      <c r="A73" s="105">
        <v>62</v>
      </c>
      <c r="B73" s="105">
        <v>62</v>
      </c>
      <c r="C73" s="105">
        <v>87</v>
      </c>
      <c r="D73" s="61" t="s">
        <v>227</v>
      </c>
      <c r="E73" s="102">
        <v>0</v>
      </c>
      <c r="F73" s="102">
        <v>0</v>
      </c>
    </row>
    <row r="74" spans="1:6" x14ac:dyDescent="0.25">
      <c r="A74" s="105">
        <v>63</v>
      </c>
      <c r="B74" s="105">
        <v>63</v>
      </c>
      <c r="C74" s="105">
        <v>88</v>
      </c>
      <c r="D74" s="61" t="s">
        <v>227</v>
      </c>
      <c r="E74" s="102">
        <v>0</v>
      </c>
      <c r="F74" s="102">
        <v>0</v>
      </c>
    </row>
    <row r="75" spans="1:6" x14ac:dyDescent="0.25">
      <c r="A75" s="105">
        <v>64</v>
      </c>
      <c r="B75" s="105">
        <v>64</v>
      </c>
      <c r="C75" s="105">
        <v>89</v>
      </c>
      <c r="D75" s="61" t="s">
        <v>227</v>
      </c>
      <c r="E75" s="102">
        <v>0</v>
      </c>
      <c r="F75" s="102">
        <v>0</v>
      </c>
    </row>
    <row r="76" spans="1:6" x14ac:dyDescent="0.25">
      <c r="A76" s="105">
        <v>65</v>
      </c>
      <c r="B76" s="105">
        <v>65</v>
      </c>
      <c r="C76" s="105">
        <v>90</v>
      </c>
      <c r="D76" s="61" t="s">
        <v>227</v>
      </c>
      <c r="E76" s="102">
        <v>0</v>
      </c>
      <c r="F76" s="102">
        <v>0</v>
      </c>
    </row>
    <row r="77" spans="1:6" x14ac:dyDescent="0.25">
      <c r="A77" s="105">
        <v>66</v>
      </c>
      <c r="B77" s="105">
        <v>66</v>
      </c>
      <c r="C77" s="105">
        <v>91</v>
      </c>
      <c r="D77" s="61" t="s">
        <v>227</v>
      </c>
      <c r="E77" s="102">
        <v>0</v>
      </c>
      <c r="F77" s="102">
        <v>0</v>
      </c>
    </row>
    <row r="78" spans="1:6" x14ac:dyDescent="0.25">
      <c r="A78" s="105">
        <v>67</v>
      </c>
      <c r="B78" s="105">
        <v>67</v>
      </c>
      <c r="C78" s="105">
        <v>92</v>
      </c>
      <c r="D78" s="61" t="s">
        <v>227</v>
      </c>
      <c r="E78" s="102">
        <v>0</v>
      </c>
      <c r="F78" s="102">
        <v>0</v>
      </c>
    </row>
    <row r="79" spans="1:6" x14ac:dyDescent="0.25">
      <c r="A79" s="105">
        <v>68</v>
      </c>
      <c r="B79" s="105">
        <v>68</v>
      </c>
      <c r="C79" s="105">
        <v>93</v>
      </c>
      <c r="D79" s="61" t="s">
        <v>227</v>
      </c>
      <c r="E79" s="102">
        <v>0</v>
      </c>
      <c r="F79" s="102">
        <v>0</v>
      </c>
    </row>
    <row r="80" spans="1:6" x14ac:dyDescent="0.25">
      <c r="A80" s="105">
        <v>69</v>
      </c>
      <c r="B80" s="105">
        <v>69</v>
      </c>
      <c r="C80" s="105">
        <v>94</v>
      </c>
      <c r="D80" s="61" t="s">
        <v>227</v>
      </c>
      <c r="E80" s="102">
        <v>0</v>
      </c>
      <c r="F80" s="102">
        <v>0</v>
      </c>
    </row>
    <row r="81" spans="1:6" x14ac:dyDescent="0.25">
      <c r="A81" s="105">
        <v>70</v>
      </c>
      <c r="B81" s="105">
        <v>70</v>
      </c>
      <c r="C81" s="105">
        <v>95</v>
      </c>
      <c r="D81" s="61" t="s">
        <v>227</v>
      </c>
      <c r="E81" s="102">
        <v>0</v>
      </c>
      <c r="F81" s="102">
        <v>0</v>
      </c>
    </row>
    <row r="82" spans="1:6" x14ac:dyDescent="0.25">
      <c r="A82" s="105">
        <v>71</v>
      </c>
      <c r="B82" s="105">
        <v>71</v>
      </c>
      <c r="C82" s="105">
        <v>96</v>
      </c>
      <c r="D82" s="61" t="s">
        <v>227</v>
      </c>
      <c r="E82" s="102">
        <v>0</v>
      </c>
      <c r="F82" s="102">
        <v>0</v>
      </c>
    </row>
    <row r="83" spans="1:6" x14ac:dyDescent="0.25">
      <c r="A83" s="105">
        <v>72</v>
      </c>
      <c r="B83" s="105">
        <v>72</v>
      </c>
      <c r="C83" s="105">
        <v>97</v>
      </c>
      <c r="D83" s="61" t="s">
        <v>227</v>
      </c>
      <c r="E83" s="102">
        <v>0</v>
      </c>
      <c r="F83" s="102">
        <v>0</v>
      </c>
    </row>
    <row r="84" spans="1:6" x14ac:dyDescent="0.25">
      <c r="A84" s="105">
        <v>73</v>
      </c>
      <c r="B84" s="105">
        <v>73</v>
      </c>
      <c r="C84" s="105">
        <v>98</v>
      </c>
      <c r="D84" s="61" t="s">
        <v>227</v>
      </c>
      <c r="E84" s="102">
        <v>0</v>
      </c>
      <c r="F84" s="102">
        <v>0</v>
      </c>
    </row>
    <row r="85" spans="1:6" x14ac:dyDescent="0.25">
      <c r="A85" s="105">
        <v>74</v>
      </c>
      <c r="B85" s="105">
        <v>74</v>
      </c>
      <c r="C85" s="105">
        <v>99</v>
      </c>
      <c r="D85" s="61" t="s">
        <v>227</v>
      </c>
      <c r="E85" s="102">
        <v>0</v>
      </c>
      <c r="F85" s="102">
        <v>0</v>
      </c>
    </row>
    <row r="86" spans="1:6" x14ac:dyDescent="0.25">
      <c r="A86" s="105">
        <v>75</v>
      </c>
      <c r="B86" s="105">
        <v>75</v>
      </c>
      <c r="C86" s="105">
        <v>100</v>
      </c>
      <c r="D86" s="61" t="s">
        <v>227</v>
      </c>
      <c r="E86" s="102">
        <v>0</v>
      </c>
      <c r="F86" s="102">
        <v>0</v>
      </c>
    </row>
    <row r="87" spans="1:6" x14ac:dyDescent="0.25">
      <c r="A87" s="105">
        <v>76</v>
      </c>
      <c r="B87" s="105">
        <v>76</v>
      </c>
      <c r="C87" s="105">
        <v>101</v>
      </c>
      <c r="D87" s="61" t="s">
        <v>227</v>
      </c>
      <c r="E87" s="102">
        <v>0</v>
      </c>
      <c r="F87" s="102">
        <v>0</v>
      </c>
    </row>
    <row r="88" spans="1:6" x14ac:dyDescent="0.25">
      <c r="A88" s="105">
        <v>77</v>
      </c>
      <c r="B88" s="105">
        <v>77</v>
      </c>
      <c r="C88" s="105">
        <v>102</v>
      </c>
      <c r="D88" s="61" t="s">
        <v>227</v>
      </c>
      <c r="E88" s="102">
        <v>0</v>
      </c>
      <c r="F88" s="102">
        <v>0</v>
      </c>
    </row>
    <row r="89" spans="1:6" x14ac:dyDescent="0.25">
      <c r="A89" s="105">
        <v>78</v>
      </c>
      <c r="B89" s="105">
        <v>78</v>
      </c>
      <c r="C89" s="105">
        <v>103</v>
      </c>
      <c r="D89" s="61" t="s">
        <v>227</v>
      </c>
      <c r="E89" s="102">
        <v>0</v>
      </c>
      <c r="F89" s="102">
        <v>0</v>
      </c>
    </row>
    <row r="90" spans="1:6" x14ac:dyDescent="0.25">
      <c r="A90" s="105">
        <v>79</v>
      </c>
      <c r="B90" s="105">
        <v>79</v>
      </c>
      <c r="C90" s="105">
        <v>104</v>
      </c>
      <c r="D90" s="61" t="s">
        <v>227</v>
      </c>
      <c r="E90" s="102">
        <v>0</v>
      </c>
      <c r="F90" s="102">
        <v>0</v>
      </c>
    </row>
    <row r="91" spans="1:6" x14ac:dyDescent="0.25">
      <c r="A91" s="105">
        <v>80</v>
      </c>
      <c r="B91" s="105">
        <v>80</v>
      </c>
      <c r="C91" s="105">
        <v>105</v>
      </c>
      <c r="D91" s="61" t="s">
        <v>227</v>
      </c>
      <c r="E91" s="102">
        <v>0</v>
      </c>
      <c r="F91" s="102">
        <v>0</v>
      </c>
    </row>
    <row r="92" spans="1:6" x14ac:dyDescent="0.25">
      <c r="A92" s="105">
        <v>81</v>
      </c>
      <c r="B92" s="105">
        <v>81</v>
      </c>
      <c r="C92" s="105">
        <v>106</v>
      </c>
      <c r="D92" s="61" t="s">
        <v>227</v>
      </c>
      <c r="E92" s="102">
        <v>0</v>
      </c>
      <c r="F92" s="102">
        <v>0</v>
      </c>
    </row>
    <row r="93" spans="1:6" x14ac:dyDescent="0.25">
      <c r="A93" s="105">
        <v>82</v>
      </c>
      <c r="B93" s="105">
        <v>82</v>
      </c>
      <c r="C93" s="105">
        <v>107</v>
      </c>
      <c r="D93" s="61" t="s">
        <v>227</v>
      </c>
      <c r="E93" s="102">
        <v>0</v>
      </c>
      <c r="F93" s="102">
        <v>0</v>
      </c>
    </row>
    <row r="94" spans="1:6" x14ac:dyDescent="0.25">
      <c r="A94" s="105">
        <v>83</v>
      </c>
      <c r="B94" s="105">
        <v>83</v>
      </c>
      <c r="C94" s="105">
        <v>108</v>
      </c>
      <c r="D94" s="61" t="s">
        <v>227</v>
      </c>
      <c r="E94" s="102">
        <v>0</v>
      </c>
      <c r="F94" s="102">
        <v>0</v>
      </c>
    </row>
    <row r="95" spans="1:6" x14ac:dyDescent="0.25">
      <c r="A95" s="105">
        <v>84</v>
      </c>
      <c r="B95" s="105">
        <v>84</v>
      </c>
      <c r="C95" s="105">
        <v>109</v>
      </c>
      <c r="D95" s="61" t="s">
        <v>227</v>
      </c>
      <c r="E95" s="102">
        <v>0</v>
      </c>
      <c r="F95" s="102">
        <v>0</v>
      </c>
    </row>
    <row r="96" spans="1:6" x14ac:dyDescent="0.25">
      <c r="A96" s="105">
        <v>85</v>
      </c>
      <c r="B96" s="105">
        <v>85</v>
      </c>
      <c r="C96" s="105">
        <v>110</v>
      </c>
      <c r="D96" s="61" t="s">
        <v>227</v>
      </c>
      <c r="E96" s="102">
        <v>0</v>
      </c>
      <c r="F96" s="102">
        <v>0</v>
      </c>
    </row>
    <row r="97" spans="1:6" x14ac:dyDescent="0.25">
      <c r="A97" s="105">
        <v>86</v>
      </c>
      <c r="B97" s="105">
        <v>86</v>
      </c>
      <c r="C97" s="105">
        <v>111</v>
      </c>
      <c r="D97" s="61" t="s">
        <v>227</v>
      </c>
      <c r="E97" s="102">
        <v>0</v>
      </c>
      <c r="F97" s="102">
        <v>0</v>
      </c>
    </row>
    <row r="98" spans="1:6" x14ac:dyDescent="0.25">
      <c r="A98" s="105">
        <v>87</v>
      </c>
      <c r="B98" s="105">
        <v>87</v>
      </c>
      <c r="C98" s="105">
        <v>112</v>
      </c>
      <c r="D98" s="61" t="s">
        <v>227</v>
      </c>
      <c r="E98" s="102">
        <v>0</v>
      </c>
      <c r="F98" s="102">
        <v>0</v>
      </c>
    </row>
    <row r="99" spans="1:6" x14ac:dyDescent="0.25">
      <c r="A99" s="105">
        <v>88</v>
      </c>
      <c r="B99" s="105">
        <v>88</v>
      </c>
      <c r="C99" s="105">
        <v>113</v>
      </c>
      <c r="D99" s="61" t="s">
        <v>227</v>
      </c>
      <c r="E99" s="102">
        <v>0</v>
      </c>
      <c r="F99" s="102">
        <v>0</v>
      </c>
    </row>
    <row r="100" spans="1:6" x14ac:dyDescent="0.25">
      <c r="A100" s="105">
        <v>89</v>
      </c>
      <c r="B100" s="105">
        <v>89</v>
      </c>
      <c r="C100" s="105">
        <v>114</v>
      </c>
      <c r="D100" s="61" t="s">
        <v>227</v>
      </c>
      <c r="E100" s="102">
        <v>0</v>
      </c>
      <c r="F100" s="102">
        <v>0</v>
      </c>
    </row>
    <row r="101" spans="1:6" x14ac:dyDescent="0.25">
      <c r="A101" s="105">
        <v>90</v>
      </c>
      <c r="B101" s="105">
        <v>90</v>
      </c>
      <c r="C101" s="105">
        <v>115</v>
      </c>
      <c r="D101" s="61" t="s">
        <v>227</v>
      </c>
      <c r="E101" s="102">
        <v>0</v>
      </c>
      <c r="F101" s="102">
        <v>0</v>
      </c>
    </row>
    <row r="102" spans="1:6" x14ac:dyDescent="0.25">
      <c r="A102" s="105">
        <v>91</v>
      </c>
      <c r="B102" s="105">
        <v>91</v>
      </c>
      <c r="C102" s="105">
        <v>116</v>
      </c>
      <c r="D102" s="61" t="s">
        <v>227</v>
      </c>
      <c r="E102" s="102">
        <v>0</v>
      </c>
      <c r="F102" s="102">
        <v>0</v>
      </c>
    </row>
    <row r="103" spans="1:6" x14ac:dyDescent="0.25">
      <c r="A103" s="105">
        <v>92</v>
      </c>
      <c r="B103" s="105">
        <v>92</v>
      </c>
      <c r="C103" s="105">
        <v>117</v>
      </c>
      <c r="D103" s="61" t="s">
        <v>227</v>
      </c>
      <c r="E103" s="102">
        <v>0</v>
      </c>
      <c r="F103" s="102">
        <v>0</v>
      </c>
    </row>
    <row r="104" spans="1:6" x14ac:dyDescent="0.25">
      <c r="A104" s="105">
        <v>93</v>
      </c>
      <c r="B104" s="105">
        <v>93</v>
      </c>
      <c r="C104" s="105">
        <v>118</v>
      </c>
      <c r="D104" s="61" t="s">
        <v>227</v>
      </c>
      <c r="E104" s="102">
        <v>0</v>
      </c>
      <c r="F104" s="102">
        <v>0</v>
      </c>
    </row>
    <row r="105" spans="1:6" x14ac:dyDescent="0.25">
      <c r="A105" s="105">
        <v>94</v>
      </c>
      <c r="B105" s="105">
        <v>94</v>
      </c>
      <c r="C105" s="105">
        <v>119</v>
      </c>
      <c r="D105" s="61" t="s">
        <v>227</v>
      </c>
      <c r="E105" s="102">
        <v>0</v>
      </c>
      <c r="F105" s="102">
        <v>0</v>
      </c>
    </row>
    <row r="106" spans="1:6" x14ac:dyDescent="0.25">
      <c r="A106" s="105">
        <v>95</v>
      </c>
      <c r="B106" s="105">
        <v>95</v>
      </c>
      <c r="C106" s="105">
        <v>120</v>
      </c>
      <c r="D106" s="61" t="s">
        <v>227</v>
      </c>
      <c r="E106" s="102">
        <v>0</v>
      </c>
      <c r="F106" s="102">
        <v>0</v>
      </c>
    </row>
    <row r="107" spans="1:6" x14ac:dyDescent="0.25">
      <c r="A107" s="105">
        <v>96</v>
      </c>
      <c r="B107" s="105">
        <v>96</v>
      </c>
      <c r="C107" s="105">
        <v>121</v>
      </c>
      <c r="D107" s="61" t="s">
        <v>227</v>
      </c>
      <c r="E107" s="102">
        <v>0</v>
      </c>
      <c r="F107" s="102">
        <v>0</v>
      </c>
    </row>
    <row r="108" spans="1:6" x14ac:dyDescent="0.25">
      <c r="A108" s="105">
        <v>97</v>
      </c>
      <c r="B108" s="105">
        <v>97</v>
      </c>
      <c r="C108" s="105">
        <v>122</v>
      </c>
      <c r="D108" s="61" t="s">
        <v>227</v>
      </c>
      <c r="E108" s="102">
        <v>0</v>
      </c>
      <c r="F108" s="102">
        <v>0</v>
      </c>
    </row>
    <row r="109" spans="1:6" x14ac:dyDescent="0.25">
      <c r="A109" s="105">
        <v>98</v>
      </c>
      <c r="B109" s="105">
        <v>98</v>
      </c>
      <c r="C109" s="105">
        <v>123</v>
      </c>
      <c r="D109" s="61" t="s">
        <v>227</v>
      </c>
      <c r="E109" s="102">
        <v>0</v>
      </c>
      <c r="F109" s="102">
        <v>0</v>
      </c>
    </row>
    <row r="110" spans="1:6" x14ac:dyDescent="0.25">
      <c r="A110" s="105">
        <v>99</v>
      </c>
      <c r="B110" s="105">
        <v>99</v>
      </c>
      <c r="C110" s="105">
        <v>124</v>
      </c>
      <c r="D110" s="61" t="s">
        <v>227</v>
      </c>
      <c r="E110" s="102">
        <v>0</v>
      </c>
      <c r="F110" s="102">
        <v>0</v>
      </c>
    </row>
    <row r="111" spans="1:6" x14ac:dyDescent="0.25">
      <c r="A111" s="105">
        <v>100</v>
      </c>
      <c r="B111" s="105">
        <v>100</v>
      </c>
      <c r="C111" s="105">
        <v>125</v>
      </c>
      <c r="D111" s="61" t="s">
        <v>227</v>
      </c>
      <c r="E111" s="102">
        <v>0</v>
      </c>
      <c r="F111" s="102">
        <v>0</v>
      </c>
    </row>
    <row r="112" spans="1:6" x14ac:dyDescent="0.25">
      <c r="A112" s="105">
        <v>101</v>
      </c>
      <c r="B112" s="105">
        <v>26</v>
      </c>
      <c r="C112" s="105">
        <v>27</v>
      </c>
      <c r="D112" s="61" t="s">
        <v>227</v>
      </c>
      <c r="E112" s="102">
        <v>0</v>
      </c>
      <c r="F112" s="102">
        <v>0</v>
      </c>
    </row>
    <row r="113" spans="1:6" x14ac:dyDescent="0.25">
      <c r="A113" s="105">
        <v>102</v>
      </c>
      <c r="B113" s="105">
        <v>27</v>
      </c>
      <c r="C113" s="105">
        <v>28</v>
      </c>
      <c r="D113" s="61" t="s">
        <v>227</v>
      </c>
      <c r="E113" s="102">
        <v>0</v>
      </c>
      <c r="F113" s="102">
        <v>0</v>
      </c>
    </row>
    <row r="114" spans="1:6" x14ac:dyDescent="0.25">
      <c r="A114" s="105">
        <v>103</v>
      </c>
      <c r="B114" s="105">
        <v>28</v>
      </c>
      <c r="C114" s="105">
        <v>29</v>
      </c>
      <c r="D114" s="61" t="s">
        <v>227</v>
      </c>
      <c r="E114" s="102">
        <v>0</v>
      </c>
      <c r="F114" s="102">
        <v>0</v>
      </c>
    </row>
    <row r="115" spans="1:6" x14ac:dyDescent="0.25">
      <c r="A115" s="105">
        <v>104</v>
      </c>
      <c r="B115" s="105">
        <v>29</v>
      </c>
      <c r="C115" s="105">
        <v>30</v>
      </c>
      <c r="D115" s="61" t="s">
        <v>227</v>
      </c>
      <c r="E115" s="102">
        <v>0</v>
      </c>
      <c r="F115" s="102">
        <v>0</v>
      </c>
    </row>
    <row r="116" spans="1:6" x14ac:dyDescent="0.25">
      <c r="A116" s="105">
        <v>105</v>
      </c>
      <c r="B116" s="105">
        <v>31</v>
      </c>
      <c r="C116" s="105">
        <v>32</v>
      </c>
      <c r="D116" s="61" t="s">
        <v>227</v>
      </c>
      <c r="E116" s="102">
        <v>0</v>
      </c>
      <c r="F116" s="102">
        <v>0</v>
      </c>
    </row>
    <row r="117" spans="1:6" x14ac:dyDescent="0.25">
      <c r="A117" s="105">
        <v>106</v>
      </c>
      <c r="B117" s="105">
        <v>32</v>
      </c>
      <c r="C117" s="105">
        <v>33</v>
      </c>
      <c r="D117" s="61" t="s">
        <v>227</v>
      </c>
      <c r="E117" s="102">
        <v>0</v>
      </c>
      <c r="F117" s="102">
        <v>0</v>
      </c>
    </row>
    <row r="118" spans="1:6" x14ac:dyDescent="0.25">
      <c r="A118" s="105">
        <v>107</v>
      </c>
      <c r="B118" s="105">
        <v>33</v>
      </c>
      <c r="C118" s="105">
        <v>34</v>
      </c>
      <c r="D118" s="61" t="s">
        <v>227</v>
      </c>
      <c r="E118" s="102">
        <v>0</v>
      </c>
      <c r="F118" s="102">
        <v>0</v>
      </c>
    </row>
    <row r="119" spans="1:6" x14ac:dyDescent="0.25">
      <c r="A119" s="105">
        <v>108</v>
      </c>
      <c r="B119" s="105">
        <v>34</v>
      </c>
      <c r="C119" s="105">
        <v>35</v>
      </c>
      <c r="D119" s="61" t="s">
        <v>227</v>
      </c>
      <c r="E119" s="102">
        <v>0</v>
      </c>
      <c r="F119" s="102">
        <v>0</v>
      </c>
    </row>
    <row r="120" spans="1:6" x14ac:dyDescent="0.25">
      <c r="A120" s="105">
        <v>109</v>
      </c>
      <c r="B120" s="105">
        <v>36</v>
      </c>
      <c r="C120" s="105">
        <v>37</v>
      </c>
      <c r="D120" s="61" t="s">
        <v>227</v>
      </c>
      <c r="E120" s="102">
        <v>0</v>
      </c>
      <c r="F120" s="102">
        <v>0</v>
      </c>
    </row>
    <row r="121" spans="1:6" x14ac:dyDescent="0.25">
      <c r="A121" s="105">
        <v>110</v>
      </c>
      <c r="B121" s="105">
        <v>37</v>
      </c>
      <c r="C121" s="105">
        <v>38</v>
      </c>
      <c r="D121" s="61" t="s">
        <v>227</v>
      </c>
      <c r="E121" s="102">
        <v>0</v>
      </c>
      <c r="F121" s="102">
        <v>0</v>
      </c>
    </row>
    <row r="122" spans="1:6" x14ac:dyDescent="0.25">
      <c r="A122" s="105">
        <v>111</v>
      </c>
      <c r="B122" s="105">
        <v>38</v>
      </c>
      <c r="C122" s="105">
        <v>39</v>
      </c>
      <c r="D122" s="61" t="s">
        <v>227</v>
      </c>
      <c r="E122" s="102">
        <v>0</v>
      </c>
      <c r="F122" s="102">
        <v>0</v>
      </c>
    </row>
    <row r="123" spans="1:6" x14ac:dyDescent="0.25">
      <c r="A123" s="105">
        <v>112</v>
      </c>
      <c r="B123" s="105">
        <v>39</v>
      </c>
      <c r="C123" s="105">
        <v>40</v>
      </c>
      <c r="D123" s="61" t="s">
        <v>227</v>
      </c>
      <c r="E123" s="102">
        <v>0</v>
      </c>
      <c r="F123" s="102">
        <v>0</v>
      </c>
    </row>
    <row r="124" spans="1:6" x14ac:dyDescent="0.25">
      <c r="A124" s="105">
        <v>113</v>
      </c>
      <c r="B124" s="105">
        <v>41</v>
      </c>
      <c r="C124" s="105">
        <v>42</v>
      </c>
      <c r="D124" s="61" t="s">
        <v>227</v>
      </c>
      <c r="E124" s="102">
        <v>0</v>
      </c>
      <c r="F124" s="102">
        <v>0</v>
      </c>
    </row>
    <row r="125" spans="1:6" x14ac:dyDescent="0.25">
      <c r="A125" s="105">
        <v>114</v>
      </c>
      <c r="B125" s="105">
        <v>42</v>
      </c>
      <c r="C125" s="105">
        <v>43</v>
      </c>
      <c r="D125" s="61" t="s">
        <v>227</v>
      </c>
      <c r="E125" s="102">
        <v>0</v>
      </c>
      <c r="F125" s="102">
        <v>0</v>
      </c>
    </row>
    <row r="126" spans="1:6" x14ac:dyDescent="0.25">
      <c r="A126" s="105">
        <v>115</v>
      </c>
      <c r="B126" s="105">
        <v>43</v>
      </c>
      <c r="C126" s="105">
        <v>44</v>
      </c>
      <c r="D126" s="61" t="s">
        <v>227</v>
      </c>
      <c r="E126" s="102">
        <v>0</v>
      </c>
      <c r="F126" s="102">
        <v>0</v>
      </c>
    </row>
    <row r="127" spans="1:6" x14ac:dyDescent="0.25">
      <c r="A127" s="105">
        <v>116</v>
      </c>
      <c r="B127" s="105">
        <v>44</v>
      </c>
      <c r="C127" s="105">
        <v>45</v>
      </c>
      <c r="D127" s="61" t="s">
        <v>227</v>
      </c>
      <c r="E127" s="102">
        <v>0</v>
      </c>
      <c r="F127" s="102">
        <v>0</v>
      </c>
    </row>
    <row r="128" spans="1:6" x14ac:dyDescent="0.25">
      <c r="A128" s="105">
        <v>117</v>
      </c>
      <c r="B128" s="105">
        <v>46</v>
      </c>
      <c r="C128" s="105">
        <v>47</v>
      </c>
      <c r="D128" s="61" t="s">
        <v>227</v>
      </c>
      <c r="E128" s="102">
        <v>0</v>
      </c>
      <c r="F128" s="102">
        <v>0</v>
      </c>
    </row>
    <row r="129" spans="1:6" x14ac:dyDescent="0.25">
      <c r="A129" s="105">
        <v>118</v>
      </c>
      <c r="B129" s="105">
        <v>47</v>
      </c>
      <c r="C129" s="105">
        <v>48</v>
      </c>
      <c r="D129" s="61" t="s">
        <v>227</v>
      </c>
      <c r="E129" s="102">
        <v>0</v>
      </c>
      <c r="F129" s="102">
        <v>0</v>
      </c>
    </row>
    <row r="130" spans="1:6" x14ac:dyDescent="0.25">
      <c r="A130" s="105">
        <v>119</v>
      </c>
      <c r="B130" s="105">
        <v>48</v>
      </c>
      <c r="C130" s="105">
        <v>49</v>
      </c>
      <c r="D130" s="61" t="s">
        <v>227</v>
      </c>
      <c r="E130" s="102">
        <v>0</v>
      </c>
      <c r="F130" s="102">
        <v>0</v>
      </c>
    </row>
    <row r="131" spans="1:6" x14ac:dyDescent="0.25">
      <c r="A131" s="105">
        <v>120</v>
      </c>
      <c r="B131" s="105">
        <v>49</v>
      </c>
      <c r="C131" s="105">
        <v>50</v>
      </c>
      <c r="D131" s="61" t="s">
        <v>227</v>
      </c>
      <c r="E131" s="102">
        <v>0</v>
      </c>
      <c r="F131" s="102">
        <v>0</v>
      </c>
    </row>
    <row r="132" spans="1:6" x14ac:dyDescent="0.25">
      <c r="A132" s="105">
        <v>121</v>
      </c>
      <c r="B132" s="105">
        <v>51</v>
      </c>
      <c r="C132" s="105">
        <v>52</v>
      </c>
      <c r="D132" s="61" t="s">
        <v>227</v>
      </c>
      <c r="E132" s="102">
        <v>0</v>
      </c>
      <c r="F132" s="102">
        <v>0</v>
      </c>
    </row>
    <row r="133" spans="1:6" x14ac:dyDescent="0.25">
      <c r="A133" s="105">
        <v>122</v>
      </c>
      <c r="B133" s="105">
        <v>52</v>
      </c>
      <c r="C133" s="105">
        <v>53</v>
      </c>
      <c r="D133" s="61" t="s">
        <v>227</v>
      </c>
      <c r="E133" s="102">
        <v>0</v>
      </c>
      <c r="F133" s="102">
        <v>0</v>
      </c>
    </row>
    <row r="134" spans="1:6" x14ac:dyDescent="0.25">
      <c r="A134" s="105">
        <v>123</v>
      </c>
      <c r="B134" s="105">
        <v>53</v>
      </c>
      <c r="C134" s="105">
        <v>54</v>
      </c>
      <c r="D134" s="61" t="s">
        <v>227</v>
      </c>
      <c r="E134" s="102">
        <v>0</v>
      </c>
      <c r="F134" s="102">
        <v>0</v>
      </c>
    </row>
    <row r="135" spans="1:6" x14ac:dyDescent="0.25">
      <c r="A135" s="105">
        <v>124</v>
      </c>
      <c r="B135" s="105">
        <v>54</v>
      </c>
      <c r="C135" s="105">
        <v>55</v>
      </c>
      <c r="D135" s="61" t="s">
        <v>227</v>
      </c>
      <c r="E135" s="102">
        <v>0</v>
      </c>
      <c r="F135" s="102">
        <v>0</v>
      </c>
    </row>
    <row r="136" spans="1:6" x14ac:dyDescent="0.25">
      <c r="A136" s="105">
        <v>125</v>
      </c>
      <c r="B136" s="105">
        <v>56</v>
      </c>
      <c r="C136" s="105">
        <v>57</v>
      </c>
      <c r="D136" s="61" t="s">
        <v>227</v>
      </c>
      <c r="E136" s="102">
        <v>0</v>
      </c>
      <c r="F136" s="102">
        <v>0</v>
      </c>
    </row>
    <row r="137" spans="1:6" x14ac:dyDescent="0.25">
      <c r="A137" s="105">
        <v>126</v>
      </c>
      <c r="B137" s="105">
        <v>57</v>
      </c>
      <c r="C137" s="105">
        <v>58</v>
      </c>
      <c r="D137" s="61" t="s">
        <v>227</v>
      </c>
      <c r="E137" s="102">
        <v>0</v>
      </c>
      <c r="F137" s="102">
        <v>0</v>
      </c>
    </row>
    <row r="138" spans="1:6" x14ac:dyDescent="0.25">
      <c r="A138" s="105">
        <v>127</v>
      </c>
      <c r="B138" s="105">
        <v>58</v>
      </c>
      <c r="C138" s="105">
        <v>59</v>
      </c>
      <c r="D138" s="61" t="s">
        <v>227</v>
      </c>
      <c r="E138" s="102">
        <v>0</v>
      </c>
      <c r="F138" s="102">
        <v>0</v>
      </c>
    </row>
    <row r="139" spans="1:6" x14ac:dyDescent="0.25">
      <c r="A139" s="105">
        <v>128</v>
      </c>
      <c r="B139" s="105">
        <v>59</v>
      </c>
      <c r="C139" s="105">
        <v>60</v>
      </c>
      <c r="D139" s="61" t="s">
        <v>227</v>
      </c>
      <c r="E139" s="102">
        <v>0</v>
      </c>
      <c r="F139" s="102">
        <v>0</v>
      </c>
    </row>
    <row r="140" spans="1:6" x14ac:dyDescent="0.25">
      <c r="A140" s="105">
        <v>129</v>
      </c>
      <c r="B140" s="105">
        <v>61</v>
      </c>
      <c r="C140" s="105">
        <v>62</v>
      </c>
      <c r="D140" s="61" t="s">
        <v>227</v>
      </c>
      <c r="E140" s="102">
        <v>0</v>
      </c>
      <c r="F140" s="102">
        <v>0</v>
      </c>
    </row>
    <row r="141" spans="1:6" x14ac:dyDescent="0.25">
      <c r="A141" s="105">
        <v>130</v>
      </c>
      <c r="B141" s="105">
        <v>62</v>
      </c>
      <c r="C141" s="105">
        <v>63</v>
      </c>
      <c r="D141" s="61" t="s">
        <v>227</v>
      </c>
      <c r="E141" s="102">
        <v>0</v>
      </c>
      <c r="F141" s="102">
        <v>0</v>
      </c>
    </row>
    <row r="142" spans="1:6" x14ac:dyDescent="0.25">
      <c r="A142" s="105">
        <v>131</v>
      </c>
      <c r="B142" s="105">
        <v>63</v>
      </c>
      <c r="C142" s="105">
        <v>64</v>
      </c>
      <c r="D142" s="61" t="s">
        <v>227</v>
      </c>
      <c r="E142" s="102">
        <v>0</v>
      </c>
      <c r="F142" s="102">
        <v>0</v>
      </c>
    </row>
    <row r="143" spans="1:6" x14ac:dyDescent="0.25">
      <c r="A143" s="105">
        <v>132</v>
      </c>
      <c r="B143" s="105">
        <v>64</v>
      </c>
      <c r="C143" s="105">
        <v>65</v>
      </c>
      <c r="D143" s="61" t="s">
        <v>227</v>
      </c>
      <c r="E143" s="102">
        <v>0</v>
      </c>
      <c r="F143" s="102">
        <v>0</v>
      </c>
    </row>
    <row r="144" spans="1:6" x14ac:dyDescent="0.25">
      <c r="A144" s="105">
        <v>133</v>
      </c>
      <c r="B144" s="105">
        <v>66</v>
      </c>
      <c r="C144" s="105">
        <v>67</v>
      </c>
      <c r="D144" s="61" t="s">
        <v>227</v>
      </c>
      <c r="E144" s="102">
        <v>0</v>
      </c>
      <c r="F144" s="102">
        <v>0</v>
      </c>
    </row>
    <row r="145" spans="1:6" x14ac:dyDescent="0.25">
      <c r="A145" s="105">
        <v>134</v>
      </c>
      <c r="B145" s="105">
        <v>67</v>
      </c>
      <c r="C145" s="105">
        <v>68</v>
      </c>
      <c r="D145" s="61" t="s">
        <v>227</v>
      </c>
      <c r="E145" s="102">
        <v>0</v>
      </c>
      <c r="F145" s="102">
        <v>0</v>
      </c>
    </row>
    <row r="146" spans="1:6" x14ac:dyDescent="0.25">
      <c r="A146" s="105">
        <v>135</v>
      </c>
      <c r="B146" s="105">
        <v>68</v>
      </c>
      <c r="C146" s="105">
        <v>69</v>
      </c>
      <c r="D146" s="61" t="s">
        <v>227</v>
      </c>
      <c r="E146" s="102">
        <v>0</v>
      </c>
      <c r="F146" s="102">
        <v>0</v>
      </c>
    </row>
    <row r="147" spans="1:6" x14ac:dyDescent="0.25">
      <c r="A147" s="105">
        <v>136</v>
      </c>
      <c r="B147" s="105">
        <v>69</v>
      </c>
      <c r="C147" s="105">
        <v>70</v>
      </c>
      <c r="D147" s="61" t="s">
        <v>227</v>
      </c>
      <c r="E147" s="102">
        <v>0</v>
      </c>
      <c r="F147" s="102">
        <v>0</v>
      </c>
    </row>
    <row r="148" spans="1:6" x14ac:dyDescent="0.25">
      <c r="A148" s="105">
        <v>137</v>
      </c>
      <c r="B148" s="105">
        <v>71</v>
      </c>
      <c r="C148" s="105">
        <v>72</v>
      </c>
      <c r="D148" s="61" t="s">
        <v>227</v>
      </c>
      <c r="E148" s="102">
        <v>0</v>
      </c>
      <c r="F148" s="102">
        <v>0</v>
      </c>
    </row>
    <row r="149" spans="1:6" x14ac:dyDescent="0.25">
      <c r="A149" s="105">
        <v>138</v>
      </c>
      <c r="B149" s="105">
        <v>72</v>
      </c>
      <c r="C149" s="105">
        <v>73</v>
      </c>
      <c r="D149" s="61" t="s">
        <v>227</v>
      </c>
      <c r="E149" s="102">
        <v>0</v>
      </c>
      <c r="F149" s="102">
        <v>0</v>
      </c>
    </row>
    <row r="150" spans="1:6" x14ac:dyDescent="0.25">
      <c r="A150" s="105">
        <v>139</v>
      </c>
      <c r="B150" s="105">
        <v>73</v>
      </c>
      <c r="C150" s="105">
        <v>74</v>
      </c>
      <c r="D150" s="61" t="s">
        <v>227</v>
      </c>
      <c r="E150" s="102">
        <v>0</v>
      </c>
      <c r="F150" s="102">
        <v>0</v>
      </c>
    </row>
    <row r="151" spans="1:6" x14ac:dyDescent="0.25">
      <c r="A151" s="105">
        <v>140</v>
      </c>
      <c r="B151" s="105">
        <v>74</v>
      </c>
      <c r="C151" s="105">
        <v>75</v>
      </c>
      <c r="D151" s="61" t="s">
        <v>227</v>
      </c>
      <c r="E151" s="102">
        <v>0</v>
      </c>
      <c r="F151" s="102">
        <v>0</v>
      </c>
    </row>
    <row r="152" spans="1:6" x14ac:dyDescent="0.25">
      <c r="A152" s="105">
        <v>141</v>
      </c>
      <c r="B152" s="105">
        <v>76</v>
      </c>
      <c r="C152" s="105">
        <v>77</v>
      </c>
      <c r="D152" s="61" t="s">
        <v>227</v>
      </c>
      <c r="E152" s="102">
        <v>0</v>
      </c>
      <c r="F152" s="102">
        <v>0</v>
      </c>
    </row>
    <row r="153" spans="1:6" x14ac:dyDescent="0.25">
      <c r="A153" s="105">
        <v>142</v>
      </c>
      <c r="B153" s="105">
        <v>77</v>
      </c>
      <c r="C153" s="105">
        <v>78</v>
      </c>
      <c r="D153" s="61" t="s">
        <v>227</v>
      </c>
      <c r="E153" s="102">
        <v>0</v>
      </c>
      <c r="F153" s="102">
        <v>0</v>
      </c>
    </row>
    <row r="154" spans="1:6" x14ac:dyDescent="0.25">
      <c r="A154" s="105">
        <v>143</v>
      </c>
      <c r="B154" s="105">
        <v>78</v>
      </c>
      <c r="C154" s="105">
        <v>79</v>
      </c>
      <c r="D154" s="61" t="s">
        <v>227</v>
      </c>
      <c r="E154" s="102">
        <v>0</v>
      </c>
      <c r="F154" s="102">
        <v>0</v>
      </c>
    </row>
    <row r="155" spans="1:6" x14ac:dyDescent="0.25">
      <c r="A155" s="105">
        <v>144</v>
      </c>
      <c r="B155" s="105">
        <v>79</v>
      </c>
      <c r="C155" s="105">
        <v>80</v>
      </c>
      <c r="D155" s="61" t="s">
        <v>227</v>
      </c>
      <c r="E155" s="102">
        <v>0</v>
      </c>
      <c r="F155" s="102">
        <v>0</v>
      </c>
    </row>
    <row r="156" spans="1:6" x14ac:dyDescent="0.25">
      <c r="A156" s="105">
        <v>145</v>
      </c>
      <c r="B156" s="105">
        <v>81</v>
      </c>
      <c r="C156" s="105">
        <v>82</v>
      </c>
      <c r="D156" s="61" t="s">
        <v>227</v>
      </c>
      <c r="E156" s="102">
        <v>0</v>
      </c>
      <c r="F156" s="102">
        <v>0</v>
      </c>
    </row>
    <row r="157" spans="1:6" x14ac:dyDescent="0.25">
      <c r="A157" s="105">
        <v>146</v>
      </c>
      <c r="B157" s="105">
        <v>82</v>
      </c>
      <c r="C157" s="105">
        <v>83</v>
      </c>
      <c r="D157" s="61" t="s">
        <v>227</v>
      </c>
      <c r="E157" s="102">
        <v>0</v>
      </c>
      <c r="F157" s="102">
        <v>0</v>
      </c>
    </row>
    <row r="158" spans="1:6" x14ac:dyDescent="0.25">
      <c r="A158" s="105">
        <v>147</v>
      </c>
      <c r="B158" s="105">
        <v>83</v>
      </c>
      <c r="C158" s="105">
        <v>84</v>
      </c>
      <c r="D158" s="61" t="s">
        <v>227</v>
      </c>
      <c r="E158" s="102">
        <v>0</v>
      </c>
      <c r="F158" s="102">
        <v>0</v>
      </c>
    </row>
    <row r="159" spans="1:6" x14ac:dyDescent="0.25">
      <c r="A159" s="105">
        <v>148</v>
      </c>
      <c r="B159" s="105">
        <v>84</v>
      </c>
      <c r="C159" s="105">
        <v>85</v>
      </c>
      <c r="D159" s="61" t="s">
        <v>227</v>
      </c>
      <c r="E159" s="102">
        <v>0</v>
      </c>
      <c r="F159" s="102">
        <v>0</v>
      </c>
    </row>
    <row r="160" spans="1:6" x14ac:dyDescent="0.25">
      <c r="A160" s="105">
        <v>149</v>
      </c>
      <c r="B160" s="105">
        <v>86</v>
      </c>
      <c r="C160" s="105">
        <v>87</v>
      </c>
      <c r="D160" s="61" t="s">
        <v>227</v>
      </c>
      <c r="E160" s="102">
        <v>0</v>
      </c>
      <c r="F160" s="102">
        <v>0</v>
      </c>
    </row>
    <row r="161" spans="1:6" x14ac:dyDescent="0.25">
      <c r="A161" s="105">
        <v>150</v>
      </c>
      <c r="B161" s="105">
        <v>87</v>
      </c>
      <c r="C161" s="105">
        <v>88</v>
      </c>
      <c r="D161" s="61" t="s">
        <v>227</v>
      </c>
      <c r="E161" s="102">
        <v>0</v>
      </c>
      <c r="F161" s="102">
        <v>0</v>
      </c>
    </row>
    <row r="162" spans="1:6" x14ac:dyDescent="0.25">
      <c r="A162" s="105">
        <v>151</v>
      </c>
      <c r="B162" s="105">
        <v>88</v>
      </c>
      <c r="C162" s="105">
        <v>89</v>
      </c>
      <c r="D162" s="61" t="s">
        <v>227</v>
      </c>
      <c r="E162" s="102">
        <v>0</v>
      </c>
      <c r="F162" s="102">
        <v>0</v>
      </c>
    </row>
    <row r="163" spans="1:6" x14ac:dyDescent="0.25">
      <c r="A163" s="105">
        <v>152</v>
      </c>
      <c r="B163" s="105">
        <v>89</v>
      </c>
      <c r="C163" s="105">
        <v>90</v>
      </c>
      <c r="D163" s="61" t="s">
        <v>227</v>
      </c>
      <c r="E163" s="102">
        <v>0</v>
      </c>
      <c r="F163" s="102">
        <v>0</v>
      </c>
    </row>
    <row r="164" spans="1:6" x14ac:dyDescent="0.25">
      <c r="A164" s="105">
        <v>153</v>
      </c>
      <c r="B164" s="105">
        <v>91</v>
      </c>
      <c r="C164" s="105">
        <v>92</v>
      </c>
      <c r="D164" s="61" t="s">
        <v>227</v>
      </c>
      <c r="E164" s="102">
        <v>0</v>
      </c>
      <c r="F164" s="102">
        <v>0</v>
      </c>
    </row>
    <row r="165" spans="1:6" x14ac:dyDescent="0.25">
      <c r="A165" s="105">
        <v>154</v>
      </c>
      <c r="B165" s="105">
        <v>92</v>
      </c>
      <c r="C165" s="105">
        <v>93</v>
      </c>
      <c r="D165" s="61" t="s">
        <v>227</v>
      </c>
      <c r="E165" s="102">
        <v>0</v>
      </c>
      <c r="F165" s="102">
        <v>0</v>
      </c>
    </row>
    <row r="166" spans="1:6" x14ac:dyDescent="0.25">
      <c r="A166" s="105">
        <v>155</v>
      </c>
      <c r="B166" s="105">
        <v>93</v>
      </c>
      <c r="C166" s="105">
        <v>94</v>
      </c>
      <c r="D166" s="61" t="s">
        <v>227</v>
      </c>
      <c r="E166" s="102">
        <v>0</v>
      </c>
      <c r="F166" s="102">
        <v>0</v>
      </c>
    </row>
    <row r="167" spans="1:6" x14ac:dyDescent="0.25">
      <c r="A167" s="105">
        <v>156</v>
      </c>
      <c r="B167" s="105">
        <v>94</v>
      </c>
      <c r="C167" s="105">
        <v>95</v>
      </c>
      <c r="D167" s="61" t="s">
        <v>227</v>
      </c>
      <c r="E167" s="102">
        <v>0</v>
      </c>
      <c r="F167" s="102">
        <v>0</v>
      </c>
    </row>
    <row r="168" spans="1:6" x14ac:dyDescent="0.25">
      <c r="A168" s="105">
        <v>157</v>
      </c>
      <c r="B168" s="105">
        <v>96</v>
      </c>
      <c r="C168" s="105">
        <v>97</v>
      </c>
      <c r="D168" s="61" t="s">
        <v>227</v>
      </c>
      <c r="E168" s="102">
        <v>0</v>
      </c>
      <c r="F168" s="102">
        <v>0</v>
      </c>
    </row>
    <row r="169" spans="1:6" x14ac:dyDescent="0.25">
      <c r="A169" s="105">
        <v>158</v>
      </c>
      <c r="B169" s="105">
        <v>97</v>
      </c>
      <c r="C169" s="105">
        <v>98</v>
      </c>
      <c r="D169" s="61" t="s">
        <v>227</v>
      </c>
      <c r="E169" s="102">
        <v>0</v>
      </c>
      <c r="F169" s="102">
        <v>0</v>
      </c>
    </row>
    <row r="170" spans="1:6" x14ac:dyDescent="0.25">
      <c r="A170" s="105">
        <v>159</v>
      </c>
      <c r="B170" s="105">
        <v>98</v>
      </c>
      <c r="C170" s="105">
        <v>99</v>
      </c>
      <c r="D170" s="61" t="s">
        <v>227</v>
      </c>
      <c r="E170" s="102">
        <v>0</v>
      </c>
      <c r="F170" s="102">
        <v>0</v>
      </c>
    </row>
    <row r="171" spans="1:6" x14ac:dyDescent="0.25">
      <c r="A171" s="105">
        <v>160</v>
      </c>
      <c r="B171" s="105">
        <v>99</v>
      </c>
      <c r="C171" s="105">
        <v>100</v>
      </c>
      <c r="D171" s="61" t="s">
        <v>227</v>
      </c>
      <c r="E171" s="102">
        <v>0</v>
      </c>
      <c r="F171" s="102">
        <v>0</v>
      </c>
    </row>
    <row r="172" spans="1:6" x14ac:dyDescent="0.25">
      <c r="A172" s="105">
        <v>161</v>
      </c>
      <c r="B172" s="105">
        <v>101</v>
      </c>
      <c r="C172" s="105">
        <v>102</v>
      </c>
      <c r="D172" s="61" t="s">
        <v>227</v>
      </c>
      <c r="E172" s="102">
        <v>0</v>
      </c>
      <c r="F172" s="102">
        <v>0</v>
      </c>
    </row>
    <row r="173" spans="1:6" x14ac:dyDescent="0.25">
      <c r="A173" s="105">
        <v>162</v>
      </c>
      <c r="B173" s="105">
        <v>102</v>
      </c>
      <c r="C173" s="105">
        <v>103</v>
      </c>
      <c r="D173" s="61" t="s">
        <v>227</v>
      </c>
      <c r="E173" s="102">
        <v>0</v>
      </c>
      <c r="F173" s="102">
        <v>0</v>
      </c>
    </row>
    <row r="174" spans="1:6" x14ac:dyDescent="0.25">
      <c r="A174" s="105">
        <v>163</v>
      </c>
      <c r="B174" s="105">
        <v>103</v>
      </c>
      <c r="C174" s="105">
        <v>104</v>
      </c>
      <c r="D174" s="61" t="s">
        <v>227</v>
      </c>
      <c r="E174" s="102">
        <v>0</v>
      </c>
      <c r="F174" s="102">
        <v>0</v>
      </c>
    </row>
    <row r="175" spans="1:6" x14ac:dyDescent="0.25">
      <c r="A175" s="105">
        <v>164</v>
      </c>
      <c r="B175" s="105">
        <v>104</v>
      </c>
      <c r="C175" s="105">
        <v>105</v>
      </c>
      <c r="D175" s="61" t="s">
        <v>227</v>
      </c>
      <c r="E175" s="102">
        <v>0</v>
      </c>
      <c r="F175" s="102">
        <v>0</v>
      </c>
    </row>
    <row r="176" spans="1:6" x14ac:dyDescent="0.25">
      <c r="A176" s="105">
        <v>165</v>
      </c>
      <c r="B176" s="105">
        <v>106</v>
      </c>
      <c r="C176" s="105">
        <v>107</v>
      </c>
      <c r="D176" s="61" t="s">
        <v>227</v>
      </c>
      <c r="E176" s="102">
        <v>0</v>
      </c>
      <c r="F176" s="102">
        <v>0</v>
      </c>
    </row>
    <row r="177" spans="1:6" x14ac:dyDescent="0.25">
      <c r="A177" s="105">
        <v>166</v>
      </c>
      <c r="B177" s="105">
        <v>107</v>
      </c>
      <c r="C177" s="105">
        <v>108</v>
      </c>
      <c r="D177" s="61" t="s">
        <v>227</v>
      </c>
      <c r="E177" s="102">
        <v>0</v>
      </c>
      <c r="F177" s="102">
        <v>0</v>
      </c>
    </row>
    <row r="178" spans="1:6" x14ac:dyDescent="0.25">
      <c r="A178" s="105">
        <v>167</v>
      </c>
      <c r="B178" s="105">
        <v>108</v>
      </c>
      <c r="C178" s="105">
        <v>109</v>
      </c>
      <c r="D178" s="61" t="s">
        <v>227</v>
      </c>
      <c r="E178" s="102">
        <v>0</v>
      </c>
      <c r="F178" s="102">
        <v>0</v>
      </c>
    </row>
    <row r="179" spans="1:6" x14ac:dyDescent="0.25">
      <c r="A179" s="105">
        <v>168</v>
      </c>
      <c r="B179" s="105">
        <v>109</v>
      </c>
      <c r="C179" s="105">
        <v>110</v>
      </c>
      <c r="D179" s="61" t="s">
        <v>227</v>
      </c>
      <c r="E179" s="102">
        <v>0</v>
      </c>
      <c r="F179" s="102">
        <v>0</v>
      </c>
    </row>
    <row r="180" spans="1:6" x14ac:dyDescent="0.25">
      <c r="A180" s="105">
        <v>169</v>
      </c>
      <c r="B180" s="105">
        <v>111</v>
      </c>
      <c r="C180" s="105">
        <v>112</v>
      </c>
      <c r="D180" s="61" t="s">
        <v>227</v>
      </c>
      <c r="E180" s="102">
        <v>0</v>
      </c>
      <c r="F180" s="102">
        <v>0</v>
      </c>
    </row>
    <row r="181" spans="1:6" x14ac:dyDescent="0.25">
      <c r="A181" s="105">
        <v>170</v>
      </c>
      <c r="B181" s="105">
        <v>112</v>
      </c>
      <c r="C181" s="105">
        <v>113</v>
      </c>
      <c r="D181" s="61" t="s">
        <v>227</v>
      </c>
      <c r="E181" s="102">
        <v>0</v>
      </c>
      <c r="F181" s="102">
        <v>0</v>
      </c>
    </row>
    <row r="182" spans="1:6" x14ac:dyDescent="0.25">
      <c r="A182" s="105">
        <v>171</v>
      </c>
      <c r="B182" s="105">
        <v>113</v>
      </c>
      <c r="C182" s="105">
        <v>114</v>
      </c>
      <c r="D182" s="61" t="s">
        <v>227</v>
      </c>
      <c r="E182" s="102">
        <v>0</v>
      </c>
      <c r="F182" s="102">
        <v>0</v>
      </c>
    </row>
    <row r="183" spans="1:6" x14ac:dyDescent="0.25">
      <c r="A183" s="105">
        <v>172</v>
      </c>
      <c r="B183" s="105">
        <v>114</v>
      </c>
      <c r="C183" s="105">
        <v>115</v>
      </c>
      <c r="D183" s="61" t="s">
        <v>227</v>
      </c>
      <c r="E183" s="102">
        <v>0</v>
      </c>
      <c r="F183" s="102">
        <v>0</v>
      </c>
    </row>
    <row r="184" spans="1:6" x14ac:dyDescent="0.25">
      <c r="A184" s="105">
        <v>173</v>
      </c>
      <c r="B184" s="105">
        <v>116</v>
      </c>
      <c r="C184" s="105">
        <v>117</v>
      </c>
      <c r="D184" s="61" t="s">
        <v>227</v>
      </c>
      <c r="E184" s="102">
        <v>0</v>
      </c>
      <c r="F184" s="102">
        <v>0</v>
      </c>
    </row>
    <row r="185" spans="1:6" x14ac:dyDescent="0.25">
      <c r="A185" s="105">
        <v>174</v>
      </c>
      <c r="B185" s="105">
        <v>117</v>
      </c>
      <c r="C185" s="105">
        <v>118</v>
      </c>
      <c r="D185" s="61" t="s">
        <v>227</v>
      </c>
      <c r="E185" s="102">
        <v>0</v>
      </c>
      <c r="F185" s="102">
        <v>0</v>
      </c>
    </row>
    <row r="186" spans="1:6" x14ac:dyDescent="0.25">
      <c r="A186" s="105">
        <v>175</v>
      </c>
      <c r="B186" s="105">
        <v>118</v>
      </c>
      <c r="C186" s="105">
        <v>119</v>
      </c>
      <c r="D186" s="61" t="s">
        <v>227</v>
      </c>
      <c r="E186" s="102">
        <v>0</v>
      </c>
      <c r="F186" s="102">
        <v>0</v>
      </c>
    </row>
    <row r="187" spans="1:6" x14ac:dyDescent="0.25">
      <c r="A187" s="105">
        <v>176</v>
      </c>
      <c r="B187" s="105">
        <v>119</v>
      </c>
      <c r="C187" s="105">
        <v>120</v>
      </c>
      <c r="D187" s="61" t="s">
        <v>227</v>
      </c>
      <c r="E187" s="102">
        <v>0</v>
      </c>
      <c r="F187" s="102">
        <v>0</v>
      </c>
    </row>
    <row r="188" spans="1:6" x14ac:dyDescent="0.25">
      <c r="A188" s="105">
        <v>177</v>
      </c>
      <c r="B188" s="105">
        <v>121</v>
      </c>
      <c r="C188" s="105">
        <v>122</v>
      </c>
      <c r="D188" s="61" t="s">
        <v>227</v>
      </c>
      <c r="E188" s="102">
        <v>0</v>
      </c>
      <c r="F188" s="102">
        <v>0</v>
      </c>
    </row>
    <row r="189" spans="1:6" x14ac:dyDescent="0.25">
      <c r="A189" s="105">
        <v>178</v>
      </c>
      <c r="B189" s="105">
        <v>122</v>
      </c>
      <c r="C189" s="105">
        <v>123</v>
      </c>
      <c r="D189" s="61" t="s">
        <v>227</v>
      </c>
      <c r="E189" s="102">
        <v>0</v>
      </c>
      <c r="F189" s="102">
        <v>0</v>
      </c>
    </row>
    <row r="190" spans="1:6" x14ac:dyDescent="0.25">
      <c r="A190" s="105">
        <v>179</v>
      </c>
      <c r="B190" s="105">
        <v>123</v>
      </c>
      <c r="C190" s="105">
        <v>124</v>
      </c>
      <c r="D190" s="61" t="s">
        <v>227</v>
      </c>
      <c r="E190" s="102">
        <v>0</v>
      </c>
      <c r="F190" s="102">
        <v>0</v>
      </c>
    </row>
    <row r="191" spans="1:6" x14ac:dyDescent="0.25">
      <c r="A191" s="105">
        <v>180</v>
      </c>
      <c r="B191" s="105">
        <v>124</v>
      </c>
      <c r="C191" s="105">
        <v>125</v>
      </c>
      <c r="D191" s="61" t="s">
        <v>227</v>
      </c>
      <c r="E191" s="102">
        <v>0</v>
      </c>
      <c r="F191" s="102">
        <v>0</v>
      </c>
    </row>
    <row r="192" spans="1:6" x14ac:dyDescent="0.25">
      <c r="A192" s="105">
        <v>181</v>
      </c>
      <c r="B192" s="105">
        <v>26</v>
      </c>
      <c r="C192" s="105">
        <v>31</v>
      </c>
      <c r="D192" s="61" t="s">
        <v>227</v>
      </c>
      <c r="E192" s="102">
        <v>0</v>
      </c>
      <c r="F192" s="102">
        <v>0</v>
      </c>
    </row>
    <row r="193" spans="1:6" x14ac:dyDescent="0.25">
      <c r="A193" s="105">
        <v>182</v>
      </c>
      <c r="B193" s="105">
        <v>27</v>
      </c>
      <c r="C193" s="105">
        <v>32</v>
      </c>
      <c r="D193" s="61" t="s">
        <v>227</v>
      </c>
      <c r="E193" s="102">
        <v>0</v>
      </c>
      <c r="F193" s="102">
        <v>0</v>
      </c>
    </row>
    <row r="194" spans="1:6" x14ac:dyDescent="0.25">
      <c r="A194" s="105">
        <v>183</v>
      </c>
      <c r="B194" s="105">
        <v>28</v>
      </c>
      <c r="C194" s="105">
        <v>33</v>
      </c>
      <c r="D194" s="61" t="s">
        <v>227</v>
      </c>
      <c r="E194" s="102">
        <v>0</v>
      </c>
      <c r="F194" s="102">
        <v>0</v>
      </c>
    </row>
    <row r="195" spans="1:6" x14ac:dyDescent="0.25">
      <c r="A195" s="105">
        <v>184</v>
      </c>
      <c r="B195" s="105">
        <v>29</v>
      </c>
      <c r="C195" s="105">
        <v>34</v>
      </c>
      <c r="D195" s="61" t="s">
        <v>227</v>
      </c>
      <c r="E195" s="102">
        <v>0</v>
      </c>
      <c r="F195" s="102">
        <v>0</v>
      </c>
    </row>
    <row r="196" spans="1:6" x14ac:dyDescent="0.25">
      <c r="A196" s="105">
        <v>185</v>
      </c>
      <c r="B196" s="105">
        <v>30</v>
      </c>
      <c r="C196" s="105">
        <v>35</v>
      </c>
      <c r="D196" s="61" t="s">
        <v>227</v>
      </c>
      <c r="E196" s="102">
        <v>0</v>
      </c>
      <c r="F196" s="102">
        <v>0</v>
      </c>
    </row>
    <row r="197" spans="1:6" x14ac:dyDescent="0.25">
      <c r="A197" s="105">
        <v>186</v>
      </c>
      <c r="B197" s="105">
        <v>31</v>
      </c>
      <c r="C197" s="105">
        <v>36</v>
      </c>
      <c r="D197" s="61" t="s">
        <v>227</v>
      </c>
      <c r="E197" s="102">
        <v>0</v>
      </c>
      <c r="F197" s="102">
        <v>0</v>
      </c>
    </row>
    <row r="198" spans="1:6" x14ac:dyDescent="0.25">
      <c r="A198" s="105">
        <v>187</v>
      </c>
      <c r="B198" s="105">
        <v>32</v>
      </c>
      <c r="C198" s="105">
        <v>37</v>
      </c>
      <c r="D198" s="61" t="s">
        <v>227</v>
      </c>
      <c r="E198" s="102">
        <v>0</v>
      </c>
      <c r="F198" s="102">
        <v>0</v>
      </c>
    </row>
    <row r="199" spans="1:6" x14ac:dyDescent="0.25">
      <c r="A199" s="105">
        <v>188</v>
      </c>
      <c r="B199" s="105">
        <v>33</v>
      </c>
      <c r="C199" s="105">
        <v>38</v>
      </c>
      <c r="D199" s="61" t="s">
        <v>227</v>
      </c>
      <c r="E199" s="102">
        <v>0</v>
      </c>
      <c r="F199" s="102">
        <v>0</v>
      </c>
    </row>
    <row r="200" spans="1:6" x14ac:dyDescent="0.25">
      <c r="A200" s="105">
        <v>189</v>
      </c>
      <c r="B200" s="105">
        <v>34</v>
      </c>
      <c r="C200" s="105">
        <v>39</v>
      </c>
      <c r="D200" s="61" t="s">
        <v>227</v>
      </c>
      <c r="E200" s="102">
        <v>0</v>
      </c>
      <c r="F200" s="102">
        <v>0</v>
      </c>
    </row>
    <row r="201" spans="1:6" x14ac:dyDescent="0.25">
      <c r="A201" s="105">
        <v>190</v>
      </c>
      <c r="B201" s="105">
        <v>35</v>
      </c>
      <c r="C201" s="105">
        <v>40</v>
      </c>
      <c r="D201" s="61" t="s">
        <v>227</v>
      </c>
      <c r="E201" s="102">
        <v>0</v>
      </c>
      <c r="F201" s="102">
        <v>0</v>
      </c>
    </row>
    <row r="202" spans="1:6" x14ac:dyDescent="0.25">
      <c r="A202" s="105">
        <v>191</v>
      </c>
      <c r="B202" s="105">
        <v>36</v>
      </c>
      <c r="C202" s="105">
        <v>41</v>
      </c>
      <c r="D202" s="61" t="s">
        <v>227</v>
      </c>
      <c r="E202" s="102">
        <v>0</v>
      </c>
      <c r="F202" s="102">
        <v>0</v>
      </c>
    </row>
    <row r="203" spans="1:6" x14ac:dyDescent="0.25">
      <c r="A203" s="105">
        <v>192</v>
      </c>
      <c r="B203" s="105">
        <v>37</v>
      </c>
      <c r="C203" s="105">
        <v>42</v>
      </c>
      <c r="D203" s="61" t="s">
        <v>227</v>
      </c>
      <c r="E203" s="102">
        <v>0</v>
      </c>
      <c r="F203" s="102">
        <v>0</v>
      </c>
    </row>
    <row r="204" spans="1:6" x14ac:dyDescent="0.25">
      <c r="A204" s="105">
        <v>193</v>
      </c>
      <c r="B204" s="105">
        <v>38</v>
      </c>
      <c r="C204" s="105">
        <v>43</v>
      </c>
      <c r="D204" s="61" t="s">
        <v>227</v>
      </c>
      <c r="E204" s="102">
        <v>0</v>
      </c>
      <c r="F204" s="102">
        <v>0</v>
      </c>
    </row>
    <row r="205" spans="1:6" x14ac:dyDescent="0.25">
      <c r="A205" s="105">
        <v>194</v>
      </c>
      <c r="B205" s="105">
        <v>39</v>
      </c>
      <c r="C205" s="105">
        <v>44</v>
      </c>
      <c r="D205" s="61" t="s">
        <v>227</v>
      </c>
      <c r="E205" s="102">
        <v>0</v>
      </c>
      <c r="F205" s="102">
        <v>0</v>
      </c>
    </row>
    <row r="206" spans="1:6" x14ac:dyDescent="0.25">
      <c r="A206" s="105">
        <v>195</v>
      </c>
      <c r="B206" s="105">
        <v>40</v>
      </c>
      <c r="C206" s="105">
        <v>45</v>
      </c>
      <c r="D206" s="61" t="s">
        <v>227</v>
      </c>
      <c r="E206" s="102">
        <v>0</v>
      </c>
      <c r="F206" s="102">
        <v>0</v>
      </c>
    </row>
    <row r="207" spans="1:6" x14ac:dyDescent="0.25">
      <c r="A207" s="105">
        <v>196</v>
      </c>
      <c r="B207" s="105">
        <v>41</v>
      </c>
      <c r="C207" s="105">
        <v>46</v>
      </c>
      <c r="D207" s="61" t="s">
        <v>227</v>
      </c>
      <c r="E207" s="102">
        <v>0</v>
      </c>
      <c r="F207" s="102">
        <v>0</v>
      </c>
    </row>
    <row r="208" spans="1:6" x14ac:dyDescent="0.25">
      <c r="A208" s="105">
        <v>197</v>
      </c>
      <c r="B208" s="105">
        <v>42</v>
      </c>
      <c r="C208" s="105">
        <v>47</v>
      </c>
      <c r="D208" s="61" t="s">
        <v>227</v>
      </c>
      <c r="E208" s="102">
        <v>0</v>
      </c>
      <c r="F208" s="102">
        <v>0</v>
      </c>
    </row>
    <row r="209" spans="1:6" x14ac:dyDescent="0.25">
      <c r="A209" s="105">
        <v>198</v>
      </c>
      <c r="B209" s="105">
        <v>43</v>
      </c>
      <c r="C209" s="105">
        <v>48</v>
      </c>
      <c r="D209" s="61" t="s">
        <v>227</v>
      </c>
      <c r="E209" s="102">
        <v>0</v>
      </c>
      <c r="F209" s="102">
        <v>0</v>
      </c>
    </row>
    <row r="210" spans="1:6" x14ac:dyDescent="0.25">
      <c r="A210" s="105">
        <v>199</v>
      </c>
      <c r="B210" s="105">
        <v>44</v>
      </c>
      <c r="C210" s="105">
        <v>49</v>
      </c>
      <c r="D210" s="61" t="s">
        <v>227</v>
      </c>
      <c r="E210" s="102">
        <v>0</v>
      </c>
      <c r="F210" s="102">
        <v>0</v>
      </c>
    </row>
    <row r="211" spans="1:6" x14ac:dyDescent="0.25">
      <c r="A211" s="105">
        <v>200</v>
      </c>
      <c r="B211" s="105">
        <v>45</v>
      </c>
      <c r="C211" s="105">
        <v>50</v>
      </c>
      <c r="D211" s="61" t="s">
        <v>227</v>
      </c>
      <c r="E211" s="102">
        <v>0</v>
      </c>
      <c r="F211" s="102">
        <v>0</v>
      </c>
    </row>
    <row r="212" spans="1:6" x14ac:dyDescent="0.25">
      <c r="A212" s="105">
        <v>201</v>
      </c>
      <c r="B212" s="105">
        <v>51</v>
      </c>
      <c r="C212" s="105">
        <v>56</v>
      </c>
      <c r="D212" s="61" t="s">
        <v>227</v>
      </c>
      <c r="E212" s="102">
        <v>0</v>
      </c>
      <c r="F212" s="102">
        <v>0</v>
      </c>
    </row>
    <row r="213" spans="1:6" x14ac:dyDescent="0.25">
      <c r="A213" s="105">
        <v>202</v>
      </c>
      <c r="B213" s="105">
        <v>52</v>
      </c>
      <c r="C213" s="105">
        <v>57</v>
      </c>
      <c r="D213" s="61" t="s">
        <v>227</v>
      </c>
      <c r="E213" s="102">
        <v>0</v>
      </c>
      <c r="F213" s="102">
        <v>0</v>
      </c>
    </row>
    <row r="214" spans="1:6" x14ac:dyDescent="0.25">
      <c r="A214" s="105">
        <v>203</v>
      </c>
      <c r="B214" s="105">
        <v>53</v>
      </c>
      <c r="C214" s="105">
        <v>58</v>
      </c>
      <c r="D214" s="61" t="s">
        <v>227</v>
      </c>
      <c r="E214" s="102">
        <v>0</v>
      </c>
      <c r="F214" s="102">
        <v>0</v>
      </c>
    </row>
    <row r="215" spans="1:6" x14ac:dyDescent="0.25">
      <c r="A215" s="105">
        <v>204</v>
      </c>
      <c r="B215" s="105">
        <v>54</v>
      </c>
      <c r="C215" s="105">
        <v>59</v>
      </c>
      <c r="D215" s="61" t="s">
        <v>227</v>
      </c>
      <c r="E215" s="102">
        <v>0</v>
      </c>
      <c r="F215" s="102">
        <v>0</v>
      </c>
    </row>
    <row r="216" spans="1:6" x14ac:dyDescent="0.25">
      <c r="A216" s="105">
        <v>205</v>
      </c>
      <c r="B216" s="105">
        <v>55</v>
      </c>
      <c r="C216" s="105">
        <v>60</v>
      </c>
      <c r="D216" s="61" t="s">
        <v>227</v>
      </c>
      <c r="E216" s="102">
        <v>0</v>
      </c>
      <c r="F216" s="102">
        <v>0</v>
      </c>
    </row>
    <row r="217" spans="1:6" x14ac:dyDescent="0.25">
      <c r="A217" s="105">
        <v>206</v>
      </c>
      <c r="B217" s="105">
        <v>56</v>
      </c>
      <c r="C217" s="105">
        <v>61</v>
      </c>
      <c r="D217" s="61" t="s">
        <v>227</v>
      </c>
      <c r="E217" s="102">
        <v>0</v>
      </c>
      <c r="F217" s="102">
        <v>0</v>
      </c>
    </row>
    <row r="218" spans="1:6" x14ac:dyDescent="0.25">
      <c r="A218" s="105">
        <v>207</v>
      </c>
      <c r="B218" s="105">
        <v>57</v>
      </c>
      <c r="C218" s="105">
        <v>62</v>
      </c>
      <c r="D218" s="61" t="s">
        <v>227</v>
      </c>
      <c r="E218" s="102">
        <v>0</v>
      </c>
      <c r="F218" s="102">
        <v>0</v>
      </c>
    </row>
    <row r="219" spans="1:6" x14ac:dyDescent="0.25">
      <c r="A219" s="105">
        <v>208</v>
      </c>
      <c r="B219" s="105">
        <v>58</v>
      </c>
      <c r="C219" s="105">
        <v>63</v>
      </c>
      <c r="D219" s="61" t="s">
        <v>227</v>
      </c>
      <c r="E219" s="102">
        <v>0</v>
      </c>
      <c r="F219" s="102">
        <v>0</v>
      </c>
    </row>
    <row r="220" spans="1:6" x14ac:dyDescent="0.25">
      <c r="A220" s="105">
        <v>209</v>
      </c>
      <c r="B220" s="105">
        <v>59</v>
      </c>
      <c r="C220" s="105">
        <v>64</v>
      </c>
      <c r="D220" s="61" t="s">
        <v>227</v>
      </c>
      <c r="E220" s="102">
        <v>0</v>
      </c>
      <c r="F220" s="102">
        <v>0</v>
      </c>
    </row>
    <row r="221" spans="1:6" x14ac:dyDescent="0.25">
      <c r="A221" s="105">
        <v>210</v>
      </c>
      <c r="B221" s="105">
        <v>60</v>
      </c>
      <c r="C221" s="105">
        <v>65</v>
      </c>
      <c r="D221" s="61" t="s">
        <v>227</v>
      </c>
      <c r="E221" s="102">
        <v>0</v>
      </c>
      <c r="F221" s="102">
        <v>0</v>
      </c>
    </row>
    <row r="222" spans="1:6" x14ac:dyDescent="0.25">
      <c r="A222" s="105">
        <v>211</v>
      </c>
      <c r="B222" s="105">
        <v>61</v>
      </c>
      <c r="C222" s="105">
        <v>66</v>
      </c>
      <c r="D222" s="61" t="s">
        <v>227</v>
      </c>
      <c r="E222" s="102">
        <v>0</v>
      </c>
      <c r="F222" s="102">
        <v>0</v>
      </c>
    </row>
    <row r="223" spans="1:6" x14ac:dyDescent="0.25">
      <c r="A223" s="105">
        <v>212</v>
      </c>
      <c r="B223" s="105">
        <v>62</v>
      </c>
      <c r="C223" s="105">
        <v>67</v>
      </c>
      <c r="D223" s="61" t="s">
        <v>227</v>
      </c>
      <c r="E223" s="102">
        <v>0</v>
      </c>
      <c r="F223" s="102">
        <v>0</v>
      </c>
    </row>
    <row r="224" spans="1:6" x14ac:dyDescent="0.25">
      <c r="A224" s="105">
        <v>213</v>
      </c>
      <c r="B224" s="105">
        <v>63</v>
      </c>
      <c r="C224" s="105">
        <v>68</v>
      </c>
      <c r="D224" s="61" t="s">
        <v>227</v>
      </c>
      <c r="E224" s="102">
        <v>0</v>
      </c>
      <c r="F224" s="102">
        <v>0</v>
      </c>
    </row>
    <row r="225" spans="1:6" x14ac:dyDescent="0.25">
      <c r="A225" s="105">
        <v>214</v>
      </c>
      <c r="B225" s="105">
        <v>64</v>
      </c>
      <c r="C225" s="105">
        <v>69</v>
      </c>
      <c r="D225" s="61" t="s">
        <v>227</v>
      </c>
      <c r="E225" s="102">
        <v>0</v>
      </c>
      <c r="F225" s="102">
        <v>0</v>
      </c>
    </row>
    <row r="226" spans="1:6" x14ac:dyDescent="0.25">
      <c r="A226" s="105">
        <v>215</v>
      </c>
      <c r="B226" s="105">
        <v>65</v>
      </c>
      <c r="C226" s="105">
        <v>70</v>
      </c>
      <c r="D226" s="61" t="s">
        <v>227</v>
      </c>
      <c r="E226" s="102">
        <v>0</v>
      </c>
      <c r="F226" s="102">
        <v>0</v>
      </c>
    </row>
    <row r="227" spans="1:6" x14ac:dyDescent="0.25">
      <c r="A227" s="105">
        <v>216</v>
      </c>
      <c r="B227" s="105">
        <v>66</v>
      </c>
      <c r="C227" s="105">
        <v>71</v>
      </c>
      <c r="D227" s="61" t="s">
        <v>227</v>
      </c>
      <c r="E227" s="102">
        <v>0</v>
      </c>
      <c r="F227" s="102">
        <v>0</v>
      </c>
    </row>
    <row r="228" spans="1:6" x14ac:dyDescent="0.25">
      <c r="A228" s="105">
        <v>217</v>
      </c>
      <c r="B228" s="105">
        <v>67</v>
      </c>
      <c r="C228" s="105">
        <v>72</v>
      </c>
      <c r="D228" s="61" t="s">
        <v>227</v>
      </c>
      <c r="E228" s="102">
        <v>0</v>
      </c>
      <c r="F228" s="102">
        <v>0</v>
      </c>
    </row>
    <row r="229" spans="1:6" x14ac:dyDescent="0.25">
      <c r="A229" s="105">
        <v>218</v>
      </c>
      <c r="B229" s="105">
        <v>68</v>
      </c>
      <c r="C229" s="105">
        <v>73</v>
      </c>
      <c r="D229" s="61" t="s">
        <v>227</v>
      </c>
      <c r="E229" s="102">
        <v>0</v>
      </c>
      <c r="F229" s="102">
        <v>0</v>
      </c>
    </row>
    <row r="230" spans="1:6" x14ac:dyDescent="0.25">
      <c r="A230" s="105">
        <v>219</v>
      </c>
      <c r="B230" s="105">
        <v>69</v>
      </c>
      <c r="C230" s="105">
        <v>74</v>
      </c>
      <c r="D230" s="61" t="s">
        <v>227</v>
      </c>
      <c r="E230" s="102">
        <v>0</v>
      </c>
      <c r="F230" s="102">
        <v>0</v>
      </c>
    </row>
    <row r="231" spans="1:6" x14ac:dyDescent="0.25">
      <c r="A231" s="105">
        <v>220</v>
      </c>
      <c r="B231" s="105">
        <v>70</v>
      </c>
      <c r="C231" s="105">
        <v>75</v>
      </c>
      <c r="D231" s="61" t="s">
        <v>227</v>
      </c>
      <c r="E231" s="102">
        <v>0</v>
      </c>
      <c r="F231" s="102">
        <v>0</v>
      </c>
    </row>
    <row r="232" spans="1:6" x14ac:dyDescent="0.25">
      <c r="A232" s="105">
        <v>221</v>
      </c>
      <c r="B232" s="105">
        <v>76</v>
      </c>
      <c r="C232" s="105">
        <v>81</v>
      </c>
      <c r="D232" s="61" t="s">
        <v>227</v>
      </c>
      <c r="E232" s="102">
        <v>0</v>
      </c>
      <c r="F232" s="102">
        <v>0</v>
      </c>
    </row>
    <row r="233" spans="1:6" x14ac:dyDescent="0.25">
      <c r="A233" s="105">
        <v>222</v>
      </c>
      <c r="B233" s="105">
        <v>77</v>
      </c>
      <c r="C233" s="105">
        <v>82</v>
      </c>
      <c r="D233" s="61" t="s">
        <v>227</v>
      </c>
      <c r="E233" s="102">
        <v>0</v>
      </c>
      <c r="F233" s="102">
        <v>0</v>
      </c>
    </row>
    <row r="234" spans="1:6" x14ac:dyDescent="0.25">
      <c r="A234" s="105">
        <v>223</v>
      </c>
      <c r="B234" s="105">
        <v>78</v>
      </c>
      <c r="C234" s="105">
        <v>83</v>
      </c>
      <c r="D234" s="61" t="s">
        <v>227</v>
      </c>
      <c r="E234" s="102">
        <v>0</v>
      </c>
      <c r="F234" s="102">
        <v>0</v>
      </c>
    </row>
    <row r="235" spans="1:6" x14ac:dyDescent="0.25">
      <c r="A235" s="105">
        <v>224</v>
      </c>
      <c r="B235" s="105">
        <v>79</v>
      </c>
      <c r="C235" s="105">
        <v>84</v>
      </c>
      <c r="D235" s="61" t="s">
        <v>227</v>
      </c>
      <c r="E235" s="102">
        <v>0</v>
      </c>
      <c r="F235" s="102">
        <v>0</v>
      </c>
    </row>
    <row r="236" spans="1:6" x14ac:dyDescent="0.25">
      <c r="A236" s="105">
        <v>225</v>
      </c>
      <c r="B236" s="105">
        <v>80</v>
      </c>
      <c r="C236" s="105">
        <v>85</v>
      </c>
      <c r="D236" s="61" t="s">
        <v>227</v>
      </c>
      <c r="E236" s="102">
        <v>0</v>
      </c>
      <c r="F236" s="102">
        <v>0</v>
      </c>
    </row>
    <row r="237" spans="1:6" x14ac:dyDescent="0.25">
      <c r="A237" s="105">
        <v>226</v>
      </c>
      <c r="B237" s="105">
        <v>81</v>
      </c>
      <c r="C237" s="105">
        <v>86</v>
      </c>
      <c r="D237" s="61" t="s">
        <v>227</v>
      </c>
      <c r="E237" s="102">
        <v>0</v>
      </c>
      <c r="F237" s="102">
        <v>0</v>
      </c>
    </row>
    <row r="238" spans="1:6" x14ac:dyDescent="0.25">
      <c r="A238" s="105">
        <v>227</v>
      </c>
      <c r="B238" s="105">
        <v>82</v>
      </c>
      <c r="C238" s="105">
        <v>87</v>
      </c>
      <c r="D238" s="61" t="s">
        <v>227</v>
      </c>
      <c r="E238" s="102">
        <v>0</v>
      </c>
      <c r="F238" s="102">
        <v>0</v>
      </c>
    </row>
    <row r="239" spans="1:6" x14ac:dyDescent="0.25">
      <c r="A239" s="105">
        <v>228</v>
      </c>
      <c r="B239" s="105">
        <v>83</v>
      </c>
      <c r="C239" s="105">
        <v>88</v>
      </c>
      <c r="D239" s="61" t="s">
        <v>227</v>
      </c>
      <c r="E239" s="102">
        <v>0</v>
      </c>
      <c r="F239" s="102">
        <v>0</v>
      </c>
    </row>
    <row r="240" spans="1:6" x14ac:dyDescent="0.25">
      <c r="A240" s="105">
        <v>229</v>
      </c>
      <c r="B240" s="105">
        <v>84</v>
      </c>
      <c r="C240" s="105">
        <v>89</v>
      </c>
      <c r="D240" s="61" t="s">
        <v>227</v>
      </c>
      <c r="E240" s="102">
        <v>0</v>
      </c>
      <c r="F240" s="102">
        <v>0</v>
      </c>
    </row>
    <row r="241" spans="1:6" x14ac:dyDescent="0.25">
      <c r="A241" s="105">
        <v>230</v>
      </c>
      <c r="B241" s="105">
        <v>85</v>
      </c>
      <c r="C241" s="105">
        <v>90</v>
      </c>
      <c r="D241" s="61" t="s">
        <v>227</v>
      </c>
      <c r="E241" s="102">
        <v>0</v>
      </c>
      <c r="F241" s="102">
        <v>0</v>
      </c>
    </row>
    <row r="242" spans="1:6" x14ac:dyDescent="0.25">
      <c r="A242" s="105">
        <v>231</v>
      </c>
      <c r="B242" s="105">
        <v>86</v>
      </c>
      <c r="C242" s="105">
        <v>91</v>
      </c>
      <c r="D242" s="61" t="s">
        <v>227</v>
      </c>
      <c r="E242" s="102">
        <v>0</v>
      </c>
      <c r="F242" s="102">
        <v>0</v>
      </c>
    </row>
    <row r="243" spans="1:6" x14ac:dyDescent="0.25">
      <c r="A243" s="105">
        <v>232</v>
      </c>
      <c r="B243" s="105">
        <v>87</v>
      </c>
      <c r="C243" s="105">
        <v>92</v>
      </c>
      <c r="D243" s="61" t="s">
        <v>227</v>
      </c>
      <c r="E243" s="102">
        <v>0</v>
      </c>
      <c r="F243" s="102">
        <v>0</v>
      </c>
    </row>
    <row r="244" spans="1:6" x14ac:dyDescent="0.25">
      <c r="A244" s="105">
        <v>233</v>
      </c>
      <c r="B244" s="105">
        <v>88</v>
      </c>
      <c r="C244" s="105">
        <v>93</v>
      </c>
      <c r="D244" s="61" t="s">
        <v>227</v>
      </c>
      <c r="E244" s="102">
        <v>0</v>
      </c>
      <c r="F244" s="102">
        <v>0</v>
      </c>
    </row>
    <row r="245" spans="1:6" x14ac:dyDescent="0.25">
      <c r="A245" s="105">
        <v>234</v>
      </c>
      <c r="B245" s="105">
        <v>89</v>
      </c>
      <c r="C245" s="105">
        <v>94</v>
      </c>
      <c r="D245" s="61" t="s">
        <v>227</v>
      </c>
      <c r="E245" s="102">
        <v>0</v>
      </c>
      <c r="F245" s="102">
        <v>0</v>
      </c>
    </row>
    <row r="246" spans="1:6" x14ac:dyDescent="0.25">
      <c r="A246" s="105">
        <v>235</v>
      </c>
      <c r="B246" s="105">
        <v>90</v>
      </c>
      <c r="C246" s="105">
        <v>95</v>
      </c>
      <c r="D246" s="61" t="s">
        <v>227</v>
      </c>
      <c r="E246" s="102">
        <v>0</v>
      </c>
      <c r="F246" s="102">
        <v>0</v>
      </c>
    </row>
    <row r="247" spans="1:6" x14ac:dyDescent="0.25">
      <c r="A247" s="105">
        <v>236</v>
      </c>
      <c r="B247" s="105">
        <v>91</v>
      </c>
      <c r="C247" s="105">
        <v>96</v>
      </c>
      <c r="D247" s="61" t="s">
        <v>227</v>
      </c>
      <c r="E247" s="102">
        <v>0</v>
      </c>
      <c r="F247" s="102">
        <v>0</v>
      </c>
    </row>
    <row r="248" spans="1:6" x14ac:dyDescent="0.25">
      <c r="A248" s="105">
        <v>237</v>
      </c>
      <c r="B248" s="105">
        <v>92</v>
      </c>
      <c r="C248" s="105">
        <v>97</v>
      </c>
      <c r="D248" s="61" t="s">
        <v>227</v>
      </c>
      <c r="E248" s="102">
        <v>0</v>
      </c>
      <c r="F248" s="102">
        <v>0</v>
      </c>
    </row>
    <row r="249" spans="1:6" x14ac:dyDescent="0.25">
      <c r="A249" s="105">
        <v>238</v>
      </c>
      <c r="B249" s="105">
        <v>93</v>
      </c>
      <c r="C249" s="105">
        <v>98</v>
      </c>
      <c r="D249" s="61" t="s">
        <v>227</v>
      </c>
      <c r="E249" s="102">
        <v>0</v>
      </c>
      <c r="F249" s="102">
        <v>0</v>
      </c>
    </row>
    <row r="250" spans="1:6" x14ac:dyDescent="0.25">
      <c r="A250" s="105">
        <v>239</v>
      </c>
      <c r="B250" s="105">
        <v>94</v>
      </c>
      <c r="C250" s="105">
        <v>99</v>
      </c>
      <c r="D250" s="61" t="s">
        <v>227</v>
      </c>
      <c r="E250" s="102">
        <v>0</v>
      </c>
      <c r="F250" s="102">
        <v>0</v>
      </c>
    </row>
    <row r="251" spans="1:6" x14ac:dyDescent="0.25">
      <c r="A251" s="105">
        <v>240</v>
      </c>
      <c r="B251" s="105">
        <v>95</v>
      </c>
      <c r="C251" s="105">
        <v>100</v>
      </c>
      <c r="D251" s="61" t="s">
        <v>227</v>
      </c>
      <c r="E251" s="102">
        <v>0</v>
      </c>
      <c r="F251" s="102">
        <v>0</v>
      </c>
    </row>
    <row r="252" spans="1:6" x14ac:dyDescent="0.25">
      <c r="A252" s="105">
        <v>241</v>
      </c>
      <c r="B252" s="105">
        <v>101</v>
      </c>
      <c r="C252" s="105">
        <v>106</v>
      </c>
      <c r="D252" s="61" t="s">
        <v>227</v>
      </c>
      <c r="E252" s="102">
        <v>0</v>
      </c>
      <c r="F252" s="102">
        <v>0</v>
      </c>
    </row>
    <row r="253" spans="1:6" x14ac:dyDescent="0.25">
      <c r="A253" s="105">
        <v>242</v>
      </c>
      <c r="B253" s="105">
        <v>102</v>
      </c>
      <c r="C253" s="105">
        <v>107</v>
      </c>
      <c r="D253" s="61" t="s">
        <v>227</v>
      </c>
      <c r="E253" s="102">
        <v>0</v>
      </c>
      <c r="F253" s="102">
        <v>0</v>
      </c>
    </row>
    <row r="254" spans="1:6" x14ac:dyDescent="0.25">
      <c r="A254" s="105">
        <v>243</v>
      </c>
      <c r="B254" s="105">
        <v>103</v>
      </c>
      <c r="C254" s="105">
        <v>108</v>
      </c>
      <c r="D254" s="61" t="s">
        <v>227</v>
      </c>
      <c r="E254" s="102">
        <v>0</v>
      </c>
      <c r="F254" s="102">
        <v>0</v>
      </c>
    </row>
    <row r="255" spans="1:6" x14ac:dyDescent="0.25">
      <c r="A255" s="105">
        <v>244</v>
      </c>
      <c r="B255" s="105">
        <v>104</v>
      </c>
      <c r="C255" s="105">
        <v>109</v>
      </c>
      <c r="D255" s="61" t="s">
        <v>227</v>
      </c>
      <c r="E255" s="102">
        <v>0</v>
      </c>
      <c r="F255" s="102">
        <v>0</v>
      </c>
    </row>
    <row r="256" spans="1:6" x14ac:dyDescent="0.25">
      <c r="A256" s="105">
        <v>245</v>
      </c>
      <c r="B256" s="105">
        <v>105</v>
      </c>
      <c r="C256" s="105">
        <v>110</v>
      </c>
      <c r="D256" s="61" t="s">
        <v>227</v>
      </c>
      <c r="E256" s="102">
        <v>0</v>
      </c>
      <c r="F256" s="102">
        <v>0</v>
      </c>
    </row>
    <row r="257" spans="1:6" x14ac:dyDescent="0.25">
      <c r="A257" s="105">
        <v>246</v>
      </c>
      <c r="B257" s="105">
        <v>106</v>
      </c>
      <c r="C257" s="105">
        <v>111</v>
      </c>
      <c r="D257" s="61" t="s">
        <v>227</v>
      </c>
      <c r="E257" s="102">
        <v>0</v>
      </c>
      <c r="F257" s="102">
        <v>0</v>
      </c>
    </row>
    <row r="258" spans="1:6" x14ac:dyDescent="0.25">
      <c r="A258" s="105">
        <v>247</v>
      </c>
      <c r="B258" s="105">
        <v>107</v>
      </c>
      <c r="C258" s="105">
        <v>112</v>
      </c>
      <c r="D258" s="61" t="s">
        <v>227</v>
      </c>
      <c r="E258" s="102">
        <v>0</v>
      </c>
      <c r="F258" s="102">
        <v>0</v>
      </c>
    </row>
    <row r="259" spans="1:6" x14ac:dyDescent="0.25">
      <c r="A259" s="105">
        <v>248</v>
      </c>
      <c r="B259" s="105">
        <v>108</v>
      </c>
      <c r="C259" s="105">
        <v>113</v>
      </c>
      <c r="D259" s="61" t="s">
        <v>227</v>
      </c>
      <c r="E259" s="102">
        <v>0</v>
      </c>
      <c r="F259" s="102">
        <v>0</v>
      </c>
    </row>
    <row r="260" spans="1:6" x14ac:dyDescent="0.25">
      <c r="A260" s="105">
        <v>249</v>
      </c>
      <c r="B260" s="105">
        <v>109</v>
      </c>
      <c r="C260" s="105">
        <v>114</v>
      </c>
      <c r="D260" s="61" t="s">
        <v>227</v>
      </c>
      <c r="E260" s="102">
        <v>0</v>
      </c>
      <c r="F260" s="102">
        <v>0</v>
      </c>
    </row>
    <row r="261" spans="1:6" x14ac:dyDescent="0.25">
      <c r="A261" s="105">
        <v>250</v>
      </c>
      <c r="B261" s="105">
        <v>110</v>
      </c>
      <c r="C261" s="105">
        <v>115</v>
      </c>
      <c r="D261" s="61" t="s">
        <v>227</v>
      </c>
      <c r="E261" s="102">
        <v>0</v>
      </c>
      <c r="F261" s="102">
        <v>0</v>
      </c>
    </row>
    <row r="262" spans="1:6" x14ac:dyDescent="0.25">
      <c r="A262" s="105">
        <v>251</v>
      </c>
      <c r="B262" s="105">
        <v>111</v>
      </c>
      <c r="C262" s="105">
        <v>116</v>
      </c>
      <c r="D262" s="61" t="s">
        <v>227</v>
      </c>
      <c r="E262" s="102">
        <v>0</v>
      </c>
      <c r="F262" s="102">
        <v>0</v>
      </c>
    </row>
    <row r="263" spans="1:6" x14ac:dyDescent="0.25">
      <c r="A263" s="105">
        <v>252</v>
      </c>
      <c r="B263" s="105">
        <v>112</v>
      </c>
      <c r="C263" s="105">
        <v>117</v>
      </c>
      <c r="D263" s="61" t="s">
        <v>227</v>
      </c>
      <c r="E263" s="102">
        <v>0</v>
      </c>
      <c r="F263" s="102">
        <v>0</v>
      </c>
    </row>
    <row r="264" spans="1:6" x14ac:dyDescent="0.25">
      <c r="A264" s="105">
        <v>253</v>
      </c>
      <c r="B264" s="105">
        <v>113</v>
      </c>
      <c r="C264" s="105">
        <v>118</v>
      </c>
      <c r="D264" s="61" t="s">
        <v>227</v>
      </c>
      <c r="E264" s="102">
        <v>0</v>
      </c>
      <c r="F264" s="102">
        <v>0</v>
      </c>
    </row>
    <row r="265" spans="1:6" x14ac:dyDescent="0.25">
      <c r="A265" s="105">
        <v>254</v>
      </c>
      <c r="B265" s="105">
        <v>114</v>
      </c>
      <c r="C265" s="105">
        <v>119</v>
      </c>
      <c r="D265" s="61" t="s">
        <v>227</v>
      </c>
      <c r="E265" s="102">
        <v>0</v>
      </c>
      <c r="F265" s="102">
        <v>0</v>
      </c>
    </row>
    <row r="266" spans="1:6" x14ac:dyDescent="0.25">
      <c r="A266" s="105">
        <v>255</v>
      </c>
      <c r="B266" s="105">
        <v>115</v>
      </c>
      <c r="C266" s="105">
        <v>120</v>
      </c>
      <c r="D266" s="61" t="s">
        <v>227</v>
      </c>
      <c r="E266" s="102">
        <v>0</v>
      </c>
      <c r="F266" s="102">
        <v>0</v>
      </c>
    </row>
    <row r="267" spans="1:6" x14ac:dyDescent="0.25">
      <c r="A267" s="105">
        <v>256</v>
      </c>
      <c r="B267" s="105">
        <v>116</v>
      </c>
      <c r="C267" s="105">
        <v>121</v>
      </c>
      <c r="D267" s="61" t="s">
        <v>227</v>
      </c>
      <c r="E267" s="102">
        <v>0</v>
      </c>
      <c r="F267" s="102">
        <v>0</v>
      </c>
    </row>
    <row r="268" spans="1:6" x14ac:dyDescent="0.25">
      <c r="A268" s="105">
        <v>257</v>
      </c>
      <c r="B268" s="105">
        <v>117</v>
      </c>
      <c r="C268" s="105">
        <v>122</v>
      </c>
      <c r="D268" s="61" t="s">
        <v>227</v>
      </c>
      <c r="E268" s="102">
        <v>0</v>
      </c>
      <c r="F268" s="102">
        <v>0</v>
      </c>
    </row>
    <row r="269" spans="1:6" x14ac:dyDescent="0.25">
      <c r="A269" s="105">
        <v>258</v>
      </c>
      <c r="B269" s="105">
        <v>118</v>
      </c>
      <c r="C269" s="105">
        <v>123</v>
      </c>
      <c r="D269" s="61" t="s">
        <v>227</v>
      </c>
      <c r="E269" s="102">
        <v>0</v>
      </c>
      <c r="F269" s="102">
        <v>0</v>
      </c>
    </row>
    <row r="270" spans="1:6" x14ac:dyDescent="0.25">
      <c r="A270" s="105">
        <v>259</v>
      </c>
      <c r="B270" s="105">
        <v>119</v>
      </c>
      <c r="C270" s="105">
        <v>124</v>
      </c>
      <c r="D270" s="61" t="s">
        <v>227</v>
      </c>
      <c r="E270" s="102">
        <v>0</v>
      </c>
      <c r="F270" s="102">
        <v>0</v>
      </c>
    </row>
    <row r="271" spans="1:6" x14ac:dyDescent="0.25">
      <c r="A271" s="105">
        <v>260</v>
      </c>
      <c r="B271" s="105">
        <v>120</v>
      </c>
      <c r="C271" s="105">
        <v>125</v>
      </c>
      <c r="D271" s="61" t="s">
        <v>227</v>
      </c>
      <c r="E271" s="102">
        <v>0</v>
      </c>
      <c r="F271" s="102">
        <v>0</v>
      </c>
    </row>
  </sheetData>
  <conditionalFormatting sqref="E12:E1048576">
    <cfRule type="expression" dxfId="1" priority="2">
      <formula>OR(D12="Auto from Connectivity")</formula>
    </cfRule>
  </conditionalFormatting>
  <conditionalFormatting sqref="F12:F1048576">
    <cfRule type="expression" dxfId="0"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defaultColWidth="10.85546875" defaultRowHeight="15.75" x14ac:dyDescent="0.25"/>
  <cols>
    <col min="1" max="1" width="15.7109375" style="105" customWidth="1"/>
    <col min="2" max="5" width="10.7109375" style="105" customWidth="1"/>
    <col min="6" max="9" width="10.7109375" style="61" customWidth="1"/>
    <col min="10" max="16384" width="10.85546875" style="92"/>
  </cols>
  <sheetData>
    <row r="1" spans="1:9" x14ac:dyDescent="0.25">
      <c r="A1" s="106" t="s">
        <v>199</v>
      </c>
      <c r="B1" s="89"/>
      <c r="C1" s="89"/>
      <c r="D1" s="89"/>
      <c r="E1" s="89"/>
      <c r="F1" s="90"/>
      <c r="G1" s="90"/>
      <c r="H1" s="90"/>
      <c r="I1" s="91"/>
    </row>
    <row r="2" spans="1:9" x14ac:dyDescent="0.25">
      <c r="A2" s="96" t="s">
        <v>326</v>
      </c>
      <c r="B2" s="93"/>
      <c r="C2" s="93"/>
      <c r="D2" s="93"/>
      <c r="E2" s="93"/>
      <c r="F2" s="94"/>
      <c r="G2" s="94"/>
      <c r="H2" s="94"/>
      <c r="I2" s="95"/>
    </row>
    <row r="3" spans="1:9" x14ac:dyDescent="0.25">
      <c r="A3" s="107" t="s">
        <v>218</v>
      </c>
      <c r="B3" s="93"/>
      <c r="C3" s="93"/>
      <c r="D3" s="93"/>
      <c r="E3" s="93"/>
      <c r="F3" s="94"/>
      <c r="G3" s="94"/>
      <c r="H3" s="94"/>
      <c r="I3" s="95"/>
    </row>
    <row r="4" spans="1:9" x14ac:dyDescent="0.25">
      <c r="A4" s="76" t="s">
        <v>219</v>
      </c>
      <c r="B4" s="93"/>
      <c r="C4" s="93"/>
      <c r="D4" s="93"/>
      <c r="E4" s="93"/>
      <c r="F4" s="94"/>
      <c r="G4" s="94"/>
      <c r="H4" s="94"/>
      <c r="I4" s="95"/>
    </row>
    <row r="5" spans="1:9" x14ac:dyDescent="0.25">
      <c r="A5" s="76" t="s">
        <v>220</v>
      </c>
      <c r="B5" s="93"/>
      <c r="C5" s="93"/>
      <c r="D5" s="93"/>
      <c r="E5" s="93"/>
      <c r="F5" s="94"/>
      <c r="G5" s="94"/>
      <c r="H5" s="94"/>
      <c r="I5" s="95"/>
    </row>
    <row r="6" spans="1:9" x14ac:dyDescent="0.25">
      <c r="A6" s="108" t="s">
        <v>221</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323</v>
      </c>
      <c r="B8" s="17" t="s">
        <v>194</v>
      </c>
      <c r="C8" s="17" t="s">
        <v>195</v>
      </c>
      <c r="D8" s="17" t="s">
        <v>196</v>
      </c>
      <c r="E8" s="17" t="s">
        <v>197</v>
      </c>
      <c r="F8" s="61"/>
      <c r="G8" s="61"/>
      <c r="H8" s="61"/>
      <c r="I8" s="61"/>
    </row>
    <row r="9" spans="1:9" x14ac:dyDescent="0.25">
      <c r="A9" s="105">
        <v>1</v>
      </c>
      <c r="B9" s="105">
        <v>101</v>
      </c>
      <c r="C9" s="105">
        <v>182</v>
      </c>
      <c r="D9" s="105">
        <v>105</v>
      </c>
      <c r="E9" s="105">
        <v>181</v>
      </c>
    </row>
    <row r="10" spans="1:9" x14ac:dyDescent="0.25">
      <c r="A10" s="105">
        <v>2</v>
      </c>
      <c r="B10" s="105">
        <v>102</v>
      </c>
      <c r="C10" s="105">
        <v>183</v>
      </c>
      <c r="D10" s="105">
        <v>106</v>
      </c>
      <c r="E10" s="105">
        <v>182</v>
      </c>
    </row>
    <row r="11" spans="1:9" x14ac:dyDescent="0.25">
      <c r="A11" s="105">
        <v>3</v>
      </c>
      <c r="B11" s="105">
        <v>103</v>
      </c>
      <c r="C11" s="105">
        <v>184</v>
      </c>
      <c r="D11" s="105">
        <v>107</v>
      </c>
      <c r="E11" s="105">
        <v>183</v>
      </c>
    </row>
    <row r="12" spans="1:9" x14ac:dyDescent="0.25">
      <c r="A12" s="105">
        <v>4</v>
      </c>
      <c r="B12" s="105">
        <v>104</v>
      </c>
      <c r="C12" s="105">
        <v>185</v>
      </c>
      <c r="D12" s="105">
        <v>108</v>
      </c>
      <c r="E12" s="105">
        <v>184</v>
      </c>
    </row>
    <row r="13" spans="1:9" x14ac:dyDescent="0.25">
      <c r="A13" s="105">
        <v>5</v>
      </c>
      <c r="B13" s="105">
        <v>105</v>
      </c>
      <c r="C13" s="105">
        <v>187</v>
      </c>
      <c r="D13" s="105">
        <v>109</v>
      </c>
      <c r="E13" s="105">
        <v>186</v>
      </c>
    </row>
    <row r="14" spans="1:9" x14ac:dyDescent="0.25">
      <c r="A14" s="105">
        <v>6</v>
      </c>
      <c r="B14" s="105">
        <v>106</v>
      </c>
      <c r="C14" s="105">
        <v>188</v>
      </c>
      <c r="D14" s="105">
        <v>110</v>
      </c>
      <c r="E14" s="105">
        <v>187</v>
      </c>
    </row>
    <row r="15" spans="1:9" x14ac:dyDescent="0.25">
      <c r="A15" s="105">
        <v>7</v>
      </c>
      <c r="B15" s="105">
        <v>107</v>
      </c>
      <c r="C15" s="105">
        <v>189</v>
      </c>
      <c r="D15" s="105">
        <v>111</v>
      </c>
      <c r="E15" s="105">
        <v>188</v>
      </c>
    </row>
    <row r="16" spans="1:9" x14ac:dyDescent="0.25">
      <c r="A16" s="105">
        <v>8</v>
      </c>
      <c r="B16" s="105">
        <v>108</v>
      </c>
      <c r="C16" s="105">
        <v>190</v>
      </c>
      <c r="D16" s="105">
        <v>112</v>
      </c>
      <c r="E16" s="105">
        <v>189</v>
      </c>
    </row>
    <row r="17" spans="1:5" x14ac:dyDescent="0.25">
      <c r="A17" s="105">
        <v>9</v>
      </c>
      <c r="B17" s="105">
        <v>109</v>
      </c>
      <c r="C17" s="105">
        <v>192</v>
      </c>
      <c r="D17" s="105">
        <v>113</v>
      </c>
      <c r="E17" s="105">
        <v>191</v>
      </c>
    </row>
    <row r="18" spans="1:5" x14ac:dyDescent="0.25">
      <c r="A18" s="105">
        <v>10</v>
      </c>
      <c r="B18" s="105">
        <v>110</v>
      </c>
      <c r="C18" s="105">
        <v>193</v>
      </c>
      <c r="D18" s="105">
        <v>114</v>
      </c>
      <c r="E18" s="105">
        <v>192</v>
      </c>
    </row>
    <row r="19" spans="1:5" x14ac:dyDescent="0.25">
      <c r="A19" s="105">
        <v>11</v>
      </c>
      <c r="B19" s="105">
        <v>111</v>
      </c>
      <c r="C19" s="105">
        <v>194</v>
      </c>
      <c r="D19" s="105">
        <v>115</v>
      </c>
      <c r="E19" s="105">
        <v>193</v>
      </c>
    </row>
    <row r="20" spans="1:5" x14ac:dyDescent="0.25">
      <c r="A20" s="105">
        <v>12</v>
      </c>
      <c r="B20" s="105">
        <v>112</v>
      </c>
      <c r="C20" s="105">
        <v>195</v>
      </c>
      <c r="D20" s="105">
        <v>116</v>
      </c>
      <c r="E20" s="105">
        <v>194</v>
      </c>
    </row>
    <row r="21" spans="1:5" x14ac:dyDescent="0.25">
      <c r="A21" s="105">
        <v>13</v>
      </c>
      <c r="B21" s="105">
        <v>113</v>
      </c>
      <c r="C21" s="105">
        <v>197</v>
      </c>
      <c r="D21" s="105">
        <v>117</v>
      </c>
      <c r="E21" s="105">
        <v>196</v>
      </c>
    </row>
    <row r="22" spans="1:5" x14ac:dyDescent="0.25">
      <c r="A22" s="105">
        <v>14</v>
      </c>
      <c r="B22" s="105">
        <v>114</v>
      </c>
      <c r="C22" s="105">
        <v>198</v>
      </c>
      <c r="D22" s="105">
        <v>118</v>
      </c>
      <c r="E22" s="105">
        <v>197</v>
      </c>
    </row>
    <row r="23" spans="1:5" x14ac:dyDescent="0.25">
      <c r="A23" s="105">
        <v>15</v>
      </c>
      <c r="B23" s="105">
        <v>115</v>
      </c>
      <c r="C23" s="105">
        <v>199</v>
      </c>
      <c r="D23" s="105">
        <v>119</v>
      </c>
      <c r="E23" s="105">
        <v>198</v>
      </c>
    </row>
    <row r="24" spans="1:5" x14ac:dyDescent="0.25">
      <c r="A24" s="105">
        <v>16</v>
      </c>
      <c r="B24" s="105">
        <v>116</v>
      </c>
      <c r="C24" s="105">
        <v>200</v>
      </c>
      <c r="D24" s="105">
        <v>120</v>
      </c>
      <c r="E24" s="105">
        <v>199</v>
      </c>
    </row>
    <row r="25" spans="1:5" x14ac:dyDescent="0.25">
      <c r="A25" s="105">
        <v>17</v>
      </c>
      <c r="B25" s="105">
        <v>121</v>
      </c>
      <c r="C25" s="105">
        <v>202</v>
      </c>
      <c r="D25" s="105">
        <v>125</v>
      </c>
      <c r="E25" s="105">
        <v>201</v>
      </c>
    </row>
    <row r="26" spans="1:5" x14ac:dyDescent="0.25">
      <c r="A26" s="105">
        <v>18</v>
      </c>
      <c r="B26" s="105">
        <v>122</v>
      </c>
      <c r="C26" s="105">
        <v>203</v>
      </c>
      <c r="D26" s="105">
        <v>126</v>
      </c>
      <c r="E26" s="105">
        <v>202</v>
      </c>
    </row>
    <row r="27" spans="1:5" x14ac:dyDescent="0.25">
      <c r="A27" s="105">
        <v>19</v>
      </c>
      <c r="B27" s="105">
        <v>123</v>
      </c>
      <c r="C27" s="105">
        <v>204</v>
      </c>
      <c r="D27" s="105">
        <v>127</v>
      </c>
      <c r="E27" s="105">
        <v>203</v>
      </c>
    </row>
    <row r="28" spans="1:5" x14ac:dyDescent="0.25">
      <c r="A28" s="105">
        <v>20</v>
      </c>
      <c r="B28" s="105">
        <v>124</v>
      </c>
      <c r="C28" s="105">
        <v>205</v>
      </c>
      <c r="D28" s="105">
        <v>128</v>
      </c>
      <c r="E28" s="105">
        <v>204</v>
      </c>
    </row>
    <row r="29" spans="1:5" x14ac:dyDescent="0.25">
      <c r="A29" s="105">
        <v>21</v>
      </c>
      <c r="B29" s="105">
        <v>125</v>
      </c>
      <c r="C29" s="105">
        <v>207</v>
      </c>
      <c r="D29" s="105">
        <v>129</v>
      </c>
      <c r="E29" s="105">
        <v>206</v>
      </c>
    </row>
    <row r="30" spans="1:5" x14ac:dyDescent="0.25">
      <c r="A30" s="105">
        <v>22</v>
      </c>
      <c r="B30" s="105">
        <v>126</v>
      </c>
      <c r="C30" s="105">
        <v>208</v>
      </c>
      <c r="D30" s="105">
        <v>130</v>
      </c>
      <c r="E30" s="105">
        <v>207</v>
      </c>
    </row>
    <row r="31" spans="1:5" x14ac:dyDescent="0.25">
      <c r="A31" s="105">
        <v>23</v>
      </c>
      <c r="B31" s="105">
        <v>127</v>
      </c>
      <c r="C31" s="105">
        <v>209</v>
      </c>
      <c r="D31" s="105">
        <v>131</v>
      </c>
      <c r="E31" s="105">
        <v>208</v>
      </c>
    </row>
    <row r="32" spans="1:5" x14ac:dyDescent="0.25">
      <c r="A32" s="105">
        <v>24</v>
      </c>
      <c r="B32" s="105">
        <v>128</v>
      </c>
      <c r="C32" s="105">
        <v>210</v>
      </c>
      <c r="D32" s="105">
        <v>132</v>
      </c>
      <c r="E32" s="105">
        <v>209</v>
      </c>
    </row>
    <row r="33" spans="1:5" x14ac:dyDescent="0.25">
      <c r="A33" s="105">
        <v>25</v>
      </c>
      <c r="B33" s="105">
        <v>129</v>
      </c>
      <c r="C33" s="105">
        <v>212</v>
      </c>
      <c r="D33" s="105">
        <v>133</v>
      </c>
      <c r="E33" s="105">
        <v>211</v>
      </c>
    </row>
    <row r="34" spans="1:5" x14ac:dyDescent="0.25">
      <c r="A34" s="105">
        <v>26</v>
      </c>
      <c r="B34" s="105">
        <v>130</v>
      </c>
      <c r="C34" s="105">
        <v>213</v>
      </c>
      <c r="D34" s="105">
        <v>134</v>
      </c>
      <c r="E34" s="105">
        <v>212</v>
      </c>
    </row>
    <row r="35" spans="1:5" x14ac:dyDescent="0.25">
      <c r="A35" s="105">
        <v>27</v>
      </c>
      <c r="B35" s="105">
        <v>131</v>
      </c>
      <c r="C35" s="105">
        <v>214</v>
      </c>
      <c r="D35" s="105">
        <v>135</v>
      </c>
      <c r="E35" s="105">
        <v>213</v>
      </c>
    </row>
    <row r="36" spans="1:5" x14ac:dyDescent="0.25">
      <c r="A36" s="105">
        <v>28</v>
      </c>
      <c r="B36" s="105">
        <v>132</v>
      </c>
      <c r="C36" s="105">
        <v>215</v>
      </c>
      <c r="D36" s="105">
        <v>136</v>
      </c>
      <c r="E36" s="105">
        <v>214</v>
      </c>
    </row>
    <row r="37" spans="1:5" x14ac:dyDescent="0.25">
      <c r="A37" s="105">
        <v>29</v>
      </c>
      <c r="B37" s="105">
        <v>133</v>
      </c>
      <c r="C37" s="105">
        <v>217</v>
      </c>
      <c r="D37" s="105">
        <v>137</v>
      </c>
      <c r="E37" s="105">
        <v>216</v>
      </c>
    </row>
    <row r="38" spans="1:5" x14ac:dyDescent="0.25">
      <c r="A38" s="105">
        <v>30</v>
      </c>
      <c r="B38" s="105">
        <v>134</v>
      </c>
      <c r="C38" s="105">
        <v>218</v>
      </c>
      <c r="D38" s="105">
        <v>138</v>
      </c>
      <c r="E38" s="105">
        <v>217</v>
      </c>
    </row>
    <row r="39" spans="1:5" x14ac:dyDescent="0.25">
      <c r="A39" s="105">
        <v>31</v>
      </c>
      <c r="B39" s="105">
        <v>135</v>
      </c>
      <c r="C39" s="105">
        <v>219</v>
      </c>
      <c r="D39" s="105">
        <v>139</v>
      </c>
      <c r="E39" s="105">
        <v>218</v>
      </c>
    </row>
    <row r="40" spans="1:5" x14ac:dyDescent="0.25">
      <c r="A40" s="105">
        <v>32</v>
      </c>
      <c r="B40" s="105">
        <v>136</v>
      </c>
      <c r="C40" s="105">
        <v>220</v>
      </c>
      <c r="D40" s="105">
        <v>140</v>
      </c>
      <c r="E40" s="105">
        <v>219</v>
      </c>
    </row>
    <row r="41" spans="1:5" x14ac:dyDescent="0.25">
      <c r="A41" s="105">
        <v>33</v>
      </c>
      <c r="B41" s="105">
        <v>141</v>
      </c>
      <c r="C41" s="105">
        <v>222</v>
      </c>
      <c r="D41" s="105">
        <v>145</v>
      </c>
      <c r="E41" s="105">
        <v>221</v>
      </c>
    </row>
    <row r="42" spans="1:5" x14ac:dyDescent="0.25">
      <c r="A42" s="105">
        <v>34</v>
      </c>
      <c r="B42" s="105">
        <v>142</v>
      </c>
      <c r="C42" s="105">
        <v>223</v>
      </c>
      <c r="D42" s="105">
        <v>146</v>
      </c>
      <c r="E42" s="105">
        <v>222</v>
      </c>
    </row>
    <row r="43" spans="1:5" x14ac:dyDescent="0.25">
      <c r="A43" s="105">
        <v>35</v>
      </c>
      <c r="B43" s="105">
        <v>143</v>
      </c>
      <c r="C43" s="105">
        <v>224</v>
      </c>
      <c r="D43" s="105">
        <v>147</v>
      </c>
      <c r="E43" s="105">
        <v>223</v>
      </c>
    </row>
    <row r="44" spans="1:5" x14ac:dyDescent="0.25">
      <c r="A44" s="105">
        <v>36</v>
      </c>
      <c r="B44" s="105">
        <v>144</v>
      </c>
      <c r="C44" s="105">
        <v>225</v>
      </c>
      <c r="D44" s="105">
        <v>148</v>
      </c>
      <c r="E44" s="105">
        <v>224</v>
      </c>
    </row>
    <row r="45" spans="1:5" x14ac:dyDescent="0.25">
      <c r="A45" s="105">
        <v>37</v>
      </c>
      <c r="B45" s="105">
        <v>145</v>
      </c>
      <c r="C45" s="105">
        <v>227</v>
      </c>
      <c r="D45" s="105">
        <v>149</v>
      </c>
      <c r="E45" s="105">
        <v>226</v>
      </c>
    </row>
    <row r="46" spans="1:5" x14ac:dyDescent="0.25">
      <c r="A46" s="105">
        <v>38</v>
      </c>
      <c r="B46" s="105">
        <v>146</v>
      </c>
      <c r="C46" s="105">
        <v>228</v>
      </c>
      <c r="D46" s="105">
        <v>150</v>
      </c>
      <c r="E46" s="105">
        <v>227</v>
      </c>
    </row>
    <row r="47" spans="1:5" x14ac:dyDescent="0.25">
      <c r="A47" s="105">
        <v>39</v>
      </c>
      <c r="B47" s="105">
        <v>147</v>
      </c>
      <c r="C47" s="105">
        <v>229</v>
      </c>
      <c r="D47" s="105">
        <v>151</v>
      </c>
      <c r="E47" s="105">
        <v>228</v>
      </c>
    </row>
    <row r="48" spans="1:5" x14ac:dyDescent="0.25">
      <c r="A48" s="105">
        <v>40</v>
      </c>
      <c r="B48" s="105">
        <v>148</v>
      </c>
      <c r="C48" s="105">
        <v>230</v>
      </c>
      <c r="D48" s="105">
        <v>152</v>
      </c>
      <c r="E48" s="105">
        <v>229</v>
      </c>
    </row>
    <row r="49" spans="1:5" x14ac:dyDescent="0.25">
      <c r="A49" s="105">
        <v>41</v>
      </c>
      <c r="B49" s="105">
        <v>149</v>
      </c>
      <c r="C49" s="105">
        <v>232</v>
      </c>
      <c r="D49" s="105">
        <v>153</v>
      </c>
      <c r="E49" s="105">
        <v>231</v>
      </c>
    </row>
    <row r="50" spans="1:5" x14ac:dyDescent="0.25">
      <c r="A50" s="105">
        <v>42</v>
      </c>
      <c r="B50" s="105">
        <v>150</v>
      </c>
      <c r="C50" s="105">
        <v>233</v>
      </c>
      <c r="D50" s="105">
        <v>154</v>
      </c>
      <c r="E50" s="105">
        <v>232</v>
      </c>
    </row>
    <row r="51" spans="1:5" x14ac:dyDescent="0.25">
      <c r="A51" s="105">
        <v>43</v>
      </c>
      <c r="B51" s="105">
        <v>151</v>
      </c>
      <c r="C51" s="105">
        <v>234</v>
      </c>
      <c r="D51" s="105">
        <v>155</v>
      </c>
      <c r="E51" s="105">
        <v>233</v>
      </c>
    </row>
    <row r="52" spans="1:5" x14ac:dyDescent="0.25">
      <c r="A52" s="105">
        <v>44</v>
      </c>
      <c r="B52" s="105">
        <v>152</v>
      </c>
      <c r="C52" s="105">
        <v>235</v>
      </c>
      <c r="D52" s="105">
        <v>156</v>
      </c>
      <c r="E52" s="105">
        <v>234</v>
      </c>
    </row>
    <row r="53" spans="1:5" x14ac:dyDescent="0.25">
      <c r="A53" s="105">
        <v>45</v>
      </c>
      <c r="B53" s="105">
        <v>153</v>
      </c>
      <c r="C53" s="105">
        <v>237</v>
      </c>
      <c r="D53" s="105">
        <v>157</v>
      </c>
      <c r="E53" s="105">
        <v>236</v>
      </c>
    </row>
    <row r="54" spans="1:5" x14ac:dyDescent="0.25">
      <c r="A54" s="105">
        <v>46</v>
      </c>
      <c r="B54" s="105">
        <v>154</v>
      </c>
      <c r="C54" s="105">
        <v>238</v>
      </c>
      <c r="D54" s="105">
        <v>158</v>
      </c>
      <c r="E54" s="105">
        <v>237</v>
      </c>
    </row>
    <row r="55" spans="1:5" x14ac:dyDescent="0.25">
      <c r="A55" s="105">
        <v>47</v>
      </c>
      <c r="B55" s="105">
        <v>155</v>
      </c>
      <c r="C55" s="105">
        <v>239</v>
      </c>
      <c r="D55" s="105">
        <v>159</v>
      </c>
      <c r="E55" s="105">
        <v>238</v>
      </c>
    </row>
    <row r="56" spans="1:5" x14ac:dyDescent="0.25">
      <c r="A56" s="105">
        <v>48</v>
      </c>
      <c r="B56" s="105">
        <v>156</v>
      </c>
      <c r="C56" s="105">
        <v>240</v>
      </c>
      <c r="D56" s="105">
        <v>160</v>
      </c>
      <c r="E56" s="105">
        <v>239</v>
      </c>
    </row>
    <row r="57" spans="1:5" x14ac:dyDescent="0.25">
      <c r="A57" s="105">
        <v>49</v>
      </c>
      <c r="B57" s="105">
        <v>161</v>
      </c>
      <c r="C57" s="105">
        <v>242</v>
      </c>
      <c r="D57" s="105">
        <v>165</v>
      </c>
      <c r="E57" s="105">
        <v>241</v>
      </c>
    </row>
    <row r="58" spans="1:5" x14ac:dyDescent="0.25">
      <c r="A58" s="105">
        <v>50</v>
      </c>
      <c r="B58" s="105">
        <v>162</v>
      </c>
      <c r="C58" s="105">
        <v>243</v>
      </c>
      <c r="D58" s="105">
        <v>166</v>
      </c>
      <c r="E58" s="105">
        <v>242</v>
      </c>
    </row>
    <row r="59" spans="1:5" x14ac:dyDescent="0.25">
      <c r="A59" s="105">
        <v>51</v>
      </c>
      <c r="B59" s="105">
        <v>163</v>
      </c>
      <c r="C59" s="105">
        <v>244</v>
      </c>
      <c r="D59" s="105">
        <v>167</v>
      </c>
      <c r="E59" s="105">
        <v>243</v>
      </c>
    </row>
    <row r="60" spans="1:5" x14ac:dyDescent="0.25">
      <c r="A60" s="105">
        <v>52</v>
      </c>
      <c r="B60" s="105">
        <v>164</v>
      </c>
      <c r="C60" s="105">
        <v>245</v>
      </c>
      <c r="D60" s="105">
        <v>168</v>
      </c>
      <c r="E60" s="105">
        <v>244</v>
      </c>
    </row>
    <row r="61" spans="1:5" x14ac:dyDescent="0.25">
      <c r="A61" s="105">
        <v>53</v>
      </c>
      <c r="B61" s="105">
        <v>165</v>
      </c>
      <c r="C61" s="105">
        <v>247</v>
      </c>
      <c r="D61" s="105">
        <v>169</v>
      </c>
      <c r="E61" s="105">
        <v>246</v>
      </c>
    </row>
    <row r="62" spans="1:5" x14ac:dyDescent="0.25">
      <c r="A62" s="105">
        <v>54</v>
      </c>
      <c r="B62" s="105">
        <v>166</v>
      </c>
      <c r="C62" s="105">
        <v>248</v>
      </c>
      <c r="D62" s="105">
        <v>170</v>
      </c>
      <c r="E62" s="105">
        <v>247</v>
      </c>
    </row>
    <row r="63" spans="1:5" x14ac:dyDescent="0.25">
      <c r="A63" s="105">
        <v>55</v>
      </c>
      <c r="B63" s="105">
        <v>167</v>
      </c>
      <c r="C63" s="105">
        <v>249</v>
      </c>
      <c r="D63" s="105">
        <v>171</v>
      </c>
      <c r="E63" s="105">
        <v>248</v>
      </c>
    </row>
    <row r="64" spans="1:5" x14ac:dyDescent="0.25">
      <c r="A64" s="105">
        <v>56</v>
      </c>
      <c r="B64" s="105">
        <v>168</v>
      </c>
      <c r="C64" s="105">
        <v>250</v>
      </c>
      <c r="D64" s="105">
        <v>172</v>
      </c>
      <c r="E64" s="105">
        <v>249</v>
      </c>
    </row>
    <row r="65" spans="1:5" x14ac:dyDescent="0.25">
      <c r="A65" s="105">
        <v>57</v>
      </c>
      <c r="B65" s="105">
        <v>169</v>
      </c>
      <c r="C65" s="105">
        <v>252</v>
      </c>
      <c r="D65" s="105">
        <v>173</v>
      </c>
      <c r="E65" s="105">
        <v>251</v>
      </c>
    </row>
    <row r="66" spans="1:5" x14ac:dyDescent="0.25">
      <c r="A66" s="105">
        <v>58</v>
      </c>
      <c r="B66" s="105">
        <v>170</v>
      </c>
      <c r="C66" s="105">
        <v>253</v>
      </c>
      <c r="D66" s="105">
        <v>174</v>
      </c>
      <c r="E66" s="105">
        <v>252</v>
      </c>
    </row>
    <row r="67" spans="1:5" x14ac:dyDescent="0.25">
      <c r="A67" s="105">
        <v>59</v>
      </c>
      <c r="B67" s="105">
        <v>171</v>
      </c>
      <c r="C67" s="105">
        <v>254</v>
      </c>
      <c r="D67" s="105">
        <v>175</v>
      </c>
      <c r="E67" s="105">
        <v>253</v>
      </c>
    </row>
    <row r="68" spans="1:5" x14ac:dyDescent="0.25">
      <c r="A68" s="105">
        <v>60</v>
      </c>
      <c r="B68" s="105">
        <v>172</v>
      </c>
      <c r="C68" s="105">
        <v>255</v>
      </c>
      <c r="D68" s="105">
        <v>176</v>
      </c>
      <c r="E68" s="105">
        <v>254</v>
      </c>
    </row>
    <row r="69" spans="1:5" x14ac:dyDescent="0.25">
      <c r="A69" s="105">
        <v>61</v>
      </c>
      <c r="B69" s="105">
        <v>173</v>
      </c>
      <c r="C69" s="105">
        <v>257</v>
      </c>
      <c r="D69" s="105">
        <v>177</v>
      </c>
      <c r="E69" s="105">
        <v>256</v>
      </c>
    </row>
    <row r="70" spans="1:5" x14ac:dyDescent="0.25">
      <c r="A70" s="105">
        <v>62</v>
      </c>
      <c r="B70" s="105">
        <v>174</v>
      </c>
      <c r="C70" s="105">
        <v>258</v>
      </c>
      <c r="D70" s="105">
        <v>178</v>
      </c>
      <c r="E70" s="105">
        <v>257</v>
      </c>
    </row>
    <row r="71" spans="1:5" x14ac:dyDescent="0.25">
      <c r="A71" s="105">
        <v>63</v>
      </c>
      <c r="B71" s="105">
        <v>175</v>
      </c>
      <c r="C71" s="105">
        <v>259</v>
      </c>
      <c r="D71" s="105">
        <v>179</v>
      </c>
      <c r="E71" s="105">
        <v>258</v>
      </c>
    </row>
    <row r="72" spans="1:5" x14ac:dyDescent="0.25">
      <c r="A72" s="105">
        <v>64</v>
      </c>
      <c r="B72" s="105">
        <v>176</v>
      </c>
      <c r="C72" s="105">
        <v>260</v>
      </c>
      <c r="D72" s="105">
        <v>180</v>
      </c>
      <c r="E72" s="105">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119</v>
      </c>
      <c r="B1" s="8" t="s">
        <v>112</v>
      </c>
      <c r="C1" s="8" t="s">
        <v>113</v>
      </c>
      <c r="D1" s="8" t="s">
        <v>120</v>
      </c>
      <c r="E1" s="8" t="s">
        <v>75</v>
      </c>
      <c r="F1" s="8" t="s">
        <v>121</v>
      </c>
    </row>
    <row r="2" spans="1:6" x14ac:dyDescent="0.25">
      <c r="A2" s="1">
        <v>1</v>
      </c>
      <c r="B2" s="1">
        <v>1001</v>
      </c>
      <c r="C2" s="1">
        <v>1006</v>
      </c>
      <c r="D2" s="1">
        <v>1007</v>
      </c>
      <c r="E2" s="1">
        <v>1002</v>
      </c>
      <c r="F2" s="1" t="s">
        <v>107</v>
      </c>
    </row>
    <row r="3" spans="1:6" x14ac:dyDescent="0.25">
      <c r="A3" s="1">
        <v>2</v>
      </c>
      <c r="B3" s="1">
        <v>1002</v>
      </c>
      <c r="C3" s="1">
        <v>1007</v>
      </c>
      <c r="D3" s="1">
        <v>1008</v>
      </c>
      <c r="E3" s="1">
        <v>1003</v>
      </c>
      <c r="F3" s="1" t="s">
        <v>107</v>
      </c>
    </row>
    <row r="4" spans="1:6" x14ac:dyDescent="0.25">
      <c r="A4" s="1">
        <v>3</v>
      </c>
      <c r="B4" s="1">
        <v>1003</v>
      </c>
      <c r="C4" s="1">
        <v>1008</v>
      </c>
      <c r="D4" s="1">
        <v>1009</v>
      </c>
      <c r="E4" s="1">
        <v>1004</v>
      </c>
      <c r="F4" s="1" t="s">
        <v>107</v>
      </c>
    </row>
    <row r="5" spans="1:6" x14ac:dyDescent="0.25">
      <c r="A5" s="1">
        <v>4</v>
      </c>
      <c r="B5" s="1">
        <v>1004</v>
      </c>
      <c r="C5" s="1">
        <v>1009</v>
      </c>
      <c r="D5" s="1">
        <v>1010</v>
      </c>
      <c r="E5" s="1">
        <v>1005</v>
      </c>
      <c r="F5" s="1" t="s">
        <v>107</v>
      </c>
    </row>
    <row r="6" spans="1:6" x14ac:dyDescent="0.25">
      <c r="A6" s="1">
        <v>5</v>
      </c>
      <c r="B6" s="1">
        <v>1006</v>
      </c>
      <c r="C6" s="1">
        <v>1011</v>
      </c>
      <c r="D6" s="1">
        <v>1012</v>
      </c>
      <c r="E6" s="1">
        <v>1007</v>
      </c>
      <c r="F6" s="1" t="s">
        <v>107</v>
      </c>
    </row>
    <row r="7" spans="1:6" x14ac:dyDescent="0.25">
      <c r="A7" s="1">
        <v>6</v>
      </c>
      <c r="B7" s="1">
        <v>1007</v>
      </c>
      <c r="C7" s="1">
        <v>1012</v>
      </c>
      <c r="D7" s="1">
        <v>1013</v>
      </c>
      <c r="E7" s="1">
        <v>1008</v>
      </c>
      <c r="F7" s="1" t="s">
        <v>107</v>
      </c>
    </row>
    <row r="8" spans="1:6" x14ac:dyDescent="0.25">
      <c r="A8" s="1">
        <v>7</v>
      </c>
      <c r="B8" s="1">
        <v>1008</v>
      </c>
      <c r="C8" s="1">
        <v>1013</v>
      </c>
      <c r="D8" s="1">
        <v>1014</v>
      </c>
      <c r="E8" s="1">
        <v>1009</v>
      </c>
      <c r="F8" s="1" t="s">
        <v>107</v>
      </c>
    </row>
    <row r="9" spans="1:6" x14ac:dyDescent="0.25">
      <c r="A9" s="1">
        <v>8</v>
      </c>
      <c r="B9" s="1">
        <v>1009</v>
      </c>
      <c r="C9" s="1">
        <v>1014</v>
      </c>
      <c r="D9" s="1">
        <v>1015</v>
      </c>
      <c r="E9" s="1">
        <v>1010</v>
      </c>
      <c r="F9" s="1" t="s">
        <v>107</v>
      </c>
    </row>
    <row r="10" spans="1:6" x14ac:dyDescent="0.25">
      <c r="A10" s="1">
        <v>9</v>
      </c>
      <c r="B10" s="1">
        <v>1011</v>
      </c>
      <c r="C10" s="1">
        <v>1016</v>
      </c>
      <c r="D10" s="1">
        <v>1017</v>
      </c>
      <c r="E10" s="1">
        <v>1012</v>
      </c>
      <c r="F10" s="1" t="s">
        <v>107</v>
      </c>
    </row>
    <row r="11" spans="1:6" x14ac:dyDescent="0.25">
      <c r="A11" s="1">
        <v>10</v>
      </c>
      <c r="B11" s="1">
        <v>1012</v>
      </c>
      <c r="C11" s="1">
        <v>1017</v>
      </c>
      <c r="D11" s="1">
        <v>1018</v>
      </c>
      <c r="E11" s="1">
        <v>1013</v>
      </c>
      <c r="F11" s="1" t="s">
        <v>107</v>
      </c>
    </row>
    <row r="12" spans="1:6" x14ac:dyDescent="0.25">
      <c r="A12" s="1">
        <v>11</v>
      </c>
      <c r="B12" s="1">
        <v>1013</v>
      </c>
      <c r="C12" s="1">
        <v>1018</v>
      </c>
      <c r="D12" s="1">
        <v>1019</v>
      </c>
      <c r="E12" s="1">
        <v>1014</v>
      </c>
      <c r="F12" s="1" t="s">
        <v>107</v>
      </c>
    </row>
    <row r="13" spans="1:6" x14ac:dyDescent="0.25">
      <c r="A13" s="1">
        <v>12</v>
      </c>
      <c r="B13" s="1">
        <v>1014</v>
      </c>
      <c r="C13" s="1">
        <v>1019</v>
      </c>
      <c r="D13" s="1">
        <v>1020</v>
      </c>
      <c r="E13" s="1">
        <v>1015</v>
      </c>
      <c r="F13" s="1" t="s">
        <v>107</v>
      </c>
    </row>
    <row r="14" spans="1:6" x14ac:dyDescent="0.25">
      <c r="A14" s="1">
        <v>13</v>
      </c>
      <c r="B14" s="1">
        <v>1016</v>
      </c>
      <c r="C14" s="1">
        <v>1021</v>
      </c>
      <c r="D14" s="1">
        <v>1022</v>
      </c>
      <c r="E14" s="1">
        <v>1017</v>
      </c>
      <c r="F14" s="1" t="s">
        <v>107</v>
      </c>
    </row>
    <row r="15" spans="1:6" x14ac:dyDescent="0.25">
      <c r="A15" s="1">
        <v>14</v>
      </c>
      <c r="B15" s="1">
        <v>1017</v>
      </c>
      <c r="C15" s="1">
        <v>1022</v>
      </c>
      <c r="D15" s="1">
        <v>1023</v>
      </c>
      <c r="E15" s="1">
        <v>1018</v>
      </c>
      <c r="F15" s="1" t="s">
        <v>107</v>
      </c>
    </row>
    <row r="16" spans="1:6" x14ac:dyDescent="0.25">
      <c r="A16" s="1">
        <v>15</v>
      </c>
      <c r="B16" s="1">
        <v>1018</v>
      </c>
      <c r="C16" s="1">
        <v>1023</v>
      </c>
      <c r="D16" s="1">
        <v>1024</v>
      </c>
      <c r="E16" s="1">
        <v>1019</v>
      </c>
      <c r="F16" s="1" t="s">
        <v>107</v>
      </c>
    </row>
    <row r="17" spans="1:6" x14ac:dyDescent="0.25">
      <c r="A17" s="1">
        <v>16</v>
      </c>
      <c r="B17" s="1">
        <v>1019</v>
      </c>
      <c r="C17" s="1">
        <v>1024</v>
      </c>
      <c r="D17" s="1">
        <v>1025</v>
      </c>
      <c r="E17" s="1">
        <v>1020</v>
      </c>
      <c r="F17" s="1" t="s">
        <v>107</v>
      </c>
    </row>
    <row r="18" spans="1:6" x14ac:dyDescent="0.25">
      <c r="A18" s="1">
        <v>17</v>
      </c>
      <c r="B18" s="1">
        <v>2001</v>
      </c>
      <c r="C18" s="1">
        <v>2006</v>
      </c>
      <c r="D18" s="1">
        <v>2007</v>
      </c>
      <c r="E18" s="1">
        <v>2002</v>
      </c>
      <c r="F18" s="1" t="s">
        <v>107</v>
      </c>
    </row>
    <row r="19" spans="1:6" x14ac:dyDescent="0.25">
      <c r="A19" s="1">
        <v>18</v>
      </c>
      <c r="B19" s="1">
        <v>2002</v>
      </c>
      <c r="C19" s="1">
        <v>2007</v>
      </c>
      <c r="D19" s="1">
        <v>2008</v>
      </c>
      <c r="E19" s="1">
        <v>2003</v>
      </c>
      <c r="F19" s="1" t="s">
        <v>107</v>
      </c>
    </row>
    <row r="20" spans="1:6" x14ac:dyDescent="0.25">
      <c r="A20" s="1">
        <v>19</v>
      </c>
      <c r="B20" s="1">
        <v>2003</v>
      </c>
      <c r="C20" s="1">
        <v>2008</v>
      </c>
      <c r="D20" s="1">
        <v>2009</v>
      </c>
      <c r="E20" s="1">
        <v>2004</v>
      </c>
      <c r="F20" s="1" t="s">
        <v>107</v>
      </c>
    </row>
    <row r="21" spans="1:6" x14ac:dyDescent="0.25">
      <c r="A21" s="1">
        <v>20</v>
      </c>
      <c r="B21" s="1">
        <v>2004</v>
      </c>
      <c r="C21" s="1">
        <v>2009</v>
      </c>
      <c r="D21" s="1">
        <v>2010</v>
      </c>
      <c r="E21" s="1">
        <v>2005</v>
      </c>
      <c r="F21" s="1" t="s">
        <v>107</v>
      </c>
    </row>
    <row r="22" spans="1:6" x14ac:dyDescent="0.25">
      <c r="A22" s="1">
        <v>21</v>
      </c>
      <c r="B22" s="1">
        <v>2006</v>
      </c>
      <c r="C22" s="1">
        <v>2011</v>
      </c>
      <c r="D22" s="1">
        <v>2012</v>
      </c>
      <c r="E22" s="1">
        <v>2007</v>
      </c>
      <c r="F22" s="1" t="s">
        <v>107</v>
      </c>
    </row>
    <row r="23" spans="1:6" x14ac:dyDescent="0.25">
      <c r="A23" s="1">
        <v>22</v>
      </c>
      <c r="B23" s="1">
        <v>2007</v>
      </c>
      <c r="C23" s="1">
        <v>2012</v>
      </c>
      <c r="D23" s="1">
        <v>2013</v>
      </c>
      <c r="E23" s="1">
        <v>2008</v>
      </c>
      <c r="F23" s="1" t="s">
        <v>107</v>
      </c>
    </row>
    <row r="24" spans="1:6" x14ac:dyDescent="0.25">
      <c r="A24" s="1">
        <v>23</v>
      </c>
      <c r="B24" s="1">
        <v>2008</v>
      </c>
      <c r="C24" s="1">
        <v>2013</v>
      </c>
      <c r="D24" s="1">
        <v>2014</v>
      </c>
      <c r="E24" s="1">
        <v>2009</v>
      </c>
      <c r="F24" s="1" t="s">
        <v>107</v>
      </c>
    </row>
    <row r="25" spans="1:6" x14ac:dyDescent="0.25">
      <c r="A25" s="1">
        <v>24</v>
      </c>
      <c r="B25" s="1">
        <v>2009</v>
      </c>
      <c r="C25" s="1">
        <v>2014</v>
      </c>
      <c r="D25" s="1">
        <v>2015</v>
      </c>
      <c r="E25" s="1">
        <v>2010</v>
      </c>
      <c r="F25" s="1" t="s">
        <v>107</v>
      </c>
    </row>
    <row r="26" spans="1:6" x14ac:dyDescent="0.25">
      <c r="A26" s="1">
        <v>25</v>
      </c>
      <c r="B26" s="1">
        <v>2011</v>
      </c>
      <c r="C26" s="1">
        <v>2016</v>
      </c>
      <c r="D26" s="1">
        <v>2017</v>
      </c>
      <c r="E26" s="1">
        <v>2012</v>
      </c>
      <c r="F26" s="1" t="s">
        <v>107</v>
      </c>
    </row>
    <row r="27" spans="1:6" x14ac:dyDescent="0.25">
      <c r="A27" s="1">
        <v>26</v>
      </c>
      <c r="B27" s="1">
        <v>2012</v>
      </c>
      <c r="C27" s="1">
        <v>2017</v>
      </c>
      <c r="D27" s="1">
        <v>2018</v>
      </c>
      <c r="E27" s="1">
        <v>2013</v>
      </c>
      <c r="F27" s="1" t="s">
        <v>107</v>
      </c>
    </row>
    <row r="28" spans="1:6" x14ac:dyDescent="0.25">
      <c r="A28" s="1">
        <v>27</v>
      </c>
      <c r="B28" s="1">
        <v>2013</v>
      </c>
      <c r="C28" s="1">
        <v>2018</v>
      </c>
      <c r="D28" s="1">
        <v>2019</v>
      </c>
      <c r="E28" s="1">
        <v>2014</v>
      </c>
      <c r="F28" s="1" t="s">
        <v>107</v>
      </c>
    </row>
    <row r="29" spans="1:6" x14ac:dyDescent="0.25">
      <c r="A29" s="1">
        <v>28</v>
      </c>
      <c r="B29" s="1">
        <v>2014</v>
      </c>
      <c r="C29" s="1">
        <v>2019</v>
      </c>
      <c r="D29" s="1">
        <v>2020</v>
      </c>
      <c r="E29" s="1">
        <v>2015</v>
      </c>
      <c r="F29" s="1" t="s">
        <v>107</v>
      </c>
    </row>
    <row r="30" spans="1:6" x14ac:dyDescent="0.25">
      <c r="A30" s="1">
        <v>29</v>
      </c>
      <c r="B30" s="1">
        <v>2016</v>
      </c>
      <c r="C30" s="1">
        <v>2021</v>
      </c>
      <c r="D30" s="1">
        <v>2022</v>
      </c>
      <c r="E30" s="1">
        <v>2017</v>
      </c>
      <c r="F30" s="1" t="s">
        <v>107</v>
      </c>
    </row>
    <row r="31" spans="1:6" x14ac:dyDescent="0.25">
      <c r="A31" s="1">
        <v>30</v>
      </c>
      <c r="B31" s="1">
        <v>2017</v>
      </c>
      <c r="C31" s="1">
        <v>2022</v>
      </c>
      <c r="D31" s="1">
        <v>2023</v>
      </c>
      <c r="E31" s="1">
        <v>2018</v>
      </c>
      <c r="F31" s="1" t="s">
        <v>107</v>
      </c>
    </row>
    <row r="32" spans="1:6" x14ac:dyDescent="0.25">
      <c r="A32" s="1">
        <v>31</v>
      </c>
      <c r="B32" s="1">
        <v>2018</v>
      </c>
      <c r="C32" s="1">
        <v>2023</v>
      </c>
      <c r="D32" s="1">
        <v>2024</v>
      </c>
      <c r="E32" s="1">
        <v>2019</v>
      </c>
      <c r="F32" s="1" t="s">
        <v>107</v>
      </c>
    </row>
    <row r="33" spans="1:6" x14ac:dyDescent="0.25">
      <c r="A33" s="1">
        <v>32</v>
      </c>
      <c r="B33" s="1">
        <v>2019</v>
      </c>
      <c r="C33" s="1">
        <v>2024</v>
      </c>
      <c r="D33" s="1">
        <v>2025</v>
      </c>
      <c r="E33" s="1">
        <v>2020</v>
      </c>
      <c r="F33" s="1" t="s">
        <v>107</v>
      </c>
    </row>
    <row r="34" spans="1:6" x14ac:dyDescent="0.25">
      <c r="A34" s="1">
        <v>33</v>
      </c>
      <c r="B34" s="1">
        <v>3001</v>
      </c>
      <c r="C34" s="1">
        <v>3006</v>
      </c>
      <c r="D34" s="1">
        <v>3007</v>
      </c>
      <c r="E34" s="1">
        <v>3002</v>
      </c>
      <c r="F34" s="1" t="s">
        <v>107</v>
      </c>
    </row>
    <row r="35" spans="1:6" x14ac:dyDescent="0.25">
      <c r="A35" s="1">
        <v>34</v>
      </c>
      <c r="B35" s="1">
        <v>3002</v>
      </c>
      <c r="C35" s="1">
        <v>3007</v>
      </c>
      <c r="D35" s="1">
        <v>3008</v>
      </c>
      <c r="E35" s="1">
        <v>3003</v>
      </c>
      <c r="F35" s="1" t="s">
        <v>107</v>
      </c>
    </row>
    <row r="36" spans="1:6" x14ac:dyDescent="0.25">
      <c r="A36" s="1">
        <v>35</v>
      </c>
      <c r="B36" s="1">
        <v>3003</v>
      </c>
      <c r="C36" s="1">
        <v>3008</v>
      </c>
      <c r="D36" s="1">
        <v>3009</v>
      </c>
      <c r="E36" s="1">
        <v>3004</v>
      </c>
      <c r="F36" s="1" t="s">
        <v>107</v>
      </c>
    </row>
    <row r="37" spans="1:6" x14ac:dyDescent="0.25">
      <c r="A37" s="1">
        <v>36</v>
      </c>
      <c r="B37" s="1">
        <v>3004</v>
      </c>
      <c r="C37" s="1">
        <v>3009</v>
      </c>
      <c r="D37" s="1">
        <v>3010</v>
      </c>
      <c r="E37" s="1">
        <v>3005</v>
      </c>
      <c r="F37" s="1" t="s">
        <v>107</v>
      </c>
    </row>
    <row r="38" spans="1:6" x14ac:dyDescent="0.25">
      <c r="A38" s="1">
        <v>37</v>
      </c>
      <c r="B38" s="1">
        <v>3006</v>
      </c>
      <c r="C38" s="1">
        <v>3011</v>
      </c>
      <c r="D38" s="1">
        <v>3012</v>
      </c>
      <c r="E38" s="1">
        <v>3007</v>
      </c>
      <c r="F38" s="1" t="s">
        <v>107</v>
      </c>
    </row>
    <row r="39" spans="1:6" x14ac:dyDescent="0.25">
      <c r="A39" s="1">
        <v>38</v>
      </c>
      <c r="B39" s="1">
        <v>3007</v>
      </c>
      <c r="C39" s="1">
        <v>3012</v>
      </c>
      <c r="D39" s="1">
        <v>3013</v>
      </c>
      <c r="E39" s="1">
        <v>3008</v>
      </c>
      <c r="F39" s="1" t="s">
        <v>107</v>
      </c>
    </row>
    <row r="40" spans="1:6" x14ac:dyDescent="0.25">
      <c r="A40" s="1">
        <v>39</v>
      </c>
      <c r="B40" s="1">
        <v>3008</v>
      </c>
      <c r="C40" s="1">
        <v>3013</v>
      </c>
      <c r="D40" s="1">
        <v>3014</v>
      </c>
      <c r="E40" s="1">
        <v>3009</v>
      </c>
      <c r="F40" s="1" t="s">
        <v>107</v>
      </c>
    </row>
    <row r="41" spans="1:6" x14ac:dyDescent="0.25">
      <c r="A41" s="1">
        <v>40</v>
      </c>
      <c r="B41" s="1">
        <v>3009</v>
      </c>
      <c r="C41" s="1">
        <v>3014</v>
      </c>
      <c r="D41" s="1">
        <v>3015</v>
      </c>
      <c r="E41" s="1">
        <v>3010</v>
      </c>
      <c r="F41" s="1" t="s">
        <v>107</v>
      </c>
    </row>
    <row r="42" spans="1:6" x14ac:dyDescent="0.25">
      <c r="A42" s="1">
        <v>41</v>
      </c>
      <c r="B42" s="1">
        <v>3011</v>
      </c>
      <c r="C42" s="1">
        <v>3016</v>
      </c>
      <c r="D42" s="1">
        <v>3017</v>
      </c>
      <c r="E42" s="1">
        <v>3012</v>
      </c>
      <c r="F42" s="1" t="s">
        <v>107</v>
      </c>
    </row>
    <row r="43" spans="1:6" x14ac:dyDescent="0.25">
      <c r="A43" s="1">
        <v>42</v>
      </c>
      <c r="B43" s="1">
        <v>3012</v>
      </c>
      <c r="C43" s="1">
        <v>3017</v>
      </c>
      <c r="D43" s="1">
        <v>3018</v>
      </c>
      <c r="E43" s="1">
        <v>3013</v>
      </c>
      <c r="F43" s="1" t="s">
        <v>107</v>
      </c>
    </row>
    <row r="44" spans="1:6" x14ac:dyDescent="0.25">
      <c r="A44" s="1">
        <v>43</v>
      </c>
      <c r="B44" s="1">
        <v>3013</v>
      </c>
      <c r="C44" s="1">
        <v>3018</v>
      </c>
      <c r="D44" s="1">
        <v>3019</v>
      </c>
      <c r="E44" s="1">
        <v>3014</v>
      </c>
      <c r="F44" s="1" t="s">
        <v>107</v>
      </c>
    </row>
    <row r="45" spans="1:6" x14ac:dyDescent="0.25">
      <c r="A45" s="1">
        <v>44</v>
      </c>
      <c r="B45" s="1">
        <v>3014</v>
      </c>
      <c r="C45" s="1">
        <v>3019</v>
      </c>
      <c r="D45" s="1">
        <v>3020</v>
      </c>
      <c r="E45" s="1">
        <v>3015</v>
      </c>
      <c r="F45" s="1" t="s">
        <v>107</v>
      </c>
    </row>
    <row r="46" spans="1:6" x14ac:dyDescent="0.25">
      <c r="A46" s="1">
        <v>45</v>
      </c>
      <c r="B46" s="1">
        <v>3016</v>
      </c>
      <c r="C46" s="1">
        <v>3021</v>
      </c>
      <c r="D46" s="1">
        <v>3022</v>
      </c>
      <c r="E46" s="1">
        <v>3017</v>
      </c>
      <c r="F46" s="1" t="s">
        <v>107</v>
      </c>
    </row>
    <row r="47" spans="1:6" x14ac:dyDescent="0.25">
      <c r="A47" s="1">
        <v>46</v>
      </c>
      <c r="B47" s="1">
        <v>3017</v>
      </c>
      <c r="C47" s="1">
        <v>3022</v>
      </c>
      <c r="D47" s="1">
        <v>3023</v>
      </c>
      <c r="E47" s="1">
        <v>3018</v>
      </c>
      <c r="F47" s="1" t="s">
        <v>107</v>
      </c>
    </row>
    <row r="48" spans="1:6" x14ac:dyDescent="0.25">
      <c r="A48" s="1">
        <v>47</v>
      </c>
      <c r="B48" s="1">
        <v>3018</v>
      </c>
      <c r="C48" s="1">
        <v>3023</v>
      </c>
      <c r="D48" s="1">
        <v>3024</v>
      </c>
      <c r="E48" s="1">
        <v>3019</v>
      </c>
      <c r="F48" s="1" t="s">
        <v>107</v>
      </c>
    </row>
    <row r="49" spans="1:6" x14ac:dyDescent="0.25">
      <c r="A49" s="1">
        <v>48</v>
      </c>
      <c r="B49" s="1">
        <v>3019</v>
      </c>
      <c r="C49" s="1">
        <v>3024</v>
      </c>
      <c r="D49" s="1">
        <v>3025</v>
      </c>
      <c r="E49" s="1">
        <v>3020</v>
      </c>
      <c r="F49" s="1" t="s">
        <v>107</v>
      </c>
    </row>
    <row r="50" spans="1:6" x14ac:dyDescent="0.25">
      <c r="A50" s="1">
        <v>49</v>
      </c>
      <c r="B50" s="1">
        <v>4001</v>
      </c>
      <c r="C50" s="1">
        <v>4006</v>
      </c>
      <c r="D50" s="1">
        <v>4007</v>
      </c>
      <c r="E50" s="1">
        <v>4002</v>
      </c>
      <c r="F50" s="1" t="s">
        <v>107</v>
      </c>
    </row>
    <row r="51" spans="1:6" x14ac:dyDescent="0.25">
      <c r="A51" s="1">
        <v>50</v>
      </c>
      <c r="B51" s="1">
        <v>4002</v>
      </c>
      <c r="C51" s="1">
        <v>4007</v>
      </c>
      <c r="D51" s="1">
        <v>4008</v>
      </c>
      <c r="E51" s="1">
        <v>4003</v>
      </c>
      <c r="F51" s="1" t="s">
        <v>107</v>
      </c>
    </row>
    <row r="52" spans="1:6" x14ac:dyDescent="0.25">
      <c r="A52" s="1">
        <v>51</v>
      </c>
      <c r="B52" s="1">
        <v>4003</v>
      </c>
      <c r="C52" s="1">
        <v>4008</v>
      </c>
      <c r="D52" s="1">
        <v>4009</v>
      </c>
      <c r="E52" s="1">
        <v>4004</v>
      </c>
      <c r="F52" s="1" t="s">
        <v>107</v>
      </c>
    </row>
    <row r="53" spans="1:6" x14ac:dyDescent="0.25">
      <c r="A53" s="1">
        <v>52</v>
      </c>
      <c r="B53" s="1">
        <v>4004</v>
      </c>
      <c r="C53" s="1">
        <v>4009</v>
      </c>
      <c r="D53" s="1">
        <v>4010</v>
      </c>
      <c r="E53" s="1">
        <v>4005</v>
      </c>
      <c r="F53" s="1" t="s">
        <v>107</v>
      </c>
    </row>
    <row r="54" spans="1:6" x14ac:dyDescent="0.25">
      <c r="A54" s="1">
        <v>53</v>
      </c>
      <c r="B54" s="1">
        <v>4006</v>
      </c>
      <c r="C54" s="1">
        <v>4011</v>
      </c>
      <c r="D54" s="1">
        <v>4012</v>
      </c>
      <c r="E54" s="1">
        <v>4007</v>
      </c>
      <c r="F54" s="1" t="s">
        <v>107</v>
      </c>
    </row>
    <row r="55" spans="1:6" x14ac:dyDescent="0.25">
      <c r="A55" s="1">
        <v>54</v>
      </c>
      <c r="B55" s="1">
        <v>4007</v>
      </c>
      <c r="C55" s="1">
        <v>4012</v>
      </c>
      <c r="D55" s="1">
        <v>4013</v>
      </c>
      <c r="E55" s="1">
        <v>4008</v>
      </c>
      <c r="F55" s="1" t="s">
        <v>107</v>
      </c>
    </row>
    <row r="56" spans="1:6" x14ac:dyDescent="0.25">
      <c r="A56" s="1">
        <v>55</v>
      </c>
      <c r="B56" s="1">
        <v>4008</v>
      </c>
      <c r="C56" s="1">
        <v>4013</v>
      </c>
      <c r="D56" s="1">
        <v>4014</v>
      </c>
      <c r="E56" s="1">
        <v>4009</v>
      </c>
      <c r="F56" s="1" t="s">
        <v>107</v>
      </c>
    </row>
    <row r="57" spans="1:6" x14ac:dyDescent="0.25">
      <c r="A57" s="1">
        <v>56</v>
      </c>
      <c r="B57" s="1">
        <v>4009</v>
      </c>
      <c r="C57" s="1">
        <v>4014</v>
      </c>
      <c r="D57" s="1">
        <v>4015</v>
      </c>
      <c r="E57" s="1">
        <v>4010</v>
      </c>
      <c r="F57" s="1" t="s">
        <v>107</v>
      </c>
    </row>
    <row r="58" spans="1:6" x14ac:dyDescent="0.25">
      <c r="A58" s="1">
        <v>57</v>
      </c>
      <c r="B58" s="1">
        <v>4011</v>
      </c>
      <c r="C58" s="1">
        <v>4016</v>
      </c>
      <c r="D58" s="1">
        <v>4017</v>
      </c>
      <c r="E58" s="1">
        <v>4012</v>
      </c>
      <c r="F58" s="1" t="s">
        <v>107</v>
      </c>
    </row>
    <row r="59" spans="1:6" x14ac:dyDescent="0.25">
      <c r="A59" s="1">
        <v>58</v>
      </c>
      <c r="B59" s="1">
        <v>4012</v>
      </c>
      <c r="C59" s="1">
        <v>4017</v>
      </c>
      <c r="D59" s="1">
        <v>4018</v>
      </c>
      <c r="E59" s="1">
        <v>4013</v>
      </c>
      <c r="F59" s="1" t="s">
        <v>107</v>
      </c>
    </row>
    <row r="60" spans="1:6" x14ac:dyDescent="0.25">
      <c r="A60" s="1">
        <v>59</v>
      </c>
      <c r="B60" s="1">
        <v>4013</v>
      </c>
      <c r="C60" s="1">
        <v>4018</v>
      </c>
      <c r="D60" s="1">
        <v>4019</v>
      </c>
      <c r="E60" s="1">
        <v>4014</v>
      </c>
      <c r="F60" s="1" t="s">
        <v>107</v>
      </c>
    </row>
    <row r="61" spans="1:6" x14ac:dyDescent="0.25">
      <c r="A61" s="1">
        <v>60</v>
      </c>
      <c r="B61" s="1">
        <v>4014</v>
      </c>
      <c r="C61" s="1">
        <v>4019</v>
      </c>
      <c r="D61" s="1">
        <v>4020</v>
      </c>
      <c r="E61" s="1">
        <v>4015</v>
      </c>
      <c r="F61" s="1" t="s">
        <v>107</v>
      </c>
    </row>
    <row r="62" spans="1:6" x14ac:dyDescent="0.25">
      <c r="A62" s="1">
        <v>61</v>
      </c>
      <c r="B62" s="1">
        <v>4016</v>
      </c>
      <c r="C62" s="1">
        <v>4021</v>
      </c>
      <c r="D62" s="1">
        <v>4022</v>
      </c>
      <c r="E62" s="1">
        <v>4017</v>
      </c>
      <c r="F62" s="1" t="s">
        <v>107</v>
      </c>
    </row>
    <row r="63" spans="1:6" x14ac:dyDescent="0.25">
      <c r="A63" s="1">
        <v>62</v>
      </c>
      <c r="B63" s="1">
        <v>4017</v>
      </c>
      <c r="C63" s="1">
        <v>4022</v>
      </c>
      <c r="D63" s="1">
        <v>4023</v>
      </c>
      <c r="E63" s="1">
        <v>4018</v>
      </c>
      <c r="F63" s="1" t="s">
        <v>107</v>
      </c>
    </row>
    <row r="64" spans="1:6" x14ac:dyDescent="0.25">
      <c r="A64" s="1">
        <v>63</v>
      </c>
      <c r="B64" s="1">
        <v>4018</v>
      </c>
      <c r="C64" s="1">
        <v>4023</v>
      </c>
      <c r="D64" s="1">
        <v>4024</v>
      </c>
      <c r="E64" s="1">
        <v>4019</v>
      </c>
      <c r="F64" s="1" t="s">
        <v>107</v>
      </c>
    </row>
    <row r="65" spans="1:6" x14ac:dyDescent="0.25">
      <c r="A65" s="1">
        <v>64</v>
      </c>
      <c r="B65" s="1">
        <v>4019</v>
      </c>
      <c r="C65" s="1">
        <v>4024</v>
      </c>
      <c r="D65" s="1">
        <v>4025</v>
      </c>
      <c r="E65" s="1">
        <v>4020</v>
      </c>
      <c r="F65" s="1" t="s">
        <v>107</v>
      </c>
    </row>
  </sheetData>
  <phoneticPr fontId="12"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108</v>
      </c>
      <c r="B1" s="8" t="s">
        <v>122</v>
      </c>
      <c r="C1" s="8" t="s">
        <v>123</v>
      </c>
      <c r="D1" s="8" t="s">
        <v>124</v>
      </c>
      <c r="E1" s="8" t="s">
        <v>125</v>
      </c>
      <c r="F1" s="8" t="s">
        <v>126</v>
      </c>
      <c r="G1" s="8" t="s">
        <v>127</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128</v>
      </c>
      <c r="B1" s="8" t="s">
        <v>72</v>
      </c>
      <c r="C1" s="8" t="s">
        <v>129</v>
      </c>
      <c r="D1" s="8" t="s">
        <v>130</v>
      </c>
      <c r="E1" s="8" t="s">
        <v>131</v>
      </c>
    </row>
    <row r="2" spans="1:5" x14ac:dyDescent="0.25">
      <c r="A2" s="1" t="s">
        <v>132</v>
      </c>
      <c r="B2" s="1" t="s">
        <v>74</v>
      </c>
      <c r="C2" s="1" t="s">
        <v>138</v>
      </c>
      <c r="D2" s="4">
        <v>0.41</v>
      </c>
      <c r="E2" s="12" t="s">
        <v>140</v>
      </c>
    </row>
    <row r="3" spans="1:5" x14ac:dyDescent="0.25">
      <c r="A3" s="1" t="s">
        <v>133</v>
      </c>
      <c r="B3" s="1" t="s">
        <v>76</v>
      </c>
      <c r="C3" s="1" t="s">
        <v>138</v>
      </c>
      <c r="D3" s="4">
        <v>0.57999999999999996</v>
      </c>
      <c r="E3" s="12" t="s">
        <v>140</v>
      </c>
    </row>
    <row r="4" spans="1:5" x14ac:dyDescent="0.25">
      <c r="A4" s="1" t="s">
        <v>134</v>
      </c>
      <c r="B4" s="1" t="s">
        <v>74</v>
      </c>
      <c r="C4" s="1" t="s">
        <v>138</v>
      </c>
      <c r="D4" s="4">
        <v>1.1100000000000001</v>
      </c>
      <c r="E4" s="12" t="s">
        <v>141</v>
      </c>
    </row>
    <row r="5" spans="1:5" x14ac:dyDescent="0.25">
      <c r="A5" s="1" t="s">
        <v>135</v>
      </c>
      <c r="B5" s="1" t="s">
        <v>75</v>
      </c>
      <c r="C5" s="1" t="s">
        <v>138</v>
      </c>
      <c r="D5" s="4">
        <v>2.69</v>
      </c>
      <c r="E5" s="12" t="s">
        <v>141</v>
      </c>
    </row>
    <row r="6" spans="1:5" x14ac:dyDescent="0.25">
      <c r="A6" s="1" t="s">
        <v>136</v>
      </c>
      <c r="B6" s="1" t="s">
        <v>74</v>
      </c>
      <c r="C6" s="1" t="s">
        <v>139</v>
      </c>
      <c r="D6" s="4">
        <v>2.41</v>
      </c>
      <c r="E6" s="12" t="s">
        <v>142</v>
      </c>
    </row>
    <row r="7" spans="1:5" x14ac:dyDescent="0.25">
      <c r="A7" s="1" t="s">
        <v>137</v>
      </c>
      <c r="B7" s="1" t="s">
        <v>74</v>
      </c>
      <c r="C7" s="1" t="s">
        <v>139</v>
      </c>
      <c r="D7" s="4">
        <v>7.04</v>
      </c>
      <c r="E7" s="12" t="s">
        <v>143</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88</v>
      </c>
      <c r="B1" s="8" t="s">
        <v>114</v>
      </c>
      <c r="C1" s="8" t="s">
        <v>117</v>
      </c>
      <c r="D1" s="8" t="s">
        <v>118</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2026-07-11T03:36:45Z</dcterms:modified>
</cp:coreProperties>
</file>